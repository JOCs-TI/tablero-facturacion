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eldos" sheetId="1" r:id="rId5"/>
    <sheet state="visible" name="emitidas" sheetId="2" r:id="rId6"/>
    <sheet state="visible" name="reglas" sheetId="3" r:id="rId7"/>
    <sheet state="visible" name="CC" sheetId="4" r:id="rId8"/>
    <sheet state="visible" name="recibidas" sheetId="5" r:id="rId9"/>
    <sheet state="visible" name="corresponsalias" sheetId="6" r:id="rId10"/>
    <sheet state="visible" name="honorarios josefa" sheetId="7" r:id="rId11"/>
    <sheet state="visible" name="Aduanas" sheetId="8" r:id="rId12"/>
    <sheet state="visible" name="costos de referencia" sheetId="9" r:id="rId13"/>
    <sheet state="visible" name="imile laredo" sheetId="10" r:id="rId14"/>
  </sheets>
  <definedNames>
    <definedName hidden="1" localSheetId="0" name="_xlnm._FilterDatabase">sueldos!$A$1:$Z$2033</definedName>
    <definedName hidden="1" localSheetId="1" name="_xlnm._FilterDatabase">emitidas!$A$1:$AA$1004</definedName>
    <definedName hidden="1" localSheetId="8" name="_xlnm._FilterDatabase">'costos de referencia'!$A$1:$BH$191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7">
      <text>
        <t xml:space="preserve">INVOICE 14697- 1,129 
INVOICE 14692 - 1,079.88
INVOICE 14847 - 1,114.38
INVOICE 14604 -  1,612
INVOICE 14521 - 1,204.38
</t>
      </text>
    </comment>
    <comment authorId="0" ref="H27">
      <text>
        <t xml:space="preserve">invoice 13582 -1,263
invoice 13583 - 1,525
invoice 13584 - 1,159.38
</t>
      </text>
    </comment>
    <comment authorId="0" ref="I28">
      <text>
        <t xml:space="preserve">invoice 13643 - 1,595.76
invoice 13706 - 1,372.83
invoice 13781 - 1,107.59
invoice 13904 - 1,232.56
invoice 14044 - 740.14</t>
      </text>
    </comment>
    <comment authorId="0" ref="I27">
      <text>
        <t xml:space="preserve">invoice 13643 - 1,804.75
invoice 13706 - 1,640.5
invoice 13781 - 1,308.63
invoice 13904 - 1,487.5
invoice 14044 - 1,090</t>
      </text>
    </comment>
    <comment authorId="0" ref="J28">
      <text>
        <t xml:space="preserve">invoice 14161 - 919.18
invoice 14257 - 948.19
invoice 14413 - 1,114.25
Invoice 14382 -  948.19
</t>
      </text>
    </comment>
    <comment authorId="0" ref="J27">
      <text>
        <t xml:space="preserve">invoice 14161 - 1,231.75
invoice 14257 - 1053.63
invoice 14413 - 1,601.13
Invoice 14382 - 1,053.63
</t>
      </text>
    </comment>
    <comment authorId="0" ref="K28">
      <text>
        <t xml:space="preserve">INVOICE 14697 - 1,109.82
INVOICE 14697 - 861.69
INVOICE 14847 - 929.06
INVOICE 14604 - 984.21
INVOICE 14521 - 1,163.06
</t>
      </text>
    </comment>
  </commentList>
</comments>
</file>

<file path=xl/sharedStrings.xml><?xml version="1.0" encoding="utf-8"?>
<sst xmlns="http://schemas.openxmlformats.org/spreadsheetml/2006/main" count="18224" uniqueCount="2094">
  <si>
    <t>TipoCambio</t>
  </si>
  <si>
    <t>QN</t>
  </si>
  <si>
    <t>cc</t>
  </si>
  <si>
    <t>Moneda</t>
  </si>
  <si>
    <t>ReceptorNombre</t>
  </si>
  <si>
    <t>Descripcion</t>
  </si>
  <si>
    <t>Importe</t>
  </si>
  <si>
    <t>MES</t>
  </si>
  <si>
    <t>MES NO.</t>
  </si>
  <si>
    <t>NOMBRE</t>
  </si>
  <si>
    <t>Total sueldo (N)</t>
  </si>
  <si>
    <t>DescuentoConcepto</t>
  </si>
  <si>
    <t>Total prestaciones (N)</t>
  </si>
  <si>
    <t>REFERENCIA</t>
  </si>
  <si>
    <t>Total cuotas patrón (N)</t>
  </si>
  <si>
    <t>ADUANA</t>
  </si>
  <si>
    <t>vales 1 (N)</t>
  </si>
  <si>
    <t>tipo</t>
  </si>
  <si>
    <t>CC</t>
  </si>
  <si>
    <t>vales 2 (N)</t>
  </si>
  <si>
    <t>TIPO</t>
  </si>
  <si>
    <t>Puntualidad (lira)</t>
  </si>
  <si>
    <t>MONTO</t>
  </si>
  <si>
    <t>staff</t>
  </si>
  <si>
    <t>Excedente (lira)</t>
  </si>
  <si>
    <t>PROPIOS</t>
  </si>
  <si>
    <t>Comisión (lira)</t>
  </si>
  <si>
    <t>Provisiones</t>
  </si>
  <si>
    <t>Praxx</t>
  </si>
  <si>
    <t>MXN</t>
  </si>
  <si>
    <t>NOMBRE BIEN</t>
  </si>
  <si>
    <t>Amazon 1</t>
  </si>
  <si>
    <t>PROMINENT FLUID CONTROLS DE MEXICO</t>
  </si>
  <si>
    <t>TRANSPORTE</t>
  </si>
  <si>
    <t>Total</t>
  </si>
  <si>
    <t>Amazon 2</t>
  </si>
  <si>
    <t>PROVISION</t>
  </si>
  <si>
    <t>TOTAL2</t>
  </si>
  <si>
    <t>Departamento</t>
  </si>
  <si>
    <t>JMA6000224</t>
  </si>
  <si>
    <t>TRANSITO</t>
  </si>
  <si>
    <t>agosto</t>
  </si>
  <si>
    <t>estafeta</t>
  </si>
  <si>
    <t>RUIZ ZARATE GAEL</t>
  </si>
  <si>
    <t>TERCEROS</t>
  </si>
  <si>
    <t>dhl</t>
  </si>
  <si>
    <t>ID</t>
  </si>
  <si>
    <t>Transito</t>
  </si>
  <si>
    <t>Estafeta</t>
  </si>
  <si>
    <t>Tijuana</t>
  </si>
  <si>
    <t>EMISOR</t>
  </si>
  <si>
    <t>Mexicali</t>
  </si>
  <si>
    <t>PATRÓN</t>
  </si>
  <si>
    <t>LOPEZ HERNANDEZ RAUL IVAN</t>
  </si>
  <si>
    <t>CONCEPTO</t>
  </si>
  <si>
    <t>AIFA</t>
  </si>
  <si>
    <t>TIPO DE BÚSQUEDA</t>
  </si>
  <si>
    <t>Toluca</t>
  </si>
  <si>
    <t>TAP/IMILE</t>
  </si>
  <si>
    <t>CUALQUIERA</t>
  </si>
  <si>
    <t>Lazaro</t>
  </si>
  <si>
    <t>TARIFA</t>
  </si>
  <si>
    <t>TRANSPORTES LOCALES</t>
  </si>
  <si>
    <t>EXACTA</t>
  </si>
  <si>
    <t>Manzanillo</t>
  </si>
  <si>
    <t>RUBIO MACIAS CARLOS ANDRES</t>
  </si>
  <si>
    <t>Laredo</t>
  </si>
  <si>
    <t>TARIFA DE CANCELACION</t>
  </si>
  <si>
    <t>Staff</t>
  </si>
  <si>
    <t>Imile AIFA</t>
  </si>
  <si>
    <t>AAACESA, ALMACENES FISCALIZADOS, S.A. DE C.V.</t>
  </si>
  <si>
    <t>MANEJO POR VALOR</t>
  </si>
  <si>
    <t>JUAREZ SANDOVAL ROCIO</t>
  </si>
  <si>
    <t>MANIOBRAS</t>
  </si>
  <si>
    <t>CDMX</t>
  </si>
  <si>
    <t>CONTIENE</t>
  </si>
  <si>
    <t>Forwarding</t>
  </si>
  <si>
    <t>ALMACENAJE</t>
  </si>
  <si>
    <t>Veracruz</t>
  </si>
  <si>
    <t>CIPSA INDUSTRIAS</t>
  </si>
  <si>
    <t>Imile Laredo</t>
  </si>
  <si>
    <t>MANTRANSFER</t>
  </si>
  <si>
    <t>CAPTURA DE VUCEM</t>
  </si>
  <si>
    <t>JIT6111043</t>
  </si>
  <si>
    <t>TOLUCA</t>
  </si>
  <si>
    <t>MEDINA SANCHEZ LUIS</t>
  </si>
  <si>
    <t>TMM</t>
  </si>
  <si>
    <t>COSTO DE TRANSFERENCIA</t>
  </si>
  <si>
    <t>MANIOBRAS PARA EL RECONOCIMIENTO PREVIO</t>
  </si>
  <si>
    <t>SUALSA</t>
  </si>
  <si>
    <t>ZUÑIGA GONZALEZ EMMANUEL</t>
  </si>
  <si>
    <t>PALETIZADA TOTAL DE TRAILER</t>
  </si>
  <si>
    <t>DHL GLOBAL FORWARDING (MEXICO)</t>
  </si>
  <si>
    <t>SEPARACION DE EMBARQUES EN DESTINO</t>
  </si>
  <si>
    <t>MANEJO EN TERMINAL FORWARDER EN DESTINO</t>
  </si>
  <si>
    <t>CAMARGO CASTRO BEATRIZ SELENE</t>
  </si>
  <si>
    <t>DHL EXPRESS MEXICO</t>
  </si>
  <si>
    <t>*</t>
  </si>
  <si>
    <t>GUIAS</t>
  </si>
  <si>
    <t>SOLO EMISOR</t>
  </si>
  <si>
    <t>E-LEVEL CLOUD SERVICES</t>
  </si>
  <si>
    <t>MUÑOZ SEGURA KARINA</t>
  </si>
  <si>
    <t>MICROSOFT 365 BUSINESS PREMIUM</t>
  </si>
  <si>
    <t>LICENCIAS 365</t>
  </si>
  <si>
    <t>MANIFESTACION DE VALOR</t>
  </si>
  <si>
    <t>MICROSOFT 365 BUSINESS PREMIUM (MENSUAL)</t>
  </si>
  <si>
    <t>PEREZ RIOS WILLIAMS ALEXANDER</t>
  </si>
  <si>
    <t>MICROSOFT DEFENDER FOR OFFICE 365 (PLAN 1)</t>
  </si>
  <si>
    <t>MICROSOFT 365 BUSINESS BASIC</t>
  </si>
  <si>
    <t>ALEMAN LOPEZ LUIS ALBERTO</t>
  </si>
  <si>
    <t>VISIO PLAN 2</t>
  </si>
  <si>
    <t>EXCHANGE ONLINE (PLAN 2)</t>
  </si>
  <si>
    <t>MANIOBRAS AA</t>
  </si>
  <si>
    <t>POWER AUTOMATE PREMIUM</t>
  </si>
  <si>
    <t>ROSAS LOBERA PATRICIA</t>
  </si>
  <si>
    <t>-</t>
  </si>
  <si>
    <t>CONSUMO AZURE</t>
  </si>
  <si>
    <t>SERVIDOR VIRTUAL</t>
  </si>
  <si>
    <t>INSTANCIAS RESERVADAS</t>
  </si>
  <si>
    <t>PEREZ LAGUNAS WENDY PAOLA</t>
  </si>
  <si>
    <t>CONFEDERACION LATINOAMERICANA DE AGENTES ADUANALES</t>
  </si>
  <si>
    <t>CUOTA MENSUAL</t>
  </si>
  <si>
    <t>CUOTAS Y SUSCRIPCIONES</t>
  </si>
  <si>
    <t>CUOTA PREVALIDACION DE PEDIMENTOS</t>
  </si>
  <si>
    <t>VALIDACION</t>
  </si>
  <si>
    <t>GARCIA BECERRIL YARASKA YETZEL</t>
  </si>
  <si>
    <t>CONTRAPRESTACIÓN</t>
  </si>
  <si>
    <t>CONTRAPRESTACION POR PREVALIDACION</t>
  </si>
  <si>
    <t>PREVALIDACION DE PEDIMENTOS</t>
  </si>
  <si>
    <t>RECTIFICACIONES</t>
  </si>
  <si>
    <t>RENDON MORALES MANUEL ALEJANDRO</t>
  </si>
  <si>
    <t>IDEAAA</t>
  </si>
  <si>
    <t>IMPRESIONES</t>
  </si>
  <si>
    <t>COPIADORA</t>
  </si>
  <si>
    <t>RECARGAS AICM</t>
  </si>
  <si>
    <t>SANITARIOS</t>
  </si>
  <si>
    <t>ARRIAGA ROSAS CADERIN</t>
  </si>
  <si>
    <t>ASESORIA ADUANAL</t>
  </si>
  <si>
    <t>SERVICIOS ASOCIADOS A AICM</t>
  </si>
  <si>
    <t>PAPELERIA</t>
  </si>
  <si>
    <t>B K SYSTEM</t>
  </si>
  <si>
    <t>SELLO FISCAL</t>
  </si>
  <si>
    <t>SELLOS FISCALES</t>
  </si>
  <si>
    <t>MORA ARROYO MARIA ELBA</t>
  </si>
  <si>
    <t>ENVÍO LAREDO</t>
  </si>
  <si>
    <t>OTROS GASTOS</t>
  </si>
  <si>
    <t>ENVIO LAREDO</t>
  </si>
  <si>
    <t>AGUERO GONZALEZ JUAN CARLOS</t>
  </si>
  <si>
    <t>JARB Y ASOCIADOS</t>
  </si>
  <si>
    <t>ENVIO CDMX</t>
  </si>
  <si>
    <t>ARA6000161</t>
  </si>
  <si>
    <t>ACACIO LARA MANUEL</t>
  </si>
  <si>
    <t>ENVÍO CDMX</t>
  </si>
  <si>
    <t>CREDI GNT</t>
  </si>
  <si>
    <t>RENTA</t>
  </si>
  <si>
    <t>ARRENDAMIENTO EQUIPO DE TRANSPORTE</t>
  </si>
  <si>
    <t>ADMINISTRACION DE FLOTA</t>
  </si>
  <si>
    <t>ARELLANO HERNANDEZ OLGA LIDIA</t>
  </si>
  <si>
    <t>imile aifa</t>
  </si>
  <si>
    <t>ROJAS MORALES ANASTACIO</t>
  </si>
  <si>
    <t>SEGURO</t>
  </si>
  <si>
    <t>TENENCIA</t>
  </si>
  <si>
    <t>GESTORIA</t>
  </si>
  <si>
    <t>AEROPUERTO INTERNACIONAL FELIPE ANGELES</t>
  </si>
  <si>
    <t>PATIO REGULADOR</t>
  </si>
  <si>
    <t>GARCIA GONZALEZ WENDY GUADALUPE</t>
  </si>
  <si>
    <t>Cargo Pago Extemporáneo</t>
  </si>
  <si>
    <t>ARRENDAMIENTO</t>
  </si>
  <si>
    <t>B. BRAUN MEDICAL DE MEXICO</t>
  </si>
  <si>
    <t>BERTHA CORTES CORTES</t>
  </si>
  <si>
    <t>JMA6000219</t>
  </si>
  <si>
    <t>ARANDA MARTINEZ JOSE RAUL</t>
  </si>
  <si>
    <t>CRISTOFER PAZ JIMENEZ</t>
  </si>
  <si>
    <t>COLIN MORALES ARMANDO</t>
  </si>
  <si>
    <t>GUILLERMO ODGERZ ANGELES</t>
  </si>
  <si>
    <t>INTEGRATED MANAGMENT SOLUTIONS, JOCAS</t>
  </si>
  <si>
    <t>ASESORIA FINANCIERA</t>
  </si>
  <si>
    <t>TELEFONOS DE MEXICO</t>
  </si>
  <si>
    <t>TELEFONIA FIJA</t>
  </si>
  <si>
    <t>CAMPOS ROMERO CRISTINA</t>
  </si>
  <si>
    <t>AT&amp;T COMERCIALIZACION MOVIL</t>
  </si>
  <si>
    <t>TELEFONIA MOVIL</t>
  </si>
  <si>
    <t>AT&amp;T COMUNICACIONES DIGITALES</t>
  </si>
  <si>
    <t>TELEFONIA CELULAR</t>
  </si>
  <si>
    <t>EDITORIAL PANINI MEXICO</t>
  </si>
  <si>
    <t>RADIOMOVIL DIPSA</t>
  </si>
  <si>
    <t>JMA6000209</t>
  </si>
  <si>
    <t>GONZALEZ ROJAS EDUARDO</t>
  </si>
  <si>
    <t>TOTAL PLAY TELECOMUNICACIONES</t>
  </si>
  <si>
    <t>INTERNET</t>
  </si>
  <si>
    <t>MEGACABLE COMUNICACIONES DE MEXICO</t>
  </si>
  <si>
    <t>TOTAL BOX</t>
  </si>
  <si>
    <t>GOOGLE CLOUD MEXICO</t>
  </si>
  <si>
    <t>ALBAVERA LAGUNAS JORGE</t>
  </si>
  <si>
    <t>SERVICIO EN LA NUBE</t>
  </si>
  <si>
    <t>ODOO TECHNOLOGIES</t>
  </si>
  <si>
    <t>LICENCIA DE SOFTWARE</t>
  </si>
  <si>
    <t>SISTEMAS CASA</t>
  </si>
  <si>
    <t>LICENCIAS DE COMPUTO</t>
  </si>
  <si>
    <t>SERVICIOS COMPLEMENTARIOS</t>
  </si>
  <si>
    <t>INTEGRATIUM</t>
  </si>
  <si>
    <t>MANTENIMIENTO EQ DE COMPUTO</t>
  </si>
  <si>
    <t>LINARES, BELTRAN Y ASOCIADOS</t>
  </si>
  <si>
    <t>CORTES ZEPEDA RENE</t>
  </si>
  <si>
    <t>ASESORIA CONTABLE</t>
  </si>
  <si>
    <t>LOGISTICS LAW &amp; CUSTOMS TRADE</t>
  </si>
  <si>
    <t>ASESORIA LEGAL</t>
  </si>
  <si>
    <t>LRC ICOV</t>
  </si>
  <si>
    <t>PRAXWORLD SOLUTION BUSINESS</t>
  </si>
  <si>
    <t>HONORARIOS ADICIONALES</t>
  </si>
  <si>
    <t>HERRERA MONDRAGON ZUREYMA DENYSSE</t>
  </si>
  <si>
    <t>AX CAPITAL HUMAN SERVICES</t>
  </si>
  <si>
    <t>RECLUTAMIENTO</t>
  </si>
  <si>
    <t>ANIA ARCEO DIAZ</t>
  </si>
  <si>
    <t>OTRAS ASESORIAS</t>
  </si>
  <si>
    <t>MACROPROYECTOS EN COMERCIALIZACION INTERNACIONAL ABITUB</t>
  </si>
  <si>
    <t>GARCIA BRISEÑO DARIO ABRAHAM</t>
  </si>
  <si>
    <t>SOLUCIONES JEALM</t>
  </si>
  <si>
    <t>LUIS ROJAS DAMIAN</t>
  </si>
  <si>
    <t>PROPORCION LUZ ELECTRICA</t>
  </si>
  <si>
    <t>LUZ</t>
  </si>
  <si>
    <t>FLORES GARCIA SOFIA</t>
  </si>
  <si>
    <t>PASE, SERVICIOS ELECTRONICOS</t>
  </si>
  <si>
    <t>CASETAS</t>
  </si>
  <si>
    <t>EFECTIVALE</t>
  </si>
  <si>
    <t>STAFF</t>
  </si>
  <si>
    <t>COMISIONES</t>
  </si>
  <si>
    <t>BANCO NACIONAL DE MEXICO</t>
  </si>
  <si>
    <t>COMISIONES BANCARIAS</t>
  </si>
  <si>
    <t>MENDOZA CASIMIRO PAULA</t>
  </si>
  <si>
    <t>TOKA INTERNACIONAL</t>
  </si>
  <si>
    <t>BANCO MONEX, S.A.</t>
  </si>
  <si>
    <t>KYA TI</t>
  </si>
  <si>
    <t>RAMIREZ MUÑOZ LETICIA</t>
  </si>
  <si>
    <t>YATEC</t>
  </si>
  <si>
    <t>OFFICE DEPOT DE MEXICO</t>
  </si>
  <si>
    <t>POSADAS &amp; COLIN GRUPO PAPELERO</t>
  </si>
  <si>
    <t>SANCHEZ GONZALEZ BRIAN ALEXIS</t>
  </si>
  <si>
    <t>OPERADORA OMX</t>
  </si>
  <si>
    <t>MANANTIAL SAN JUDAS TADEO</t>
  </si>
  <si>
    <t>INSUMOS DE OFICINA</t>
  </si>
  <si>
    <t>DCD COPIADORAS</t>
  </si>
  <si>
    <t>NESTOR GARCIA GARCIA</t>
  </si>
  <si>
    <t>MARTINEZ DEL RIO EDUARDO ALEXEI</t>
  </si>
  <si>
    <t>USD</t>
  </si>
  <si>
    <t>ESTACIONAMIENTO</t>
  </si>
  <si>
    <t>IMILE DELIVERY SERVICES MEXICO</t>
  </si>
  <si>
    <t>SERVICIO DE MANIOBRA</t>
  </si>
  <si>
    <t>ASOCIACION DE AGENTES ADUANALES DE ADUANAS METROPOLITANAS</t>
  </si>
  <si>
    <t>IMILE JULIO 1</t>
  </si>
  <si>
    <t>IMILE AIFA</t>
  </si>
  <si>
    <t>TECNOCONTROL VEHICULAR</t>
  </si>
  <si>
    <t>GARCIA OCAMPO JAZMIN</t>
  </si>
  <si>
    <t>VIGILANCIA - MONITOREO</t>
  </si>
  <si>
    <t>ADT PRIVATE SECURITY SERVICES DE MEXICO</t>
  </si>
  <si>
    <t>SEGURIDAD</t>
  </si>
  <si>
    <t>JUSTO MEDINA MARTINEZ</t>
  </si>
  <si>
    <t>laredo</t>
  </si>
  <si>
    <t>MANTENIMIENTO EQ TRANSPORTE</t>
  </si>
  <si>
    <t>SUPER SERVICIO RUDEM</t>
  </si>
  <si>
    <t>ANTICIPO DEL BIEN O SERVICIO</t>
  </si>
  <si>
    <t>COMBUSTIBLES Y LUBRICANTES</t>
  </si>
  <si>
    <t>MONROY CAMPOS JOSE ANGEL</t>
  </si>
  <si>
    <t>AEROENLACES NACIONALES</t>
  </si>
  <si>
    <t>GASTOS DE VIAJE</t>
  </si>
  <si>
    <t>SOCIETE AIR FRANCE</t>
  </si>
  <si>
    <t>TURISMOS Y AUTOBUSES MEXICO TOLUCA TRIANGULO FLECHA</t>
  </si>
  <si>
    <t>VIATICOS</t>
  </si>
  <si>
    <t>CHAVEZ AGUILAR LORENA</t>
  </si>
  <si>
    <t>AAAPVER</t>
  </si>
  <si>
    <t>ASESORIA EN COMERCIO EXTERIOR</t>
  </si>
  <si>
    <t>FEDERAL EXPRESS HOLDINGS (MEXICO) Y COMPAÑIA</t>
  </si>
  <si>
    <t>JC&amp;JF CARGO</t>
  </si>
  <si>
    <t>CCO ALMACEN FISCAL</t>
  </si>
  <si>
    <t>HERNANDEZ AGUILAR ANGELICA CELINA</t>
  </si>
  <si>
    <t>DALSEA DE NAVEGACION</t>
  </si>
  <si>
    <t>WORLD EXPRESS CARGO DE MEXICO</t>
  </si>
  <si>
    <t>RECONOCIMIENTO ADUANERO</t>
  </si>
  <si>
    <t>SISTEMA UNIFICADO DE MANIOBRAS AEREAS PARA AGENTES ADUANALES</t>
  </si>
  <si>
    <t>MANEJO EN TERMINAL</t>
  </si>
  <si>
    <t>SEPARACION DE EMBARQUES</t>
  </si>
  <si>
    <t>JORGE ALVAREZ VILLEGAS</t>
  </si>
  <si>
    <t>VIAJE</t>
  </si>
  <si>
    <t>COINCIDENCIA</t>
  </si>
  <si>
    <t>GUIA</t>
  </si>
  <si>
    <t>CARBAJAL CASTRO JESUS</t>
  </si>
  <si>
    <t>PEDIMENTO</t>
  </si>
  <si>
    <t>DSV AIR &amp; SEA</t>
  </si>
  <si>
    <t>RECOLECCION</t>
  </si>
  <si>
    <t>FLETE MARITIMO</t>
  </si>
  <si>
    <t>Tránsito</t>
  </si>
  <si>
    <t>GASTOS FOB</t>
  </si>
  <si>
    <t>CANDADOS</t>
  </si>
  <si>
    <t>VILLANUEVA ESPINOSA IVAN</t>
  </si>
  <si>
    <t>REVALIDACION Y CARGOS EN DESTINO</t>
  </si>
  <si>
    <t>DESCONSOLIDACION</t>
  </si>
  <si>
    <t>OLIVARES RANGEL JESUS ALBERTO</t>
  </si>
  <si>
    <t>THC ORIGEN</t>
  </si>
  <si>
    <t>FLETE</t>
  </si>
  <si>
    <t>DSV PROTECT</t>
  </si>
  <si>
    <t>ORTIZ MEJIA HELLEN ANAIS</t>
  </si>
  <si>
    <t>ENVIRONMENTAL FEE</t>
  </si>
  <si>
    <t>JUAN DIDIER CAMACHO LEAL</t>
  </si>
  <si>
    <t>FLETTE:  MANZANILLO - MEXICO
REFERENCIA:  MAI2605913
CONTENEDOR: UETU2732701</t>
  </si>
  <si>
    <t>CANO MATIAS FELIPE ALVARO</t>
  </si>
  <si>
    <t>TRÁILER</t>
  </si>
  <si>
    <t>CARGOTECNIA EQUIPOS</t>
  </si>
  <si>
    <t>COORDINACION DE EMBARQUE</t>
  </si>
  <si>
    <t>CAMI?N</t>
  </si>
  <si>
    <t>JMA6000204</t>
  </si>
  <si>
    <t>CAMIONETA</t>
  </si>
  <si>
    <t>GARCIA CARRASCO JUAN PABLO</t>
  </si>
  <si>
    <t>FLETE LOCAL</t>
  </si>
  <si>
    <t>COORDINACION LOGISTICA</t>
  </si>
  <si>
    <t>LOPEZ IZQUIERDO BRUNO ISAIAS</t>
  </si>
  <si>
    <t>TU MEJOR OPCION EN OFICINAS</t>
  </si>
  <si>
    <t>PRESTACION DE SERVICIOS</t>
  </si>
  <si>
    <t>OFICINA VIRUTAL</t>
  </si>
  <si>
    <t>SEGUROS INBURSA, S.A., GRUPO FINANCIERO INBURSA</t>
  </si>
  <si>
    <t>RESPONSABILIDAD CIVIL</t>
  </si>
  <si>
    <t>SEGUROS Y FIANZAS</t>
  </si>
  <si>
    <t>SERVICIOS ADUANALES INTEGRALES DEL NOROESTE</t>
  </si>
  <si>
    <t>ARCHUNDIA CONTRERAS MARIA GUADALUPE</t>
  </si>
  <si>
    <t>CORPORACION MEXICO EXPRESS</t>
  </si>
  <si>
    <t>CONECTIVIDAD</t>
  </si>
  <si>
    <t>HONORARIOS</t>
  </si>
  <si>
    <t>ANTONIO GRANADOS HERNANDEZ</t>
  </si>
  <si>
    <t>SERVICIOS DE CLASIFICACION</t>
  </si>
  <si>
    <t>MORENO RAMIREZ ELISA YAELI</t>
  </si>
  <si>
    <t>BURO LABORAL MEXICO</t>
  </si>
  <si>
    <t>REPORTE LABORAL</t>
  </si>
  <si>
    <t>CARGA AEREA CONSOLIDADA</t>
  </si>
  <si>
    <t>N/A</t>
  </si>
  <si>
    <t>LOMELIN CATARINO BRAYAN</t>
  </si>
  <si>
    <t>RENTAS</t>
  </si>
  <si>
    <t>Renta Comercial</t>
  </si>
  <si>
    <t>RECUPERACION DE GASTOS USO ENERGIA ELECTRICA</t>
  </si>
  <si>
    <t>BOLAÑOS BALCAZAR JOSE LUIS</t>
  </si>
  <si>
    <t>COSTOS FINANCIEROS</t>
  </si>
  <si>
    <t>CONSUMO DE SERVICIOS</t>
  </si>
  <si>
    <t>Mantenimiento Areas Comunes</t>
  </si>
  <si>
    <t>MUNGUIA MUNGUIA JOSE JUAN</t>
  </si>
  <si>
    <t>CUOTA POR ADUANA</t>
  </si>
  <si>
    <t>FLETE EN FALSO</t>
  </si>
  <si>
    <t>ALFREDO GARCIA PEREZ</t>
  </si>
  <si>
    <t>CRUZ CRUZ GREGORY ANUAR</t>
  </si>
  <si>
    <t>MENSAJERIA VISION</t>
  </si>
  <si>
    <t>COORDINACIÓN LOGISTICA</t>
  </si>
  <si>
    <t>PREVIO AA</t>
  </si>
  <si>
    <t>RECOLEC</t>
  </si>
  <si>
    <t>REVALID</t>
  </si>
  <si>
    <t>DESCONSOLID</t>
  </si>
  <si>
    <t>PEREZ CHAVEZ PAMELA BERENICE</t>
  </si>
  <si>
    <t>COORDINACION DE TRANSPORTE TERRESTRE</t>
  </si>
  <si>
    <t>LIRA PROYECTOS EMPRESARIALES</t>
  </si>
  <si>
    <t>SSA MEXICO HOLDINGS</t>
  </si>
  <si>
    <t>Control Electrónico y documental d</t>
  </si>
  <si>
    <t>CRUZ CRUZ JESUS ISSBOSE</t>
  </si>
  <si>
    <t>Almacenaje, lleno, impo, 1-3 DIA</t>
  </si>
  <si>
    <t>Recargo seguridad</t>
  </si>
  <si>
    <t>REVALIDACION AA</t>
  </si>
  <si>
    <t>Muellaje importación, 40</t>
  </si>
  <si>
    <t>RODRIGUEZ HERNANDEZ JAVIER</t>
  </si>
  <si>
    <t>Servicio de Administraci 0-9999 DI</t>
  </si>
  <si>
    <t>Entrega lleno camion 40'</t>
  </si>
  <si>
    <t>Muelle - patio 40'</t>
  </si>
  <si>
    <t>DELGADO SANDOVAL OSCAR DIEGO</t>
  </si>
  <si>
    <t>INTERNACIONAL DE CONTENEDORES ASOCIADOS DE VERACRUZ</t>
  </si>
  <si>
    <t>MUELLAJE</t>
  </si>
  <si>
    <t>COBRO POR IMPLEMENTACION DE CODIGO ISPS</t>
  </si>
  <si>
    <t>ORTEGA MONROY ALEXIS</t>
  </si>
  <si>
    <t>ALMACENAJE DE CONTENEDOR 20 PIES (INCLUYE MANEJO Y CUSTODIA DE MERCANCIA DE COMERCIO EXTERIOR)</t>
  </si>
  <si>
    <t>PAQUETE A - CARGA A CAMION / ACARREO (1) DE CONTENEDOR</t>
  </si>
  <si>
    <t>CONTROL ELECTRONICO Y DOCUMENTAL DE LA INFORMACION</t>
  </si>
  <si>
    <t>MORA GUTIERREZ IAN FABIAN</t>
  </si>
  <si>
    <t>OPERADORA DE LA CUENCA DEL PACIFICO</t>
  </si>
  <si>
    <t>CONTROL ELECTRONICO Y DOCUMENTAL LCL</t>
  </si>
  <si>
    <t>ENTREGA LCL</t>
  </si>
  <si>
    <t>BRENIS AMADOR DANNYEL ANTONIO</t>
  </si>
  <si>
    <t>FLEJE PLASTICO CARGA LCL</t>
  </si>
  <si>
    <t>GRAPAS PARA CARGA LCL</t>
  </si>
  <si>
    <t>PERSONAL ADICIONAL LCL 1ER TURNO</t>
  </si>
  <si>
    <t>PELAEZ CASTELLANOS MARIO RUBEN</t>
  </si>
  <si>
    <t>PREVIO OCULAR LCL IMPO</t>
  </si>
  <si>
    <t>ALMACENAJE IMPO LCL, DÍAS 1-15</t>
  </si>
  <si>
    <t>DHL</t>
  </si>
  <si>
    <t>SERV DE ADMON Y CONTROL LCL</t>
  </si>
  <si>
    <t>PEREZ BELMONT ANA CRISTINA</t>
  </si>
  <si>
    <t>VALIDACION ELECTRONICA DE DATOS</t>
  </si>
  <si>
    <t>FMS LOGISTICS MEXICO</t>
  </si>
  <si>
    <t>LOGISTIC SERVICE OF ADMINISTRATION FEE DESTINATION</t>
  </si>
  <si>
    <t>EQUIPOS ESPECIALES MPOWER</t>
  </si>
  <si>
    <t>TRANSPORTE MARÍTIMO</t>
  </si>
  <si>
    <t>CASTELLANOS JIMENEZ SHELSY VALERIA</t>
  </si>
  <si>
    <t>LAI2602712</t>
  </si>
  <si>
    <t>LAZARO</t>
  </si>
  <si>
    <t>LOGISTIC SERVICE OF CUSTOMS CLEARANCE</t>
  </si>
  <si>
    <t>LOGISTIC SERVICE OF CMA CONTAINER INSPECTION FEE</t>
  </si>
  <si>
    <t>REYES GARCIA DANIELA</t>
  </si>
  <si>
    <t>LOGISTIC SERVICE OF CMA DOCUMENTATION FEE DESTINATION</t>
  </si>
  <si>
    <t>LOGISTIC SERVICE OF MEXICO MANIFEST FEE</t>
  </si>
  <si>
    <t>GUILLEN ROJAS ADRIAN ZURIEL</t>
  </si>
  <si>
    <t>LOGISTIC SERVICE OF CMA CONTAINER SERVICE CHARGE</t>
  </si>
  <si>
    <t>LOGISTIC SERVICE OF CMA IMPORT PREMIUM SERENITY CONTAINER GUARANTEE</t>
  </si>
  <si>
    <t>HERNANDEZ MARTINEZ ALMA LILIA</t>
  </si>
  <si>
    <t>JOSE MANUEL AVILES RUIZ</t>
  </si>
  <si>
    <t>HONORARIOS POR TRAMITACION DE DOCUMENTOS IMILE</t>
  </si>
  <si>
    <t>HONORARIOS AGENTE ADUANAL</t>
  </si>
  <si>
    <t>LOGIETY TECHNOLOGY</t>
  </si>
  <si>
    <t>RENTA DE SOFTWARE PARA CLASIFICACION ARANCELARIA</t>
  </si>
  <si>
    <t>DIAZ HERMANOS MAQUINARIA Y SUS COMPONENTES</t>
  </si>
  <si>
    <t>DIAGNOSTICO PREVENTIVO DE FLOTA VEHICULAR CORRESPONDIENTE A</t>
  </si>
  <si>
    <t>CAJA CHICA</t>
  </si>
  <si>
    <t>JIMENEZ CORTES JOSE ALFREDO</t>
  </si>
  <si>
    <t>Instituto del Fondo Nacional de la Vivienda para los Trabajadores</t>
  </si>
  <si>
    <t>Aportacion s/Credito</t>
  </si>
  <si>
    <t>Aportacion c/Credito</t>
  </si>
  <si>
    <t>Amortizaciones</t>
  </si>
  <si>
    <t>MARTINEZ LOPEZ LUIS HECTOR</t>
  </si>
  <si>
    <t>INSTITUTO MEXICANO DEL SEGURO SOCIAL</t>
  </si>
  <si>
    <t>Cuotas IMSS</t>
  </si>
  <si>
    <t>APORTACION</t>
  </si>
  <si>
    <t>AMORTIZACION</t>
  </si>
  <si>
    <t>HERNANDEZ HERNANDEZ ANGEL ENRIQUE</t>
  </si>
  <si>
    <t>ACTUALIZACION</t>
  </si>
  <si>
    <t>RECARGOS</t>
  </si>
  <si>
    <t>PALETIZADA TOTAL RABON</t>
  </si>
  <si>
    <t>COYOLI ALBARRAN JORGE ALBERTO</t>
  </si>
  <si>
    <t>PALETIZADA RABON 3-4 TARIMAS</t>
  </si>
  <si>
    <t>FAJA</t>
  </si>
  <si>
    <t>UNIFORMES</t>
  </si>
  <si>
    <t>CLASIFICADOR DE FRACCIONES ARANCELARIAS</t>
  </si>
  <si>
    <t>EXT CREATIVE GROUP</t>
  </si>
  <si>
    <t>Administración de Redes Sociales</t>
  </si>
  <si>
    <t>PUBLICIDAD Y PATROCINIOS</t>
  </si>
  <si>
    <t>EXTINTOR</t>
  </si>
  <si>
    <t>PROTECCION CIVIL</t>
  </si>
  <si>
    <t>SERVICIOS DE MANEJO DE EMBARQUES LATINOAMERICANA</t>
  </si>
  <si>
    <t>G-premium</t>
  </si>
  <si>
    <t>BANCO MONEX S.A. INSTITUCION DE BANCA MULTIPLE, MONEX GRUPO FINANCIERO</t>
  </si>
  <si>
    <t>EL CLIENTE COMPRA</t>
  </si>
  <si>
    <t>PALOMO GUILLERMO JORGE ALAN</t>
  </si>
  <si>
    <t>REVALIDACION</t>
  </si>
  <si>
    <t>Comision De Servicios Peso Mexicano</t>
  </si>
  <si>
    <t>GASTOS ADMINISTRATIVOS</t>
  </si>
  <si>
    <t>ASOCIACION DE AGENTES ADUANALES DEL PUERTO DE VERACRUZ</t>
  </si>
  <si>
    <t>JOSEFA PATRICIA MAGAÑA RAMIREZ</t>
  </si>
  <si>
    <t>MEJIA SILVESTRE JAZAEL</t>
  </si>
  <si>
    <t>OFICINA VIRTUAL</t>
  </si>
  <si>
    <t>SERVICIO EXTRAORDINARIO</t>
  </si>
  <si>
    <t>ALEJANDRO MAXIMILIANO MARTINEZ</t>
  </si>
  <si>
    <t>PAGO</t>
  </si>
  <si>
    <t>CABALLERO CAMACHO JUAN AXEL</t>
  </si>
  <si>
    <t>JORGE ANGEL GOMEZ TERRAZAS</t>
  </si>
  <si>
    <t>Consultoria Gestión y Estrategia en Negocios</t>
  </si>
  <si>
    <t>GOBIERNO DEL ESTADO DE MEXICO</t>
  </si>
  <si>
    <t>toluca</t>
  </si>
  <si>
    <t>GONZALEZ ALARCON MARIO ANDRES</t>
  </si>
  <si>
    <t>ALMACENADORA GOLMEX</t>
  </si>
  <si>
    <t>GRUPO DECME</t>
  </si>
  <si>
    <t>Monitor</t>
  </si>
  <si>
    <t>PERIFERICOS</t>
  </si>
  <si>
    <t>APM TERMINALS LAZARO CARDENAS</t>
  </si>
  <si>
    <t>GARCIA PACHECO ORLANDO ALEXIS</t>
  </si>
  <si>
    <t>EX-MAN MEXICO</t>
  </si>
  <si>
    <t>MENSAJERIA METROPOLITANA</t>
  </si>
  <si>
    <t>L C TERMINAL PORTUARIA DE CONTENEDORES</t>
  </si>
  <si>
    <t>GUERRERO ROSAS CAMILO</t>
  </si>
  <si>
    <t>CC INLAND SERVICES MEXICO</t>
  </si>
  <si>
    <t>PACKSYS DISTRIBUCION</t>
  </si>
  <si>
    <t>ENTREGA DE LLENADO Y VACIO AA</t>
  </si>
  <si>
    <t>DIEGO DEL VALLE MARTINEZ DEL RIO</t>
  </si>
  <si>
    <t>IFS NEUTRAL MARITIME SERVICES DE MEXICO</t>
  </si>
  <si>
    <t>MEDINA ALMARAZ EMANUEL ALBERTO</t>
  </si>
  <si>
    <t>QUALITAS COMPAÑIA DE SEGUROS</t>
  </si>
  <si>
    <t>J&amp;M ESPECIALISTAS EN COMERCIO EXTERIOR Y NOM'S</t>
  </si>
  <si>
    <t>MEXMARINE SERVICES</t>
  </si>
  <si>
    <t>CORDERO RODRIGUEZ BRAULIO ANGEL</t>
  </si>
  <si>
    <t>ROBERTO RODRIGUEZ PEREZ</t>
  </si>
  <si>
    <t>FOCO PHILIPS 9004</t>
  </si>
  <si>
    <t>Cdmx</t>
  </si>
  <si>
    <t>JOSE LUIS ARMENTA VILLA</t>
  </si>
  <si>
    <t>SERVICIO DE DESINSECTIZACION GENERAL</t>
  </si>
  <si>
    <t>GRUPO XIBREMEX</t>
  </si>
  <si>
    <t>GALLARDO SILES DIANA ITZEL</t>
  </si>
  <si>
    <t>CARTA DE LABORATORIO</t>
  </si>
  <si>
    <t>JMA6000225</t>
  </si>
  <si>
    <t>SERVICIOS ILUMINA TECNOLOGIA E INNOVACION</t>
  </si>
  <si>
    <t>DRIVE APLICACION MOVIL DE MEXICO</t>
  </si>
  <si>
    <t>PALOMARES HINOJOSA MONICA</t>
  </si>
  <si>
    <t>CONSULTORIA, ADMINISTRACION Y VENTA DE ACTIVOS DE MEXICO</t>
  </si>
  <si>
    <t>LOPEZ RODRIGUEZ IRIS JOSELINE</t>
  </si>
  <si>
    <t>ALEJANDRA MORA CIGALA</t>
  </si>
  <si>
    <t>MONTACARGAS</t>
  </si>
  <si>
    <t>Servicio de Estacionamiento</t>
  </si>
  <si>
    <t>HERNANDEZ ESTRADA PEDRO JESUS</t>
  </si>
  <si>
    <t>ADMINISTRADORA DE CENTROS COMERCIALES SANTA FE</t>
  </si>
  <si>
    <t>CANDADO FISCAL</t>
  </si>
  <si>
    <t>ARCEO GUZMAN VIOLETA ELIDETH</t>
  </si>
  <si>
    <t>OPERADORA DE MINIESTACIONES COMBUSERV</t>
  </si>
  <si>
    <t>UNIVERSIDAD NACIONAL AUTONOMA DE MEXICO</t>
  </si>
  <si>
    <t>CURSO NOMINAS PARA PRINCIPIANTES 26-03</t>
  </si>
  <si>
    <t>CAPACITACION</t>
  </si>
  <si>
    <t>AEROVIAS DE MEXICO</t>
  </si>
  <si>
    <t>REYES HERNANDEZ GERARDO</t>
  </si>
  <si>
    <t>COMPUTACION Y TECNOLOGIAS DE OAXACA</t>
  </si>
  <si>
    <t>BSA SAFELY EQUIPOS Y SUMINISTROS</t>
  </si>
  <si>
    <t>PROMOTORA DE EQUIPOS</t>
  </si>
  <si>
    <t>SANCHEZ SANCHEZ LAURA PAULINA</t>
  </si>
  <si>
    <t>DIAGNOSE</t>
  </si>
  <si>
    <t>FIDEICOMISO F/1596</t>
  </si>
  <si>
    <t>RENTA DE HABITACION</t>
  </si>
  <si>
    <t>LGZ LOGISTIC</t>
  </si>
  <si>
    <t>GRUPO SVENSKA</t>
  </si>
  <si>
    <t>SOLORZANO SORIANO ADOLFO</t>
  </si>
  <si>
    <t>RODRIGO YAÑEZ PUERTAS</t>
  </si>
  <si>
    <t>DBM SUPPLY</t>
  </si>
  <si>
    <t>OTERO PEÑALOZA DANIELA</t>
  </si>
  <si>
    <t>SEGUROS AFIRME SA DE CV AFIRME GRUPO FINANCIERO</t>
  </si>
  <si>
    <t>ACADEMIA INTERNACIONAL DE DERECHO ADUANERO</t>
  </si>
  <si>
    <t>MARGARITA TERESA LOERA VAZQUEZ</t>
  </si>
  <si>
    <t>Etiquetas Adhesivas</t>
  </si>
  <si>
    <t>ETIQUETADO AA</t>
  </si>
  <si>
    <t>PINEDA LOPEZ WILBER RUBEN</t>
  </si>
  <si>
    <t>HERNANDEZ RIVERA GERARDO</t>
  </si>
  <si>
    <t>SILVA SANCHEZ JAVIER</t>
  </si>
  <si>
    <t>GRAJALES OCHOA JOAN</t>
  </si>
  <si>
    <t>ARAGON BEDWELL HAZEL</t>
  </si>
  <si>
    <t>MORALES PICHARDO MIREN JOYCE</t>
  </si>
  <si>
    <t>GARCIA GARCIA JUAN MANUEL</t>
  </si>
  <si>
    <t>LOPEZ FERNANDEZ JOSEFINA</t>
  </si>
  <si>
    <t>DHL03082026</t>
  </si>
  <si>
    <t>ISLAS PRIETO LUIS HECTOR</t>
  </si>
  <si>
    <t>LLAMAS MANCILLA MARIBEL</t>
  </si>
  <si>
    <t>ROMERO SANCHEZ HUGO ARMANDO</t>
  </si>
  <si>
    <t>SERVIN MALDONADO EVELIN PAOLA</t>
  </si>
  <si>
    <t>ZUÑIGA RAMIREZ ALFONSO FRANCISCO</t>
  </si>
  <si>
    <t>CREATIVA TCH</t>
  </si>
  <si>
    <t>JML6000215</t>
  </si>
  <si>
    <t>LAREDO</t>
  </si>
  <si>
    <t>REYNOSO SALAZAR JOSE ANTONIO</t>
  </si>
  <si>
    <t>GONZALEZ MENDEZ LUIS FERNANDO</t>
  </si>
  <si>
    <t>IMILE JULIO 3</t>
  </si>
  <si>
    <t>GUIAS DESPACHADAS</t>
  </si>
  <si>
    <t>IMILE JULIO 2</t>
  </si>
  <si>
    <t>TMM ALMACENADORA</t>
  </si>
  <si>
    <t>TAP JULIO</t>
  </si>
  <si>
    <t>JET6010314</t>
  </si>
  <si>
    <t>EmisorNombre</t>
  </si>
  <si>
    <t>CONSERVADORES Y QUIMICOS DE MEXICO</t>
  </si>
  <si>
    <t>MAI2606841</t>
  </si>
  <si>
    <t>MANZANILLO</t>
  </si>
  <si>
    <t>monto 1</t>
  </si>
  <si>
    <t>CONCEPTO PARA CIERRE</t>
  </si>
  <si>
    <t>VERACRUZ</t>
  </si>
  <si>
    <t>CJMA6000211</t>
  </si>
  <si>
    <t>JMA6000211</t>
  </si>
  <si>
    <t>CUOTA POR ADUANA, COBRO ADICIONAL POR ADUANA CON SEDES DE CLAA (VERACRUZ,AIFA,MANZANILLO)</t>
  </si>
  <si>
    <t>MONTACARGAS AA</t>
  </si>
  <si>
    <t>FLETE LOCAL ADUANA AIFA A CUAUTITLÁN, EDO. MÉX. 04/08/2026.</t>
  </si>
  <si>
    <t>Carga de camión</t>
  </si>
  <si>
    <t>FLETE LOCAL ADUANA AIFA A CUAUTITLÁN, EDO. MÉX. 03/08/2026.</t>
  </si>
  <si>
    <t>FLETE LOCAL ADUANA AIFA A CUAUTITLÁN, EDO. MÉX. 01/08/2026.</t>
  </si>
  <si>
    <t>Servicios de workspace</t>
  </si>
  <si>
    <t>Internet MetroC Facturación del 01 de Agosto al 31 de Agosto de 2026 1060760956</t>
  </si>
  <si>
    <t>AGENTE ADUANAL AMERICANO AA</t>
  </si>
  <si>
    <t>SHIPPER EXPORT</t>
  </si>
  <si>
    <t>CRUCE FRONTERIZO AA</t>
  </si>
  <si>
    <t>GONZALEZ CASTRO DIEGO GAEL</t>
  </si>
  <si>
    <t>ARRIAGA HERNANDEZ EVERARDO</t>
  </si>
  <si>
    <t>VALENCIA ROJAS EDUARDO</t>
  </si>
  <si>
    <t>ZAVALA LOPEZ JAHIR ALBERTO</t>
  </si>
  <si>
    <t>RUIZ MORALES SETH JONATHAN</t>
  </si>
  <si>
    <t>RUIZ MARQUEZ CHRISTOPHER DAMIAN</t>
  </si>
  <si>
    <t>VELAZQUEZ GOMEZ EFREN ALAM</t>
  </si>
  <si>
    <t>ORTEGA SEGURA DIEGO</t>
  </si>
  <si>
    <t>Servicio de Tráiler Caja 53 FT Eco 32-B  realizado el día 02 de Agosto del 2026. Origen: AIFA Destino: Teoloyucan Referencia: IMILE02082026-ECO 32-B</t>
  </si>
  <si>
    <t>FLETE LOCAL ADUANA AIFA A CUAUTITLÁN, EDO. MÉX. 02/08/2026.</t>
  </si>
  <si>
    <t>SERVICIOS COMERCIALES AMAZON MEXICO</t>
  </si>
  <si>
    <t>Servicios postales de paqueteo y courrier</t>
  </si>
  <si>
    <t>AMAZON</t>
  </si>
  <si>
    <t>AMAZON 1</t>
  </si>
  <si>
    <t>Etiquetado</t>
  </si>
  <si>
    <t>CDD CENTRAL DATA DESIGN</t>
  </si>
  <si>
    <t>ARA6000158</t>
  </si>
  <si>
    <t>Cambio de Instruccion</t>
  </si>
  <si>
    <t>Almacenaje</t>
  </si>
  <si>
    <t>Asignacion de Guia Aerea</t>
  </si>
  <si>
    <t>DHL04082026</t>
  </si>
  <si>
    <t>Manejo</t>
  </si>
  <si>
    <t>TRAVEL ESONIC</t>
  </si>
  <si>
    <t>DISEÑO DE ETIQUETADO Y CONSTANCIA DE CONFORMIDAD</t>
  </si>
  <si>
    <t>CCDECERT050826</t>
  </si>
  <si>
    <t>Custodia</t>
  </si>
  <si>
    <t>CERTIFICADO NOM-001-SCFI-2018</t>
  </si>
  <si>
    <t>JMA6000220</t>
  </si>
  <si>
    <t>Maniobras para Previo</t>
  </si>
  <si>
    <t>Servicios de comercio internacional</t>
  </si>
  <si>
    <t>DHL05082026</t>
  </si>
  <si>
    <t>HEIDELBERG MEXICO</t>
  </si>
  <si>
    <t>H27-2 AGOSTO</t>
  </si>
  <si>
    <t>ESTAFETA</t>
  </si>
  <si>
    <t>SMALL BONE SYSTEM</t>
  </si>
  <si>
    <t>JIT6111194</t>
  </si>
  <si>
    <t>Source.Name</t>
  </si>
  <si>
    <t>Emisor.Attribute:Nombre</t>
  </si>
  <si>
    <t>Attribute:SubTotal</t>
  </si>
  <si>
    <t>Attribute:Folio</t>
  </si>
  <si>
    <t>Attribute:Serie</t>
  </si>
  <si>
    <t>Attribute:Fecha</t>
  </si>
  <si>
    <t>Attribute:Total</t>
  </si>
  <si>
    <t>Attribute:Moneda</t>
  </si>
  <si>
    <t>Attribute:Exportacion</t>
  </si>
  <si>
    <t>Attribute:MetodoPago</t>
  </si>
  <si>
    <t>Attribute:LugarExpedicion</t>
  </si>
  <si>
    <t>Attribute:FormaPago</t>
  </si>
  <si>
    <t>Attribute:Sello</t>
  </si>
  <si>
    <t>Attribute:Certificado</t>
  </si>
  <si>
    <t>MEZCLADORAS Y TRAILERS DE MEXICO</t>
  </si>
  <si>
    <t>CANCELADA</t>
  </si>
  <si>
    <t>3491be23-5c9a-4a51-a06a-51c5839d62b1.xml</t>
  </si>
  <si>
    <t>AGENCIA ADUANAL BAJA SON</t>
  </si>
  <si>
    <t>5228</t>
  </si>
  <si>
    <t>I</t>
  </si>
  <si>
    <t>PUE</t>
  </si>
  <si>
    <t>CmekJhEYKwVxwvtP1U2HnTPTppXs9dy9np7x1OAsJyrYk6CeDw7mYoJwhW3+JkRRkbf54I+7ESP4Ghz5U8pg6Dx5RblrVp5A+kPewV9WRObGlyoaorOaRDPk8YJK3yWMFFk7Uk3VvnsNS3v2Omj/amT3bmCP1Qxd58TTNlGmZS18Bgg1ecv971MbSu7zYOD5Y8bMbrl/hIggxvE/TwYUctm2vpYePZzdW7ARgMc4w4FxlYoaA7EZWR9ll1MPQmxU7GXnsK76ZI0aKun0684iWNb69Ux9v/o+sWmzfZmEDRwYh1p5dvkt6YSHrMjvzbQY7HPJWk6KcJ3Qo1E+WjlpNA==</t>
  </si>
  <si>
    <t>MIIGIjCCBAqgAwIBAgIUMDAwMDEwMDAwMDA3MDgzODk5NTcwDQYJKoZIhvcNAQELBQAwggGVMTUwMwYDVQQDDCxBQyBERUwgU0VSVklDSU8gREUgQURNSU5JU1RSQUNJT04gVFJJQlVUQVJJQTEuMCwGA1UECgwlU0VSVklDSU8gREUgQURNSU5JU1RSQUNJT04gVFJJQlVUQVJJQTEaMBgGA1UECwwRU0FULUlFUyBBdXRob3JpdHkxMjAwBgkqhkiG9w0BCQEWI3NlcnZpY2lvc2FsY29udHJpYnV5ZW50ZUBzYXQuZ29iLm14MSYwJAYDVQQJDB1Bdi4gSGlkYWxnbyA3NywgQ29sLiBHdWVycmVybzEOMAwGA1UEEQwFMDYzMDAxCzAJBgNVBAYTAk1YMQ0wCwYDVQQIDARDRE1YMRMwEQYDVQQHDApDVUFVSFRFTU9DMRUwEwYDVQQtEwxTQVQ5NzA3MDFOTjMxXDBaBgkqhkiG9w0BCQITTXJlc3BvbnNhYmxlOiBBRE1JTklTVFJBQ0lPTiBDRU5UUkFMIERFIFNFUlZJQ0lPUyBUUklCVVRBUklPUyBBTCBDT05UUklCVVlFTlRFMB4XDTI0MDcwMjIzMjAzNFoXDTI4MDcwMjIzMjAzNFowgd8xJDAiBgNVBAMTG0FHRU5DSUEgQURVQU5BTCBCQUpBIFNPTiBTQzEkMCIGA1UEKRMbQUdFTkNJQSBBRFVBTkFMIEJBSkEgU09OIFNDMSQwIgYDVQQKExtBR0VOQ0lBIEFEVUFOQUwgQkFKQSBTT04gU0MxJTAjBgNVBC0THEFBQjE2MDMyMjhLMSAvIFNVVkI3MzA1MjNMRzcxHjAcBgNVBAUTFSAvIFNVVkI3MzA1MjNIQkNTTE4wMjEkMCIGA1UECxMbQUdFTkNJQSBBRFVBTkFMIEJBSkEgU09OIFNDMIIBIjANBgkqhkiG9w0BAQEFAAOCAQ8AMIIBCgKCAQEAvAG8MW4Cs9lM+0qEhT14rw1ZNTF5Hhdl6Ta5L+4NsvUb8xQ0leRPegIH8GDRY6qAz5uxOP34dtNZTP7GbVjQLabboN5Dg/zx2RL5JF8ymcDq/F0cQmDCFKuvxU+e+0cUqWdxPH5MLAt5PYg1mtPqy49SU0WUKDvceTuQnfBcFRZNCsD7d4rZBwI/HvC0aevPr8Bar99UAUvYFfkDCTZ6S/+FETTc7nsgroJ52EersfEowjl16S+WepM3pf2x5Q5DD7Wbf6IY49r4IQLrb7NMr6+O/aUlrcVuXDFhLJj5Hw9iEMnsDphefx4JrtSP2Y+p8dImGiniToSDeo9PTme3HQIDAQABox0wGzAMBgNVHRMBAf8EAjAAMAsGA1UdDwQEAwIGwDANBgkqhkiG9w0BAQsFAAOCAgEARjRW+S0031knqNQ3VIzZ8HsANU3D/97KGmlGDK0pVMp2mB+NHOFTqa3QFdcKvT0pSI8cEJimaivGh0iqsG9Z52eqUUKXj/GVRNu/xBEuOasTMXThkVUswD4Gwt8XjWVXSLNcOhDkcG+RVtXDS5Sab8rctM1d0XrhHeJ6bnVq6wCknQOqWtT5P98w4RvO4UUjrDBSNtt6iChoLCKxxLboyk4+CdNvXKLbkfrcfZ8IVo4Sy2aZwmC4vrGbaT325Qvko/FEq33d5rg0celAFM3U6OtGSC5L7Cn6uAx5zBaLMQeQjdFz+ulA6YwQJq0OvnxPhk7gulv+0y6yBA6hQA9Ng09sHAJW2iXaUTmTPqiVMS/6FctlFNfP4eYZ80abFxbn6zb4MnNiJKXgOaMw71LuX2h5N+4PqCfqpu76b9WsjBdBErQymxHP/CPIlbi0C5OaiKEJhl8D6laJaqdRMlhTb+PeqiUwdS/7xF6Lk8HeE3MKGiaZKRV9miq8JWb8OTHpG84J6zNpZtd9Vllp+cadiPYSfKPpqXyNJtzafeJNd23ztOGiDaO8HfgGOW/Ly60Nq7EPw9Kj8CtvTDIrdWwWU6kKuVXaa5KXXo4mc5Fa9HlyX2rGaCHQjvzoQAZhLXdUaEpQxBm0PJR9cwrXaOG1t+aTQB0ZVwEVBMpp83KWrI8=</t>
  </si>
  <si>
    <t>4debc04a-3922-42e7-99be-ff6758978c76.xml</t>
  </si>
  <si>
    <t>5227</t>
  </si>
  <si>
    <t>m9+AGBOSa4Jg4g5GVu8G/bM1EogR91WouTir/kVa1fGjdW3r+djTi54Fho1rbohEPS+1F7oSKDwNNY1c+Mg8cm67kWOb/INmEMrm5HcHL+TDttJmRC7SaX/UT37pN9Rq4tdPNY63hb0wmq+8v9N6OxFG+0C5N/zGy6fx2Log1GduBmbRgBdOA5A5yFs+QqkCbcTG2Nh3wk3SkDoNaWoIkJkGOdaHwzMbP58IH2yEVFcHx5VBAaoUzSwdIz4yb+elj2EaCqenwiMJN0kuXq7GIrU4nBIH3BXG3f905Wx1UIvstRs5VTITTneo41tktDa1JUrETV7u+u9sg5ZDo33zLQ==</t>
  </si>
  <si>
    <t>6908a8ea-03b4-4996-981e-1dd9b5ad680a.xml</t>
  </si>
  <si>
    <t>5226</t>
  </si>
  <si>
    <t>QBPo39/m4qUcTNPd7Fmm89kEwvjHXSvphAQ71ZvW9ZgIE5HIJAkvuPz6QAUmRie4YD8vfDKKbWnXHfqSnwy2J9XURnMg/tgUsj/yXSpTVLqjf6Kn7Mtkqh5l9ZvKcl3iCHskieIaGiVx+3/0bbAiCtLVKl1ZJF7LuRdKl4JQol3yyY1jlJeLHlMod49UgB+W9ykCrgCGY65qQ6OINpYBwtjJwI/4aGFFf1bHv8VFDR80lidsC7l9CO6Ya4FDERU9ieS+4uolgbrSyKrMZ/B+KKVg3QB0Vn6BSAcQFxGCwVJzCGDL3xc5wUFSXaWW2E4pXQx4oyE9DycuGGempP58+A==</t>
  </si>
  <si>
    <t>a06f1e59-8a33-4cb2-b4ef-0ac592cb44af.xml</t>
  </si>
  <si>
    <t>5232</t>
  </si>
  <si>
    <t>iWvicT1Jn9xAkQ1nDvBqnUkkVYObyyWQsbI/Wo0OjeMQFhf2IpLW0db6J5k13ccGPxiUCA3emdI4leIrKCTL9oP4/wvA04NeBOsmOa9iFo/8+La76xSpiKDp5O7MoezxyuKP3F37x3miB04sSALuN/q/yChsNvg44MDBM0GHmrlIhlTeac6IjsmSh+E05X4K47saAAZLN7n0qANQp1PIdHGttjFEGbHBdQ3TtDFXb8RXEEztypsS2FcJhWvdGBQh/QzbVYtDenONAaCki4my6/XfA3UPsnecG8muuL39lwYfNVOQk4mYNWIYuW1fFj1OeuzCjS6/Aa5MuRn3jfH3jQ==</t>
  </si>
  <si>
    <t>32011 MAGNA</t>
  </si>
  <si>
    <t>c32580e0-8b66-49db-8a97-eb71465b1009.xml</t>
  </si>
  <si>
    <t>5233</t>
  </si>
  <si>
    <t>IZydxb5qA6y0KugtylHL8SHeoibqTyfVw7MXgVwich5J3wFFo/jTk4bwHTGpRxLUXv74baMIihlzw0x6J2oZoI1vr0+tAG6qWdnBEYZbvAcD5Mh++PUElwg+X0xPFvsAlXKkklYHdaQjfQaFjy0B3Kq0y5zyUf4UEWxKs9/TWF9T2jNJV+bMYmleaV5uiX+WxGeJFDhmk4HSoTE3+T1yCGe3unJuh2zQH3FS3Pm1tGNcJ/hnubOxdvNEC+tb+qp5mT7PQ0Iq2hhm0cqMKCd0aRX85Dz5I9Ug3ipv5tsmQ4t3rsarZFzstBuKE+f+NksdLL4kD6IAA+WmDY0el0ETlg==</t>
  </si>
  <si>
    <t>041068be-9055-11f1-bee5-eb83ffc70b68.xml</t>
  </si>
  <si>
    <t>ALMANZA VILLARREAL AGENCIA ADUANAL</t>
  </si>
  <si>
    <t>349570</t>
  </si>
  <si>
    <t>APzDkar4RiV+Vfr90JCT4wVvjbIkrDrgR3VeC9h0zTAeGQf/gf6eDnn7GYRZnvPChKajgSHkra4oBCp4Kmb5Hp3rT8coHJtHVqhnZ25MhN0TasLCSUHbbUr9VD5rtrin/9BhY+Z4TX6vGJ9QKxWsgk1BoJRNu8DAx2mUQAkRRQpFuUoz11ekH0n8XAeXtvn0jDD7aX4EMeiH3IvjoBM3L1P+kmBLBsWLFve6O1oiF6ONd8pEoICgy0qB64M1SeZVCpWyNvYK1Go5bLciGXXd05eUmwEbsETcPLDlLOE/6qKbtEo1H6HgD5TXsYhD2I8qgDFJU3b9I+wHTd23V7WBdw==</t>
  </si>
  <si>
    <t>MIIGLDCCBBSgAwIBAgIUMDAwMDEwMDAwMDA3MTE2Mzc1NDkwDQYJKoZIhvcNAQELBQAwggGVMTUwMwYDVQQDDCxBQyBERUwgU0VSVklDSU8gREUgQURNSU5JU1RSQUNJT04gVFJJQlVUQVJJQTEuMCwGA1UECgwlU0VSVklDSU8gREUgQURNSU5JU1RSQUNJT04gVFJJQlVUQVJJQTEaMBgGA1UECwwRU0FULUlFUyBBdXRob3JpdHkxMjAwBgkqhkiG9w0BCQEWI3NlcnZpY2lvc2FsY29udHJpYnV5ZW50ZUBzYXQuZ29iLm14MSYwJAYDVQQJDB1Bdi4gSGlkYWxnbyA3NywgQ29sLiBHdWVycmVybzEOMAwGA1UEEQwFMDYzMDAxCzAJBgNVBAYTAk1YMQ0wCwYDVQQIDARDRE1YMRMwEQYDVQQHDApDVUFVSFRFTU9DMRUwEwYDVQQtEwxTQVQ5NzA3MDFOTjMxXDBaBgkqhkiG9w0BCQITTXJlc3BvbnNhYmxlOiBBRE1JTklTVFJBQ0lPTiBDRU5UUkFMIERFIFNFUlZJQ0lPUyBUUklCVVRBUklPUyBBTCBDT05UUklCVVlFTlRFMB4XDTI0MTEyNTIyNDQwNFoXDTI4MTEyNTIyNDQwNFowgekxLjAsBgNVBAMTJUFMTUFOWkEgVklMTEFSUkVBTCBBR0VOQ0lBIEFEVUFOQUwgU0MxLjAsBgNVBCkTJUFMTUFOWkEgVklMTEFSUkVBTCBBR0VOQ0lBIEFEVUFOQUwgU0MxLjAsBgNVBAoTJUFMTUFOWkEgVklMTEFSUkVBTCBBR0VOQ0lBIEFEVUFOQUwgU0MxJTAjBgNVBC0THEFWQTk1MDcyMUw4MCAvIFBFRkE2MDExMTc1VDAxHjAcBgNVBAUTFSAvIFBFRkE2MDExMTdNTkxSTE4wODEQMA4GA1UECxMHUkVZTk9TQTCCASIwDQYJKoZIhvcNAQEBBQADggEPADCCAQoCggEBAL+0vq5F4QzJb0h+J2HMGuQlzkumxuo/2eqaXRdqui9xS/hwsUO0/sgBagdnmcpruMIX+EGXnzzQGlGQmo779xclWQGPs/68u+roF39aFFcQAnbUtHKQmfVyrZXS+BHyYVP5dj/0EF9FjfXj2KkbxFh++WHp2HX6fLOu13cFn8s6k/DA7qjNxWb/OMkAAXFOp66Ln0KsWFF3zCnOlg+jMkaQXL6THHlwuSumFSCzbzhrwloaWDlHIfrfbVBAjfRL3Ns9+IB/0dpUmMZ579fEhx21hecT+HN2XmV7dXe2J3+iXWcGEI7Chswc5HbldbOihyTACU4yM7gbmCtYIxn0HgsCAwEAAaMdMBswDAYDVR0TAQH/BAIwADALBgNVHQ8EBAMCBsAwDQYJKoZIhvcNAQELBQADggIBALDXFcX9KOIKcOtWKZJyqdqj51X/AZnziXe7SGUboJ/oQytMF/r67K8HpcTZ8WWRU0UKia5laARmr5rDzfFjp7f8DB1CYYDWEpsZT7xAUDufRc6Jz6r5xpgSrTfc+u10Y1ywzXorfCfE7m8ko8TmiTBU9OHJv98aR+TeVH08hrrJKiSMT0NOeTez3DNXVtGPa56nHNmttcAhlYSvSCz+cUU6/5H51W/WM2q0FjFwg+9T/Y4smIOFdOllOESnPGvBm99SWhlSgMujzzLst92V8NzpnajND4DQ/ON0OWo1rnOVXNALHmjYnEBEFZKWoCJWywtkrk0LGaIJ7xUesaXjZy8iQX6/l3bfr1Zh2rmEAiAmgK+c7wOgF5E+lv1VKOqPEF5HqhaZdNjuh+Yygr+eRUdehmeefRP8E1TxouatuGbHwzfE6oOrvNGhgzLt/xb1BH//hgBgz0sfiwyRSdkCyvEnszGp0v9UDdDVIsVU7iZaR9aXnOJ+bp0RY0icheZAYJn8OtNfnFeH8udNvnTd4t/r1B773NKE9F1XcJM7K2wEfc8rO9o0l8Klsx+orp87TadKDnn0b5UZL7I7spwJhn0O21ifnV8LliChmO/8G4DQ0h3aLaDCX0D9gzlvUEim9eJ56n/0U+IxSHIXavlwrJh1NDqjp5XMq7PhxVljkuzP</t>
  </si>
  <si>
    <t>249e9daf-a264-11f1-96d4-c7519918643c.xml</t>
  </si>
  <si>
    <t>353483</t>
  </si>
  <si>
    <t>RyqNFrPH8KCli9m8bGAujW3veHPrcSDiLZ7jyEZLbVSvqCl5lO3Wm8JlWTzMgLMO1Rd+b5kWUE/FYCe8Qz2MSGItKdxlEHP84NW/Gpx6FJJTfsS3IhnpIOgCSszjQUVc0GrucGhsMv2QSX2lW5BdwH3JLRDTZk4sX/P9399axti1eCrtVa5dY02mknexlRhbk6OV5GXqI1lhOWcPQsI5llgXhOW0e7apO4KyfeLFuGqPTQGh0bj/KcwS4S7kaA6NXmyxVHR2+YNF5h2wpxBI191IJSNLpcluZ9Qzhz4dwPciYR+VHE40oGJxtsn9rApzyD3WXULM1H4RY/2qLJhRfw==</t>
  </si>
  <si>
    <t>02dad5ea-e89b-4267-b1f4-b0dc8f36198e.xml</t>
  </si>
  <si>
    <t>DOCUMENTADORES ADUANALES DEL PACIFICO</t>
  </si>
  <si>
    <t>244737</t>
  </si>
  <si>
    <t>DAP</t>
  </si>
  <si>
    <t>PPD</t>
  </si>
  <si>
    <t>G3wrXoXOkhphhUSyMFLr7V8va7/MUpV5G8G9nxu2MGRy+lN83wXpsgTrHMJswn4Ru87BHDaGouAU7KaEAx807b90OOGQKoXlI8vbiRTCctwftBnHmZfw08g/niEYHVf/FlzxljKxFeJNUtKK2TNcvO2+pR7WpDSGNRo2XNhCo8xy5oMVaurXGDSoIT5zbdkLgqmi8CclQPz6HO4uOzKwW26nATyqCB81MAy0rBSSAplyp5Ik6UgRi7CqLMjmvWaaPlpZed7vbJl5CAoYXmb/z1an0B2MUNhuBr0yorxe7441Pjf+wcbLRhB/nO8iG/FTJupTovAGi+Ht6/U0DZIIWw==</t>
  </si>
  <si>
    <t>MIIGVDCCBDygAwIBAgIUMDAwMDEwMDAwMDA3MTg2MzgwNjkwDQYJKoZIhvcNAQELBQAwggGVMTUwMwYDVQQDDCxBQyBERUwgU0VSVklDSU8gREUgQURNSU5JU1RSQUNJT04gVFJJQlVUQVJJQTEuMCwGA1UECgwlU0VSVklDSU8gREUgQURNSU5JU1RSQUNJT04gVFJJQlVUQVJJQTEaMBgGA1UECwwRU0FULUlFUyBBdXRob3JpdHkxMjAwBgkqhkiG9w0BCQEWI3NlcnZpY2lvc2FsY29udHJpYnV5ZW50ZUBzYXQuZ29iLm14MSYwJAYDVQQJDB1Bdi4gSGlkYWxnbyA3NywgQ29sLiBHdWVycmVybzEOMAwGA1UEEQwFMDYzMDAxCzAJBgNVBAYTAk1YMQ0wCwYDVQQIDARDRE1YMRMwEQYDVQQHDApDVUFVSFRFTU9DMRUwEwYDVQQtEwxTQVQ5NzA3MDFOTjMxXDBaBgkqhkiG9w0BCQITTXJlc3BvbnNhYmxlOiBBRE1JTklTVFJBQ0lPTiBDRU5UUkFMIERFIFNFUlZJQ0lPUyBUUklCVVRBUklPUyBBTCBDT05UUklCVVlFTlRFMB4XDTI1MDkwNTE3MTQxM1oXDTI5MDkwNTE3MTQxM1owggEQMTEwLwYDVQQDEyhET0NVTUVOVEFET1JFUyBBRFVBTkFMRVMgREVMIFBBQ0lGSUNPIFNDMTEwLwYDVQQpEyhET0NVTUVOVEFET1JFUyBBRFVBTkFMRVMgREVMIFBBQ0lGSUNPIFNDMTEwLwYDVQQKEyhET0NVTUVOVEFET1JFUyBBRFVBTkFMRVMgREVMIFBBQ0lGSUNPIFNDMSUwIwYDVQQtExxEQVAwMjAyMDdCMzkgLyBDVVZNODIwMjE4SDkzMR4wHAYDVQQFExUgLyBDVVZNODIwMjE4SENNUlpSMDMxLjAsBgNVBAsTJURPQ1VNRU5UQURPUkVTIEFEVUFOQUxFUyBERUwgUEFDSUZJQ08wggEiMA0GCSqGSIb3DQEBAQUAA4IBDwAwggEKAoIBAQCMMEkkOxNW0RDTQygGon+tMrEVhals68JuNJBPc5ChLHz692H1EIqZUs3NzI5CA0ck9upKlaTnWzSLCw9oMDS9+dadzwDVZKBzEF1xaKvxbN2bkv/pc312qpTEKNA8Y3Bc9uTonk717nRj0C5978psOJPrkV4r8zo7XODjKS5xkqJ5I6fUtpostywaRnBHcpzIvXsMSSHz/6ngMfxsTORAWBsHyxmcmfF9K4vKfC484Sl8LeN/ydV4ejs8raqwIdRh0VsL52BEdqmSvnxn/HzPLKKF6ZJh1Rvzg1Xn7zQLqRsekr2MzmmhHJMlLCwYq2/RfWyyjxAp2o6R5ybkCKQBAgMBAAGjHTAbMAwGA1UdEwEB/wQCMAAwCwYDVR0PBAQDAgbAMA0GCSqGSIb3DQEBCwUAA4ICAQCOg8fwzoZOVgkMf5BxH3tbq0C1uwBwtQAwM42eXYzKFOuniFYQPMmaDGMcfmfBlBOSyUrcndXZAt6H+BVZM4p8qgXTP/tTeqwJyTzneLzJcpIJybrkwheuncAHy5+eoHowFxyGbIFmmUWe6XRfz1UN1XR9y8v1AGHI2F+6+Ds453sOvZf1nyuPIADtsezLz0te/pfIMwDFwEMx3Q5rrKSf5C27ByBNvKvaSQql+loMbUG6wVaSjLzZP0EjPPX2pW6LVjDNUa+2vkBCaJrJFrC72FPBmy2wh8s4Tv32p2H2wVIj/0sZ3Y24bJ5rhc6AUED9K6D5h3Af8zzlFu0fnaKqnAZ7x0uKW9aPXZrlKyzLK8TU2jTBVVb5rcgaThQ8HmpMOsUr6/3M8Dlj1gCNuTkQhDWHgKNvYKOhPyRz7Ry4oBl/ctv2ZPLkDlILO8IglleOc++eK63SAeO0RPvCM6LyaLrVLlxOdbLWjWJxPxYMXqaMtcovY5z+ZFUs9E8djmwhR56SS+VF8Qt7lU26YhozEN9vyzNaiNlgIXFqPLpJyrLrPu676KF0xhOvJSZpAdWmlOxFycTfFI1QXw+QVM24JMhzL1CJgF6OFniLlx4HQAalUJgdK5/WARxq2k1qux9NJYE5ChlqvPbZFuu+a+riKUjRrYwmbCICrMpsN9W6cA==</t>
  </si>
  <si>
    <t>03969806-d4e1-460b-ab48-41ee37e704d5.xml</t>
  </si>
  <si>
    <t>60223</t>
  </si>
  <si>
    <t>DAL</t>
  </si>
  <si>
    <t>PYgmWD/pLPAoBlUGvZE3A0bR8ytlHX2zoMFa4/G6SZzXM0htUasBtzuEuu2IQSptIxp/UZg/tdRq8KfQuNfbKTErUgiHEqn/boxjwloc17pS+Cycdr2gnsyNUxjs0Rieui6NWrmLkgxRCWu3H3bLDw9BMAupKzZJVyi/ml+yKkDYF7T4Sq30N0vb+uHMINxj2G1V4+nV0h0v49wNYhZPVPRXShzdH3Ny3jclUykpfMQXapkbyFXSNv45EEvNzrXv9hyWjvfWCtoDLHR81XWDJhyEa6LXDpIMq8Zufc5BSu5+77P4yFt+APrsHui/a16PSRemkFDXbD0c2RR7LFrQzQ==</t>
  </si>
  <si>
    <t>132655b0-96e3-493b-8643-11d75eac447f.xml</t>
  </si>
  <si>
    <t>244597</t>
  </si>
  <si>
    <t>Gmuuv8ubwEadp5bUrVUSxtmnWhbmXAu5DxsKa/iMjuJMUCi73WElHSX/fmM2s6OSW1VuMQqzSGKqLIMB2P3wur4Y/iEBeb2Guym1Hf2A2ua9NpQMPJH6oRGq6ayQuLDFMCsvUrAOmJ52qoPSv1M+pBdBtEWjIx2qQ28Z0/2wSTxXCYyOVB394jEscq8ZWwT6qqTodCCb+b6BZfGPxpNMUAfZ8l4GAALiWx60zad8EQqeoqvwH/nh9IoG7v8yxi99Ze/XS8ewM+wc3hJXwV9zC35pPCOEZ6mUk7qBoq6UbhFuvsLJZ6rrbH26MLdIsmIBW3psbxlCw8qe8zN2R+m2qg==</t>
  </si>
  <si>
    <t>18c265a5-3a03-462c-9173-c29a2c3ebfbd.xml</t>
  </si>
  <si>
    <t>60307</t>
  </si>
  <si>
    <t>WzQYpd+3SVsDTC3Vg6wt5qZ1/GxTF0nsFm4GWDWZ/fqDMIUqv1aLLsi5g8feqm6yoYTcnNOeEwZct1kuz/0od4sxQQL3/xEhGn3i/P2gmEMv3ppp7NLvGk8g2+B9ELetxSSq933hSyBT+vNZYEdg1i6SfGh5MyOZUmmPeDB+Bk46d+jiR6jUPNt9+eHuuFUT/opXURDqqY4VwuU8LnA/ESmxFhWnzpWUiXYtQpEAf1aaMwlXuwp+X5LaOeBUy6vzBGPnH6uxNGBsfcBaVMCNDbeXlbRQM9eK1PYeIjHuH+kItaJapMGK2ECH2UHuwXFb1rAiy6nLAP3yltDB9lrOVw==</t>
  </si>
  <si>
    <t>22c9bd5f-c9aa-47e0-ac39-ad99ea8296dd.xml</t>
  </si>
  <si>
    <t>244734</t>
  </si>
  <si>
    <t>JdHzwwaKjwQ668PuR/7GNYiC7cb6/f6mL+77byn9BcQ0zTIhKVXr19dbgQMhgswzZF1MJFtIfL0EdRfJXi6nabSUtcKtlTVVWX3p6z3pzc9mZBTkmEBajPH2WeMzns1r5QM+b2izh2Gn5I2XOcZ2gTG6oFOcO1EC8Wmv0jD21K7lMM0v5DH+YyPZ+MyceN6SoA4LJvYQ1z6bJeXgmFiRY+7dPBqA9ivBh9wpHQDaM+klIzhWunUBcRA8BIHl8YGAqnnm7JLiZ5tVShwZ4dyqH78yeMDrijCm45VhUWINqiAtoLHLym3hjIPTIFyxdSyWjyXFNHJe4+fulKFXrwkwrw==</t>
  </si>
  <si>
    <t>23f82c75-43a0-4863-9e3d-6d6ff7fb5702.xml</t>
  </si>
  <si>
    <t>245570</t>
  </si>
  <si>
    <t>bT4P/HNaFbZ6KyYEc6ODUkPFg8XwcC288WnxpYthywUiAM4NzlB0v1v4GiRUhVdODx73LO4DtE67Nlqigiz98K6RBPdomgsVvmw2xhJAZ3Qm1mQTpQyIQMiv1HBh1wmfU96ZTZMLjI8Y9yiVw0KeSO+K39hbdQxz8ddEzgI1m5NZY6BLbGGjxQrvmIbRUxwQdjPCnNlD+EQOJvYalkwKorvYiEkhLqYerwhsvOeTduiKn6Rt0Zgea/quCDI6764vJUIOkOvdS0fNOFYibSzopSKkgrKsJ8N4KexduC8d95uJ0WBIOzzZOYhprOePAw87IaYcnDkedMl/F0BTbvABcA==</t>
  </si>
  <si>
    <t>2ac49a8e-8a5a-47cc-8163-f5d0978fddb3.xml</t>
  </si>
  <si>
    <t>POINTER RECUPERACION DE MEXICO</t>
  </si>
  <si>
    <t>245485</t>
  </si>
  <si>
    <t>JMA6000216</t>
  </si>
  <si>
    <t>Vg4Su1y71HbP6axVTtIJoBatWpfhRmkzd7cjis/IH3xtABpr2iwxPhGJlOP9OTDrxTrcQWF21lYRteQHyYx47hy9qjwj0s5WqI42kkwXB6keujid4vSg9w2oi8zEtCUgkbHhZSuUxJzbTELniD2fwtYSg+G+6E12ZIafHg2jc7y1BdK9K5otLFRJoCATW/+zflcGkyQhbO8VFI5BSHxJiT/OUadB6LHhM9tWE/3XP0KmVl0ce/5YtiQVD3i1l7j+fjVNJkKKwNAwaBIIi2kWuKPwBNTZak+sguItG+DYp0nYTS0Jgku1Btg3rCeJtXR+DrUhA3FLIt2HS+il3VnBOA==</t>
  </si>
  <si>
    <t>2b6eab05-8d79-4dda-ad19-945fe924ec45.xml</t>
  </si>
  <si>
    <t>244975</t>
  </si>
  <si>
    <t>OkqPyQKT4M8wfIgYyzIJ6r38+9SWTlNM1rN7XzM7rXeVV71GWTO/H0cQf9PlQoOFE1F+NghZfqEPgzcNLSfygXNY+ncEcYZf9zodJ7kpd02TUUm/hBefOFIzNNWgjLs16N10qegIpRWjK0wT/wkhJSOsj31bQCqN3VrHvgieEKQkDA/aHERVdx93BkdQ9pHCuoyoXlNstOivgwJVUJkXA30DN/zkey3k79tCUAUr8zfY4Wo4hQ2g8oaD8SF7ca+an7w486V6BGvCltwWOioDANYNwjUeXdBhB+8ewO8r02SzYp7l1X6wVV6n6gAdNQxetSrZkrDd8tbUZYf8DD3p9w==</t>
  </si>
  <si>
    <t>LOGISTICA AA</t>
  </si>
  <si>
    <t>31d8b4f2-a418-47a5-992a-3e375c6a2321.xml</t>
  </si>
  <si>
    <t>60475</t>
  </si>
  <si>
    <t>SPmMDa4n8LBI7PwO/P9+zGEH2w5JuoYRJUTfEuHiKE6Prj2VVSQRMPeLIr3jhBLisAy0xSx46AXSdyS/h8xqKIytTra90KrglOrGDyyvH/rWJxubiLqw13wPioiTVmj+ZHZF9biP3i1wjs0BX+COQCymD+bzVtEIUdc67OdZe9E+UdzYZLW+ocDOb+07Ze+xSDj+9uEvYUClXcarfT4fPEVuhyuax3ZFZqs7J5lHk8aFRoo3GAx2Im8nehyO87t75URfsYX6Umfqga8+nSH6FMyX6P2X7BJiRLGyIDkw/buqe7maVQnnEMuF9yQ0HCUebxZSllSzoBE1m7l/4NWQjQ==</t>
  </si>
  <si>
    <t>456a9b12-5a7f-4211-a196-95e8c3b74c7d.xml</t>
  </si>
  <si>
    <t>30</t>
  </si>
  <si>
    <t>202608</t>
  </si>
  <si>
    <t>XXX</t>
  </si>
  <si>
    <t>TQkiHJ66PAZ3/1mg0SBIdX0yvwsLqt0gRR/7oOe02JMkDJLqB7P5DAdGKXvPgQVIH2m7MaX8sI/5ZNMWT5zzsK30s8efErdT4tzNnkbiKzqvdX5kQnByJdpWXdMKlOxws2oV6E34lXTmq6oOXVdF4YNNqHvTZWSnDE9yyPxZ6xk3S3YkYfUN1lz+V4vTbqGO4BHkOmsT0mHFRs+AlpjGcZIOhR7mAIl3J+kbAMJWBEe31zf13DiSu2n8oRKql5XMdM653WmJbViamwtyCK803eJrHQhs1KnVq85NcOHa/xggcxrEWdttwsoaiN92v0wtWlJFtIIIIoDcTRi1UQvbBA==</t>
  </si>
  <si>
    <t>45a7a496-9cfc-4356-bfb0-37c0ac067ec8.xml</t>
  </si>
  <si>
    <t>60043</t>
  </si>
  <si>
    <t>OBMSoZTX8EbEosb0z+wnp9gvLzQY9Wxb4wTqIjT9Egdk0HmT6fynzssTU0TqPLXpgaMIxDNSlBY+hnOj/1LcfdX4YMuZ/qPE/pNaqPvJ4Beh/vPyfJWY8ouCJFDsCJPMaPl4XoZA6MOk00QJ9CGlscF+inNY4snkKVmtkBe4sgCUBhnN99UTI/jbKI3eNMTItMkmUqE2hMK8kVr1z8iF7nj5DcaaoIuL7sHg+4URakQWP8UwSp4tCymLRX/qUGC2D+4BeC6mqXT7uzShRFgyzT+xXl6XExKF/3xcbcCABTNj1dZG9KhGSQoynJMisGoLzDJjJqCprBat6Urn2rIW/Q==</t>
  </si>
  <si>
    <t>4eee6a3c-58aa-4c1f-9a40-67257c3c2068.xml</t>
  </si>
  <si>
    <t>244982</t>
  </si>
  <si>
    <t>Y3WcKSwY6P8eIqI+lT7WA+L19dkRwT+8aGTrUjK+Qs0cKlQmkBX7Fp1bA0cFVZeVFBdax4R1uVb4e6S/FdJy+ecOFBU3Lpg11Sl6K8/loVFu0PvZekwwHxIBoIphOo1krgU1pVlUo/SSI16+UKvBbrEuXQBOac8DIR93HalgiswLQ9h8ZDdkEhyGE0IowXoPrUNdRQYIdWXBOLiJLnNDNm9Q7D/A1rHAFj2l/lnCTv61v0/2eoutkxqyWqwD+feQvXaGGxJJp3m0ZpU/ftLjStOXJV4z+ZIhLXs0BxD12NLDgUcfwcfClfCO5+6n4F7hP5z9aAtHX0u7L0hUKieMJg==</t>
  </si>
  <si>
    <t>5c7b3e33-9d46-4d38-bcf3-5644378e77a9.xml</t>
  </si>
  <si>
    <t>60457</t>
  </si>
  <si>
    <t>dB5b/VZPvmfqnngl/UnT13BIDHxZIwQynyLFbbiuGALlMaAhhxS3GH856IE7c2BWh+swUk7zq+SGNWyj04Q/Wziw7G8au9T3VR2piua7zuC0CVtaJwyTSwyD1fO/TI7xndISME/i9QGLJHMeq1S7YDUag/JzYVoBqDzgKWQpPtHOOsG4KeC/B5H7J1V2WEiaAKcoQflR76OmYu+FIlAR0p7TccCdEQpo1DLHpqW5Zzh4PQtGhUId2nLn7Xjb0suspS2KG0qs7ymeoIMJ5MGuoZA2BgvVzW8g08Ih5tkO5BD5kii+T6lFt29/JcgMVAYHJCkOEUm0Vf0NJ78Fxid3rg==</t>
  </si>
  <si>
    <t>34006 DIESEL</t>
  </si>
  <si>
    <t>65d55777-29cd-4825-9b49-160fe7955edf.xml</t>
  </si>
  <si>
    <t>ENVASES PUROS INTERNATIONAL DE MEXICO</t>
  </si>
  <si>
    <t>245567</t>
  </si>
  <si>
    <t>JML6000216</t>
  </si>
  <si>
    <t>MNTt58zXEi/Ln7HSBdLDkLXCkSfn+48cLGB2V7pNbFbZwdlICfnruQch3ehl6rg9fUjRd+zLzPKT2uliUppENXrSV9zrca0kWkbYMco8FznmxAfwnBtEaTZjzE1u8J+lN4as+JMCIEhMfH+u0Weudmq1SAiSvn43o1+uJllLrP7CCrlsIVxfqAbYBZBt1t60pmvg4P6L2ZKv2nu913HKblJawoWicldL6P0/rlrlG5ozEQX/cO2Wt+TmUi9TwxkR11UMUwm+C9r2vRmsuhYmhzS5N31q8fe3MQG9QZwU994Im1wz40Tc1cp5Nihr4wrM+1iNLufWmhlEySEa7HiO2A==</t>
  </si>
  <si>
    <t>67e9bd58-8d25-4b5c-86cf-8543bba340e0.xml</t>
  </si>
  <si>
    <t>245486</t>
  </si>
  <si>
    <t>JQYdBJrveIDG56yfgOWYMJg7F1lcJ3vfM2/u/V3xs/eLVlBcPQY4BDFIzpNzkSXgaPtnEyX+b/EtpXdwuv4lRytwdTbEuKWvkEd2HuWmiRthrv2Cxdv/JTHCkCSAP6tyzv6XgsTXP+r7c00oGaBm4xfR/yxG3O7z8GdSWDjrvTBMa3QA4+hOW0kgMlgQUWlzcHpRREJIxOYg95U11syO6xAwIiBp4ETBft9gCpo3VuqEtSI0iVAUzjoswsh32hl+sBlfSbz7cExJg9r15PP9Wul47vPEJN2yFwMXXPRsG5CYlc0mb4sQhw2qiIse6wuuG5IXzzAohzlQfFIiExJPgA==</t>
  </si>
  <si>
    <t>6c740382-247c-4a64-92f3-97303d78a0dd.xml</t>
  </si>
  <si>
    <t>60147</t>
  </si>
  <si>
    <t>BMSDSFuNhlanf05T6aqDaMMimKOJwXLY+la0mRLkcKIA4dlHb29HP3F7EUcHQ0r2LKqJURIpPXABzKWlOB15yRB/MC5YOFXCSYkrDePnBQPA+pj1B+dGw1WjhG3KAZuBnc4SBtbi326OQF8S9nV10ZqqrVNPrQ2qOeejEkGzfgJHsX28oMdqF4lTUH1v5a7ElTvHHDRhPyh3moQO2/ScSoT5fKkzdOB9xdZbuteZfatRpHyuVmjJavDTWlOTsegFGJG6auBRyGUkt6XRHMf9TAG5DE7zHs2Ukn7TiMn+Ck+vvDZixVp/7iFmMv6V5kzhv2sYftgOIPjQtkv0ZVgaGg==</t>
  </si>
  <si>
    <t>6f937c5e-c56a-40a2-be7c-439eed80c061.xml</t>
  </si>
  <si>
    <t>244803</t>
  </si>
  <si>
    <t>fs3AeImMUcJjgHnraqatGz/NrWy69S8iR+1KVVNhTSB2DMqJ5RljlaHpngpZx5PW4Ciqh2zwsSKhZ3RxQ9gpjQKtpBHVzFJccm770QmsxsV0v7wVTroy8bDGeuBprm7dbGPTQQXazqLfvexQkWRLoj0B3PfDb9QgouyoxDe4MfaVMIBA0M33+01vmAdMjETPN1f35wVPfPGyECtjodvjrAH+GLHcG0ctXUteYi7ApdyvV9rQXbOMd8MBFQBU60AKcq+wvE2UTay66GB4ElrznrBndvKRhqM4j8EcVaqVwB5KCi5/2DUMpPPBEekG0izT5yHyanEInSJAkjCIO6xQ7g==</t>
  </si>
  <si>
    <t>755c3a78-e2cb-4612-a0cf-b9c6387ed855.xml</t>
  </si>
  <si>
    <t>245605</t>
  </si>
  <si>
    <t>DrDdVV4qqJ0j6nmYumupVGdnkW+EBwBJR2c0WsRgc1PDUJftnJ4WQGRSM9B638UoaFLlgGt5PY2aLXMDEZX3Iq5KvBwQCLn1p00V8WgA27RrEVZUVyztxlIU/rE95Dp6iASLH2JwY2p+hCTH5X55pECWJm08mODtYSTt8VHlX69mT6Rhrj8AKavmVRO/t7glWEoD3jZLmmgKVN4PoEsgoHlGXv+QCSyITIErWh5H2HGp3XIm0t2pKx7BWxqgpTP+xjGN6GIHD3x+wVcpxDSCkvFbCt3VhOXQrl0M/OXedX12E3E3r4XfDpFR5ht3TjQEteLkx++DxKHqsIr/sy0stA==</t>
  </si>
  <si>
    <t>778b58c3-96cd-4a4d-8849-b44c6b39fc4f.xml</t>
  </si>
  <si>
    <t>344</t>
  </si>
  <si>
    <t>CANCELACION DE IN BOND</t>
  </si>
  <si>
    <t>XKSZCgbRHG2BkXh2o9vjvB6fJBY9bcAgCpa0yTT5YL71jZt0xpxjAIKzJvo0WNv4/2ZAizb4PQCwA5MHvGzq1WcbyK1TJ4ewpsqrgfZMIaPvpaA7xL5s12uo7wrEC5XpDeA5rzYt95Fz6qeO4ArsuT9+VujAJojDQS6FvpsbSygh2J7/JLSEgsLvXNCki3gTDJ4lZwe4VnUsjOhfENDU9o/lOe6Fh2Hx2ZzZjNh0u8AO0W0GTFZ2BQOxzIpElhkWThf+NZwxciYUiW1ScwUewJwJDUugxpZuJOo6BLF5Pt8lwyz4qGG0+8LQUqBdLIeZjUwGqKDW1VQFZhY8mCbeYA==</t>
  </si>
  <si>
    <t>77ff032c-bf96-4f93-80cb-65c4a7469b06.xml</t>
  </si>
  <si>
    <t>245601</t>
  </si>
  <si>
    <t>ZSi2fuHW3RbkruYzS6Gxtg53pwoRuNgJJ+mCD0+TabJIWUlsZz5XnNpWWy3xB6DprIFGA4onuF4VgoxeE2ZfrVztkhxl2nDdr3Y+qeTgXZWJZb36eq33adVVnrA2zq07N6Wuj79qAuQpvlKCi7wdIJ4iVPlJ+r4JgWHHtdPhOeonG4TSq+paBxfoGuCVCqBuKL+f+IPc2947Wge0mXndQiOPZ3ctuUteY0CvIFdBgQrmbA+wLrMPy1KtMLk83D/6F2OTvjmIHkL9exv2YwjAlFNmiM1ZfjBtA5XFsJ7z4N77jMwdmc5BjVQUAw2GoAwn1S56Kmciy6wv/QPKcUQ0VQ==</t>
  </si>
  <si>
    <t>CMAI2606394</t>
  </si>
  <si>
    <t>890b183f-b585-4510-82f1-e105f6705ce1.xml</t>
  </si>
  <si>
    <t>245590</t>
  </si>
  <si>
    <t>NFIkImqxpOmjohJgHd8GzHJ/pXKO3V51oTVmBj3lyAr4uAbWAbjWnKokZD7K/RP/xwwZ/AXBjWS8Zi1TqavJTOLj8AZDgkubjtkUws5C3nipqanPLDt08Q6PNEGOSHlcKHDbCFiK7GOHDEr1yLoU2OVUMF2r308BhxQoiqTgnhWTCae6Fz6QNOYmpslJ7+Sku8Ge4Sviq/2Bq9DagZwggnpOs9PZTc+0BbT7b9IYgGgJTbylbzIZJloW+HCh6IpKvnfL3v+NXEBvZG7H0ENXonWq1UpZ6Cg4/fF3DZRChss2SoQDQWgEz0g4ZkqxK12lb8p+nak0e5ROfMQ/t0fyOQ==</t>
  </si>
  <si>
    <t>9222c9e0-e483-4fd9-a506-5f778f7808d2.xml</t>
  </si>
  <si>
    <t>245563</t>
  </si>
  <si>
    <t>CJMA6000227</t>
  </si>
  <si>
    <t>E2gy0oVnhwm32pLCKq170c9fVc7+sG9aVYleVPLRKOjf81Uh2xoTGEQ1aG+zlhh6pjR0XiEn9QXFvNIjwjaUt9SAAkrhXCZigpEXt5II+GjuAGF1MTGKihUG/lHtsDwSNzD6Fhz5Z5FhdyoAtsrmWaD8RfgkMS5umQPFs2fo6x86KX+mwu4QVTpFvqiq6MF7q+9ebc1rE0w3O4TfRk7qvpom4pKNjgu1mZuQGvmK/yhIlIPftN8plA72IuBgl3usX4Frr7OkV9UlR44hfsDNfmK3sGkrlwgOZqDBqdFtAsIlDdBZCnYK+NfWBYYXcyptD/nTt3HDpI0Z0dXNzsldRQ==</t>
  </si>
  <si>
    <t>9a6bdefa-ae6e-4f34-839e-cd1577f2a8dd.xml</t>
  </si>
  <si>
    <t>244603</t>
  </si>
  <si>
    <t>a8lfvIt/ESy1J3VCN2a29hgVDqi1kjRZuCbaQk0ks56nb/ltvuc37ByYzUFASBVPINXypbzqmCMZaNnSdnf8KHXpJeq1RVswMrGEXL2JxP83Ce1mO9dG+iXrDLuBQ/rQUkNpUjkFJE/qhXvZpt2U5kgfqIiNh8ycTvIXap6nN8ELYKLdanYeTKom/WGWjlYXgetXCwUJiAp4wRobDlZHEhnBsItE5QZK7y4WNVzCYJI26rJD4CgpvgKsK9srOzN92gPuxgXN23Cp1WMpDFg9KZ+bvmWxY6mvFWBnV+8Ju5kBHqSvAibR7f7DToiqJIElT7zAg+h5H+gtCHtt7HILRA==</t>
  </si>
  <si>
    <t>JMA6000227</t>
  </si>
  <si>
    <t>9c12d7bb-a015-4191-999f-93586ccf0ce5.xml</t>
  </si>
  <si>
    <t>243984</t>
  </si>
  <si>
    <t>VDbBL6TYcExDBonH7W+//9FJR4dAmIq6gDfPUWpYTLiaKZiPOCsi+vkit79syBZygTORiilpJ9ONDSV1V3CsBYe0XP7fOxOPQhhg+i4634X9NTeekdue7yqUxUrXcVL1Bh8QtbBjvVFVDl0jBfflTAu1fcbQtrN7PGfMs2akJbj10ysUVy5/0WYJfjfCdaJ8Rd9UWTqH2Qh1tdQpZ1ZJLmhhK9Vw+KBwhdL3lfXRGy04SObcLE/YvUE6tZd5kTO6g53l+tdX/aferje8aIPsqcgc7l5wT9DvFYp9t1SB1GEMekaW1IBZh4YclcSnvlgph/los8ZRqE+9K7oMY/QkBQ==</t>
  </si>
  <si>
    <t>9effcb23-5bf6-4f8e-be7a-6a84fded90af.xml</t>
  </si>
  <si>
    <t>244600</t>
  </si>
  <si>
    <t>JgULHWuRiJyF8HcSLRjx0NSWGNrjlaQ7VvthdH9PikpTAuG56YwzUlL5mSQf5uEEj1HrZPF+TwC/SvUlNdC0XKHTvyhKK5SB0P1DyPbNaeg4GeIiVPiS5PaQNRSXiyq3seo76S6MvRbWsSpeZgXnFbnpgZkJAVcDXbr0tSxTGDd6rv4aWB2Nz5Dtz/DIaEqqBv68vhoYtzWKQLKsS2P0ZdrZsL0SAlulECTtMESDAQPScfBs6huLK7xxMtolRs3YFiRG2RnmQDK2/twW5z7QBiSIqzdIbdtrg/17YJXZzbVYSNu27XgdPfi8HmNUbJ014PWLCtUHnc/q9+0p5jgUDg==</t>
  </si>
  <si>
    <t>a4141c30-aa89-42f8-9689-ec08c4dabc15.xml</t>
  </si>
  <si>
    <t>245560</t>
  </si>
  <si>
    <t>Ue3LX88wgPhpFKCuyTbHv+860/MrNaNWN4foUQ9AB/dc0WuhEoNBxsnM+nuRXHoHU4dwaMPvzNH4Xec7If+/lf5HkLCUzPoeGPA1v0iqBJMdC21cp8YlvQjMyf9UfKSBVpwXxcjP4XDLc3uOWuzFi0MwyOjITxawtUNXc5nZomtBxHsDNZaIxfxVruXe2JrsbxyD0IB+5NRb9HFAPq1800U6uhhVQ88Kh6Om+CnSdgDc35nQR2MimbRl2h5bdktV0oz/nHMyazDx/zmi7s5bNfoD8avuV/2QHa5n230oxBmd1nqmgy8GuXblcd6qM+a3XYQHzk3pt3pLiI+AfkJPbA==</t>
  </si>
  <si>
    <t>a63b921b-a2cb-4361-b3fe-439c27a15f26.xml</t>
  </si>
  <si>
    <t>60313</t>
  </si>
  <si>
    <t>KlBiiPNgs17GePjKdoKMcl14MGZiz2VdCXdsLo+nYIGu2C8B4xhK/lcVSm6e2Twb/X71KZO3jk3dZSvoUgI9B/3XcNldxHgaaeloIBdmYPPFH2I7DOVLw5fZq4crjl446HZmLJz2x+oj+g0mdRjrSJQrgGvxSsjnGnF0REVymlM2kefmJLsc091+kxjvkGMlQaPC0As9ZMEqY7rOWeSYXywAUD6GqjnIVe7t48ydUgcYvsKWDSLFWG2pp6Ldw3X2BRAtTD1nQ21VRSv1MEk/V79FBFH/GBSzJX6Hmd8MzCjzGhEOR1gqkSYYr8Mn+RhqDRscrGAHMxK5cNrCVQtZeA==</t>
  </si>
  <si>
    <t>a6803efa-f191-4129-8f60-fbcae4e13324.xml</t>
  </si>
  <si>
    <t>245450</t>
  </si>
  <si>
    <t>hnKaGyyZuZRbGQ9Lt+sDqo8DB2EHlwclQTCO5vEFI/x80cuOq/k53OJzbEQzXMU3NZXbiCRHE/7CDA8JzvkF7z3xk1KvbJCuIIOB0uUyajJJZJvJTUqjxqV/jD5pQCLzsvmZRo75kwm5w+LxlNDg/IOI2qMEAWzbfqh/GnzFSdgY7dk7L2IAGX6jS9iectLSUSXvhL/Hdw23fsYRJRyFDcVdX/vSAd9R/c0uFzHHuYiQsd6+XUnM4fTPpa0vxnq1jjHpOFkYVziCHwensb6X/OhYF3AR88XgPn2y/HJJZ9mXXi7p1565qbuM/docHwHTWe9fgPodmRxEnrYItiuOTQ==</t>
  </si>
  <si>
    <t>a9c2ea92-ceb9-4dfd-b026-9f9fd3c28681.xml</t>
  </si>
  <si>
    <t>60141</t>
  </si>
  <si>
    <t>JDu/9nztCDW4u+V+oNc/xT6ydmOfhCm52pVAKDycI0bB7RMjOkISzVraExMFLAZD7NEK26ByTbBDXO2CUdNg7IawKsbFQdCK+Q76f7ogkVL8l/JqLardrFlVtAJtL6fhkCH6LRhQ6lzGhxI56lapvOGOPFqPWvEjmFgFn620Pe3+1Ew1BokEmoCOpY0DU8TnmNJE9pMHJcwRnrxRsPFeFRpFydfxME71lvCQFhzhza0MmNXiYGNF8TQaAty42CuqOiqGkYVfXgREAz4PmzZsqGVYM6X93w+GKuZwulWh7BWz540Z9f3uJKV+++LQHqD2vh3EbIsOx4Xt27+rWK4CGw==</t>
  </si>
  <si>
    <t>ac2bc1bf-c9a5-4f26-a39c-3133aa2fbf4c.xml</t>
  </si>
  <si>
    <t>243842</t>
  </si>
  <si>
    <t>HBaexf6CXHmr3Qv+LKoyCVnNf3p5Hv7f2rSR+vkJ2WzCBLweENVC6hzM/AUgWqTALHBaNeHvv2zklXjRXM7s/spr3itNGuAX3mUNTc6Jks2CV5Zj1DoHempCylHL1CQ80cQkAeVSF8H6gLODGBkn/siTT3nS3WShxd9A5o0+ProxdYtmG7ksW9093ZMlU/XHDSeBJ6vW9m8oNhkzwhjAqF7QtJSpRhFLoXzBbBrFvRIkRp9GShJxtZezPvAev4N5Ru7gMOCk6URSkwoFvM/qB3qncCuUr7FPiAKwOt9sWjUlneGGj+mZX18TogewyVI/d1KnMT8gmvEtFJE2iqJ83g==</t>
  </si>
  <si>
    <t>BARDAHL HIDRAULICA</t>
  </si>
  <si>
    <t>afa5a2e1-512e-4276-b9e0-baf584d9121c.xml</t>
  </si>
  <si>
    <t>60596</t>
  </si>
  <si>
    <t>RoUiE5nh7zafhbB0VKBZp1tK9yJ4ZM7F3bn33nJmZnTT2YVoRJoGhO6RYz41VZQqMXCQXzfbmcqayR+vcJaum8eDmW02JRCJkvGP4HNmRdisS/PXqTCoFEoL9uxB/SR5hbtVr0tMJAOjErY5dJ5YMBj2ut0CGH5/hI0/0+esAhJ8sWD+E+5V5m9/tTw71/1wcPHKFdbij5y6fWtT3zWAJ3FzZw0cuhgAN+uKmBQZ8zxAhSMHRn67FpILODooo3kg3qi0D6f6muiHXccLB6BOqKXdjuWJkPTwQg/AejknNdmmt1BVd+iHWw8x8TaHgacHA0SvTJ+2ARuqqKYyLoI0Eg==</t>
  </si>
  <si>
    <t>ba34d808-d258-4c70-b4e0-63aa95928652.xml</t>
  </si>
  <si>
    <t>245556</t>
  </si>
  <si>
    <t>VCCA9ATB40mV+E29ms0PYfp6f9uayJZcyABAP1IiHrUjt3H12ajA+lzIpqzKFU83ALu6CKhwzLhPQvMc7vHiMNECCYB1uqSTay8btmD3M8tRx/fCDaXVy8odZ1YxtuLLJtvZE82QQcAlpcS9of3dGH/DTfhrpT5nr8PaWiZYAB9YAHCXMnlJksVs1EpwzghNErf1k6tkmcMsthWwxq3wE67LwezyBQoKJ4n2NiU6rM5mIZDDXzIA8NV3CLD1V6PzpvZePKyFkcjEghur1ukskMRA18EF6Hp42xc4sc9Dnnyd6gLgHS1PuSUtWfCe7WjwV5FavNYe2VlS9pVidv3RsA==</t>
  </si>
  <si>
    <t>c032df7a-1a3b-45a6-b6f8-5fe9bf20559f.xml</t>
  </si>
  <si>
    <t>60312</t>
  </si>
  <si>
    <t>Bj+hOzX+asAWNPFdH5zNcIUTDI9zG/Q2YDtiKuTw3tb96qDXwCUY84g/DHHK8epLg48TjhX+/cm/p9eEJ4+x/Q2Qpwv7nEFjdWCK/ZSkdIsHnpHi0LALISEAK+62BXzJyHgH87TnTexpVXgVHNlp1VaBGIYvs8OZjto48TWlO0j25EVUOOGCCe25encxL0FqL5Tjp5wc2+fga21DOnCe6LOH9D3LLIXGQP0NrabI10VnPgbZO+2AwYNVRA9xHxK3TyDcMHhx7wZzsDi77WQN85oBCvSpM9+y3MCm0UStQAQi3475qRQaakHCbz7I/6kD5UfJ0trimKQYvyEpMkQRrw==</t>
  </si>
  <si>
    <t>c19d6f72-cc98-4440-9edb-0c3e5210513a.xml</t>
  </si>
  <si>
    <t>244805</t>
  </si>
  <si>
    <t>UmvRc7ntY19rIROGAtXz5deRa6L7NcNRXLcoUjnUtTJErdoJLdvZbsHr8oAxZ5HHmS8UBkeRAxC/KMaowco8BhyRxV4H+N79UbrMs2fahDerq6OhwVYkjZR4fsb6QwI5BE5n0AfuoAH1w9sr3JdasE07GlhY3tztWiEq0VoSVh7Hcq2Rv3ehuu4M7l90fhD7tsoJj9eqUvjnYj1dGvyryZl1/kp7L9tVakdKuL/qg0xheLyb+oMpHYbVN0jz4CPLkVNU40SsVf0m/01ba8yScznKy/s+YS9r3ZuR+48r3LqYjzrruSmkTWCoHXUHytp7zID+r58isgv+98Hu2ScTxQ==</t>
  </si>
  <si>
    <t>c25f4e6d-883e-4d29-9d16-f194213ce87e.xml</t>
  </si>
  <si>
    <t>60160</t>
  </si>
  <si>
    <t>JMA6000217</t>
  </si>
  <si>
    <t>SCgMpsqxRN+iGmW+Yw92pijmiPKyD3OiNgg6sAoIXR0tOb9NnAwaSuqVP/XesjLVVl1XfelkJsKFOWGwJzq2zTrvPNeCeaPbBHwR5zY0YLyOlvEpBOKqHsvUsdhQkv5aYmbn/L6AW4PpH9OWLA5R3mbIr8v8czHjOHlphgVEr0610YukRg8lUpMEbNvt30lq3Mn+KXtJ+FKJiHoPH2DqPpSyptPosaYOzy5LzDaul9SPn96CXzenF41nzIRJ+UK495BLEkKkCLH7w7UyT5xeUEMDPRBeIAqQJQgrm+OqWXjBGhnrNDWbFd8/7eID87QWebBwquJp5g4pulLp+pJv2g==</t>
  </si>
  <si>
    <t>c7b41158-c5ec-48e4-bed3-78a04405d1f8.xml</t>
  </si>
  <si>
    <t>120</t>
  </si>
  <si>
    <t>eR/cL+Kq3Q9ssQnjvuM5HChyMYpg/JYAoDE0kMT39bRCYYbvTgTmtrunvmQbskMN5sbt6AiTFd1dnPEgJf6JjTSo4mOC1+OR7YB4DwRNa/lqGIYYSt7x7vg/3+69QJFhmRke5YXM7EoBgUbHui0xbx/4PjLplGvo9LJ7WuB5mTLrTkhMUg4GYNUUfcX6k1RezgkRTP+bkW2gda5CV0KNL8dRV9XCitgyCX8dTACQVTeITMNWB/5hvwbXMOvNDQcRK+lQo+XUYA+U6cmtVGg0bou4Ikns79PE/3tVgbcC7W3lnjFhgTZ1QFD5t6nURFO3+QRlEJOKFv5UraDHpSaX2g==</t>
  </si>
  <si>
    <t>e0ca8631-bc60-4190-98dd-240f788e9a94.xml</t>
  </si>
  <si>
    <t>245803</t>
  </si>
  <si>
    <t>JdudxgaWUYhysDc8KYH06g7+7vcYuq3kDTfYWXR0Lb+jmLtg52ygrvmoTL8lBenSSdBSPxBeBuoiMrer+O6ctPtqFt0g6B1LBJfWToMGIW6p6vIUla9DD8zBpEXrqk9px7FAxDP0WnHkpeqoFd+QYe9ebIWxN0rrE1Qc4XQ/2PKj79xOQp2fXAtp/iqadZlkw2vYcHiIdjdqzGUgMc9xrE4RA+qcMinv4fh/19+FXoIFVwXY9PoEFud2YeL6nyjEilbtf8Gvfg8mB1eueLEeBvPzjd9RKLdpS/doe+VmoCfxOEESMGCGuoOb4Xo05Um/5BLOdoK1m7JvmnhDe3/PCA==</t>
  </si>
  <si>
    <t>e59dfe3f-3369-472f-b63f-a894baa2e95b.xml</t>
  </si>
  <si>
    <t>245159</t>
  </si>
  <si>
    <t>Zure+gReBeuNCmqNPL0LTbiKrr0hmVNJQ0Zw7P1iZYeHV/JAi0bxQGu93AlQIqfIscMSnfa5ulRgHeCmxYohmkWF7rs0ym3H6hkVRpQysAb/y4vVpeF3OZTy++W2pT+TuxeeheiqwnX1+UeevawqgfZlmsHs2lTBZYn1hz/7z/rh0XpYXM3w/VXPUQfDgf9608VS8TIlieNjQGIUNaVv6VjmxG4DaxYFokoN7TxMH9SOZLoEsU+ypFhFeVYspJSjKxL5QDTHIxrzAyv749HYJBDiypdMDLeppCvRutlpKPMFUKZ3ayduUV2N0zKcERf3z5j4ikN12gdniEznGp8Wwg==</t>
  </si>
  <si>
    <t>e6b622fb-e5bf-4416-a127-f1010fae56cb.xml</t>
  </si>
  <si>
    <t>244977</t>
  </si>
  <si>
    <t>LSy7YCXUMNtlSbzQUTE3LtUooDZ+4msmHknPQLIbKkQE+lAwe+CYYKhzLkGBUodAa7/Fvj2VFPyZFh1ugD9C1H8ox8k5vnVll2keqrTMC8aifop7oHjheImKaT8c1qnjb+55Vxhcwa3Y7bDCBVTNiCSZaTaNS5m/oEoit6HmXqkGxCY+VgCONOFSSh/Rh9SplxTR6TzreDQwbjyf5r8wIYvuvl1ZRZmdgcM3+023wHwJ0SsIxOBB+mrG86jIULXO9V64wnrf9/ceDtDAFhdE7dZ+0a4MpmmxyavdAZ1rsuRnZfYA4C3HQXMSNNtuHEaLyu/W8pEHokvYq6nc7wjWLA==</t>
  </si>
  <si>
    <t>f034cf94-f5ec-48ce-890c-c03dea60a444.xml</t>
  </si>
  <si>
    <t>244804</t>
  </si>
  <si>
    <t>Pv/Z36W8wHtwvbK8yn45uVwey/VAs/1KVPiEgLjNJW2FMpfSLfJowWc9zzYDe16RgBpz0e2ZBNO3T7RjbitxhoznV3ZaG2GJbJDPwKEfTs0OZUrGzSimH86y1dTujSxthrq/fQ6VsGR/rab1VMFPxSVVPrEFIPCZ6KGdP678i4FT6okbumqoGhR7n7d+7tZ8rzKsYOMrsCG9q7zk7m1AP9MeqqBwdD5GogzEnV6Dks2/n4ZSaaWqodi81z19Vseai2CwpPlTzjpjVDwMpF/SmQzLIUbmydZ59KVb+9E8+QMx14R1ZoaN2lR+5eUFtDqZuQonjm9nODhMlsNQbYDNeA==</t>
  </si>
  <si>
    <t>f0f004df-21dd-49ac-bf47-dd7173d99fca.xml</t>
  </si>
  <si>
    <t>245587</t>
  </si>
  <si>
    <t>KMnbL667xKhHD99KAI35KVKW03I5ewGPD4DkzXCl0lVltDkFmGzhgkqxB+E0QNNA3fnLRqLAlRgDVcjF+RoOHLWhADMH12O2Op4/ijH2qkL+F6F8JHd/Az0AtMiuK78NTrXHJ/TQZop0CoxQxuF3auUtgHUlUnKpgX5ByHa5pDaRkLNAKVR6XeuGe1V2PMExGrs5ruZWIYxmypnB1VmcWfI2n+eLOtU4zuocKx/jcygQf9jhgjKp1JFpLzDXuYNoPTOJCF4unVOB6ywD50LK+2WYo/DghGuo33CJk60M2s51Vsh5QcB+NUSIc7Yq6/zIPOV8Wus9tQqld+/Df0plLw==</t>
  </si>
  <si>
    <t>03d5339e-4a74-4cb4-8d1d-74ebcb4168ff.xml</t>
  </si>
  <si>
    <t>4</t>
  </si>
  <si>
    <t>qlGfhMiUAajhPLCe+6hkTcZ0yQqblaeQUm3lTdih049hnmR53QyDvCsAtUvAgLveek2iaISXLPlQy4TYHEgKysO/y24SNmTPmO6pAdXVTBT8RWVmWd64hro2wR7rQa8uD/gZpy6jAuaCkX3ZlsezmQF4czLUUmufclRrxa8ZEZLLJnc9rXSxXHjG/gjzLMrZl+Uzks3V6rDyK05G9x6k4oOz4pJjrqPf5/1j46zye9alX4zawWHvpIUuaLQrZihEUb1eqibXoq4Sw97a1Io0ON7OP4N3CYKhFF6iMl5NbQ8eIIeLF+gIbhfoeOpz0YRdcBDgA0G8GZ3ojjaE39z41w==</t>
  </si>
  <si>
    <t>MIIF9TCCA92gAwIBAgIUMDAwMDEwMDAwMDA3MTUyMDUxNzUwDQYJKoZIhvcNAQELBQAwggGVMTUwMwYDVQQDDCxBQyBERUwgU0VSVklDSU8gREUgQURNSU5JU1RSQUNJT04gVFJJQlVUQVJJQTEuMCwGA1UECgwlU0VSVklDSU8gREUgQURNSU5JU1RSQUNJT04gVFJJQlVUQVJJQTEaMBgGA1UECwwRU0FULUlFUyBBdXRob3JpdHkxMjAwBgkqhkiG9w0BCQEWI3NlcnZpY2lvc2FsY29udHJpYnV5ZW50ZUBzYXQuZ29iLm14MSYwJAYDVQQJDB1Bdi4gSGlkYWxnbyA3NywgQ29sLiBHdWVycmVybzEOMAwGA1UEEQwFMDYzMDAxCzAJBgNVBAYTAk1YMQ0wCwYDVQQIDARDRE1YMRMwEQYDVQQHDApDVUFVSFRFTU9DMRUwEwYDVQQtEwxTQVQ5NzA3MDFOTjMxXDBaBgkqhkiG9w0BCQITTXJlc3BvbnNhYmxlOiBBRE1JTklTVFJBQ0lPTiBDRU5UUkFMIERFIFNFUlZJQ0lPUyBUUklCVVRBUklPUyBBTCBDT05UUklCVVlFTlRFMB4XDTI1MDQyNTIwMzY1OFoXDTI5MDQyNTIwMzY1OFowgbIxHDAaBgNVBAMTE0pBUkIgWSBBU09DSUFET1MgU0MxHDAaBgNVBCkTE0pBUkIgWSBBU09DSUFET1MgU0MxHDAaBgNVBAoTE0pBUkIgWSBBU09DSUFET1MgU0MxJTAjBgNVBC0THEpBUzE3MDIxMzI2MCAvIFJBQkE5MDA2MDY2VjcxHjAcBgNVBAUTFSAvIFJBQkE5MDA2MDZNREZNU0wwODEPMA0GA1UECxMGTUFUUklaMIIBIjANBgkqhkiG9w0BAQEFAAOCAQ8AMIIBCgKCAQEArQbgPXJvHj4dajNj+H43/VzNIZb2lVc2KT/nCpf72GAcfSG+3GehadhKiJXpLrzRL9lEek4TlaXJ/KHIfDajp4OMmJHRqAFXEquCDnVxOlQiDlQrbv+0lEyHbHnOW2fMHUraYoW6gsiyobwnXQAezIGqvMWrErA8A2NElzm6X2f//7bvENaysp39QEzgXFOci2w8vTxzkAEe5C/Jdbn1obg+uUlG8NsHtxhEkztcdIXarb/fmVvw4dnTFnzsYz/FW6RZ0XPWbASi0l1JBnILjSpXocfvxseOk4BYOi6vXEVy/+/gs0MX6SUB9aZXs7cQfu3HltF70feWtDLZRruTPQIDAQABox0wGzAMBgNVHRMBAf8EAjAAMAsGA1UdDwQEAwIGwDANBgkqhkiG9w0BAQsFAAOCAgEAL3m1Ylz5pICjCyC3Q+rA1x1wzyMX3SOT+qvPM5XCELfBiP8IUTIt9oC1fkgM6DcLQ9bm9R5ZOcBVMCjFpxk7SDIC4qZV+XBH5u2nHu7XEvzZPbqnX3cJ4aA4j3wFWgIKA7hcQS3xaL7E+AY++Gj2r+whEaK+9aBxaUGxvPLL7IW33XIVPV0DDx4URczfWcz47phj7rQ5hafkw82H3eZ3zxUnkL2bMckT+KfnkWbGsTL1I1blZNl8UDZkkTH0tgfp+cFTCBRk1SN5XX7DvSDrImhibZhCbY7ZTIWJ7NiVXPWR8wF8gf/MCuprskk/STLYtQ7n12npHH/OTdh/816lHJiT7Dv+Wnq9a07xzsZ35IkVE7+PcqNASHM6hqQ1J9KXa/mT/mt3+NwrsZ7YBrS6wPEkgwQs7JgrgWAvQkXd7QdHL9jzoCWpqgnrk35j2xKX4xPcC+H/8S+FtJ8V8Y82NRQJ+CQSBtHgZFbZ4PC8ssRgJAPpwKVC4vMElEM6iIgLaqiTyFqMwRC7oaav12v0pgKTPTuicdA7eY2wanepFjdvvwa6wlk3x1xa1wOSHXl8QmLbXga4WUmdu5OVJ+ZgLXsMUuUcRM6N+6neR0gRxbwYORyvH7ksOPi/CImjMqECmTluGIXsyx3VHVLwCdjnc//kdKu4ae95U5IVYtsUPaM=</t>
  </si>
  <si>
    <t>0bac4768-4e4a-4199-a53a-dd36575b39a3.xml</t>
  </si>
  <si>
    <t>7076</t>
  </si>
  <si>
    <t>U+LPp1Vns+o7+a7jbniawETXY5RGFwb2ij60fkQiH7XGY2DbzDgEIAjh+5Is8gSmgTmHv7QJCyKIqwDqrp+62YbPVn40gNr9XeCOboppC4+RrwF9OhvUat87NiFXxXO2IEeMntvTBuXkb/X4MuUPUl9lf64RA63pPLlrLTPK+d2kane0+VM0H3jWMzG3EazSpNqtB6O1Ehy2pi3o06QftgHVzTA4Uaq+OCj2KQX3ByI7pn4+jOIGySsL2d4dFzpzvE07MwHezX59ozbfYywR0TIfmSvz7adnLDyDWoT9wjkXiIc8WAr4mRKwGZ7D0LiHtC8NQjINUNiiUrbg0D9WOA==</t>
  </si>
  <si>
    <t>13db2d91-487c-4466-8c4e-f2125d317782.xml</t>
  </si>
  <si>
    <t>3393</t>
  </si>
  <si>
    <t>NVMP93+SKYitRhzSJVf0vUkM5O/9VnQCUXgWBzFp0oe/Eh+ErCYFFvmBT0f7n3TFXv6wM+tQJn3xAjVDkkQ+/cJbvNKJMRlNu4yjUAqf2i6zIzhRY0U5q20ZnGCVlx/PAMbIg6wVeEXXHqmXrp6t1ryP6hQYTCvVdGAIIkAW/ZXvVjjT5tNOM1exBOr1vHjnW/xR8FHvoHQ9faHkllNeYWIqV2Wf9xSrkQsDuomPOp1GW/ut8lq4DAxzK2zXPrjUBOziuOuzA9+DPdBhC3kN526PvHLDDH3Vzy0zjhUuiqtDm9FvKJuPGhNotXrmjFbMAQFkCvbQXeIRYl59pYqZzA==</t>
  </si>
  <si>
    <t>3073ca63-93df-422e-b43c-ac00d89ba7cd.xml</t>
  </si>
  <si>
    <t>7063</t>
  </si>
  <si>
    <t>Fll8JpFb2+7v+gYqtJiymJPT/KLBniZMoB96p7aw2eKlKSwBbbUfO9O4uVxyaJmE2aewlo2ABn0RW7BeNAbV1/Qh0Kqc6B9TyNv1k7oUVaubMk0sOIouvoyA/RcFkcWTPGfCQI7N3C+5UG4OKhWeLJnODZRzzPvr2YVOTQZW/wF7fY76d5l2HlfEH7uoxIa0MzNf0t1dkp2KxZuuq379sKnES04Bpfbb/bpeWmnVjIqLNh4aPeIEjyj7Z1bQIxokAw1GtA4mpqNHyvmmo23DeSkzxaWBLIvZDfl/aQme+7tX5/CfJ9PkmwmQbjR3XFzcGzKqv35XkrtMyBTTXeda4w==</t>
  </si>
  <si>
    <t>4588e629-bef9-43e9-8268-5d4f3cd65180.xml</t>
  </si>
  <si>
    <t>3407</t>
  </si>
  <si>
    <t>bZpeGoWBtnA9Y7+efamwCIR/mO6ZPkSyg32TChpVhFBk4IwfhtfKyyTbaLRlr/B2XkvQLf9t1Isk9LSc+Dhi4YFsxwet+HVx4kgycJTsyj/A78rmf5XrYhWWDFvWFFaxsUkOkLYpX0zdRG4OZ6s+M21Qhq8Pq1VXKMh0VSwWI49vKNeK6w6IlVXJyveTFBWRE+qIAYe6lZF+Ggdq2+C9G70eOTxdaGDHimTgqmX6xklPIlxf+QDUzx3xGwM88q1pzAdkZKpZok6mCQ2TSr1R4nzUYvcQG5pmHNvM4o+z3N5zbjY8P5xy5R8z9t5HSHoK0ySexaiDF6QaHkUtqJ8cbg==</t>
  </si>
  <si>
    <t>4860480a-ad05-48d8-857c-c36b2f9549cd.xml</t>
  </si>
  <si>
    <t>RAFCO SERVICES</t>
  </si>
  <si>
    <t>3481</t>
  </si>
  <si>
    <t>JIT6111045</t>
  </si>
  <si>
    <t>cOHP50K4xW1OVM7+k+sF/qRFUG2K7gXm1HVDPDkEYtHjUXrWrvR+5FFLaYAPXm3Fz0uwoexcVTfwIOzavbv0JA80T+JOODYazu42Ngk3CipJac+gr0LiVemePYlE1rA/+0O/jwHmyfgisC/NC+jcxumaWViz/hR3TxF+orvRu4s8M8rY/PkZPHG1idGvyOyqVzOJeeIEJXG9fZ4qePmpxnIdNe5mHxndExei8g9XkveFipG4D7/hRQOVHB5KF7tQZYIRJnSGIF+jR+rm9Nx7PcjsTDWiLwSIVDuXWKT7ktNVuPNKe0f9bbq8ObSRZTKaJkO2lUpPM8EuCEunWrVf/Q==</t>
  </si>
  <si>
    <t>51b7fc95-0dff-41af-990b-e9da24687dcb.xml</t>
  </si>
  <si>
    <t>7128</t>
  </si>
  <si>
    <t>aJSrAnHbQKzkbEiVcuJYxuS4NT59Al2QJkBk5OdMUOIc+CWYbVmA20hTGHtCnn851axXhSlBMcBrwL0Om86z5RAC2ByphJpOYHcj8GHq2opS7qpfX7Vd0GuCIoAPIhi6Ffyxux7b99Dcb9nEXTrEAuh40S+b7dEYCH6xWzg/VH8rn1iyoczvGBmW21yuTUmGytQRgSFzyFH/UILFKCMkygweI9+7C0lHOG1c0SqpsUnhnrKTZcCfmtvP1sAQdCplCZkeGC9p0e4c50uCMDAvzsF8JeEC4Q2HoTr8RV1kqOAw/hl2AAGW6Yzv1VzO22Kjw8iOhjXs2lKsJR6b1FkjjQ==</t>
  </si>
  <si>
    <t>5483053a-6a99-4f9a-a01b-38fa4649cc5b.xml</t>
  </si>
  <si>
    <t>7053</t>
  </si>
  <si>
    <t>AWQuiYUdjIxXnxuO714Aw0eK6jaInqCVG1h09UUanzTd5qS2IxQu7v/YoMm1qNgX3RpI2YueRdN+vYLuBXwfbPekq567VhHG0X7197gQeaGUPOiGIxCLtmug7Gjhe9mHh/I/VVDIWrwsBGodZNjZFdm3mQLUXbjti5HkonWLAwnKIEbNciqtzgVi5ZoMuCnn+nldkM0wwmPLixysRagJ0MR8AekJlmUG2MgR2bevTtHQ8FgJL3VdxMn6R10Q1lb5OvaPEHyrXlPdVczCiMyEbst8xz69BuqPLQ8CPTDNeSWD38KaxwhgVh049jYFPkOMnn9P/4D0ESBYJSaaCaNqCw==</t>
  </si>
  <si>
    <t>6b917f55-e935-4096-9360-139affd34aec.xml</t>
  </si>
  <si>
    <t>7049</t>
  </si>
  <si>
    <t>NQnbl3u87iyhu2jRK5YJqH004C+AZXhf1zPmR+TpC6GyinqkhEJP13kElblVNBDQI6LAlk7LAClAtIvKcfGdlXUAtbdOtMxsHjxvqf4u2N9RBUQlyDJN6eZ3Xob7ix0NLmPav2hi7TNZCbfqibP2yjrvhu4SnK2UuYqm23nn0D9v4JIQeUTFMVmaxX/noLLLuYTErGVCcGmOJ4S76AsnGWBEkL2Rai076DUEOG0bFcKOqbuX29b8Anm7geYWg4Ztz08HQ4RFVMtgv92S6GijsXbocXkwIGgRWRY5Ynw4WSq2DbnEGnVsdzCFwQDS8AHkBvCO7Uxfthrxjlhqz2tHcw==</t>
  </si>
  <si>
    <t>6b9bd270-1601-49b0-a7a1-c18d37c313b6.xml</t>
  </si>
  <si>
    <t>3397</t>
  </si>
  <si>
    <t>fADa6RSdSb1+V3477/tnbkFx0FO13h4PS0yRU3mVJeVM2gXM3/kLutrw70AXAvSB7LRiwiL5QoBHymPvokfaAZLi2p6tYynfypVPcj1Z8KETLpIO92iTFNLrx986rf6XrXRjBhCrXxK4YlMrr4cP8evvvLXlqawqKim6Auan2DHS6HQT9i1E5b2KE9usze3fcJgkowqSccrYIjYwpro+fDe041tKNZXwqGDMHKsNbrFd0a+INvOT3GVDf5DCFCVW66sYaBA0ax6ns//YtzghHnWsWC97huR88UnSnDTwbk9licwVCtnDyt/6jEgmAIE1sez9WQOIl0aG0nmD1CCn0Q==</t>
  </si>
  <si>
    <t>75c9ad42-faa6-491f-894b-5489961b7d2a.xml</t>
  </si>
  <si>
    <t>3395</t>
  </si>
  <si>
    <t>hwIhRCF9JRvtPbG8IrEwLfqSxsUp+f3h8lZ+QJ6J8va2L3PTo+2itqh146UdX0oIq5aQVB+quxuJIvhu9rlbpIe8pUZTmit4xVKCeyucrDlbzXwUSqmYhgofPBw7K+htqvVYI0P1bc4jyBmrUbES52OoDtOpoKinn23EuYgnOwyZdg9+j+c6te3URhEI6wMeCsCAYYmulecayGVyC757qnkwaBsXhwT6/XnwoFNxjXiQsWlgH6zIbG2dBZVrjjRX5asuCCIQ69hCWTg4TfEYhjlu1V/37TxI0W4Fw+I/BIRk0q5V6P6sGP2iX/CSB6d2MfiQbTYq5qKem9GevpNvJA==</t>
  </si>
  <si>
    <t>7dcf6e10-1b85-441e-b9ee-44251def0bc3.xml</t>
  </si>
  <si>
    <t>7052</t>
  </si>
  <si>
    <t>T7eyyGOu+uGVnxVAzphYw5LRVH370xslyelucqwkihd0f50f57B8Pt5pJkNJ7v9Bsl9U0ln/1ZYDmpzirlSxKDLDsf65KGhe7GO8cyihRjcrX8Zdq9iSiCum47Nj4FTGL5HSHW6/U64X6lSCWHPDEQka8pZzl95P2yKePGXRkEafYuqgjAOapMRWbKk6Oe20YMtd9LTn8mNMiuJZ2BDBc3YhyLqYjTrOfgZOcSiuJnefRHFIV82EFNoYkNxz9hdX3CPa37AbChbyTk/l8Ue1B2kTsX89jpgTX71HrpKjheg1wVbERebp/8Rh4SnoEVqUnyE0MWp9EtpkP5jFL3MzzQ==</t>
  </si>
  <si>
    <t>8009e22c-898b-414e-90d6-bdb9561966f8.xml</t>
  </si>
  <si>
    <t>7127</t>
  </si>
  <si>
    <t>gHgDi+IP8qG1cF78qBYfl0SrjWkFvV/4NE10W4uCvu4GgPKNCkrjt4TkvXYw+Z/r/UNx3HjZ++2kPzYZHb4nBo4ht7BBWvt3/8ceKd18o/iVBXgvOPfySdee1Vo7eJeiDjtwz/h0CMFahZpDSTpIVIRmUvlWGnfGNIR3Audr65hrJyfVGHW9whRwvoxCQTzmM8EpYQLpf8F/26UpnPs2DbR8P7oc9ASdcRFCwadzM9QM/mFQj+RMh+47vLzsqc4gH8OdRvJCgDrfA//dWOhEynvNtrcTEZ5zmItYtFF8cyblnzkO4NxE71JEClxlxZ+zZtzVUu30NdVOThSeHRgUsA==</t>
  </si>
  <si>
    <t>817087de-2df8-4fbd-a512-ce570531ea68.xml</t>
  </si>
  <si>
    <t>3406</t>
  </si>
  <si>
    <t>nwMLugOXGtiyg4Lf90TjbW8wfLkRhG6Az4iCaEGizIGncHbJulK9pvq7f/25UKI5DTb0Vc0OJqIYakabU1UOwoZk1JMoeLRmcmNcOZsR9+E6Sy80zSX19dGkwbG1mKirhEQRD907cnZnlcrgOBQeZ7TUBmRnv+CGiLu0PDzMmEWjVp6WkreaxI5WBHrsOuNO9HVlUe+RD2bKTAiukHqWa6XkpQ1Vc5HhPkFxXb6vJCpptM9Ya3LtAhtqOZ86AKNkYFj+/GqOO1F58354jlZPnyFWPvtyvxdeYQ8VHOR8+1JKL5jNAL0lyXMTIvRJbFIynz6whz4sI+1OoOqCi5UYyA==</t>
  </si>
  <si>
    <t>891d2c10-b761-4d42-9fce-7fdf3affb431.xml</t>
  </si>
  <si>
    <t>7054</t>
  </si>
  <si>
    <t>dLwEe3uWAxp8iGhXL4WAQTHJKRnzDUGE6wYcqJ7sZ6lYAwGLyUjQV20MadNVmIm8MpW1StYTqR9jF1YhbK3cyu0Os0d8S8pCmenIwcQjkyhY5tDiqpVuN8YODFTqRVE5mt7jPrmQeJFTLi8pXJqZ6wKyU1OPZM3R67o142aKfC4pJUaihriehHSeUN7cwea+IfWfonTYDaovOgV/iNDJLfHZcwqe8pb7aj2DQgIPpKr2TQE7iBQzm1yBXel1dqmzc/TQQCovO9NRMGVlO59WTHd98+BO+HzEUXfrWsmCY22O9+I6izQE6L4yORza+Y31ubRyLixsgF4afKVaw9jtlg==</t>
  </si>
  <si>
    <t>JMV6000140</t>
  </si>
  <si>
    <t>8ceadb7a-1bfb-4bd6-bb75-369181a38cf9.xml</t>
  </si>
  <si>
    <t>7045</t>
  </si>
  <si>
    <t>kB5sGeEyEDZLc05at2+aD7pGQyBV6nrKwuCvhi4E/cg6ADwv3WWNWDuzqEhCeRShQc9yQ9YsXOUCJNxnHvxMU8GVhl+uec8R/KAZ+G5jhwDJH/jhlbElk/9VN1OBsrt7ShW1CBb2hp0t/hSqJIGHVH/Hy711fC6go5kQYZ3VTi/hZQE3E8TgFB5l8G/0J4hc6iacwX139w1o8tkV+j6t7tYNYsAJMr8wAfksN0NtvhqFmt1c1HoqA0ioZRukfNVNGya06J02Te8Y/l0Q3Hb3BH/L1Xk02XYQrkgyiTV7nTKA96Qwv/uL2k1JChBObZ94vM9N8cLGQJC/yTqv/w4+fA==</t>
  </si>
  <si>
    <t>9991b6f4-b120-46d3-909d-7287750e592c.xml</t>
  </si>
  <si>
    <t>7086</t>
  </si>
  <si>
    <t>I3yPa2o8Lf7Ubv7qzRR3Z+hRm6FZO3DBp77Vrb1EveHLlJlcbYWK2rWZlGLoY8rWj4qGOr9Ch/TUspIuy3xCjrhrcMl1ty27cBcN77kR9RnRHhdHkN/vXrna7THroJZrjrA0/Fn3bAgW+Dlr7pCIIRHbGgkYV8E57g5SpmfuZqDHDszDxbXxqDuIB4ClasdiMTDxtVCowWmNdu4BonEoGP6j7cGmKiLPu3p9dO9jGfL0zmAp2wgqQDoi0o43PDOQ+rhC2UpH9MI1sDi0VsYJLIojyQi21YKYsshfgHrjM/LomeEeMhtBxaJRwGbLBSdKF5MQB8HJOsgVkZcAIKaWcg==</t>
  </si>
  <si>
    <t>ab3d2efb-46f6-4689-b35f-c3600f2b0100.xml</t>
  </si>
  <si>
    <t>7126</t>
  </si>
  <si>
    <t>PAQya/YZtnEaPb2ZYO+6K6Q6igqwVwx3LVeTxNYUR8Z0DOPjGtL/snk/TApxFcIH4iOrm8Qy5USmgM3jzS18/TrXCEr34hsNs1f/bUfS4DQPPG2BCLCYk8kKtbF/X33rnQByr1NK1pUWsB46+q0Aw8KxAvvmDgHMO3sk3VREHTikxXDz7Aj6N/wMYAhD56Oa+3WBvE8+sm5cevXkxheH48xUfZvANIbsj2ybVeAWOoqS63ps3M7uw2+6D2WKuOljOljgRbWZJPv0czt7bbPjwjKXOtGz72WGFu0+cvcNsZIXgfaQHPUQa1pbyN8LRphWyM31WjR+6n3pkJMBsU192A==</t>
  </si>
  <si>
    <t>b19742ab-e0c7-4b4f-9329-d45bfe22501f.xml</t>
  </si>
  <si>
    <t>7047</t>
  </si>
  <si>
    <t>kUkjhU/431rA1CbVcP3FpsE72WllD5NSiZf9+cmq5XWMwq+jSE7o1PuyJENlVjTCUb5k8ePlSNQ4duaZZBhGdNw1XLGCbDjSmAM/gHJQBH/akS9Aqh8XXSpRBlZfNPluFaCAoUohVK4+assNSWQI1/Jik8TwGNnvpL6Pnu1CxKu1hUIVAHkmTUq9DS7UDFVcZaWpjo8zxo3eo+vo1JJ8YT97NIwxze8j1nW06buiMLwTKHqNBJNIdjrSIvpFi5tE/sCoGeX5JsoPGtnfjjhxUycfytoBvIjuobZUhSx9iP4zvGYHq3za8+ElVyCz5Os9n8MYqeJXoiGr5SHgnyPr6A==</t>
  </si>
  <si>
    <t>c27f3c6c-fe38-4465-aa1f-d1da8f3ac67b.xml</t>
  </si>
  <si>
    <t>7046</t>
  </si>
  <si>
    <t>L1LnJmtP4lM8fV/4B22rXGrVbDdh54CAz/pKAOZJw6WWG0qjw9lzJuir6Dvo9b+tBIUDQo3bu+z/JukdIO4wCpe84NLESt+6qbKwEUyGheXb+DHqUyvoo1NKOiI2BT2S9b5Mxfmrgeqh6PWqe3dvehGTAZEZUGtsF0XalifEsmntgJii+7nfSm4mNMXD9zevXOkSFwrHUnr5TgAif0aoxisHI7gtHYyjJEx10i0RSZPcDA3jCMV3RRAjrxRwFisb8GMq0R3bc/xN3k/jjJbpJ0OTdgzQ8LjwZJ8uyseT8om2GwrO6wl1qDnOmDg5PHOM7YidmLb5pR2nvquoXVzGuQ==</t>
  </si>
  <si>
    <t>cdcd68a4-03b9-472a-854a-c137f8c974c4.xml</t>
  </si>
  <si>
    <t>ALMACENAJE AA</t>
  </si>
  <si>
    <t>5</t>
  </si>
  <si>
    <t>SOIzWi1yLy8/P/W96m5ejlm2gTjE/DIefuBVvR1WqpySJRzeGGC5vCwzX/fWfLUy9m6kkOjVojKiqXQUf+uQv/Kvhwk0ARw8EiXqtyFJ7Pua8of3BcuglBgNMtP/9gqUcpOX8aHoY92Pr/VAT8nTIqDCjVq4anUSdsISGt2ubor8yT01juWbL627Dlsx4G6VL0JejY9+YOlsR87DxFuceuq25IWt8AHdR15X/rg/1uZnDYMLDCjS7Va9A3wLCgmD1Ujpqux2Wn42modJkMDVtaexngpNtbtXn9XIGaeQmx7+v4yk+6AcZ7ZdMhZ5N1dAFsB2gu4wDj0xtL78fAwRIg==</t>
  </si>
  <si>
    <t>d037f4fc-2f38-483f-ae7a-bc2922e3e229.xml</t>
  </si>
  <si>
    <t>7048</t>
  </si>
  <si>
    <t>a3fY8ZER2iXlNhtXhXqR5HSPjEb7JiBuXJ9Mxqw0bdSN+R9sTK3HzQQd6JDKmcnfsCbQ/G/pm+K/8IXPr6B/MYJrUqm/HkACUizeQYrjUorp3mpktQfcaz0ylG4imjnL5fHWFbDTkq/h2stFAa0QMicaQ8SIEb9oaEPFNfEFOARNzbbyK3ygaFw26X+rf4oqnYJd+uKTPKlRerIKEZFROZ3dCJ2Rv1kxHkiSoo5wzXg0kBR/aAkGpzpUWtF723fCt5r32XHJv63xtmpHGr6CuDZ1W8M7XnafXod/eFXe4+HMYoLrQzoDMkrlxVMCdElUyx6dRlitUv3NTXVEDNbFiw==</t>
  </si>
  <si>
    <t>d199b6d4-8af6-44bb-b287-482e0a23106c.xml</t>
  </si>
  <si>
    <t>QUAKER STATE 20W50 ROJO</t>
  </si>
  <si>
    <t>7061</t>
  </si>
  <si>
    <t>JyRlr3tLJ6TQ1gsvUVp54yPMy4mNCo9aNFZf6L+B75VUX9y4AH0waeKVLcSi47NXAyiOFg4Fo+OG+D6we6VLVouVTHhqZ25NPWNbehLeaJX7ROXwCWYObJzRbTeRkwJC1X3U3l5fkCVaBGBn6QhOLfnXWn+ZYBZGy4HlzHWCfF0eXvN/47s8ZXM6yMVnPm3oLnurEKTDFUVor5XziI068MmTqPRZ0RUZVpNkKb2hu8siAAE1OPX2lLZ9iAA/i507PsH2RfH3UUNjAsoljqbMOTdC48tM6U5otUu99sr3qmKc1icX199eOgy/jE4phViGS4RXQzZn91WVxzXZtsPgUA==</t>
  </si>
  <si>
    <t>e07141d0-c92f-45e4-934a-12f6f6328c1d.xml</t>
  </si>
  <si>
    <t>7092</t>
  </si>
  <si>
    <t>qNMY6VKFaidr6RTvKaa2o0YhwpgtDeLx3LE1Gz4cCwqceEnB3uxStBk8fVnuBQA04JyH76PBH8GH4vx++dw+gZ/Q5+T8FVYa0xB5zI6dTxWHQt47HwH6OI5YfHSFp31FKvSROi8aM1h/2Iayv+x1AoFnJESH7hoCju2R/0LkaRl9rsAvAiTUFJ4zVxLGZ1Bz0wkFF+2VrPGuHMyCgoXWoAr/v9NN1DmweHk2bvr1LBIdzNLcvcGnqTnweFRBCpy39OpR8XP/0ZjRoJk5gASJ+iGR3mOIp3UWlRG2rSaP0gNsZvOFMI0vmoGUI1ir4sVBKFOrukiL7rPSljNwyVWgBQ==</t>
  </si>
  <si>
    <t>e7f395ec-fb5e-49ec-a345-a75646401d59.xml</t>
  </si>
  <si>
    <t>7051</t>
  </si>
  <si>
    <t>VgFsxv9H8/NjjVGFCgL4L93JV9COxqM+wEWAiHPFJWFRYVq/biLXaYJ8QCdr9EvHOBc8k9Ih5mYRhnPJzyCJ1kaO3wylDQIUpVTmqy/rEnwwWiscYYooERS4Jqg3MLnxmaNdFpnfBjk5ZcQBSJ6aZPBLEWpyDISF1PydYhA+uNpaQRP3HhHzFHPiC4EgHvM0GdU8rznjxWDYRJFoDQeBBnnft0sQiIRFuZJaEy+Y4jSMiGVTlggTUB7qC3ApENXfXnPHsvsmIo+NJP5pc3NkarM+9SM/XtrL5NzqKzJIeWa75N/mAhtfNnQrPZ0muXXI84Em51dO4fbbkJrYezT8AQ==</t>
  </si>
  <si>
    <t>ecd6002c-4ca7-4ab2-89eb-1f0301659239.xml</t>
  </si>
  <si>
    <t>3396</t>
  </si>
  <si>
    <t>YHOctLh6Tr9ZeT1U4gBGHzcGPH7+THrpKRG+a+Yl2MzB3ebLNbED6/CyjKfwp9HQ5rE25nRUtdRpwqwWfh3jDi/lmGBAjsPFRMcaqLB5JJETNjP4HmJFZ4EITLCN+VVYDN691JpqEUfr55ZG+ysYXLjQgo06NHGy9B/YNkW4yERfSRnm7oGhu1OQmVA6tyeirEGQk3P9wmriRqdyzpkfsZxC5SZGHOOJYZY6drcFmvsZHSglUN4NNQnpaD5ogmCHifvsXPpIceDKnmZ4i3j+Jt/o3A4opj0aZrdHzmf0H6owaOD6ZAEy41ph0ubwd76h3mkYMI4QGvDOQPPYlcFrmg==</t>
  </si>
  <si>
    <t>ee1f2390-5015-4956-b6b3-4a153143c112.xml</t>
  </si>
  <si>
    <t>21</t>
  </si>
  <si>
    <t>QgoidCTBRp4MVJwVEdo2h8TpricX2kcjswqfybanomnTTZHYcSWeHBn6a1pnbkp6EIPITE1CKfbBL1CsZBR3p7kw27I/datI9Dy2aEQw54QCL/H3UB/12Vge2nEO/ge5Nt3xcVZQOTaD9Yn+pdSB/CO3m3uJc5bj/prds1VCjBNUD0DrBj7Gi6kCq3FDQS0xEa9kHSSCsrc5aJBCtYcW5y+FXieFYJemOVmoqQZ2oE9v2Uh59BsZp+r+wm2a7cdrHCFUHIqlUfz4jnZLqbJVNZL1et16Vkvyb7sX5XqHUNLf1XoyuQYGG+aUOHobw+wUvt1R4QHOZEJKCq9YkIqMlw==</t>
  </si>
  <si>
    <t>JMA6000228</t>
  </si>
  <si>
    <t>ee48c48e-766b-4aab-8a46-561426cae6c2.xml</t>
  </si>
  <si>
    <t>7123</t>
  </si>
  <si>
    <t>KZe1gofdqMAe3Vh/xTZdP1hSVkB8NN6FZuGiFoip8jFOl1JVXjV3cPAqupbk3gB8qJVD5yby47N6c/sftBKdX8yINHq2PfmDTMaZR0XGauAzbvz7xAIl8Oaxx8QpbkIfzAHF1Q4ZCR1oyHyeLXQdw0IFacsuVm5bUPEW5XUggF5m7p/ufZ8Kpo755C6jihUsv8u/y4HNaRSfs1H2P09rDtm6s8unP4aqC06doSUtUd5jCHGzRIUf8dasxuLiJJaa+/sTI6uT2qNWm0Zd7e12NLmjFIaVv6mE7eF4yqZl44QFYiBMaYKgt61kS1HxSot1hcOQO8mTuPIJASKcAUX+nQ==</t>
  </si>
  <si>
    <t>fc27a1b7-cbc6-4a40-8b48-935e01507737.xml</t>
  </si>
  <si>
    <t>7091</t>
  </si>
  <si>
    <t>CJMA6000217</t>
  </si>
  <si>
    <t>XvPnKdZ1Y744RZNXJQjmCXRQF/hMubDNfgAXU3g/Ko2sgdNZMREKysztu+Cfb1+TK/bsn/Tu00Yu3can06JVExAgU76NDIKnvIRMDw7HWIIsXfVA84tsSi6qWy9rSdUt2Z6IhYBWRCYXwMxg/zz4PI7c/ureP2ZS2oer8RYLomjZGlyvN5V7CfnglmkNHF0vJ+rSOJkc8imSsVbe0VEAc3MXR5ZqilQEDvIprpL4fx0CzU5Ia3z5KbH3Od9LsuhOtskdS60POOsZjiStwNnQ8s+TgNpQSt9YUgLwduzYkYgH4X5JSwDSck2JjRzV3ItDpSa+GUvuFLWjiMOHawlFig==</t>
  </si>
  <si>
    <t>fff1f4c5-2fc8-435c-b4ca-2de69a65d3bf.xml</t>
  </si>
  <si>
    <t>3392</t>
  </si>
  <si>
    <t>DHL06082026E</t>
  </si>
  <si>
    <t>AHOmhBSQoPpnjj1XF2Yxa9EE1uuuGY4ZQM8wEqzbR1bQ6ttWCkHY/+QFyIXAbfsuvcsvGqGV/eCpud4rz2Wk5+k2t6JShHkug6uEF4pvmb+F7b0el+hJYF8utHZJJ3So9fzuevgBFwSdIUuF+5Vvk/vlE7frlLoTIa2TV0pYVlcls0yXUrQBP8BSq8Pc1TwpFJbseq5doXafrhXrH0RVwbRLsSQeMeRwrOHvEmzQsK9QZAc1ieiYDo/UObwpbqITRaFsrj562p9AaxDp5tuJrsP/ae/VAKVcW2ob8VmTjcuS0hPoAB+AI86+7SVJXbyI+FtOyf61y9nlJJRj0ztiUQ==</t>
  </si>
  <si>
    <t>M26-0530</t>
  </si>
  <si>
    <t>RECONOCIMIENTO ADUANERO AA.</t>
  </si>
  <si>
    <t>MANIOBRAS AA.</t>
  </si>
  <si>
    <t>SERVICIO EXTRAORDINARIO AA</t>
  </si>
  <si>
    <t>EXPRESS DOMESTIC</t>
  </si>
  <si>
    <t>PENINSULA MAQUINARIA Y EQUIPO PESADO</t>
  </si>
  <si>
    <t>SERVICIOS LOGISTICOS DE TRANSPORTE</t>
  </si>
  <si>
    <t>JMV6000119</t>
  </si>
  <si>
    <t>JMA6000199</t>
  </si>
  <si>
    <t>DESCARGA Y CARGA</t>
  </si>
  <si>
    <t>THE CHAMELEONIC FAMILY</t>
  </si>
  <si>
    <t>ARA6000164</t>
  </si>
  <si>
    <t>SERVICIO DE UVA</t>
  </si>
  <si>
    <t>DHL06082026</t>
  </si>
  <si>
    <t>AGOSTOTOL26</t>
  </si>
  <si>
    <t>MAI2607117</t>
  </si>
  <si>
    <t>JMA6000210</t>
  </si>
  <si>
    <t>JMA6000233/234</t>
  </si>
  <si>
    <t>MAI2606394</t>
  </si>
  <si>
    <t>FLETE LOCAL ADUANA AIFA A CUAUTITLÁN, EDO. MÉX. 29/07/2026.</t>
  </si>
  <si>
    <t>COMERCIALIZADORA RORAIMA</t>
  </si>
  <si>
    <t>JIT6110984</t>
  </si>
  <si>
    <t>LODANMEX</t>
  </si>
  <si>
    <t>LODANMEXJULE</t>
  </si>
  <si>
    <t>MAI2604592</t>
  </si>
  <si>
    <t>TARIFA AEREA PNR: QHYKPQ</t>
  </si>
  <si>
    <t>MOY EN MOVIMIENTO</t>
  </si>
  <si>
    <t>JIT6110984-1</t>
  </si>
  <si>
    <t>SERVICIOS ADICIONALES PNR: QHYKPQ</t>
  </si>
  <si>
    <t>RELIANCE AUTOMATION</t>
  </si>
  <si>
    <t>JIT6111183</t>
  </si>
  <si>
    <t>CARGOS AEROPORTUARIOS</t>
  </si>
  <si>
    <t>M26-0666</t>
  </si>
  <si>
    <t>Infraestructura</t>
  </si>
  <si>
    <t>GASTOS EN EL EXTRANJERO</t>
  </si>
  <si>
    <t>COORDINACION FLETE MARITIMO</t>
  </si>
  <si>
    <t>VALIDACION AA</t>
  </si>
  <si>
    <t>GASTOS EN MEXICO</t>
  </si>
  <si>
    <t>JMA6000233</t>
  </si>
  <si>
    <t>CUOTA POR ADUANA, COBRO ADICIONAL POR ADUANA CON SEDES DE CLAA (N.LAREDO,VERACRUZ)</t>
  </si>
  <si>
    <t>Recuperacion de Gastos Uso Energia Electrica</t>
  </si>
  <si>
    <t>SIGLO BATHROOMS &amp; TILES</t>
  </si>
  <si>
    <t>JMV6000158</t>
  </si>
  <si>
    <t>SERV A</t>
  </si>
  <si>
    <t>CONTROL ELECTRONICO DE LA INFORMACIÓN</t>
  </si>
  <si>
    <t>TRAMITE DE RV</t>
  </si>
  <si>
    <t>FLETE LOCAL ADUANA IFA A CUAUTITLÁN, EDO. MÉX. 02/08/2026.</t>
  </si>
  <si>
    <t>YOKOGAWA DE MEXICO</t>
  </si>
  <si>
    <t>M6001462</t>
  </si>
  <si>
    <t>LIBERACION</t>
  </si>
  <si>
    <t>COMISION COBRADA</t>
  </si>
  <si>
    <t>DERMOTIONS</t>
  </si>
  <si>
    <t>JMA6000223</t>
  </si>
  <si>
    <t>COP-IMP BOND CARTA COLOR 1-24H</t>
  </si>
  <si>
    <t>JML6000217</t>
  </si>
  <si>
    <t>CONTRATO DE SOPORTE TECNICO ANUAL
Póliza de soporte técnico anual sin garantías en equipamiento para
Carga Aérea Consolidada CDMX
2026 - 2027</t>
  </si>
  <si>
    <t>INGENIERIA ELECTROMECANICA INDUSTRIAL TRELIZA</t>
  </si>
  <si>
    <t>CONTRATO DE SOPORTE TECNICO ANUAL
Póliza de soporte técnico anual sin garantías en equipamiento para Carga Aérea Consolidada Toluca 1
2026 - 2027</t>
  </si>
  <si>
    <t>CONTRATO DE SOPORTE TECNICO ANUAL
Póliza de soporte técnico anual sin garantías en equipamiento para Carga Aérea Consolidada Toluca 2
2025 - 2026</t>
  </si>
  <si>
    <t>FFAU1450514-CODIGO ISPS</t>
  </si>
  <si>
    <t>DHL07082026</t>
  </si>
  <si>
    <t>JMA6000231</t>
  </si>
  <si>
    <t>FFAU1450514-CONTROL DOCUMENTAL ELECTRONICO</t>
  </si>
  <si>
    <t>FFAU1450514-ENTREGA SPF LLENO 40 HC</t>
  </si>
  <si>
    <t>ARA6000168</t>
  </si>
  <si>
    <t>FFAU1450514-MUELLAJE 40 HC</t>
  </si>
  <si>
    <t>DHL11082026</t>
  </si>
  <si>
    <t>GABRIELA CAMPOS GARCIA</t>
  </si>
  <si>
    <t>JIT6111205</t>
  </si>
  <si>
    <t>FFAU1450514-TRASLADO COSTADO DE BUQUE-PATIO 40 HC</t>
  </si>
  <si>
    <t>Renta de Servicios de Internet</t>
  </si>
  <si>
    <t>DHL10082026</t>
  </si>
  <si>
    <t>ARA6000169</t>
  </si>
  <si>
    <t>248 - SERVICIO DE MOVIMIENTO DE CARGA PARA CONTENEDOR DE 20 / CARGA AEREA</t>
  </si>
  <si>
    <t>8 - SERVICIO DE FLEJADO PLASTICO POR METRO</t>
  </si>
  <si>
    <t>15 - COLOCACION DE HEBILLAS PARA FLEJES DE PLASTICO</t>
  </si>
  <si>
    <t>Servicio de Telecomunicaciones</t>
  </si>
  <si>
    <t>ARA6000165</t>
  </si>
  <si>
    <t>JMV6000160</t>
  </si>
  <si>
    <t>JMA6000235</t>
  </si>
  <si>
    <t>Anticipo del Bien o Servicio</t>
  </si>
  <si>
    <t>JIT6111200</t>
  </si>
  <si>
    <t>MLM PRODUCTOS</t>
  </si>
  <si>
    <t>MAI2606831</t>
  </si>
  <si>
    <t>COORDINACION ADMINISTRATIVA POR PROGRAMACION URGENTE PARA CONTENEDOR LLENO</t>
  </si>
  <si>
    <t>PATIO REGULADOR - CAL</t>
  </si>
  <si>
    <t>COSTA &amp; OJEDA TRADING</t>
  </si>
  <si>
    <t>JMV6000156</t>
  </si>
  <si>
    <t>PATROCINIO WORKSHOP INTERNACIONAL SISTEMAS ELECTRONICOS ADUANEROS PARA USUARIOS DE COMERCIO EXTERIOR CANCUN 7 Y 8 DE OCTUBRE 2026</t>
  </si>
  <si>
    <t>PATIO REGULADOR DEL 23/07/2026, UNIDAD: 81UR7K.</t>
  </si>
  <si>
    <t>H3-9 AGOSTO</t>
  </si>
  <si>
    <t>PATIO REGULADOR DEL 23/07/2026, UNIDAD: 29UX9T.</t>
  </si>
  <si>
    <t>PATIO REGULADOR DEL 24/07/2026, UNIDAD: 73VA8Z.</t>
  </si>
  <si>
    <t>AERO TRANSPORTE DE CARGA UNION</t>
  </si>
  <si>
    <t>SERVICIO AL COMER. EXT.</t>
  </si>
  <si>
    <t>PATIO REGULADOR DEL 24/07/2026, UNIDAD: 43UM5D.</t>
  </si>
  <si>
    <t>JML6000219</t>
  </si>
  <si>
    <t>PATIO REGULADOR DEL 24/07/2026, UNIDAD: 82UW5S.</t>
  </si>
  <si>
    <t>PATIO REGULADOR DEL 24/07/2026, UNIDAD: 72UX8U.</t>
  </si>
  <si>
    <t>JML6000218</t>
  </si>
  <si>
    <t>PATIO REGULADOR DEL 25/07/2026, UNIDAD: 27VA2C.</t>
  </si>
  <si>
    <t>PATIO REGULADOR DEL 25/07/2026, UNIDAD: 80TZ3Z.</t>
  </si>
  <si>
    <t>AHG BYOMEDICA</t>
  </si>
  <si>
    <t>JIT6111186</t>
  </si>
  <si>
    <t>PATIO REGULADOR DEL 25/07/2026, UNIDAD: 93UZ3T.</t>
  </si>
  <si>
    <t>PATIO REGULADOR DEL 26/07/2026, UNIDAD: 69XU7P.</t>
  </si>
  <si>
    <t>IMILE JULIO</t>
  </si>
  <si>
    <t>LAI2602958</t>
  </si>
  <si>
    <t>PATIO REGULADOR DEL 26/07/2026, UNIDAD: 06UV9Z.</t>
  </si>
  <si>
    <t>PATIO REGULADOR DEL 27/07/2026, UNIDAD: 43UM5D.</t>
  </si>
  <si>
    <t>PATIO REGULADOR DEL 27/07/2026, UNIDAD: 69XU7P.</t>
  </si>
  <si>
    <t>PATIO REGULADOR DEL 27/07/2026, UNIDAD: 79UW8P.</t>
  </si>
  <si>
    <t>JMV6000186</t>
  </si>
  <si>
    <t>PATIO REGULADOR DEL 27/07/2026, UNIDAD: 03UF8U.</t>
  </si>
  <si>
    <t>PATIO REGULADOR DEL 28/07/2026, UNIDAD: 10BC1J.</t>
  </si>
  <si>
    <t>PATIO REGULADOR DEL 28/07/2026, UNIDAD: 93UZ3T.</t>
  </si>
  <si>
    <t>PATIO REGULADOR DEL 28/07/2026, UNIDAD: 065WN1.</t>
  </si>
  <si>
    <t>PATIO REGULADOR DEL 28/07/2026, UNIDAD: 80TZ3Z.</t>
  </si>
  <si>
    <t>JIT6111164</t>
  </si>
  <si>
    <t>PATIO REGULADOR DEL 29/07/2026, UNIDAD: 49UZ5Z.</t>
  </si>
  <si>
    <t>LAI2603018</t>
  </si>
  <si>
    <t>PATIO REGULADOR DEL 29/07/2026, UNIDAD: 01UB9Z.</t>
  </si>
  <si>
    <t>PATIO REGULADOR DEL 29/07/2026, UNIDAD: 69XU7P.</t>
  </si>
  <si>
    <t>PATIO REGULADOR DEL 30/07/2026, UNIDAD: 82UW5S.</t>
  </si>
  <si>
    <t>PATIO REGULADOR DEL 30/07/2026, UNIDAD: 71VA6B.</t>
  </si>
  <si>
    <t>CORPORACION ADUANAL CLI</t>
  </si>
  <si>
    <t>JMA6000192</t>
  </si>
  <si>
    <t>PATIO REGULADOR DEL 30/07/2026, UNIDAD: 10BC1J.</t>
  </si>
  <si>
    <t>RECUPERACION DE ABANDONO AA</t>
  </si>
  <si>
    <t>PATIO REGULADOR DEL 30/07/2026, UNIDAD: 596UP9.</t>
  </si>
  <si>
    <t>PATIO REGULADOR DEL 30/07/2026, UNIDAD: 69XU7P.</t>
  </si>
  <si>
    <t>DOCUMENTACION ADUANAL</t>
  </si>
  <si>
    <t>PATIO REGULADOR DEL 31/07/2026, UNIDAD: 79UW8P.</t>
  </si>
  <si>
    <t>PATIO REGULADOR DEL 31/07/2026, UNIDAD: 43UM5D.</t>
  </si>
  <si>
    <t>ARA6000162</t>
  </si>
  <si>
    <t>PATIO REGULADOR DEL 31/07/2026, UNIDAD: 93UZ3T.</t>
  </si>
  <si>
    <t>DHL12082026</t>
  </si>
  <si>
    <t>PATIO REGULADOR DEL 23/07/2026, UNIDAD: 06UZ7A.</t>
  </si>
  <si>
    <t>KRODEX</t>
  </si>
  <si>
    <t>JMA6000238</t>
  </si>
  <si>
    <t>Servicio Rastreo - Audio 1 mes(es).  01.08.2026 al 31.08.2026</t>
  </si>
  <si>
    <t>HYGOLET DE MEXICO</t>
  </si>
  <si>
    <t>JMA6000215</t>
  </si>
  <si>
    <t>AMAZON 2</t>
  </si>
  <si>
    <t>LAI2602836</t>
  </si>
  <si>
    <t>ALEJANDRO FLORES MANCERA</t>
  </si>
  <si>
    <t>Prediccion de etiquetado Mensajerias Enero - Abril</t>
  </si>
  <si>
    <t>Servicios de clasificación del mes de Julio 2026</t>
  </si>
  <si>
    <t>JMA6000234</t>
  </si>
  <si>
    <t>CUSTODIA</t>
  </si>
  <si>
    <t>RECUPERACION MANTRANSFER</t>
  </si>
  <si>
    <t>FLETE LOCAL ADUANA AIFA A CUATITLÁN, EDO. MÉX. 04/08/2026.</t>
  </si>
  <si>
    <t>Servicio de Camión Eco 21-B  realizado el día 02 de Agosto del 2026. Origen: AIFA Destino: Teoloyucan Referencia: IMILE02082026-ECO 21-B</t>
  </si>
  <si>
    <t>ARA6000166</t>
  </si>
  <si>
    <t>Contraprestación</t>
  </si>
  <si>
    <t>ARA6000171</t>
  </si>
  <si>
    <t>Renta del mes de AGOSTO 2026 cuenta predial. 019363220005</t>
  </si>
  <si>
    <t>VIAJE 03/08/2026</t>
  </si>
  <si>
    <t>FLETE LOCAL ADUANA AIFA A CUAUTITLÁN, EDO. MEX. 03/08/2026.</t>
  </si>
  <si>
    <t>ARA6000170</t>
  </si>
  <si>
    <t>DHL13082026</t>
  </si>
  <si>
    <t>LAI2603247</t>
  </si>
  <si>
    <t>FACTURIFY</t>
  </si>
  <si>
    <t>Tarifa</t>
  </si>
  <si>
    <t>DESCARGA DE CONTENEDOR VACIO CAMION</t>
  </si>
  <si>
    <t>CARA6000171</t>
  </si>
  <si>
    <t>JMA6000230/239</t>
  </si>
  <si>
    <t>FLETE: VERACRUZ - MEXICO
REFERENCIA: JMV6000138</t>
  </si>
  <si>
    <t>JMV6000171</t>
  </si>
  <si>
    <t>"COMERCIALIZADORA DE BIENES Y CONCEPTOS"</t>
  </si>
  <si>
    <t>JMA6000181</t>
  </si>
  <si>
    <t>Maniobra de entrada. APZU2109242</t>
  </si>
  <si>
    <t>DHL13082026E</t>
  </si>
  <si>
    <t>LAI2602837</t>
  </si>
  <si>
    <t>LOGISTICA PORTUARIA LAZARO CARDENAS</t>
  </si>
  <si>
    <t>COORDINACION DE SERVICIOS LOGISTICOS PARA ENTREGA</t>
  </si>
  <si>
    <t>FLETE LOCAL ADUANA AIFA A CUAUTITLÁN, EDO. MÉX. 05/08/2026.</t>
  </si>
  <si>
    <t>JMA6000248</t>
  </si>
  <si>
    <t>DHL14082026</t>
  </si>
  <si>
    <t>JML6000194</t>
  </si>
  <si>
    <t>ISC FORWARDERS INC</t>
  </si>
  <si>
    <t>JML6000193</t>
  </si>
  <si>
    <t>LAI2603017</t>
  </si>
  <si>
    <t>CUOTA PREVALIDACION DE PEDIMENTOS(-1000)</t>
  </si>
  <si>
    <t>JMA6000218</t>
  </si>
  <si>
    <t>CANDADOS FISCALES</t>
  </si>
  <si>
    <t>JMA6000236</t>
  </si>
  <si>
    <t>PACK 4 ROLLOS FILM PLASTICO PARA EMPLAYAR PLAYO 18X50X800</t>
  </si>
  <si>
    <t>EDUARDO HERNANDEZ AGUIRRE</t>
  </si>
  <si>
    <t>MAI2607118</t>
  </si>
  <si>
    <t>PROELIN</t>
  </si>
  <si>
    <t>JMA6000222</t>
  </si>
  <si>
    <t>FLETE LOCAL ADUANA AIFA A CUAUTITLÁN, EDO. MÉX. 06/08/2026.</t>
  </si>
  <si>
    <t>MAI2607116</t>
  </si>
  <si>
    <t>MAI2607088</t>
  </si>
  <si>
    <t>DHL19082026E</t>
  </si>
  <si>
    <t>LAI2602911</t>
  </si>
  <si>
    <t>MAI2607120-2</t>
  </si>
  <si>
    <t>JMA6000246</t>
  </si>
  <si>
    <t>PREVIO</t>
  </si>
  <si>
    <t>CAR WASH CLUB</t>
  </si>
  <si>
    <t>JML6000092</t>
  </si>
  <si>
    <t>MAI2607234</t>
  </si>
  <si>
    <t>Folio</t>
  </si>
  <si>
    <t>Fecha</t>
  </si>
  <si>
    <t>Mes</t>
  </si>
  <si>
    <t>Estatus</t>
  </si>
  <si>
    <t>Referencia</t>
  </si>
  <si>
    <t>Aduana</t>
  </si>
  <si>
    <t>NOMBRE ADUANA</t>
  </si>
  <si>
    <t>Cliente</t>
  </si>
  <si>
    <t>HONORARIOS AA</t>
  </si>
  <si>
    <t>RESUMEN</t>
  </si>
  <si>
    <t>DHL20082026</t>
  </si>
  <si>
    <t>TIMBRADA</t>
  </si>
  <si>
    <t>SERVICIOS NOTARIALES ESCRITURA NUM. 27,874.</t>
  </si>
  <si>
    <t>JMV6000191</t>
  </si>
  <si>
    <t>JOSE MIGUEL RODRIGUEZ GONZALEZ</t>
  </si>
  <si>
    <t>SUDU7300170-ENTREGA ESPRESS SPF</t>
  </si>
  <si>
    <t>CJMV6000138</t>
  </si>
  <si>
    <t>LAI2602959</t>
  </si>
  <si>
    <t>LAZARO CARDENAS</t>
  </si>
  <si>
    <t>ITEMS ADICIONALES</t>
  </si>
  <si>
    <t>SUDU7300170-ALMACENAJE 20</t>
  </si>
  <si>
    <t>TIJUANA</t>
  </si>
  <si>
    <t>TOLUCA BSO</t>
  </si>
  <si>
    <t>JMA6000242</t>
  </si>
  <si>
    <t>SUDU7300170-PAQ MATERIAL</t>
  </si>
  <si>
    <t>CJMA6000226</t>
  </si>
  <si>
    <t>SUDU7300170-CODIGO ISPS</t>
  </si>
  <si>
    <t>Suma total</t>
  </si>
  <si>
    <t>ARA6000173</t>
  </si>
  <si>
    <t>importante, el estatus debe ser TIMBRADO unicamente porque en otros meses hay otros status en el reporte, lo que salga de aqui de honorarios agente aduanal, debe irse a INGRESOS de cada aduana. EL CONCEPTO DEBE SER HONORARIOS AA</t>
  </si>
  <si>
    <t>SUDU7300170-COLOCACION JERSEYBARRIES, MESAS O EXT.</t>
  </si>
  <si>
    <t>M26-0732</t>
  </si>
  <si>
    <t>SUDU7300170-CONTROL DOCUMENTAL ELECTRONICO</t>
  </si>
  <si>
    <t>SUDU7300170-ENTREGA SPF LLENO 20</t>
  </si>
  <si>
    <t>SUDU7300170-MOVIMIENTO DE CONTENEDOR 20 PATIO-PREVIO</t>
  </si>
  <si>
    <t>SERVICIOS LOGISTICOS</t>
  </si>
  <si>
    <t>SUDU7300170-MUELLAJE 20</t>
  </si>
  <si>
    <t>CMAI2607394</t>
  </si>
  <si>
    <t>SUDU7300170-PERSONAL ADICIONAL</t>
  </si>
  <si>
    <t>JMA6000245</t>
  </si>
  <si>
    <t>SUDU7300170-PERSONAL ADICIONAL ETIQUETADO</t>
  </si>
  <si>
    <t>SUDU7300170-PERSONAL ADICIONAL LIMPIEZA EN PREVIO</t>
  </si>
  <si>
    <t>JMA6000247</t>
  </si>
  <si>
    <t>SUDU7300170-PREVIO DESYCON</t>
  </si>
  <si>
    <t>JIT6111070</t>
  </si>
  <si>
    <t>JUAN MIGUEL DE PAU MARRUFO</t>
  </si>
  <si>
    <t>JMA6000237</t>
  </si>
  <si>
    <t>SUDU7300170-REGARGO DE DOBLE ESPACIO EN PREVIO</t>
  </si>
  <si>
    <t>ABREVIATURA</t>
  </si>
  <si>
    <t>NO ADUANA</t>
  </si>
  <si>
    <t>JMA</t>
  </si>
  <si>
    <t>DHL19082026</t>
  </si>
  <si>
    <t>AA</t>
  </si>
  <si>
    <t>CA</t>
  </si>
  <si>
    <t>ARA</t>
  </si>
  <si>
    <t>JML</t>
  </si>
  <si>
    <t>JEL</t>
  </si>
  <si>
    <t>CNA</t>
  </si>
  <si>
    <t>LLI</t>
  </si>
  <si>
    <t>JMV6000187</t>
  </si>
  <si>
    <t>LAI</t>
  </si>
  <si>
    <t>MLI</t>
  </si>
  <si>
    <t>SUDU7300170-TRASLADO COSTADO DE BUQUE-PATIO 20</t>
  </si>
  <si>
    <t>MAI</t>
  </si>
  <si>
    <t>M23</t>
  </si>
  <si>
    <t>M24</t>
  </si>
  <si>
    <t>JMM</t>
  </si>
  <si>
    <t>MEXICALI</t>
  </si>
  <si>
    <t>LAWMTY</t>
  </si>
  <si>
    <t>JIT</t>
  </si>
  <si>
    <t>BSO</t>
  </si>
  <si>
    <t>ABC</t>
  </si>
  <si>
    <t>JMV</t>
  </si>
  <si>
    <t>V24</t>
  </si>
  <si>
    <t>RJM</t>
  </si>
  <si>
    <t>RBS</t>
  </si>
  <si>
    <t>GAR</t>
  </si>
  <si>
    <t>CLA</t>
  </si>
  <si>
    <t>CJM</t>
  </si>
  <si>
    <t>M25</t>
  </si>
  <si>
    <t>25A</t>
  </si>
  <si>
    <t>LAW</t>
  </si>
  <si>
    <t>FFT</t>
  </si>
  <si>
    <t>AAI</t>
  </si>
  <si>
    <t>25P</t>
  </si>
  <si>
    <t>AXI</t>
  </si>
  <si>
    <t>CBS</t>
  </si>
  <si>
    <t>CFF</t>
  </si>
  <si>
    <t>GLI</t>
  </si>
  <si>
    <t>CJE</t>
  </si>
  <si>
    <t>MTM</t>
  </si>
  <si>
    <t>JTI</t>
  </si>
  <si>
    <t>CJT</t>
  </si>
  <si>
    <t>26A</t>
  </si>
  <si>
    <t>LOD</t>
  </si>
  <si>
    <t>YAS</t>
  </si>
  <si>
    <t>M26</t>
  </si>
  <si>
    <t>BBR</t>
  </si>
  <si>
    <t>AV2</t>
  </si>
  <si>
    <t>LON</t>
  </si>
  <si>
    <t>M Y</t>
  </si>
  <si>
    <t>JIT6111234</t>
  </si>
  <si>
    <t>RJI</t>
  </si>
  <si>
    <t>AAA</t>
  </si>
  <si>
    <t>JET</t>
  </si>
  <si>
    <t>Servicios de expedidores de fletes</t>
  </si>
  <si>
    <t>JML6000226</t>
  </si>
  <si>
    <t>COBRO DE DEDUCIBLE</t>
  </si>
  <si>
    <t>JIT6111220</t>
  </si>
  <si>
    <t>NANCY JEANETTE ROA DOMINGUEZ</t>
  </si>
  <si>
    <t>RECARGA EXTINTOR 4.5 KG PQS</t>
  </si>
  <si>
    <t>JMV6000112</t>
  </si>
  <si>
    <t>RECARGA EXTINTOR 10LB 4.5 KG CO2</t>
  </si>
  <si>
    <t>GOBIERNO DE LA CIUDAD DE MEXICO</t>
  </si>
  <si>
    <t>IMPORTE ACTUALIZADO</t>
  </si>
  <si>
    <t>ARA6000172</t>
  </si>
  <si>
    <t>JML6000223</t>
  </si>
  <si>
    <t>PAQUETE DE SERVICIOS DE CARGA DESCARGA Y MANIOBRAS DE MERCANCIAS EN EL RECINTO FISCAL DE LA ADUANA DE
LAZARO CARDENAS EL DIA 03/08/2026
SERVICIO PORTUARIO DE MANIOBRAS
CONTENEDOR:TLLU4475741
REFERENCIA:LAI2603018</t>
  </si>
  <si>
    <t>JIT6111035</t>
  </si>
  <si>
    <t>M26-0701</t>
  </si>
  <si>
    <t>FLETE LOCAL ADUANA AIFA A CUAUTITLAN, EDO. MEX. 05/08/2026.</t>
  </si>
  <si>
    <t>MAI2607395</t>
  </si>
  <si>
    <t>MAI2607120-1</t>
  </si>
  <si>
    <t>MAI2607394</t>
  </si>
  <si>
    <t>DHL20082026E</t>
  </si>
  <si>
    <t>FLETE LOCAL ADUANA AIFA-IMILE-PERAL DEL 28/07/2026.</t>
  </si>
  <si>
    <t>JMA6000230</t>
  </si>
  <si>
    <t>FLETE LOCAL AUANA AIFA A CUAUTITLÁN, EDO. MÉX. 06/08/2026.</t>
  </si>
  <si>
    <t>LUIS CUEVAS ENAMORADO</t>
  </si>
  <si>
    <t>JIT6111072</t>
  </si>
  <si>
    <t>PREVIO (MERCANCIA SUELTA)  COBRO MÍNIMO</t>
  </si>
  <si>
    <t>MATERIAL DE CONSUMO FLEJE</t>
  </si>
  <si>
    <t>Nombre del vendedor</t>
  </si>
  <si>
    <t>Clave de cliente</t>
  </si>
  <si>
    <t>CINTA(S)</t>
  </si>
  <si>
    <t>Patente</t>
  </si>
  <si>
    <t>Referencias</t>
  </si>
  <si>
    <t>Nombre aduana</t>
  </si>
  <si>
    <t>ESTATUS</t>
  </si>
  <si>
    <t>Total Conceptos AA</t>
  </si>
  <si>
    <t>Fecha Pago Pedimento</t>
  </si>
  <si>
    <t>Fecha Factura</t>
  </si>
  <si>
    <t>Sub Total</t>
  </si>
  <si>
    <t>Total IVA</t>
  </si>
  <si>
    <t>Valor Aduana</t>
  </si>
  <si>
    <t>ALTA CLIENTE CON LA UNIDAD VERIFICADORA</t>
  </si>
  <si>
    <t>COMISION BANCARIA COMPRA DIVISA AA</t>
  </si>
  <si>
    <t>CONTRAPRESTACI�N</t>
  </si>
  <si>
    <t>CONTRATO DE UVA</t>
  </si>
  <si>
    <t>DESCONSOLIDACION AA</t>
  </si>
  <si>
    <t>LAVADO DE CONTENEDOR AA</t>
  </si>
  <si>
    <t>ETIQUETADO</t>
  </si>
  <si>
    <t>GESTION DE LIBERACION DE ABANDONO</t>
  </si>
  <si>
    <t>MONTACARGA</t>
  </si>
  <si>
    <t>EMPLAYADO</t>
  </si>
  <si>
    <t>RECTIFICACION DE PEDIMENTO</t>
  </si>
  <si>
    <t>TOTAL GENERAL</t>
  </si>
  <si>
    <t>TOTAL BASE</t>
  </si>
  <si>
    <t>CARLOS ANDRES RUBIO MACIAS</t>
  </si>
  <si>
    <t>FCA95</t>
  </si>
  <si>
    <t>ARA6000142-1</t>
  </si>
  <si>
    <t>Cobrada</t>
  </si>
  <si>
    <t>8/25/2026</t>
  </si>
  <si>
    <t>PALLET NUEVO</t>
  </si>
  <si>
    <t>ALMA HERNANDEZ</t>
  </si>
  <si>
    <t>CA279</t>
  </si>
  <si>
    <t>CDD CENTRAL DATA DESIGN SA DE CV</t>
  </si>
  <si>
    <t>PREVIOS</t>
  </si>
  <si>
    <t>IMILE-PREVIO</t>
  </si>
  <si>
    <t>7/20/2026</t>
  </si>
  <si>
    <t>FCA3</t>
  </si>
  <si>
    <t>JARB Y ASOCIADOS SC</t>
  </si>
  <si>
    <t>TURNO HOMBRE</t>
  </si>
  <si>
    <t>7/24/2026</t>
  </si>
  <si>
    <t>MOVIMIENTO DE MERCANCIA SUELTA DENTRO DEL ALMACÉN  COBRO MÍNIMO</t>
  </si>
  <si>
    <t>CA165</t>
  </si>
  <si>
    <t>THE CHAMELEONIC FAMILY SAPI DE CV</t>
  </si>
  <si>
    <t>7/31/2026</t>
  </si>
  <si>
    <t>SERVICIOS HORA HOMBRE EN ALMACÉN PARA PREVIO  COBRO MÍNIMO</t>
  </si>
  <si>
    <t>MAI2607120</t>
  </si>
  <si>
    <t>CA141</t>
  </si>
  <si>
    <t>ARA6000167</t>
  </si>
  <si>
    <t>ALMACENAJE CARGA GRAL POR CADA 500 KGS. DIA 1 AL 15</t>
  </si>
  <si>
    <t>8/21/2026</t>
  </si>
  <si>
    <t>CA207</t>
  </si>
  <si>
    <t>YOKOGAWA DE MEXICO SA DE CV</t>
  </si>
  <si>
    <t>GUARDA Y CONSERVACIÓN DE MERCANCÍA SUELTA</t>
  </si>
  <si>
    <t>CJMA6000230</t>
  </si>
  <si>
    <t>CA7</t>
  </si>
  <si>
    <t>CREATIVA TCH  SA DE CV</t>
  </si>
  <si>
    <t>Por Pagar</t>
  </si>
  <si>
    <t>CONTROL ELECTRÓNICO DE INFORMACIÓN Y TRAMITACIÓN</t>
  </si>
  <si>
    <t>LUPA MONTESSORI</t>
  </si>
  <si>
    <t>JMV6000167</t>
  </si>
  <si>
    <t>GA685</t>
  </si>
  <si>
    <t>CARGOTECNIA EQUIPOS, S.A. DE C.V.</t>
  </si>
  <si>
    <t>Por Cobrar</t>
  </si>
  <si>
    <t>VALIDACIÓN ELECTRÓNICA DE REVALIDACIÓN</t>
  </si>
  <si>
    <t>CA205</t>
  </si>
  <si>
    <t>SIGLO BATHROOMS &amp; TILES SA DE CV</t>
  </si>
  <si>
    <t>8/14/2026</t>
  </si>
  <si>
    <t>8/20/2026</t>
  </si>
  <si>
    <t>JMV6000190</t>
  </si>
  <si>
    <t>ENTREGA DE MERCANCIA FRACCIONADA  COBRO MÍNIMO</t>
  </si>
  <si>
    <t>ARA6000175</t>
  </si>
  <si>
    <t>8/24/2026</t>
  </si>
  <si>
    <t>ARA6000177</t>
  </si>
  <si>
    <t>Proforma</t>
  </si>
  <si>
    <t>8/26/2026</t>
  </si>
  <si>
    <t>8/27/2026</t>
  </si>
  <si>
    <t>8/17/2026</t>
  </si>
  <si>
    <t>GA776</t>
  </si>
  <si>
    <t>ENVASES PUROS INTERNATIONAL DE MEXICO S, DE R.L. DE C.V.</t>
  </si>
  <si>
    <t>CJMV6000191</t>
  </si>
  <si>
    <t>JET6010333</t>
  </si>
  <si>
    <t>ERNESTO MARGARITO LOZADA HERNANDEZ</t>
  </si>
  <si>
    <t>CA70</t>
  </si>
  <si>
    <t>CIPSA INDUSTRIAS S DE RL DE CV</t>
  </si>
  <si>
    <t>CMA</t>
  </si>
  <si>
    <t>FCA62</t>
  </si>
  <si>
    <t>H10-16 AGOSTO</t>
  </si>
  <si>
    <t>H10</t>
  </si>
  <si>
    <t>H17-23 AGOSTO</t>
  </si>
  <si>
    <t>H17</t>
  </si>
  <si>
    <t>H27</t>
  </si>
  <si>
    <t>H3-</t>
  </si>
  <si>
    <t>FT41</t>
  </si>
  <si>
    <t>B. BRAUN MEDICAL DE MEXICO SAPI DE CV</t>
  </si>
  <si>
    <t>7/21/2026</t>
  </si>
  <si>
    <t>FEDERAL EXPRESS HOLDINGS</t>
  </si>
  <si>
    <t>JET6010357</t>
  </si>
  <si>
    <t>8/28/2026</t>
  </si>
  <si>
    <t>CA261</t>
  </si>
  <si>
    <t>COMERCIALIZADORA RORAIMA SA DE CV</t>
  </si>
  <si>
    <t>FTS038</t>
  </si>
  <si>
    <t>8/19/2026</t>
  </si>
  <si>
    <t>7/23/2026</t>
  </si>
  <si>
    <t>CA190</t>
  </si>
  <si>
    <t>RAFCO SERVICES SA DE CV</t>
  </si>
  <si>
    <t>7/30/2026</t>
  </si>
  <si>
    <t>CON1</t>
  </si>
  <si>
    <t>POINTER RECUPERACION DE MEXICO SA DE CV</t>
  </si>
  <si>
    <t>8/18/2026</t>
  </si>
  <si>
    <t>JMA6000252/253</t>
  </si>
  <si>
    <t>FTS299</t>
  </si>
  <si>
    <t>RELIANCE AUTOMATION SA DE CV</t>
  </si>
  <si>
    <t>FI134</t>
  </si>
  <si>
    <t>AHG BYOMEDICA SA DE CV</t>
  </si>
  <si>
    <t>FI297</t>
  </si>
  <si>
    <t>SMALL BONE SYSTEM SA DE CV</t>
  </si>
  <si>
    <t>Tarifa de cancelación</t>
  </si>
  <si>
    <t>FE0108</t>
  </si>
  <si>
    <t>LODANMEX,S.A DE C.V.</t>
  </si>
  <si>
    <t>JIT6111208</t>
  </si>
  <si>
    <t>FI414</t>
  </si>
  <si>
    <t>GRUPO GALWAY SA DE CV</t>
  </si>
  <si>
    <t>JIT6111224</t>
  </si>
  <si>
    <t>8/13/2026</t>
  </si>
  <si>
    <t>JIT6111226</t>
  </si>
  <si>
    <t>FTS617</t>
  </si>
  <si>
    <t>MG 2020 S DE RL DE CV</t>
  </si>
  <si>
    <t>JIT6111249</t>
  </si>
  <si>
    <t>FI291</t>
  </si>
  <si>
    <t>KRODEX SA DE CV</t>
  </si>
  <si>
    <t>JIT6111252</t>
  </si>
  <si>
    <t>JIT6111254</t>
  </si>
  <si>
    <t>CA267</t>
  </si>
  <si>
    <t>EDGAR PEREZ BECERRIL</t>
  </si>
  <si>
    <t>JMA6000168</t>
  </si>
  <si>
    <t>GA691</t>
  </si>
  <si>
    <t>COMERCIALIZADORA DE BIENES Y CONCEPTOS SA DE CV</t>
  </si>
  <si>
    <t>LALUR</t>
  </si>
  <si>
    <t>JMV6000157</t>
  </si>
  <si>
    <t>FCA96</t>
  </si>
  <si>
    <t>Asesoria
en Servicios de BackOffice Agosto.</t>
  </si>
  <si>
    <t>JMA6000253</t>
  </si>
  <si>
    <t>CON9</t>
  </si>
  <si>
    <t>EDITORIAL PANINI MEXICO SA DE CV</t>
  </si>
  <si>
    <t>7/16/2026</t>
  </si>
  <si>
    <t>7/27/2026</t>
  </si>
  <si>
    <t>GA588</t>
  </si>
  <si>
    <t>WAX REVOLUTION S A DE C V</t>
  </si>
  <si>
    <t>JMA6000214</t>
  </si>
  <si>
    <t>GA854</t>
  </si>
  <si>
    <t>HYGOLET DE MEXICO SA DE CV</t>
  </si>
  <si>
    <t>7/29/2026</t>
  </si>
  <si>
    <t>IMILEJULIOTRANS</t>
  </si>
  <si>
    <t>JMA6000229</t>
  </si>
  <si>
    <t>CJMA6000253</t>
  </si>
  <si>
    <t>[ZM-18020] Monitor Gamer XTREME PC GAMING Infinite Game 24.5” 5ms 100Hz FHD IPS HDMI Altavoces Negro MXTBK245F Monitor Gamer 24.5 Xtreme Pc Infinite Game 5ms 100hz Negro Negro</t>
  </si>
  <si>
    <t>REBECA GARCIA</t>
  </si>
  <si>
    <t>CA244</t>
  </si>
  <si>
    <t>PROELIN SA DE CV</t>
  </si>
  <si>
    <t>NOM-208-SCFI-2016 - CERTIFICADO</t>
  </si>
  <si>
    <t>CERTDICTAMEN</t>
  </si>
  <si>
    <t>CA278</t>
  </si>
  <si>
    <t>DERMOTIONS SA DE CV</t>
  </si>
  <si>
    <t>VELIPSA</t>
  </si>
  <si>
    <t>NOM-196-SCFI-2016 - DICTAMEN</t>
  </si>
  <si>
    <t>CA113</t>
  </si>
  <si>
    <t>PROMINENT FLUID CONTROLS DE MEXICO SA DE CV</t>
  </si>
  <si>
    <t>JMM6032234</t>
  </si>
  <si>
    <t>GA710</t>
  </si>
  <si>
    <t>INGENIERIA ELECTROMECANICA INDUSTRIAL TRELIZA, SA DE CV</t>
  </si>
  <si>
    <t>CA277</t>
  </si>
  <si>
    <t>MLM PRODUCTOS SA DE CV</t>
  </si>
  <si>
    <t>Elaborada</t>
  </si>
  <si>
    <t>PEAJE CTO EXT MEXIQUENSE</t>
  </si>
  <si>
    <t>PEAJE PEÑON</t>
  </si>
  <si>
    <t>PEAJE SANTA FE VIAPASS</t>
  </si>
  <si>
    <t>JMM6032233</t>
  </si>
  <si>
    <t>PEAJE SEG PISO A.U. NORTE</t>
  </si>
  <si>
    <t>INGRESOS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</si>
  <si>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</si>
  <si>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</si>
  <si>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</si>
  <si>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</si>
  <si>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</si>
  <si>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</si>
  <si>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</si>
  <si>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</si>
  <si>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</si>
  <si>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</si>
  <si>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</si>
  <si>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</si>
  <si>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</si>
  <si>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PEAJE SEGUNDO PISO</t>
  </si>
  <si>
    <t>JMA6000239</t>
  </si>
  <si>
    <t>PEAJE SUPER VIA</t>
  </si>
  <si>
    <t>DHL21082026</t>
  </si>
  <si>
    <t>JMA6000243</t>
  </si>
  <si>
    <t>CJMA6000252</t>
  </si>
  <si>
    <t>PEAJE TEZOYUCA SICE</t>
  </si>
  <si>
    <t>CA258</t>
  </si>
  <si>
    <t>COSTA &amp; OJEDA TRADING SA DE CV</t>
  </si>
  <si>
    <t>JMM6032231</t>
  </si>
  <si>
    <t>LUIS ALBERTO NAVA GOMEZ</t>
  </si>
  <si>
    <t>TOTAL INGRESOS</t>
  </si>
  <si>
    <t>Cuota social del mes de Agosto de 2026.-DEL A.A. JOSEFA PATRICIA MAGAÑA RAMIREZ con la patente 1695.</t>
  </si>
  <si>
    <t>NO INGRESO</t>
  </si>
  <si>
    <t>JMA6000252</t>
  </si>
  <si>
    <t>JMA6000249</t>
  </si>
  <si>
    <t>CA194</t>
  </si>
  <si>
    <t>EPAGO.COM SA DE CV</t>
  </si>
  <si>
    <t>JMA6000250</t>
  </si>
  <si>
    <t>INGRESO NETO</t>
  </si>
  <si>
    <t>JMA6000254</t>
  </si>
  <si>
    <t>GASTO</t>
  </si>
  <si>
    <t>CA243</t>
  </si>
  <si>
    <t>ICA CONSTRUCTORA SA DE CV</t>
  </si>
  <si>
    <t>JMA6000255</t>
  </si>
  <si>
    <t>INTELIGENCIA ARTIFICIAL</t>
  </si>
  <si>
    <t>JMA6000256</t>
  </si>
  <si>
    <t>FLETE LOCAL ADUANA AIFA A CUAUTITLÁN. EDO. MÉX. 08/08/2026.</t>
  </si>
  <si>
    <t>JMA6000258</t>
  </si>
  <si>
    <t>JMA6000259</t>
  </si>
  <si>
    <t>FLETE LOCAL ADUANA AIFA-IMILE-CAINIAO DEL 03/08/2026.</t>
  </si>
  <si>
    <t>JMA6000261</t>
  </si>
  <si>
    <t>AGENTE ADUANAL</t>
  </si>
  <si>
    <t>MENSAJERIA METROPOLITANA SA DE CV</t>
  </si>
  <si>
    <t>EST01</t>
  </si>
  <si>
    <t>CAR WASH CLUB SA DE CV</t>
  </si>
  <si>
    <t>FCA97</t>
  </si>
  <si>
    <t>FIESTA DE FIN DE AÑO</t>
  </si>
  <si>
    <t>7/13/2026</t>
  </si>
  <si>
    <t>FLETE LOCAL ADUANA AIFA-TULTEPEC-CUAUTITLÁN, EDO. MÉX. DEL 05/08/2026.</t>
  </si>
  <si>
    <t>CON8</t>
  </si>
  <si>
    <t>AERO TRANSPORTE DE CARGA UNION SA DE CV</t>
  </si>
  <si>
    <t>EPAGO.COM</t>
  </si>
  <si>
    <t>JML6000214</t>
  </si>
  <si>
    <t>MULTAS</t>
  </si>
  <si>
    <t>FLETE LOCAL ADUANA AIFA A CUAUTITLÁN, EDO. MÉX. 07/08/2026.</t>
  </si>
  <si>
    <t>7/28/2026</t>
  </si>
  <si>
    <t>BARRIDO DE CONTENEDOR</t>
  </si>
  <si>
    <t>estos conceptos rosas,si tienen que resultar de lo que encuentre el sistema en las recibidas, el problema todo lo demás de este centro de costos es de una empresa gringa, y la info la tenemos que alimentar nosotros porque no aparece en el sat</t>
  </si>
  <si>
    <t>ESTAFETA MEXICANA</t>
  </si>
  <si>
    <t>GUIAS GLOBAL IMPORTACION</t>
  </si>
  <si>
    <t>ESTAFETAAGOS2</t>
  </si>
  <si>
    <t>COVES</t>
  </si>
  <si>
    <t>JML6000220</t>
  </si>
  <si>
    <t>JML6000227</t>
  </si>
  <si>
    <t>Derechos</t>
  </si>
  <si>
    <t>JML6000229</t>
  </si>
  <si>
    <t>JML6000230</t>
  </si>
  <si>
    <t>Prima Neta</t>
  </si>
  <si>
    <t>GASTO NETO</t>
  </si>
  <si>
    <t>JMV6000192</t>
  </si>
  <si>
    <t>JML6000234</t>
  </si>
  <si>
    <t>SIN FÓRMULA</t>
  </si>
  <si>
    <t>JMM6032238</t>
  </si>
  <si>
    <t>SUELDOS</t>
  </si>
  <si>
    <t>JMM6032239</t>
  </si>
  <si>
    <t>PINEDA BERNAL ZUGELY</t>
  </si>
  <si>
    <t>JMM60322431</t>
  </si>
  <si>
    <t>JMV6000087</t>
  </si>
  <si>
    <t>EL CLIENTE COMPRA DOLAR AMERICANO</t>
  </si>
  <si>
    <t>FLETE LOCAL ADUANA AIFA-TULTEPEC-CUAUTITLÁN, EDO. MÉX. 05/08/2026.</t>
  </si>
  <si>
    <t>CA271</t>
  </si>
  <si>
    <t>PENINSULA MAQUINARIA Y EQUIPO PESADO SA DE CV</t>
  </si>
  <si>
    <t>FLETE LOCAL ADUANA AIFA A CUAUTITLÁN, EDO. MÉX. 09/08/2026.</t>
  </si>
  <si>
    <t>GONZALEZ SAMANTHA</t>
  </si>
  <si>
    <t>7/17/2026</t>
  </si>
  <si>
    <t>JMV6000156-1</t>
  </si>
  <si>
    <t>GA819</t>
  </si>
  <si>
    <t>LALUR S.A. DE C.V</t>
  </si>
  <si>
    <t>TOTAL SUELDOS</t>
  </si>
  <si>
    <t>JMV6000168</t>
  </si>
  <si>
    <t>FLETE LOCAL ADUANA AIFA A CUAUTITLÁN, EDO. MÉX. 08/08/2026.</t>
  </si>
  <si>
    <t>JMV6000169</t>
  </si>
  <si>
    <t>COSTO DE REFERENCIA</t>
  </si>
  <si>
    <t>COMISIÓN USO DE CONTRATO</t>
  </si>
  <si>
    <t>JMV6000189</t>
  </si>
  <si>
    <t>8/31/2026</t>
  </si>
  <si>
    <t>FLORES ALEJANDRO</t>
  </si>
  <si>
    <t>Servicios de Telecomunicaciones</t>
  </si>
  <si>
    <t>TOTAL CTO DE REFERENCIA</t>
  </si>
  <si>
    <t>JMV6000193</t>
  </si>
  <si>
    <t>PENSION DE AGOSTO 2026 (LG-40-208 LG-40-235 80-AU-6J LF-70-713)</t>
  </si>
  <si>
    <t>JMV6000196</t>
  </si>
  <si>
    <t>JMV6000197</t>
  </si>
  <si>
    <t>JMV6000198</t>
  </si>
  <si>
    <t>UTILIDAD DE OPERACION</t>
  </si>
  <si>
    <t>CA18</t>
  </si>
  <si>
    <t>EQUIPOS ESPECIALES MPOWER S DE RL DE CV</t>
  </si>
  <si>
    <t>Plan estándar Standard Plan 1 mes 08/08/2026 hasta 07/09/2026</t>
  </si>
  <si>
    <t>LAI2602887</t>
  </si>
  <si>
    <t>IRVING RODRIGO ALEGRIA MILLAN</t>
  </si>
  <si>
    <t>FLETE LOCAL ADUANA AIFA A CUAUTITLÁN, EDO. MÉX. 10/08/2026.</t>
  </si>
  <si>
    <t>GA575</t>
  </si>
  <si>
    <t>URBAN STREET DE MEXICO SA DE CV</t>
  </si>
  <si>
    <t>LAI2603041</t>
  </si>
  <si>
    <t>PATIO REGULADOR DEL 01/08/2026, UNIDAD: 07UX7K.</t>
  </si>
  <si>
    <t>PATIO REGULADOR DEL 01/08/2026, UNIDAD: 93UX4R.</t>
  </si>
  <si>
    <t>LAI2603294</t>
  </si>
  <si>
    <t>LODANMEXJULEXP</t>
  </si>
  <si>
    <t>PATIO REGULADOR DEL 01/08/2026, UNIDAD: 01UB9Z.</t>
  </si>
  <si>
    <t>CA242</t>
  </si>
  <si>
    <t>LAUGA SA DE CV</t>
  </si>
  <si>
    <t>M26-0253</t>
  </si>
  <si>
    <t>PATIO REGULADOR DEL 02/08/2026, UNIDAD: 80TZ3Z.</t>
  </si>
  <si>
    <t>CA54</t>
  </si>
  <si>
    <t>MEZCLADORAS Y TRAILERS DE MEXICO SA DE CV</t>
  </si>
  <si>
    <t>M26-0534</t>
  </si>
  <si>
    <t>PATIO REGULADOR DEL 02/08/2026, UNIDAD: 06UV9Z.</t>
  </si>
  <si>
    <t>M26-0594</t>
  </si>
  <si>
    <t>M26-0645</t>
  </si>
  <si>
    <t>PATIO REGULADOR DEL 03/08/2026, UNIDAD: 03UF8U.</t>
  </si>
  <si>
    <t>PATIO REGULADOR DEL 03/08/2026, UNIDAD: 07UX7K.</t>
  </si>
  <si>
    <t>M60</t>
  </si>
  <si>
    <t>GA743</t>
  </si>
  <si>
    <t>CONSERVADORES Y QUIMICOS DE MEXICO SA DE CV</t>
  </si>
  <si>
    <t>PATIO REGULADOR DEL 03/08/2026, UNIDAD: 79UW8P.</t>
  </si>
  <si>
    <t>CA145</t>
  </si>
  <si>
    <t>TRAVEL ESONIC SA DE CV</t>
  </si>
  <si>
    <t>MAI2605913</t>
  </si>
  <si>
    <t>PATIO REGULADOR DEL 03/08/2026, UNIDAD: 065WN1.</t>
  </si>
  <si>
    <t>DHL25082026</t>
  </si>
  <si>
    <t>PATIO REGULADOR DEL 04/08/2026, UNIDAD: 80TZ3Z.</t>
  </si>
  <si>
    <t>PATIO REGULADOR DEL 04/08/2026, UNIDAD: 43UM5D.</t>
  </si>
  <si>
    <t>PATIO REGULADOR DEL 04/08/2026, UNIDAD: 93UZ3T.</t>
  </si>
  <si>
    <t>PATIO REGULADOR DEL 04/08/2026, UNIDAD: 27VA2C.</t>
  </si>
  <si>
    <t>Cobrada Parcialmente</t>
  </si>
  <si>
    <t>PATIO REGULADOR DEL 04/08/2026, UNIDAD: 81UW8A.</t>
  </si>
  <si>
    <t>DHL24082026</t>
  </si>
  <si>
    <t>PATIO REGULADOR DEL 04/08/2026, UNIDAD: 69XU7P.</t>
  </si>
  <si>
    <t>ESTMERKALIAGOS</t>
  </si>
  <si>
    <t>MAI2607145</t>
  </si>
  <si>
    <t>PATIO REGULADOR DEL 05/08/2026, UNIDAD: 93UX4R.</t>
  </si>
  <si>
    <t>MAI2607175</t>
  </si>
  <si>
    <t>JMA6000244</t>
  </si>
  <si>
    <t>MAI2607201</t>
  </si>
  <si>
    <t>PATIO REGULADOR DEL 05/08/2026, UNIDAD: 596UP9.</t>
  </si>
  <si>
    <t>GUIAS DE SYNC</t>
  </si>
  <si>
    <t>GUIAS SYNC</t>
  </si>
  <si>
    <t>MAI2607233</t>
  </si>
  <si>
    <t>ESTAFETAAGOS1</t>
  </si>
  <si>
    <t>PATIO REGULADOR DEL 05/08/2026, UNIDAD: 01UB9Z.</t>
  </si>
  <si>
    <t>MAI2607235</t>
  </si>
  <si>
    <t>PATIO REGULADOR DEL 05/08/2026, UNIDAD: 55VA1V.</t>
  </si>
  <si>
    <t>MAI2607235-1</t>
  </si>
  <si>
    <t>MAI2607237</t>
  </si>
  <si>
    <t>MAI2607237-1</t>
  </si>
  <si>
    <t>PATIO REGULADOR DEL 05/08/2026, UNIDAD: 73VA8Z.</t>
  </si>
  <si>
    <t>MAI2607240</t>
  </si>
  <si>
    <t>PATIO REGULADOR DEL 05/08/2026, UNIDAD: 49UZ5Z.</t>
  </si>
  <si>
    <t>MAI2607550</t>
  </si>
  <si>
    <t>PATIO REGULADOR DEL 05/08/2026, UNIDAD: 81UW8A.</t>
  </si>
  <si>
    <t>MAI2607671</t>
  </si>
  <si>
    <t>GA627</t>
  </si>
  <si>
    <t>NENUCO, S.A. DE C.V.</t>
  </si>
  <si>
    <t>MAI2607848</t>
  </si>
  <si>
    <t>MAI2607988</t>
  </si>
  <si>
    <t>PATIO REGULADOR DEL 05/08/2026, UNIDAD: 065WN1.</t>
  </si>
  <si>
    <t>CA238</t>
  </si>
  <si>
    <t>ROBINSON HIGH DECOR SA DE CV</t>
  </si>
  <si>
    <t>RJMV6000125</t>
  </si>
  <si>
    <t>PATIO REGULADOR DEL 06/08/2026, UNIDAD: 43UM5D.</t>
  </si>
  <si>
    <t>PATIO REGULADOR DEL 06/08/2026, UNIDAD: 80VB1D.</t>
  </si>
  <si>
    <t>PATIO REGULADOR DEL 06/08/2026, UNIDAD: 69XU7P.</t>
  </si>
  <si>
    <t>PATIO REGULADOR DEL 06/08/2026, UNIDAD: 96UY2C.</t>
  </si>
  <si>
    <t>MARIA DEL ROCIO ESTRADA RODRIGUEZ</t>
  </si>
  <si>
    <t>FLETE LOCAL ADUANA AIFA-TULTEPEC-CUAUTITLÁN, EDO. MÉX. 07/08/2026.</t>
  </si>
  <si>
    <t>SERVICIO DE INSPECCION PEDIMENTO: 1739 6000164 SOLS: 957 REF.THE CHAMELEONIC FAMILY</t>
  </si>
  <si>
    <t>SERVICIO DE INSPECCION PEDIMENTO: 3974 6205948 SOLS: 943 REF.CIPSA INDUSTRIAS</t>
  </si>
  <si>
    <t>FLETE LOCAL ADUANA AIFA-TULTEPEC-CUAUTITLÁN, DEL 03/08/2026.</t>
  </si>
  <si>
    <t>PROT HOJA OD CTA TRNS MAT 200PZ, Fecha del pedimento: 2025-12-29 14:00:00</t>
  </si>
  <si>
    <t>REGISTRADOR CARTA LEFORT 127</t>
  </si>
  <si>
    <t>MRKU3868016-CODIGO ISPS</t>
  </si>
  <si>
    <t>MRKU3868016-CONTROL DOCUMENTAL ELECTRONICO</t>
  </si>
  <si>
    <t>MRKU3868016-ENTREGA SPF LLENO 40 HC</t>
  </si>
  <si>
    <t>MRKU3868016-MUELLAJE 40 HC</t>
  </si>
  <si>
    <t>MRKU3868016-TRASLADO COSTADO DE BUQUE-PATIO 40 HC</t>
  </si>
  <si>
    <t>MRSU6327363-CODIGO ISPS</t>
  </si>
  <si>
    <t>MRSU6327363-CONTROL DOCUMENTAL ELECTRONICO</t>
  </si>
  <si>
    <t>MRSU6327363-ENTREGA SPF LLENO 40 HC</t>
  </si>
  <si>
    <t>MRSU6327363-MUELLAJE 40 HC</t>
  </si>
  <si>
    <t>MRSU6327363-TRASLADO COSTADO DE BUQUE-PATIO 40 HC</t>
  </si>
  <si>
    <t>DHL27082026</t>
  </si>
  <si>
    <t>Separacion de embarques en destino</t>
  </si>
  <si>
    <t>COORDINACION LOGISTICA REF</t>
  </si>
  <si>
    <t>SERVICIO DE INSPECCION PEDIMENTO: 3974 6205850 SOLS: 944 REF.CIPSA INDUSTRIAS</t>
  </si>
  <si>
    <t>SERVICIO DE INSPECCION PEDIMENTO: 1739 6000163 SOLS: 952 REF.THE CHAMELEONIC FAMILY</t>
  </si>
  <si>
    <t>NENUCO</t>
  </si>
  <si>
    <t>SERVICIO 2M</t>
  </si>
  <si>
    <t>G-premium  ID:32026(precio $ 29.49 por unidad)</t>
  </si>
  <si>
    <t>Estacionamiento Patio Regulador - 664553996216</t>
  </si>
  <si>
    <t>JMA6000263/265</t>
  </si>
  <si>
    <t>MANIOBRAS POR RECONOCIMIENTO PREVIO</t>
  </si>
  <si>
    <t>MG 2020</t>
  </si>
  <si>
    <t>DHL28082026</t>
  </si>
  <si>
    <t>SERVICIO DE IMPRESIONES E INTERNET AICM</t>
  </si>
  <si>
    <t>WAX REVOLUTION,</t>
  </si>
  <si>
    <t>ACARREO</t>
  </si>
  <si>
    <t>Servicio de Camión Torton Eco 69-B realizado el día 11 de Agosto del 2026. Origen: AIFA Destino: Teoloyucan   Referencia: REF:IMILEGUIASRETENIDASTORTON</t>
  </si>
  <si>
    <t>TALMA MEXICO SERVICIOS AEROPORTUARIOS</t>
  </si>
  <si>
    <t>ADMINISTRACION DE MERCANCIA DE VALOR IMPORTACIONES</t>
  </si>
  <si>
    <t>PRIMER ALMACEN</t>
  </si>
  <si>
    <t>SERVICIO DE APOYO</t>
  </si>
  <si>
    <t>FLETE LOCAL ADUANA AIFA A CUAUTITLÁN, EDO. MÉX. 11/08/226.</t>
  </si>
  <si>
    <t>SUDU7300170-DESCARGA DE CAMION 20 VACIO</t>
  </si>
  <si>
    <t>FFAU1450514-DESCARGA DE CAMION 40 HC VACIO</t>
  </si>
  <si>
    <t>COORDINACION LOGISTICA REFJMA6000215</t>
  </si>
  <si>
    <t>Estacionamiento Patio Regulador - 663716817456</t>
  </si>
  <si>
    <t>PAQUETE DE SERVICIOS DE CARGA DESCARGA Y MANIOBRAS DE MERCANCIAS EN EL RECINTO FISCAL DE LA ADUANA DE
LAZARO CARDENAS EL DIA 04/08/2026
SERVICIO PORTUARIO DE MANIOBRAS
CONTENEDOR:UETU6512114
REFERENCIA:LAI2603247</t>
  </si>
  <si>
    <t>ACTUALIZACION CSAAIWIN MENS (Ago 2026)  P. 1695 A. 650</t>
  </si>
  <si>
    <t>ACTUALIZACION CCOVE MENS (Ago 2026)  P. 1695 A. 650</t>
  </si>
  <si>
    <t>ACTUALIZACION CGESTOR MENS (Ago 2026)  P. 1695 A. 650</t>
  </si>
  <si>
    <t>ACTUALIZACION EPREVIO MENS (Ago 2026)  P. 1695 A. 650</t>
  </si>
  <si>
    <t>ACTUALIZACION CTRAWEB MENS (Ago 2026)  P. 1695 A. 650</t>
  </si>
  <si>
    <t>ACTUALIZACION CSAAIWIN MENS (Ago 2026)  P. 1695 A. 470</t>
  </si>
  <si>
    <t>ACTUALIZACION CCOVE MENS (Ago 2026)  P. 1695 A. 470</t>
  </si>
  <si>
    <t>ACTUALIZACION CGESTOR MENS (Ago 2026)  P. 1695 A. 470</t>
  </si>
  <si>
    <t>ACTUALIZACION CTRAWEB MENS (Ago 2026)  P. 1695 A. 470</t>
  </si>
  <si>
    <t>ACTUALIZACION EPREVIO MENS (Ago 2026)  P. 1695 A. 470</t>
  </si>
  <si>
    <t>ACTUALIZACION CSAAIWIN MENS (Ago 2026)  P. 1695 A. 240</t>
  </si>
  <si>
    <t>ACTUALIZACION CCOVE MENS (Ago 2026)  P. 1695 A. 240</t>
  </si>
  <si>
    <t>ACTUALIZACION CGESTOR MENS (Ago 2026)  P. 1695 A. 240</t>
  </si>
  <si>
    <t>IMILE LAREDO</t>
  </si>
  <si>
    <t>ACTUALIZACION EPREVIO MENS (Ago 2026)  P. 1695 A. 240</t>
  </si>
  <si>
    <t>ACTUALIZACION CTRAWEB MENS (Ago 2026)  P. 1695 A. 240</t>
  </si>
  <si>
    <t>ACTUALIZACION CTRAWEB MENS (Ago 2026)  P. 3387 A. 160</t>
  </si>
  <si>
    <t>ACTUALIZACION CSAAIWIN MENS (Ago 2026)  P. 1695 A. 430</t>
  </si>
  <si>
    <t>ACTUALIZACION CCOVE MENS (Ago 2026)  P. 1695 A. 430</t>
  </si>
  <si>
    <t>ACTUALIZACION CGESTOR MENS (Ago 2026)  P. 1695 A. 430</t>
  </si>
  <si>
    <t>ACTUALIZACION CTRAWEB MENS (Ago 2026)  P. 1695 A. 430</t>
  </si>
  <si>
    <t>ACTUALIZACION EPREVIO MENS (Ago 2026)  P. 1695 A. 430</t>
  </si>
  <si>
    <t>ACTUALIZACION CSAAIWIN MENS (Ago 2026)  P. 1739 A. 850</t>
  </si>
  <si>
    <t>ACTUALIZACION CCOVE MENS (Ago 2026)  P. 1739 A. 850</t>
  </si>
  <si>
    <t>ACTUALIZACION CGESTOR MENS (Ago 2026)  P. 1739 A. 850</t>
  </si>
  <si>
    <t>ACTUALIZACION EPREVIO MENS (Ago 2026)  P. 1739 A. 850</t>
  </si>
  <si>
    <t>ACTUALIZACION CTRAWEB MENS (Ago 2026)  P. 1739 A. 850</t>
  </si>
  <si>
    <t>ACTUALIZACION CGESTOR MENS (Ago 2026)  P. 1739 A. 160</t>
  </si>
  <si>
    <t>ACTUALIZACION CGESTOR MENS (Ago 2026)  P. 1739 A. 430</t>
  </si>
  <si>
    <t>ACTUALIZACION CSAAIWIN MENS (Ago 2026)  P. 3845 A. 850</t>
  </si>
  <si>
    <t>ACTUALIZACION CCOVE MENS (Ago 2026)  P. 3845 A. 850</t>
  </si>
  <si>
    <t>ACTUALIZACION EPREVIO MENS (Ago 2026)  P. 3845 A. 850</t>
  </si>
  <si>
    <t>ACTUALIZACION CGESTOR MENS (Ago 2026)  P. 3845 A. 850</t>
  </si>
  <si>
    <t>ACTUALIZACION CSAAIWIN MENS (Ago 2026)  P. 3391 A. 240</t>
  </si>
  <si>
    <t>ACTUALIZACION CCOVE MENS (Ago 2026)  P. 3391 A. 240</t>
  </si>
  <si>
    <t>ACTUALIZACION CGESTOR MENS (Ago 2026)  P. 3391 A. 240</t>
  </si>
  <si>
    <t>ACTUALIZACION CSAAIWIN MENS (Ago 2026)  P. 2060 A. 240</t>
  </si>
  <si>
    <t>ACTUALIZACION CCOVE MENS (Ago 2026)  P. 2060 A. 240</t>
  </si>
  <si>
    <t>ACTUALIZACION CGESTOR MENS (Ago 2026)  P. 2060 A. 240</t>
  </si>
  <si>
    <t>Servicio de Tráiler Caja 53FT Eco 31-B realizado el día 11 de Agosto del 2026. Origen: AIFA Destino: Teoloyucan Referencia: IMILE1108202-Eco 31-B</t>
  </si>
  <si>
    <t>SERVICIO DE MANIOBRA, 26-85-3845-6240150 M:865-14745124, R:IAD6240150</t>
  </si>
  <si>
    <t>SERVICIO DE MANIOBRA, 26-85-3845-6240148 M:865-14745124, R:IAD6240148</t>
  </si>
  <si>
    <t>Servicio de Tráiler Caja 53FT Eco 49-B realizado el día 11 de Agosto del 2026. Origen: AIFA Destino: Teoloyucan Referencia: IMILE1108202-Eco 49-B</t>
  </si>
  <si>
    <t>Estacionamiento Patio Regulador - 662396572457</t>
  </si>
  <si>
    <t>Recuperacion de Abandono</t>
  </si>
  <si>
    <t>FLETE LOCAL ADUANA AIFA A CUAUTITLÁN, EDO. MÉX. 11/08/2026.</t>
  </si>
  <si>
    <t>Estacionamiento Patio Regulador - 660953657427</t>
  </si>
  <si>
    <t>COORDINACION LOGISTICA REF. IMILE11082026</t>
  </si>
  <si>
    <t>PATIO REGULADOR REF IMILE11082026</t>
  </si>
  <si>
    <t>PATIO REGULADOR DEL 07/08/2026, UNIDAD: 81UW8A.</t>
  </si>
  <si>
    <t>PATIO REGULADOR DEL 07/08/2026, UNIDAD: 596UP9.</t>
  </si>
  <si>
    <t>PATIO REGULADOR DEL 07/08/2026, UNIDAD: 065WN1.</t>
  </si>
  <si>
    <t>PATIO REGULADOR DEL 08/08/2026, UNIDAD: 79UW8P.</t>
  </si>
  <si>
    <t>PATIO REGULADOR DEL 08/08/2026, UNIDAD: 630UK1.</t>
  </si>
  <si>
    <t>PATIO REGULADOR DEL 08/08/2026, UNIDAD: 01UB9Z.</t>
  </si>
  <si>
    <t>PATIO REGULADOR DEL 08/08/2026, UNIDAD: 80VB1D.</t>
  </si>
  <si>
    <t>RECARGA POR SERVICIO DE SANITARIOS</t>
  </si>
  <si>
    <t>SERVICIO DE MANIOBRA, 26-85-3845-6341595 MAS 22 PEDIMENTOS M:272-75800130, R.IAN6341595</t>
  </si>
  <si>
    <t>SERVICIO DE MANIOBRA, 26-85-3845-6240149 M:865-14745124, R:IAD6240149</t>
  </si>
  <si>
    <t>PAQUETE DE SERVICIOS DE CARGA DESCARGA Y MANIOBRAS DE MERCANCIAS EN EL RECINTO FISCAL DE LA ADUANA DE
LAZARO CARDENAS EL DIA 06/08/2026
SERVICIO PORTUARIO DE MANIOBRAS
CONTENEDOR:FFAU1450514
REFERENCIA:LAI2602837</t>
  </si>
  <si>
    <t>PAQUETE DE SERVICIOS DE CARGA DESCARGA Y MANIOBRAS DE MERCANCIAS EN EL RECINTO FISCAL DE LA ADUANA DE
LAZARO CARDENAS EL DIA 04/08/2026
SERVICIO PORTUARIO DE MANIOBRAS
CONTENEDOR:UETU6171018
REFERENCIA:LAI2603247</t>
  </si>
  <si>
    <t>HORA PERSONAL</t>
  </si>
  <si>
    <t>FLETE LOCAL ADUANA AIFA A CUAUTITLÁN, EDO. MÉX. 12/08/2026.</t>
  </si>
  <si>
    <t>Estacionamiento Patio Regulador - 663013646639</t>
  </si>
  <si>
    <t>Servicio de Camión Torton Eco 63-B realizado el día 11 de Agosto del 2026. Origen: AIFA Destino: Teoloyucan    Referencia: IMILE11082026-Eco 63-B</t>
  </si>
  <si>
    <t>manejo por valor</t>
  </si>
  <si>
    <t>almacenaje</t>
  </si>
  <si>
    <t>mantransfer</t>
  </si>
  <si>
    <t>costo de transferencia</t>
  </si>
  <si>
    <t>maniobras para el reconocimiento previo</t>
  </si>
  <si>
    <t>SERVICIOS DE ASESORIA EN COMERCIO-EXTERIOR DEL MES DE JULIO DE 2026.</t>
  </si>
  <si>
    <t>Estacionamiento Patio Regulador - 661640282264</t>
  </si>
  <si>
    <t>SERVICIO EXTRAORDINARIO REF IMILE07082026</t>
  </si>
  <si>
    <t>FLETE LOCAL ADUANA AIFA A CUAUTITLAN, EDO. MEX. 11/08/2026.</t>
  </si>
  <si>
    <t>FLETE LOCAL ADUANA AIFA A CUAUTITLAN, EDO. MEX. 13/08/2026.</t>
  </si>
  <si>
    <t>FLETE LOCAL ADUANA AIFA A CUAUTITLÁN, EDO. MÉX. 14/08/2026.</t>
  </si>
  <si>
    <t>Servicio de patio regulador Eco 26-B el día 24 de Julio de 2026. Referencia: IMILE24072026-ECO 26-B</t>
  </si>
  <si>
    <t>FLETE LOCAL ADUANA AIFA A CUAUTITLÁN, EDO. MÉX. 13/08/2026.</t>
  </si>
  <si>
    <t>SELLO FISCAL STEEL GUARDIAN MOg21107051- MOg21107550 COLOR VERDE A.A. JOSEFA PATRICIA MAGAÑA PAT. 1695</t>
  </si>
  <si>
    <t>SERVICIO DE MANIOBRA, 26-85-3845-6341695 R:IAN6341695, R:IAN6341696,R:IAN6381559, R:IAR6381558, R:IAN6341698,R:IAN6341697,R:IAR6381560, R:IAS6391487, R:IAS6391486, R:IAS6391485, R: IAR6381561, R:IAS6391488 PLACAS - 58UT1V</t>
  </si>
  <si>
    <t>maniobras</t>
  </si>
  <si>
    <t>COORDINACION LOGISTICA REF IMILE12082026</t>
  </si>
  <si>
    <t>Soporte Sacrolumbar Elástico Jyrsa Eco-825 De Tercer Cinturo Talla Grande</t>
  </si>
  <si>
    <t>Servicio de patio regulador Eco 49-B el día 11 de Agosto de 2026. Referencia: IMILE1108202-Eco 49-B</t>
  </si>
  <si>
    <t>RENTA DE CAMIONETA TOYOTA HILUX DE 1.5 TONELADAS, PLACA LE62355 MES DE JULIO 2026</t>
  </si>
  <si>
    <t>RENTA DE CAMIONETA TOYOTA HIACE DE 1.5 TONELADAS, PLACA MFH649A MES DE JULIO 2026</t>
  </si>
  <si>
    <t>RENTA DE CAMIONETA CHEVROLET TORNADO VAN DE 750 KG , PLACA MTU307A MES DE JULIO 2026</t>
  </si>
  <si>
    <t>DIEGO PINEDA SOTO</t>
  </si>
  <si>
    <t>FLETE 1.5 Ton LOCAL ARRASTRE CARGA AEREA- FedEx Tol</t>
  </si>
  <si>
    <t>Cargo Administrativo</t>
  </si>
  <si>
    <t>JORGE ANTONIO MARTINEZ SANCHEZ</t>
  </si>
  <si>
    <t>SERVICIOS DE CONSULTORIA DE NEGOCIOS Y ADMINISTRACION CORPORATIVA.</t>
  </si>
  <si>
    <t>Servicio de patio regulador Eco 32-B el día 02 de Agosto de 2026. Referencia: IMILE02082026-ECO 32-B</t>
  </si>
  <si>
    <t>Servicio de patio regulador Eco 21-B el día día 30 de Julio de 2026. Referencia: IMILE30072026-Eco 21-B</t>
  </si>
  <si>
    <t>PRESTACIÓN DE SERVICIOS,DE CONSULTORÍA, , CAPACITACIÓN, IMPLEMENTACIÓN, SEGUIMIENTO Y AUDITORIA DE PROCESOS RELACIONADOS CON LA ADMINISTRACIÓN Y CONTROL DE RECURSOS HUMANOS DE LAS EMPRESAS.</t>
  </si>
  <si>
    <t>RICHEM LABS</t>
  </si>
  <si>
    <t>Faja Elástica Tirantes Con Tercer Cinturón Jyrsa Premium Extra Chica</t>
  </si>
  <si>
    <t>Prestación de servicios de Agosto de 2026</t>
  </si>
  <si>
    <t>Servicio de patio regulador Eco 21-B el día 02 de Agosto de 2026. Referencia: IMILE02082026-ECO 21-B</t>
  </si>
  <si>
    <t>MRSU6327363-DESCARGA DE CAMION 40 HC VACIO</t>
  </si>
  <si>
    <t>MRKU3868016-DESCARGA DE CAMION 40 HC VACIO</t>
  </si>
  <si>
    <t>FLETE: VERACRUZ - MEXICO
REFERENCIA:  JMV6000167</t>
  </si>
  <si>
    <t>YUG LOGISTICA</t>
  </si>
  <si>
    <t>HONORARIOS LOGISTICA</t>
  </si>
  <si>
    <t>PAGO DEL MES DE AGOSTO</t>
  </si>
  <si>
    <t>LOGWIN AIR + OCEAN MEXICO</t>
  </si>
  <si>
    <t>Destination Energy Surc</t>
  </si>
  <si>
    <t>Destination ENS Filing</t>
  </si>
  <si>
    <t>Destination Emission De</t>
  </si>
  <si>
    <t>Destination Handling</t>
  </si>
  <si>
    <t>Destination Airport Han</t>
  </si>
  <si>
    <t>Destination Local Fee</t>
  </si>
  <si>
    <t>Destination Compliance</t>
  </si>
  <si>
    <t>Destination Liability F</t>
  </si>
  <si>
    <t>Destination Data Transf</t>
  </si>
  <si>
    <t>VIAJE 13/08/2026</t>
  </si>
  <si>
    <t>ARMADO DE PALLET</t>
  </si>
  <si>
    <t>Impuesto erogaciones</t>
  </si>
  <si>
    <t>FLETE LOCAL ADUANA AIFA A CUAUTITLÁN, EDO. MÉX. 15/08/2026.</t>
  </si>
  <si>
    <t>FLETE LOCAL ADUANA AIFA A CUAUTITLAN, EDO. MEX. 14/08/2026.</t>
  </si>
  <si>
    <t>MEGA STORE</t>
  </si>
  <si>
    <t>FAJA ELASTICA CON TIRANTES JYRSA TRABAJO PESADO LESIONES LUM TALLA XL</t>
  </si>
  <si>
    <t>FAJA ELASTICA CON TIRANTES JYRSA TRABAJO PESADO LESIONES LUM TALLA MD</t>
  </si>
  <si>
    <t>FLETE LOCAL ADUANA AIFA A CUAUTITLAN, EDO. MEX. 17/08/2026.</t>
  </si>
  <si>
    <t>COMISION</t>
  </si>
  <si>
    <t>FLETE 1.5 AIT - CIPSA PUEBLA ECO27</t>
  </si>
  <si>
    <t>PREVIO (MERCANCIA SUELTA) COBRO MÍNIMO</t>
  </si>
  <si>
    <t>MOVIMIENTO DE MERCANCIA SUELTA DENTRO DEL ALMACÉN COBRO MÍNIMO</t>
  </si>
  <si>
    <t>SERVICIOS HORA HOMBRE EN ALMACÉN PARA PREVIO COBRO MÍNIMO</t>
  </si>
  <si>
    <t>ENTREGA DE CARGA UNIT Y PALETIZADA COBRO MÍNIMO</t>
  </si>
  <si>
    <t>SAMARA ONLINE</t>
  </si>
  <si>
    <t>LAPTOP DELL LATITUDE 5420 TOUCH, I5 11A, 16GB RAM 256GB SSD GRIS / SKU: DE5420-I5-16-256-TS/RFB / VARIANTE: COLOR: GRIS,EDICIÓN DEL SISTEMA OPERATIVO: PRO,VERSIÓN DEL SISTEMA OPERATIVO: 11,LÍNEA DEL P</t>
  </si>
  <si>
    <t>ACTIVO FIJO</t>
  </si>
  <si>
    <t>SELLO FISCAL STEEL GUARDIAN MOg21107551- MOg21107750 COLOR VERDE A.A. JOSEFA PATRICIA MAGAÑA PAT. 1695</t>
  </si>
  <si>
    <t>FLETE LOCALA ADUANA AIFA A CUAUTITLÁN, EDO. MÉX. 14/08/2026.</t>
  </si>
  <si>
    <t>COORDINACION LOGISTICA REF JMA6000237</t>
  </si>
  <si>
    <t>FLETE LOCAL ADUANA AIFA A CUAUTITLAN, EDO. MEX. 16/08/2026.</t>
  </si>
  <si>
    <t>FLETE LOCAL ADUANA AIFA A CUAUTITLÁN, EDO. MÉX. 19/08/2026.</t>
  </si>
  <si>
    <t>POSICIONAMIENTO EN FALSO</t>
  </si>
  <si>
    <t>MANIOBRAS PATIO REGULADOR</t>
  </si>
  <si>
    <t>LIBERACION DOCUMENTAL DE CARGA</t>
  </si>
  <si>
    <t>PAPEL BOND HP CARTA 75 G B92 C/500 HJS C8511</t>
  </si>
  <si>
    <t>GRAPA 1/4 C/5040 STANDARD 400-C</t>
  </si>
  <si>
    <t>BOLIGRAFO PIN POINT MEDIANO AZUL</t>
  </si>
  <si>
    <t>LAPIZ METRICO # 2</t>
  </si>
  <si>
    <t>CUBO MEMO TIP 7.6X7.6 PASTEL C/400</t>
  </si>
  <si>
    <t>CLIP STANDAR N. 1 INSTITUCIONAL C/100 ACCO</t>
  </si>
  <si>
    <t>SUJETADOCUMENTOS GDE 51 MM 12 PZ</t>
  </si>
  <si>
    <t>SOBRE MANILA CARTA 90GR C/50 GOMA KIP</t>
  </si>
  <si>
    <t>FOLDER COLGANTE T/O VERDE C/25 91535X</t>
  </si>
  <si>
    <t>REVISTERO NEGRO INDIVIDUAL SABLON</t>
  </si>
  <si>
    <t>SERVICIO DE INSPECCION PEDIMENTO: 1739 6000166 SOLS: 1014 REF.THE CHAMELEONIC FAMILY</t>
  </si>
  <si>
    <t>FLETE LOCAL ADUANA AIFA A CUATITLÁN, EDO. MÉX. 18/08/2026.</t>
  </si>
  <si>
    <t>FLETE LOCAL ADUANA AIFA A CUAUTITLÁN, EDO. MÉX. 18/08/2026.</t>
  </si>
  <si>
    <t>FLETE LOCAL ADUANA AIFA A CUAUTITLAN, EDO. MEX. 18/08/2026.</t>
  </si>
  <si>
    <t>PEDIMENTO: 26 65 1695 6110810 // 26 65 1695 6110925 18/08/2026</t>
  </si>
  <si>
    <t>FLETE LOCAL ADUANA AIFA A CAUTITLÁN, EDO. MÉX. 18/08/2026.</t>
  </si>
  <si>
    <t>Estacionamiento Patio Regulador - 665288912456</t>
  </si>
  <si>
    <t>RECTIFICACIONES A</t>
  </si>
  <si>
    <t>Servicio de Camión Eco 26-B realizado el día 17 de Agosto del 2026. Origen: AIFA Destino: Teoloyucan                          Referencia: IMILE17082026-Eco 26-B</t>
  </si>
  <si>
    <t>Estacionamiento Patio Regulador - 666641223477</t>
  </si>
  <si>
    <t>SELLO FISCAL STEEL GUARDIAN MOg21107751- MOg21107950 COLOR VERDE A.A. JOSEFA PATRICIA MAGAÑA PAT. 1695</t>
  </si>
  <si>
    <t>NESCAFE CLASICO SOLUBLE 1KG</t>
  </si>
  <si>
    <t>COFFEE MATE 1.2KG</t>
  </si>
  <si>
    <t>AZUCAR MORENA 2KG ZULKA</t>
  </si>
  <si>
    <t>ENDULZANTE STEVIA SOBRES 1G C/U</t>
  </si>
  <si>
    <t>TOALLA INTERDOBLADA SANITAS C/100</t>
  </si>
  <si>
    <t>PAPEL HIGIENICO 250MT C/6 JUNIOR PETALO</t>
  </si>
  <si>
    <t>JABON P/MANOS LIQUIDO 5 LT</t>
  </si>
  <si>
    <t>SERVILLETA BLANCA C/500 KIMLARK</t>
  </si>
  <si>
    <t>LAVATRASTES AXION LIQUIDO LIMON 900 ML</t>
  </si>
  <si>
    <t>AGUA EPURA 330ML PAQ C/12 PZS</t>
  </si>
  <si>
    <t>CUCHARA PASTELERA C/50 BIODEGRADABLE MODELO MPD0788MP</t>
  </si>
  <si>
    <t>DESINFECTANTE EN AEROSOLO LYSOL 475</t>
  </si>
  <si>
    <t>AROMATIZANTE GLADE 275ML</t>
  </si>
  <si>
    <t>FLETE LOCAL ADUANA AIFA A CUAUTITLÁN, EDO. MÉX. 17/08/2026.</t>
  </si>
  <si>
    <t>FLETE LOCAL ADUANA AIFA A TULTEPEC, EDO. MÉX. 17/08/2026.</t>
  </si>
  <si>
    <t>Estacionamiento Patio Regulador - 664441416629</t>
  </si>
  <si>
    <t>ESTUCHE MARCADOR MAGISTRAL C/4 P/PIZARRON</t>
  </si>
  <si>
    <t>CLIP MARIPOSA #2 INSTITUCIONAL ACCO</t>
  </si>
  <si>
    <t>CLIP ESTANDAR #1 100 CLIPS</t>
  </si>
  <si>
    <t>DEDAL DE HULE #11 AGUILA</t>
  </si>
  <si>
    <t>DEDAL DE HULE #11.5 AGUILA</t>
  </si>
  <si>
    <t>DEDAL DE HULE #12 AGUILA</t>
  </si>
  <si>
    <t>DEDAL DE HULE #13 AGUILA</t>
  </si>
  <si>
    <t>TARJETA SIM CARD TCM014 2FF/3FF/4FF TRIO</t>
  </si>
  <si>
    <t>SIERRA TECH SALES MEXICO</t>
  </si>
  <si>
    <t>FAJA ELASTICA  MEDIANA JYRSA</t>
  </si>
  <si>
    <t>Valor Total de Arrendamiento Financiero según contrato CAC051003VA4</t>
  </si>
  <si>
    <t>Estacionamiento Patio Regulador - 667426395133</t>
  </si>
  <si>
    <t>SERVICIO DE MANIOBRA, 26-85-3845-6341740 GUIA.M:369-10128403</t>
  </si>
  <si>
    <t>SERVICIO DE MANIOBRA, 26-85-3845-6220160</t>
  </si>
  <si>
    <t>Estacionamiento Patio Regulador - 665930922988</t>
  </si>
  <si>
    <t>FLETE LOCAL ADUANA AIFA A CUAUTITLÁN, EDO. MÉX. 20/08/2026.</t>
  </si>
  <si>
    <t>FLETE LOCAL ADUANA AIFA A CUAUTITLAN, EDO. MEX. 21/08/2026.</t>
  </si>
  <si>
    <t>FLETE LOCAL ADUANA AIFA A CUAUTITLAN, EDO. MEX. 20/08/2026.</t>
  </si>
  <si>
    <t>ECU WORLDWIDE MEXICO</t>
  </si>
  <si>
    <t>REVALIDACION, ClaveProdServ:81141601 ObjetoImp:02</t>
  </si>
  <si>
    <t>DESCONSOLIDACION, ClaveProdServ:81141601 ObjetoImp:02</t>
  </si>
  <si>
    <t>DOCUMENTACION, ClaveProdServ:81141601 ObjetoImp:02</t>
  </si>
  <si>
    <t>PORT TRANSFER FEE, ClaveProdServ:81141601 ObjetoImp:02</t>
  </si>
  <si>
    <t>ADMINISTRACION 2413, ClaveProdServ:81141601 ObjetoImp:02</t>
  </si>
  <si>
    <t>BAF, ClaveProdServ:81141601 ObjetoImp:02</t>
  </si>
  <si>
    <t>DESTINATION CHARGES, ClaveProdServ:81141601 ObjetoImp:02</t>
  </si>
  <si>
    <t>PORT CONGESTION, ClaveProdServ:81141601 ObjetoImp:02</t>
  </si>
  <si>
    <t>FLETE LOCAL ADUANA AIFA A CUATITLÁN, EDO. MÉX. 20/08/2026.</t>
  </si>
  <si>
    <t>Cargo Pago Extemporáneo /*/ RENTA COMERCIAL/AGOSTO 2026/GCB 40950</t>
  </si>
  <si>
    <t>Cargo Pago Extemporáneo /*/ MANTENIMIENTO DE AREAS COMUNES/AGOSTO 2026/GCB 40951</t>
  </si>
  <si>
    <t>Cargo Pago Extemporáneo /*/ RECUPERACION DE GASTOS USO ENERGIA ELECTRICA/JULIO 2026/GCB 40953</t>
  </si>
  <si>
    <t>Gestión Agente Aduanal Terceros DHL</t>
  </si>
  <si>
    <t>ADAPTADOR RED TP-LINK UE306 USB A RHJ45 ETHERNET NINTENDO PC</t>
  </si>
  <si>
    <t>GARRAFON 20 LTS</t>
  </si>
  <si>
    <t>COORDINACION LOGISTICA JMA6000258 Y JMA6000259</t>
  </si>
  <si>
    <t>COORDINACION DE SERVICIOS LOGISTICOS POR RESGUARDO</t>
  </si>
  <si>
    <t>MANTENIMIENTO MAYOR DE BASE DE DATOS</t>
  </si>
  <si>
    <t>SERVICIO DE MANIOBRA, 26-85-3845-6230175 M:784-84812475,M:784-84812475</t>
  </si>
  <si>
    <t>FLETE LOCAL ADUANA AIFA A CUAUTITLÁN, EDO. MÉX. 22/08/2026.</t>
  </si>
  <si>
    <t>FLETE LOCAL ADUANA AIFA A CUAUTITLÁN, EDO. MÉX. 21/08/2026.</t>
  </si>
  <si>
    <t>FLETE LOCAL ADUANA AIFA A CUAUTITLÁN, EDO. MÉX. 23/08/2026.</t>
  </si>
  <si>
    <t>SERVICIOS ADICIONALES PNR: A7FT9L</t>
  </si>
  <si>
    <t>ADT Total basico Com</t>
  </si>
  <si>
    <t>Monitoreo Dual Com Ret c/Ver (con descuento)</t>
  </si>
  <si>
    <t>BMOU4180216-CODIGO ISPS</t>
  </si>
  <si>
    <t>BMOU4180216-CONTROL DOCUMENTAL ELECTRONICO</t>
  </si>
  <si>
    <t>BMOU4180216-ENTREGA SPF LLENO 40 HC</t>
  </si>
  <si>
    <t>BMOU4180216-MUELLAJE 40 HC</t>
  </si>
  <si>
    <t>BMOU4180216-TRASLADO COSTADO DE BUQUE-PATIO 40 HC</t>
  </si>
  <si>
    <t>Validacion electronica d</t>
  </si>
  <si>
    <t>Microsoft 365 Business Premium</t>
  </si>
  <si>
    <t>Microsoft 365 Business Premium (mensual)</t>
  </si>
  <si>
    <t>Microsoft Defender for Office 365 (Plan 1)</t>
  </si>
  <si>
    <t>Microsoft 365 Business Basic</t>
  </si>
  <si>
    <t>Visio Plan 2 (mensual)</t>
  </si>
  <si>
    <t>Exchange Online (Plan 2)</t>
  </si>
  <si>
    <t>Power Automate Premium***NCE***</t>
  </si>
  <si>
    <t>Asesoría individual</t>
  </si>
  <si>
    <t>Personal adicional turno 1 (8-16)</t>
  </si>
  <si>
    <t>Inspeccion de mercancias, impo</t>
  </si>
  <si>
    <t>FLETE LOCAL ADUANA AIFA A CUAUTLITLÁN, EDO. MÉX. 13/08/2026.</t>
  </si>
  <si>
    <t>CORPORATIVO RABE</t>
  </si>
  <si>
    <t>Servicios profesionales</t>
  </si>
  <si>
    <t>TARIFA AEREA PNR: A7FT9L</t>
  </si>
  <si>
    <t>PROTEC SOLUCIONES INTEGRALES</t>
  </si>
  <si>
    <t>RECARGA DE EXTINTOR PQS DE 4.5 KG</t>
  </si>
  <si>
    <t>RECARGA DE EXTINTOR 10 LBS CO2 (4.5 KG)</t>
  </si>
  <si>
    <t>SERVICIO DE MANIOBRA, 26-85-3845-6381686 R:IAQ6371664, R:IAS6391622</t>
  </si>
  <si>
    <t>VIAJE 21/08/2026</t>
  </si>
  <si>
    <t>Mentoria 360</t>
  </si>
  <si>
    <t>SERVICIO DE MANIOBRA, 26-85-3845-6341826</t>
  </si>
  <si>
    <t>Servicio de patio regulador Eco 26-B el día 17 de Agosto de 2026.  Referencia: IMILE17082026-Eco 26-B</t>
  </si>
  <si>
    <t>ALMACEN Y MANIOBRAS LCL</t>
  </si>
  <si>
    <t>REF:LAI2603453 - MNBU339829-4 - EURFLB2672237LZC - LZC- ASIGNACION ELECTRONICA DE CARGA LCL</t>
  </si>
  <si>
    <t>FLETE: VERACRUZ - MEXICO
PEDIMENTO: 2060-6000019
CONTENEDOR: MSMU5087904</t>
  </si>
  <si>
    <t>BMOU4180216-ENTREGA ESPRESS SPF</t>
  </si>
  <si>
    <t>COORDINACION LOGISTICA REF JMA6000168</t>
  </si>
  <si>
    <t>FLETE LOCAL ADUANA AIFA A CUAUTITLÁN, EDO. MÉX. 25/08/2026.</t>
  </si>
  <si>
    <t>FLETE LOCAL ADUANA AIFA A CUAUTITLÁN, EDO. MÉX. 24/08/2026.</t>
  </si>
  <si>
    <t>SERVICIO DE MANIOBRA, 26-85-3845-6341849 M:865-14877483, M:865-14877435</t>
  </si>
  <si>
    <t>COORDINACION LOGISTICA REF. ARA6000167</t>
  </si>
  <si>
    <t>CertificaciondelaNom-001IncluyeCertificacionyPruebasdeLaboratorio</t>
  </si>
  <si>
    <t>CONSTANCIAUI</t>
  </si>
  <si>
    <t>FLETE LOCAL ADUANA AIFA A CUAUTITLÁN, EDO. MEX. 25/08/2026.</t>
  </si>
  <si>
    <t>FLETE LOCAL ADUANA AIFA A CUAUTITLÁN, EDO. MÉX. 25/08(2026.</t>
  </si>
  <si>
    <t>FLETE: VERACRUZ - MEXICO
REFERENCIA:  JMV6000188</t>
  </si>
  <si>
    <t>Renta de 2 Equipos Multifuncionales Ricoh IM550 con numeros de serie 3205XC60342 y 3205XC60152 correspondientes al corte del mes de Agosto de 2026 CDMX.</t>
  </si>
  <si>
    <t>Renta de 1 equipo Multifuncional Ricoh IM550 con numero de serie 3205XC60285 correspondiente al corte del mes de Agosto de 2026 TOLUCA.</t>
  </si>
  <si>
    <t>Renta de 1 equipo Multifuncional Ricoh IM550 con numero de serie 3205XC60288 correspondiente al corte del mes de Agsoto de 2026 AIFA.</t>
  </si>
  <si>
    <t>Copias excedentes a las 7,500 incluidas en equipo Im550 instalado en AIFA contador incial de 41102 y contador final de 71874.</t>
  </si>
  <si>
    <t>PROMOTORA DEVI</t>
  </si>
  <si>
    <t>Room Revenue</t>
  </si>
  <si>
    <t>CertificaciónNom-208PEC</t>
  </si>
  <si>
    <t>Dictamendenoaplicacióndenorma</t>
  </si>
  <si>
    <t>CartaAduana</t>
  </si>
  <si>
    <t>FLETE LOCAL ADUANA AIFA A CUAUTITLÁN, EDO. MÉX. 26/08/2026.</t>
  </si>
  <si>
    <t>COORDINACION LOGISTICA JMA6000261</t>
  </si>
  <si>
    <t>TIJERA MULTIUSOS 6 3M</t>
  </si>
  <si>
    <t>PERFORADORA 2 ORIFICIOS 7605</t>
  </si>
  <si>
    <t>DESENGRAPADORA 501 PEGASO</t>
  </si>
  <si>
    <t>PERFORADORA 3 ORIFICIOS AJUSTABLE 10 HJS NE-122</t>
  </si>
  <si>
    <t>FLETE LOCAL ADUANA AIFA A CUAUTITLÁN, EDO.MÉX. 26/08/2026.</t>
  </si>
  <si>
    <t>FABULOSO LIQUIDO DE 1LT</t>
  </si>
  <si>
    <t>AZUCAR MORENA 1KG ZULKA</t>
  </si>
  <si>
    <t>JABON EN POLVO 1KG ROMA</t>
  </si>
  <si>
    <t>VASO BIODEGRADABLE 8 OZ C/50</t>
  </si>
  <si>
    <t>TE SURTIDO DOBLETT 6 SABORES 96 PIEZAS</t>
  </si>
  <si>
    <t>CUADERNO PROFESIONAL STARKID RAYA 0458 CON 100 HOJAS</t>
  </si>
  <si>
    <t>SERVICIO DE MANIOBRA, 26-85-3845-6341892</t>
  </si>
  <si>
    <t>ESTUDIO TOXICOLOGICO PERFIL 5.02</t>
  </si>
  <si>
    <t>ICFM11 TARJETA DE PROXIMIDAD FRECUENCIA DE 13.56MHZ ZKTECO ICFM11 CON 1KB DE MEMORIA ENCAPSULADO EN PVC DIMENSIONES 85.5MM X 54 MM X 0.86MM PAQUETE C/10 PZAS</t>
  </si>
  <si>
    <t>REPORTE DE MANTENIMIENTO CORRECTIVO A CERRADURA ELECTRÓNICA SE REALIZA REVISION DE CERRADURA DETECTANDO CABLE DAÑADO, EL CUAL SE REESTABLECE PROVISIONALMENTE UTILIZANDO CABLE UTP CAT6 .</t>
  </si>
  <si>
    <t>BOTON SIN CONTACTO NO TOUCH AXCEZE AX-TOUCH4RM INCLUYE UN CONTROL REMOTO DE 433MHZ PARA APERTURA A DISTANCIA</t>
  </si>
  <si>
    <t>RECABLEADO DE CERRADURA MEDIANTE CABLE DE USO RUDO DE 3X18 ESPECIAL PARA CONDUCCION ELECTRICA</t>
  </si>
  <si>
    <t>FAJA SACROLUMBAR 3ER CINTURON CH</t>
  </si>
  <si>
    <t>MANIOBRA TERRESTRE</t>
  </si>
  <si>
    <t>SBBA12-7 Batería de Reemplazo Smartbitt SBBA12-7, Negro, 12 V, 7 Ah.</t>
  </si>
  <si>
    <t>ENVIO1 Costo de envio.</t>
  </si>
  <si>
    <t>FLETE LOCAL ADUANA AIFA A CUAUTITLÁN, EDO. MÉX. 27/08/2026.</t>
  </si>
  <si>
    <t>RECONOCIMIENTO DE MERCANCIA</t>
  </si>
  <si>
    <t>TEMU5504930-CODIGO ISPS</t>
  </si>
  <si>
    <t>TEMU5504930-CONTROL DOCUMENTAL ELECTRONICO</t>
  </si>
  <si>
    <t>TEMU5504930-ENTREGA SPF LLENO 20</t>
  </si>
  <si>
    <t>TEMU5504930-MUELLAJE 20</t>
  </si>
  <si>
    <t>TEMU5504930-TRASLADO COSTADO DE BUQUE-PATIO 20</t>
  </si>
  <si>
    <t>BOLIGRAFO PIN POINT MEDIANO NEGRO</t>
  </si>
  <si>
    <t>CORTADOR 18MM L-1 PLASTICO EXTRADURO</t>
  </si>
  <si>
    <t>PLATO PASTELERO C/25 UNICEL</t>
  </si>
  <si>
    <t>TENEDOR MEDIANO C/25 BIODEGRADABLE</t>
  </si>
  <si>
    <t>BOLSA BASURA NEGRA 60X90 KILO</t>
  </si>
  <si>
    <t>BOLSA BASURA NEGRA 90X120 KILO</t>
  </si>
  <si>
    <t>PINO 5LT MOPS</t>
  </si>
  <si>
    <t>CHINCHE COLORES BARRILITO</t>
  </si>
  <si>
    <t>SERVICIO DE MANIOBRA, 26-85-3845-6341880</t>
  </si>
  <si>
    <t>Alquiler de vehículos Captian 2025 Serie   LGDTD41E0SA202112   21/24</t>
  </si>
  <si>
    <t>Servicios de mantenimiento y reparación de vehículos  21/24</t>
  </si>
  <si>
    <t>Administración de Flotilla</t>
  </si>
  <si>
    <t>Coordinación  de mantenimiento</t>
  </si>
  <si>
    <t>Alquiler de vehículos Captian 2025 Serie   LGDTD41E8SA202133   21/24</t>
  </si>
  <si>
    <t>COORDINACION LOGISTICA REF ARA6000180</t>
  </si>
  <si>
    <t>PATIO REGULADOR ARA6000180</t>
  </si>
  <si>
    <t>BMOU4180216-DESCARGA DE CAMION 40 HC VACIO</t>
  </si>
  <si>
    <t>FLETE LOCAL ADUANA AIFA A CUAUTITLÁN, EDO. MÉX. 30/08/2026.</t>
  </si>
  <si>
    <t>Add on Internet 2.5 GB arrear</t>
  </si>
  <si>
    <t>Add on Internet 2 GB arrear</t>
  </si>
  <si>
    <t>Add on Internet 3 GB arrear</t>
  </si>
  <si>
    <t>Add on Internet 4 GB arrear</t>
  </si>
  <si>
    <t>Add on Internet 5 GB arrear</t>
  </si>
  <si>
    <t>ATT Ármalo Negocios $399_Arr</t>
  </si>
  <si>
    <t>ATT Ármalo Negocios $599_Arr</t>
  </si>
  <si>
    <t>AT&amp;T Con Todo Negocios 299 Arrear</t>
  </si>
  <si>
    <t>ADDON CONTROL ACTN ARR</t>
  </si>
  <si>
    <t>FLETE LOCAL ADUANA AIFA A CUAUTITLÁN, EDO. MÉX. DEL 18/08/2026.</t>
  </si>
  <si>
    <t>FLETE LOCAL ADUANA AIFA A CUAUTITLÁN, EDO. MÉX. 29/08/2026.</t>
  </si>
  <si>
    <t>NOMIPRAX SOLUTION</t>
  </si>
  <si>
    <t>ASESORÍA Y MAQUILA DE NÓMINA.</t>
  </si>
  <si>
    <t>FLETE LOCAL ADUANA AIFA A CUAUTITLAN, EDO. MEX. 28/08/2026.</t>
  </si>
  <si>
    <t>IMILE</t>
  </si>
  <si>
    <t>32011.MAGNA</t>
  </si>
  <si>
    <t>FLETE LOCAL ADUANA AIFA A CUAUTITLÁN, EDO. MÉX. 28/08/2026.</t>
  </si>
  <si>
    <t>CNT DE CONF. A LA RGCE 1.8.3     16%</t>
  </si>
  <si>
    <t>REGISTRO DE VERIFICACION (RV PROFEPA )</t>
  </si>
  <si>
    <t>FLETE LOCAL ADUANA AIFA A CUAUTITLAN, EDO. MÉX. 18/08/2026.</t>
  </si>
  <si>
    <t>VIAJE 28/08/2026</t>
  </si>
  <si>
    <t>LOTE 027 - PANTALLA DE 50" LG, MODELO: 50LN5400-UA</t>
  </si>
  <si>
    <t>COMISION POR COMPRA EN SUBASTA</t>
  </si>
  <si>
    <t>Estacionamiento Patio Regulador - 675127648332</t>
  </si>
  <si>
    <t>PEDIMENTO NO.1695-6000265 CON UN PESO DE 378.000 KGS (MONTACARGAS)</t>
  </si>
  <si>
    <t>COORDINACION LOGISTICA REF JMA6000269</t>
  </si>
  <si>
    <t>FLETE LOCAL ADUANA AIFA A CUAUTITLÁN, EDO. MÉX. 19/08/226.</t>
  </si>
  <si>
    <t>FLETE LOCAL ADUANA AIFA-TULTEPEC-CUAUTITLÁN, EDO. MÉX. DEL 24/08/2026.</t>
  </si>
  <si>
    <t>PATIO REGULADOR 09 DE AGOSTO, UNIDAD: 82UW5S.</t>
  </si>
  <si>
    <t>PATIO REGULADOR 09 DE AGOSTO, UNIDAD: 80TZ3Z.</t>
  </si>
  <si>
    <t>PATIO REGULADOR 09 DE AGOSTO, UNIDAD: 93UZ3T.</t>
  </si>
  <si>
    <t>PATIO REGULADOR 10 DE AGOSTO, UNIDAD: 27VA2C.</t>
  </si>
  <si>
    <t>PATIO REGULADOR 10 DE AGOSTO, UNIDAD: 34UM5D,.</t>
  </si>
  <si>
    <t>PATIO REGULADOR 10 DE AGOSTO, UNIDAD: 01UB9Z.</t>
  </si>
  <si>
    <t>PATIO REGULADOR 10 DE AGOSTO, UNIDAD: 81UR7K.</t>
  </si>
  <si>
    <t>PATIO REGULADOR 10 DE AGOSTO, UNIDAD: 29UX9T.</t>
  </si>
  <si>
    <t>PATIO REGULADOR 10 DE AGOSTO, UNIDAD: 80VB1D.</t>
  </si>
  <si>
    <t>PATIO REGULADOR 11 DE AGOSTO, UNIDAD: 06UV9Z.</t>
  </si>
  <si>
    <t>PATIO REGULADOR 11 DE AGOSTO, UNIDAD: 596UP9.</t>
  </si>
  <si>
    <t>PATIO REGULADOR 11 DE AGOSTO, UNIDAD: 065WN1.</t>
  </si>
  <si>
    <t>PATIO REGULADOR 12 DE AGOSTO, UNIDAD: 72UX8U.</t>
  </si>
  <si>
    <t>PATIO REGULADOR 12 DE AGOSTO, UNIDAD: 596UP9.</t>
  </si>
  <si>
    <t>PATIO REGULADOR 12 DE AGOSTO, UNIDAD: 065WN1.</t>
  </si>
  <si>
    <t>PATIO REGULADOR 12 DE AGOSTO, UNIDAD: 07UX7K.</t>
  </si>
  <si>
    <t>PATIO REGULADOR 12 DE AGOSTO, UNIDAD: 22UX2R.</t>
  </si>
  <si>
    <t>PATIO REGULADOR 13 DE AGOSTO, UNIDAD: 43UM5D.</t>
  </si>
  <si>
    <t>PATIO REGULADOR 13 DE AGOSTO, UNIDAD: 03UF8U.</t>
  </si>
  <si>
    <t>PATIO REGULADOR 13 DE AGOSTO, UNIDAD: 630UK1.</t>
  </si>
  <si>
    <t>PATIO REGULADOR 13 DE AGOSTO, UNIDAD: 72UX8U.</t>
  </si>
  <si>
    <t>PATIO REGULADOR 13 DE AGOSTO, UNIDAD: 73VA8Z.</t>
  </si>
  <si>
    <t>PATIO REGULADOR 13 DE AGOSTO, UNIDAD: 93UZ3T.</t>
  </si>
  <si>
    <t>PATIO REGULADOR 13 DE AGOSTO, UNIDAD: 96UY2C.</t>
  </si>
  <si>
    <t>PATIO REGULADOR 13 DE AGOSTO, UNIDAD: 22UX2R.</t>
  </si>
  <si>
    <t>PATIO REGULADOR 13 DE AGOSTO, UNIDAD: 596UP9.</t>
  </si>
  <si>
    <t>PATIO REGULADOR 14 DE AGOSTO, UNIDAD: 71VA6B.</t>
  </si>
  <si>
    <t>PATIO REGULADOR 14 DE AGOSTO, UNIDAD: 03UF8U.</t>
  </si>
  <si>
    <t>PATIO REGULADOR 14 AGOSTO, UNIDAD: 43UM5D.</t>
  </si>
  <si>
    <t>PATIO REGULADOR 14 DE AGOSTO, UNIDAD: 06UV9Z.</t>
  </si>
  <si>
    <t>PATIO REGULADOR 14 DE AGOSTO, UNIDAD: 10BC1J.</t>
  </si>
  <si>
    <t>PATIO REGULADOR 14 DE AGOSTO, UNIDAD: 79UW8P.</t>
  </si>
  <si>
    <t>PATIO REGULADOR 15 DE AGOSTO, UNIDD: 80AG9G.</t>
  </si>
  <si>
    <t>PATIO REGULADOR 15 DE AGOSTO, UNIDAD: 96UY2C.</t>
  </si>
  <si>
    <t>PATIO REGULADOR 15 DE AGOSTO, UNIDAD: 01UB9Z.</t>
  </si>
  <si>
    <t>PATIO REGULADOR 15 DE AGOSTO, UNIDAD: 43UM5D.</t>
  </si>
  <si>
    <t>PATIO REGULADOR 15 DE AGOSTO, UNIDAD: 80VB1D.</t>
  </si>
  <si>
    <t>PATIO REGULADOR 15 DE AGOSTO, UNIDAD: 03UF8U.</t>
  </si>
  <si>
    <t>PATIO REGULADOR 15 DE AGOSTO, UNIDAD: 55VA1V.</t>
  </si>
  <si>
    <t>PATIO REGULADOR 15 DE AGOSTO, UNIDAD: 07UX7K.</t>
  </si>
  <si>
    <t>FLETE EN FALSO ADUANA AIFA DEL 22/08/2026.</t>
  </si>
  <si>
    <t>Cargo de Equipo</t>
  </si>
  <si>
    <t>Estacionamiento Patio Regulador - 669593276566</t>
  </si>
  <si>
    <t>Alquiler de vehículos Captian 2025 Serie LGDTD41E7SA202091 21/24</t>
  </si>
  <si>
    <t>Servicios de mantenimiento y reparación de vehículos 21/24</t>
  </si>
  <si>
    <t>Coordinación de mantenimiento</t>
  </si>
  <si>
    <t>Servicios ContablesServicios Contables Agosto 2026.</t>
  </si>
  <si>
    <t>Alquiler de vehículos MG5 EXCITE - LSJA36E9XRZ077164 11/24</t>
  </si>
  <si>
    <t>Servicios de mantenimiento y reparación de vehículos 11/24</t>
  </si>
  <si>
    <t>FLETE LOCAL ADUANA AIFA A CUAUTITLÁN, EDO. MÉX. 31/08/2026.</t>
  </si>
  <si>
    <t>Hunting Por persona</t>
  </si>
  <si>
    <t>Alquiler de vehículos MG5 EXCITE - LSJA36E9XRZ078136 11/24</t>
  </si>
  <si>
    <t>Costo Plasticos</t>
  </si>
  <si>
    <t>Servicio de Estacionamiento - 26002017320</t>
  </si>
  <si>
    <t>Estacionamiento Patio Regulador - 671891634626</t>
  </si>
  <si>
    <t>Estacionamiento Patio Regulador - 672601454233</t>
  </si>
  <si>
    <t>Estacionamiento Patio Regulador - 670370325131</t>
  </si>
  <si>
    <t>QUAKER STATE SERIE III 50 DIESEL</t>
  </si>
  <si>
    <t>BARDHAL ATF</t>
  </si>
  <si>
    <t>BARDAHL LIQ. FRENOS 350 ml</t>
  </si>
  <si>
    <t>PEAJE ATLACOMULCO</t>
  </si>
  <si>
    <t>PEAJE ATLACOMULCO-BANOBRAS</t>
  </si>
  <si>
    <t>PEAJE CERRILLO</t>
  </si>
  <si>
    <t>transito</t>
  </si>
  <si>
    <t>PEAJE CHAPULTEPEC</t>
  </si>
  <si>
    <t>PEAJE CHICHIMEQUILLAS</t>
  </si>
  <si>
    <t>PEAJE CONTEPEC</t>
  </si>
  <si>
    <t>PEAJE CTO. EXT. MEXIQUENSE</t>
  </si>
  <si>
    <t>PEAJE ECUANDUREO</t>
  </si>
  <si>
    <t>PEAJE LA VENTA</t>
  </si>
  <si>
    <t>PEAJE LOMAS VERDES</t>
  </si>
  <si>
    <t>PEAJE MARQUESA VIAPASS</t>
  </si>
  <si>
    <t>PEAJE NABOR CARRILLO</t>
  </si>
  <si>
    <t>PEAJE OCOTLAN</t>
  </si>
  <si>
    <t>PEAJE PALMILLAS</t>
  </si>
  <si>
    <t>PEAJE PANINDICUARO</t>
  </si>
  <si>
    <t>PEAJE QUERETARO ARCO NORTE</t>
  </si>
  <si>
    <t>PEAJE TEPOTZOTLAN</t>
  </si>
  <si>
    <t>PEAJE TIZAYUCA EASYTRIP</t>
  </si>
  <si>
    <t>PEAJE TLALPAN</t>
  </si>
  <si>
    <t>PEAJE VET</t>
  </si>
  <si>
    <t>PEAJE VIADUC BICENTENARIO</t>
  </si>
  <si>
    <t>PEAJE ZINAPECUARO</t>
  </si>
  <si>
    <t>CARGO ADMINISTRATIVO</t>
  </si>
  <si>
    <t>Boletos Estacionamiento</t>
  </si>
  <si>
    <t>Estacionamiento Patio Regulador - 674317844164</t>
  </si>
  <si>
    <t>Estacionamiento Patio Regulador - 668878217197</t>
  </si>
  <si>
    <t>TERMINAL LOGISTICS</t>
  </si>
  <si>
    <t>MANEJO</t>
  </si>
  <si>
    <t>LT. DE ACEITE MOTORCRAFT DEXRON III</t>
  </si>
  <si>
    <t>Alquiler de vehículos Captian 2025 Serie LGDTD41E3SA202086 21/24</t>
  </si>
  <si>
    <t>Actualizacion</t>
  </si>
  <si>
    <t>Recargos</t>
  </si>
  <si>
    <t>SERV. PUB. FED. DE TRANSPORTE DE PASAJEROS 05/08/2026 14:00 AET1 - TOFV</t>
  </si>
  <si>
    <t>CONSUMO AZURE 1 AL 31 Julio 2026</t>
  </si>
  <si>
    <t>CONSUMO AZURE 1 AL 31 Julio 2027</t>
  </si>
  <si>
    <t>CONSUMO AZURE 1 AL 31 Julio 2028</t>
  </si>
  <si>
    <t>CONSUMO AZURE 1 AL 31 Julio 2029</t>
  </si>
  <si>
    <t>CONSUMO AZURE 1 AL 31 Julio 2030</t>
  </si>
  <si>
    <t>CONSUMO AZURE 1 AL 31 Julio 2031</t>
  </si>
  <si>
    <t>iMile AIFA</t>
  </si>
  <si>
    <t>CONSUMO AZURE 1 AL 31 Julio 2032</t>
  </si>
  <si>
    <t>CONSUMO AZURE 1 AL 31 Julio 2033</t>
  </si>
  <si>
    <t>CONSUMO AZURE 1 AL 31 Julio 2034</t>
  </si>
  <si>
    <t>CONSUMO AZURE 1 AL 31 Julio 2035</t>
  </si>
  <si>
    <t>CONSUMO AZURE 1 AL 31 Julio 2036</t>
  </si>
  <si>
    <t>CONSUMO AZURE 1 AL 31 Julio 2037</t>
  </si>
  <si>
    <t>COORDINACION LOGISTICA REF. ARA6000187</t>
  </si>
  <si>
    <t>SERV. PUB. FED. DE TRANSPORTE DE PASAJEROS 05/08/2026 07:00 TOFV - MEAE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</si>
</sst>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_ ;[Red]\-#,##0.00\ "/>
    <numFmt numFmtId="165" formatCode="_-* #,##0.00_-;\-* #,##0.00_-;_-* &quot;-&quot;??_-;_-@"/>
    <numFmt numFmtId="166" formatCode="d/m/yyyy"/>
  </numFmts>
  <fonts count="28">
    <font>
      <sz val="10.0"/>
      <color rgb="FF000000"/>
      <name val="Arial"/>
      <scheme val="minor"/>
    </font>
    <font>
      <sz val="8.0"/>
      <color rgb="FFFFFFFF"/>
      <name val="Calibri"/>
    </font>
    <font>
      <sz val="8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8.0"/>
      <color theme="1"/>
      <name val="Calibri"/>
    </font>
    <font>
      <b/>
      <sz val="7.0"/>
      <color theme="1"/>
      <name val="Google Sans"/>
    </font>
    <font>
      <sz val="7.0"/>
      <color theme="1"/>
      <name val="Google Sans"/>
    </font>
    <font>
      <sz val="8.0"/>
      <color theme="1"/>
      <name val="Google Sans"/>
    </font>
    <font>
      <sz val="8.0"/>
      <color rgb="FFF3F3F3"/>
      <name val="Google Sans"/>
    </font>
    <font>
      <color theme="1"/>
      <name val="Arial"/>
      <scheme val="minor"/>
    </font>
    <font>
      <sz val="11.0"/>
      <color theme="1"/>
      <name val="Aptos Narrow"/>
    </font>
    <font>
      <sz val="11.0"/>
      <color theme="1"/>
      <name val="Arial"/>
    </font>
    <font>
      <sz val="8.0"/>
      <color theme="1"/>
      <name val="Arial"/>
    </font>
    <font>
      <sz val="8.0"/>
      <color theme="1"/>
      <name val="Aptos Narrow"/>
    </font>
    <font>
      <sz val="8.0"/>
      <color theme="1"/>
      <name val="Avenir"/>
    </font>
    <font>
      <i/>
      <sz val="9.0"/>
      <color theme="1"/>
      <name val="Arial"/>
    </font>
    <font>
      <sz val="9.0"/>
      <color rgb="FFFFFFFF"/>
      <name val="Arial"/>
    </font>
    <font>
      <sz val="9.0"/>
      <color theme="1"/>
      <name val="Arial"/>
    </font>
    <font>
      <b/>
      <sz val="9.0"/>
      <color theme="1"/>
      <name val="Arial"/>
    </font>
    <font>
      <b/>
      <color theme="1"/>
      <name val="Roboto"/>
    </font>
    <font>
      <sz val="9.0"/>
      <color theme="1"/>
      <name val="Avenir"/>
    </font>
    <font>
      <b/>
      <sz val="8.0"/>
      <color theme="1"/>
      <name val="Arial"/>
    </font>
    <font>
      <b/>
      <sz val="8.0"/>
      <color rgb="FFFFFFFF"/>
      <name val="Arial"/>
    </font>
    <font>
      <u/>
      <sz val="8.0"/>
      <color rgb="FF0000FF"/>
      <name val="Calibri"/>
    </font>
    <font>
      <u/>
      <sz val="8.0"/>
      <color rgb="FF0000FF"/>
      <name val="Calibri"/>
    </font>
    <font>
      <b/>
      <sz val="8.0"/>
      <color theme="1"/>
      <name val="Avenir"/>
    </font>
    <font>
      <sz val="8.0"/>
      <color theme="1"/>
      <name val="Century Gothic"/>
    </font>
  </fonts>
  <fills count="14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theme="9"/>
        <bgColor theme="9"/>
      </patternFill>
    </fill>
    <fill>
      <patternFill patternType="solid">
        <fgColor rgb="FF4285F4"/>
        <bgColor rgb="FF4285F4"/>
      </patternFill>
    </fill>
    <fill>
      <patternFill patternType="solid">
        <fgColor rgb="FFFF6D01"/>
        <bgColor rgb="FFFF6D01"/>
      </patternFill>
    </fill>
    <fill>
      <patternFill patternType="solid">
        <fgColor rgb="FFEAD1DC"/>
        <bgColor rgb="FFEAD1DC"/>
      </patternFill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073763"/>
        <bgColor rgb="FF073763"/>
      </patternFill>
    </fill>
  </fills>
  <borders count="5">
    <border/>
    <border>
      <right style="thin">
        <color rgb="FF000000"/>
      </right>
    </border>
    <border>
      <bottom style="thick">
        <color rgb="FF8093B3"/>
      </bottom>
    </border>
    <border>
      <right style="thin">
        <color rgb="FFFFFFFF"/>
      </right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horizontal="center" readingOrder="0"/>
    </xf>
    <xf borderId="0" fillId="3" fontId="1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2" fontId="2" numFmtId="0" xfId="0" applyAlignment="1" applyFill="1" applyFont="1">
      <alignment horizontal="center" readingOrder="0"/>
    </xf>
    <xf borderId="0" fillId="0" fontId="5" numFmtId="4" xfId="0" applyAlignment="1" applyFont="1" applyNumberFormat="1">
      <alignment horizontal="center" vertical="bottom"/>
    </xf>
    <xf borderId="1" fillId="0" fontId="4" numFmtId="0" xfId="0" applyAlignment="1" applyBorder="1" applyFont="1">
      <alignment vertical="bottom"/>
    </xf>
    <xf borderId="0" fillId="0" fontId="2" numFmtId="0" xfId="0" applyAlignment="1" applyFont="1">
      <alignment horizontal="center"/>
    </xf>
    <xf borderId="0" fillId="0" fontId="2" numFmtId="4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7" numFmtId="0" xfId="0" applyAlignment="1" applyFont="1">
      <alignment horizontal="center" readingOrder="0" shrinkToFit="0" vertical="bottom" wrapText="1"/>
    </xf>
    <xf borderId="0" fillId="0" fontId="8" numFmtId="0" xfId="0" applyAlignment="1" applyFont="1">
      <alignment horizontal="center" readingOrder="0" shrinkToFit="0" vertical="bottom" wrapText="1"/>
    </xf>
    <xf borderId="0" fillId="4" fontId="5" numFmtId="0" xfId="0" applyAlignment="1" applyFill="1" applyFont="1">
      <alignment horizontal="center" vertical="bottom"/>
    </xf>
    <xf borderId="0" fillId="4" fontId="5" numFmtId="4" xfId="0" applyAlignment="1" applyFill="1" applyFont="1" applyNumberFormat="1">
      <alignment horizontal="center" vertical="bottom"/>
    </xf>
    <xf borderId="0" fillId="4" fontId="8" numFmtId="0" xfId="0" applyAlignment="1" applyFill="1" applyFont="1">
      <alignment horizontal="center" vertical="bottom"/>
    </xf>
    <xf borderId="0" fillId="4" fontId="4" numFmtId="0" xfId="0" applyAlignment="1" applyFill="1" applyFont="1">
      <alignment vertical="bottom"/>
    </xf>
    <xf borderId="0" fillId="0" fontId="2" numFmtId="4" xfId="0" applyAlignment="1" applyFont="1" applyNumberFormat="1">
      <alignment horizontal="center"/>
    </xf>
    <xf borderId="0" fillId="2" fontId="9" numFmtId="0" xfId="0" applyAlignment="1" applyFill="1" applyFont="1">
      <alignment horizontal="center" vertical="center"/>
    </xf>
    <xf borderId="0" fillId="2" fontId="9" numFmtId="0" xfId="0" applyAlignment="1" applyFill="1" applyFont="1">
      <alignment horizontal="center" shrinkToFit="0" vertical="center" wrapText="1"/>
    </xf>
    <xf borderId="0" fillId="5" fontId="9" numFmtId="0" xfId="0" applyAlignment="1" applyFill="1" applyFont="1">
      <alignment horizontal="center" vertical="center"/>
    </xf>
    <xf borderId="0" fillId="2" fontId="9" numFmtId="4" xfId="0" applyAlignment="1" applyFill="1" applyFont="1" applyNumberFormat="1">
      <alignment horizontal="center" readingOrder="0"/>
    </xf>
    <xf borderId="0" fillId="0" fontId="10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0" fillId="0" fontId="8" numFmtId="4" xfId="0" applyAlignment="1" applyFont="1" applyNumberFormat="1">
      <alignment horizontal="center" vertical="center"/>
    </xf>
    <xf borderId="0" fillId="0" fontId="8" numFmtId="4" xfId="0" applyAlignment="1" applyFont="1" applyNumberFormat="1">
      <alignment horizontal="center" readingOrder="0"/>
    </xf>
    <xf borderId="0" fillId="0" fontId="4" numFmtId="0" xfId="0" applyAlignment="1" applyFont="1">
      <alignment vertical="center"/>
    </xf>
    <xf borderId="0" fillId="0" fontId="4" numFmtId="4" xfId="0" applyFont="1" applyNumberFormat="1"/>
    <xf borderId="0" fillId="6" fontId="4" numFmtId="0" xfId="0" applyAlignment="1" applyFill="1" applyFont="1">
      <alignment vertical="bottom"/>
    </xf>
    <xf borderId="0" fillId="6" fontId="5" numFmtId="0" xfId="0" applyAlignment="1" applyFill="1" applyFont="1">
      <alignment horizontal="center" vertical="bottom"/>
    </xf>
    <xf borderId="0" fillId="6" fontId="5" numFmtId="4" xfId="0" applyAlignment="1" applyFill="1" applyFont="1" applyNumberFormat="1">
      <alignment horizontal="center" vertical="bottom"/>
    </xf>
    <xf borderId="0" fillId="6" fontId="4" numFmtId="4" xfId="0" applyAlignment="1" applyFill="1" applyFont="1" applyNumberForma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0" fillId="0" fontId="11" numFmtId="22" xfId="0" applyAlignment="1" applyFont="1" applyNumberFormat="1">
      <alignment horizontal="right" vertical="bottom"/>
    </xf>
    <xf borderId="0" fillId="7" fontId="8" numFmtId="0" xfId="0" applyAlignment="1" applyFill="1" applyFont="1">
      <alignment horizontal="center" shrinkToFit="0" vertical="center" wrapText="1"/>
    </xf>
    <xf borderId="0" fillId="0" fontId="13" numFmtId="0" xfId="0" applyAlignment="1" applyFont="1">
      <alignment horizontal="center" shrinkToFit="0" wrapText="1"/>
    </xf>
    <xf borderId="0" fillId="0" fontId="13" numFmtId="0" xfId="0" applyAlignment="1" applyFont="1">
      <alignment horizontal="center" shrinkToFit="0" wrapText="1"/>
    </xf>
    <xf borderId="0" fillId="0" fontId="13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center" readingOrder="0"/>
    </xf>
    <xf borderId="0" fillId="0" fontId="14" numFmtId="49" xfId="0" applyAlignment="1" applyFont="1" applyNumberFormat="1">
      <alignment horizontal="right" vertical="top"/>
    </xf>
    <xf borderId="0" fillId="0" fontId="14" numFmtId="14" xfId="0" applyAlignment="1" applyFont="1" applyNumberFormat="1">
      <alignment horizontal="right" vertical="top"/>
    </xf>
    <xf borderId="0" fillId="0" fontId="13" numFmtId="0" xfId="0" applyAlignment="1" applyFont="1">
      <alignment horizontal="center" vertical="bottom"/>
    </xf>
    <xf borderId="0" fillId="0" fontId="14" numFmtId="49" xfId="0" applyAlignment="1" applyFont="1" applyNumberFormat="1">
      <alignment vertical="top"/>
    </xf>
    <xf borderId="0" fillId="0" fontId="15" numFmtId="0" xfId="0" applyAlignment="1" applyFont="1">
      <alignment horizontal="center" vertical="bottom"/>
    </xf>
    <xf borderId="0" fillId="0" fontId="14" numFmtId="164" xfId="0" applyAlignment="1" applyFont="1" applyNumberFormat="1">
      <alignment horizontal="right" vertical="top"/>
    </xf>
    <xf borderId="2" fillId="8" fontId="16" numFmtId="0" xfId="0" applyAlignment="1" applyBorder="1" applyFill="1" applyFont="1">
      <alignment horizontal="center" vertical="bottom"/>
    </xf>
    <xf borderId="2" fillId="9" fontId="17" numFmtId="0" xfId="0" applyAlignment="1" applyBorder="1" applyFill="1" applyFont="1">
      <alignment horizontal="center" vertical="bottom"/>
    </xf>
    <xf borderId="3" fillId="10" fontId="18" numFmtId="0" xfId="0" applyAlignment="1" applyBorder="1" applyFill="1" applyFont="1">
      <alignment horizontal="center" vertical="bottom"/>
    </xf>
    <xf borderId="0" fillId="11" fontId="18" numFmtId="164" xfId="0" applyAlignment="1" applyFill="1" applyFont="1" applyNumberFormat="1">
      <alignment horizontal="center" vertical="bottom"/>
    </xf>
    <xf borderId="3" fillId="10" fontId="18" numFmtId="165" xfId="0" applyAlignment="1" applyBorder="1" applyFill="1" applyFont="1" applyNumberFormat="1">
      <alignment horizontal="center" vertical="bottom"/>
    </xf>
    <xf borderId="0" fillId="11" fontId="4" numFmtId="0" xfId="0" applyAlignment="1" applyFill="1" applyFont="1">
      <alignment vertical="bottom"/>
    </xf>
    <xf borderId="4" fillId="8" fontId="19" numFmtId="0" xfId="0" applyAlignment="1" applyBorder="1" applyFill="1" applyFont="1">
      <alignment horizontal="center" vertical="bottom"/>
    </xf>
    <xf borderId="4" fillId="8" fontId="19" numFmtId="164" xfId="0" applyAlignment="1" applyBorder="1" applyFill="1" applyFont="1" applyNumberFormat="1">
      <alignment horizontal="center" vertical="bottom"/>
    </xf>
    <xf borderId="0" fillId="2" fontId="10" numFmtId="0" xfId="0" applyAlignment="1" applyFill="1" applyFont="1">
      <alignment readingOrder="0" shrinkToFit="0" vertical="center" wrapText="1"/>
    </xf>
    <xf borderId="0" fillId="0" fontId="20" numFmtId="0" xfId="0" applyAlignment="1" applyFont="1">
      <alignment horizontal="center" vertical="bottom"/>
    </xf>
    <xf borderId="0" fillId="0" fontId="21" numFmtId="0" xfId="0" applyAlignment="1" applyFont="1">
      <alignment horizontal="center" vertical="bottom"/>
    </xf>
    <xf borderId="0" fillId="0" fontId="15" numFmtId="165" xfId="0" applyAlignment="1" applyFont="1" applyNumberFormat="1">
      <alignment horizontal="center" vertical="bottom"/>
    </xf>
    <xf borderId="0" fillId="0" fontId="4" numFmtId="4" xfId="0" applyAlignment="1" applyFont="1" applyNumberFormat="1">
      <alignment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7" numFmtId="9" xfId="0" applyAlignment="1" applyFont="1" applyNumberFormat="1">
      <alignment horizontal="center" readingOrder="0"/>
    </xf>
    <xf borderId="0" fillId="0" fontId="7" numFmtId="4" xfId="0" applyAlignment="1" applyFont="1" applyNumberFormat="1">
      <alignment horizontal="center" readingOrder="0"/>
    </xf>
    <xf borderId="0" fillId="0" fontId="7" numFmtId="166" xfId="0" applyAlignment="1" applyFont="1" applyNumberFormat="1">
      <alignment horizontal="center" readingOrder="0"/>
    </xf>
    <xf borderId="0" fillId="0" fontId="15" numFmtId="0" xfId="0" applyAlignment="1" applyFont="1">
      <alignment vertical="bottom"/>
    </xf>
    <xf borderId="0" fillId="0" fontId="15" numFmtId="3" xfId="0" applyAlignment="1" applyFont="1" applyNumberFormat="1">
      <alignment horizontal="center" vertical="bottom"/>
    </xf>
    <xf borderId="0" fillId="0" fontId="4" numFmtId="49" xfId="0" applyAlignment="1" applyFont="1" applyNumberFormat="1">
      <alignment vertical="top"/>
    </xf>
    <xf borderId="0" fillId="0" fontId="15" numFmtId="49" xfId="0" applyAlignment="1" applyFont="1" applyNumberFormat="1">
      <alignment vertical="top"/>
    </xf>
    <xf borderId="0" fillId="0" fontId="4" numFmtId="3" xfId="0" applyAlignment="1" applyFont="1" applyNumberFormat="1">
      <alignment vertical="bottom"/>
    </xf>
    <xf borderId="0" fillId="0" fontId="8" numFmtId="3" xfId="0" applyAlignment="1" applyFont="1" applyNumberFormat="1">
      <alignment horizontal="center" vertical="bottom"/>
    </xf>
    <xf borderId="0" fillId="0" fontId="4" numFmtId="49" xfId="0" applyAlignment="1" applyFont="1" applyNumberFormat="1">
      <alignment vertical="bottom"/>
    </xf>
    <xf borderId="0" fillId="0" fontId="4" numFmtId="4" xfId="0" applyAlignment="1" applyFont="1" applyNumberFormat="1">
      <alignment vertical="bottom"/>
    </xf>
    <xf borderId="0" fillId="12" fontId="22" numFmtId="0" xfId="0" applyAlignment="1" applyFill="1" applyFont="1">
      <alignment vertical="bottom"/>
    </xf>
    <xf borderId="0" fillId="13" fontId="23" numFmtId="4" xfId="0" applyAlignment="1" applyFill="1" applyFont="1" applyNumberFormat="1">
      <alignment horizontal="center" vertical="bottom"/>
    </xf>
    <xf borderId="0" fillId="0" fontId="15" numFmtId="0" xfId="0" applyAlignment="1" applyFont="1">
      <alignment vertical="top"/>
    </xf>
    <xf borderId="0" fillId="11" fontId="8" numFmtId="3" xfId="0" applyAlignment="1" applyFill="1" applyFont="1" applyNumberFormat="1">
      <alignment horizontal="center" vertical="bottom"/>
    </xf>
    <xf borderId="0" fillId="0" fontId="8" numFmtId="3" xfId="0" applyAlignment="1" applyFont="1" applyNumberFormat="1">
      <alignment horizontal="center" readingOrder="0" vertical="bottom"/>
    </xf>
    <xf borderId="0" fillId="0" fontId="15" numFmtId="3" xfId="0" applyAlignment="1" applyFont="1" applyNumberFormat="1">
      <alignment horizontal="center" readingOrder="0" vertical="bottom"/>
    </xf>
    <xf borderId="0" fillId="11" fontId="8" numFmtId="3" xfId="0" applyAlignment="1" applyFill="1" applyFont="1" applyNumberFormat="1">
      <alignment horizontal="center" readingOrder="0" vertical="bottom"/>
    </xf>
    <xf borderId="0" fillId="0" fontId="15" numFmtId="3" xfId="0" applyAlignment="1" applyFont="1" applyNumberFormat="1">
      <alignment vertical="bottom"/>
    </xf>
    <xf borderId="0" fillId="0" fontId="24" numFmtId="4" xfId="0" applyAlignment="1" applyFont="1" applyNumberFormat="1">
      <alignment horizontal="center" vertical="bottom"/>
    </xf>
    <xf borderId="0" fillId="0" fontId="25" numFmtId="0" xfId="0" applyAlignment="1" applyFont="1">
      <alignment horizontal="center" vertical="bottom"/>
    </xf>
    <xf borderId="0" fillId="2" fontId="4" numFmtId="3" xfId="0" applyAlignment="1" applyFill="1" applyFont="1" applyNumberFormat="1">
      <alignment readingOrder="0" shrinkToFit="0" vertical="center" wrapText="1"/>
    </xf>
    <xf borderId="0" fillId="0" fontId="8" numFmtId="0" xfId="0" applyAlignment="1" applyFont="1">
      <alignment vertical="top"/>
    </xf>
    <xf borderId="0" fillId="0" fontId="15" numFmtId="4" xfId="0" applyAlignment="1" applyFont="1" applyNumberFormat="1">
      <alignment horizontal="right" vertical="bottom"/>
    </xf>
    <xf borderId="0" fillId="0" fontId="15" numFmtId="4" xfId="0" applyAlignment="1" applyFont="1" applyNumberFormat="1">
      <alignment horizontal="center" vertical="bottom"/>
    </xf>
    <xf borderId="0" fillId="12" fontId="26" numFmtId="0" xfId="0" applyAlignment="1" applyFill="1" applyFont="1">
      <alignment vertical="bottom"/>
    </xf>
    <xf borderId="0" fillId="0" fontId="8" numFmtId="3" xfId="0" applyAlignment="1" applyFont="1" applyNumberFormat="1">
      <alignment horizontal="center" readingOrder="0"/>
    </xf>
    <xf borderId="0" fillId="0" fontId="8" numFmtId="4" xfId="0" applyAlignment="1" applyFont="1" applyNumberFormat="1">
      <alignment horizontal="center" vertical="bottom"/>
    </xf>
    <xf borderId="0" fillId="0" fontId="8" numFmtId="4" xfId="0" applyAlignment="1" applyFont="1" applyNumberFormat="1">
      <alignment horizontal="center" readingOrder="0" vertical="center"/>
    </xf>
    <xf borderId="0" fillId="0" fontId="4" numFmtId="0" xfId="0" applyAlignment="1" applyFont="1">
      <alignment readingOrder="0" vertical="bottom"/>
    </xf>
    <xf borderId="0" fillId="0" fontId="4" numFmtId="4" xfId="0" applyAlignment="1" applyFont="1" applyNumberFormat="1">
      <alignment readingOrder="0" vertical="bottom"/>
    </xf>
    <xf borderId="0" fillId="0" fontId="27" numFmtId="0" xfId="0" applyAlignment="1" applyFont="1">
      <alignment horizontal="center" vertical="center"/>
    </xf>
    <xf borderId="0" fillId="0" fontId="4" numFmtId="4" xfId="0" applyAlignment="1" applyFont="1" applyNumberFormat="1">
      <alignment vertical="center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2" pivot="0" name="reglas-style"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47:E160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regl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://epago.com" TargetMode="External"/><Relationship Id="rId10" Type="http://schemas.openxmlformats.org/officeDocument/2006/relationships/hyperlink" Target="http://epago.com" TargetMode="External"/><Relationship Id="rId13" Type="http://schemas.openxmlformats.org/officeDocument/2006/relationships/hyperlink" Target="http://epago.com" TargetMode="External"/><Relationship Id="rId12" Type="http://schemas.openxmlformats.org/officeDocument/2006/relationships/hyperlink" Target="http://epago.com" TargetMode="External"/><Relationship Id="rId1" Type="http://schemas.openxmlformats.org/officeDocument/2006/relationships/hyperlink" Target="http://epago.com" TargetMode="External"/><Relationship Id="rId2" Type="http://schemas.openxmlformats.org/officeDocument/2006/relationships/hyperlink" Target="http://epago.com" TargetMode="External"/><Relationship Id="rId3" Type="http://schemas.openxmlformats.org/officeDocument/2006/relationships/hyperlink" Target="http://epago.com" TargetMode="External"/><Relationship Id="rId4" Type="http://schemas.openxmlformats.org/officeDocument/2006/relationships/hyperlink" Target="http://epago.com" TargetMode="External"/><Relationship Id="rId9" Type="http://schemas.openxmlformats.org/officeDocument/2006/relationships/hyperlink" Target="http://epago.com" TargetMode="External"/><Relationship Id="rId15" Type="http://schemas.openxmlformats.org/officeDocument/2006/relationships/hyperlink" Target="http://epago.com" TargetMode="External"/><Relationship Id="rId14" Type="http://schemas.openxmlformats.org/officeDocument/2006/relationships/hyperlink" Target="http://epago.com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://epago.com" TargetMode="External"/><Relationship Id="rId5" Type="http://schemas.openxmlformats.org/officeDocument/2006/relationships/hyperlink" Target="http://epago.com" TargetMode="External"/><Relationship Id="rId6" Type="http://schemas.openxmlformats.org/officeDocument/2006/relationships/hyperlink" Target="http://epago.com" TargetMode="External"/><Relationship Id="rId7" Type="http://schemas.openxmlformats.org/officeDocument/2006/relationships/hyperlink" Target="http://epago.com" TargetMode="External"/><Relationship Id="rId8" Type="http://schemas.openxmlformats.org/officeDocument/2006/relationships/hyperlink" Target="http://epago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3" max="3" width="6.63"/>
    <col customWidth="1" min="4" max="4" width="30.88"/>
    <col customWidth="1" min="15" max="15" width="30.88"/>
  </cols>
  <sheetData>
    <row r="1">
      <c r="A1" s="2" t="s">
        <v>1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12</v>
      </c>
      <c r="G1" s="2" t="s">
        <v>14</v>
      </c>
      <c r="H1" s="2" t="s">
        <v>16</v>
      </c>
      <c r="I1" s="2" t="s">
        <v>19</v>
      </c>
      <c r="J1" s="2" t="s">
        <v>21</v>
      </c>
      <c r="K1" s="2" t="s">
        <v>24</v>
      </c>
      <c r="L1" s="2" t="s">
        <v>26</v>
      </c>
      <c r="M1" s="2" t="s">
        <v>27</v>
      </c>
      <c r="N1" s="2" t="s">
        <v>28</v>
      </c>
      <c r="O1" s="8" t="s">
        <v>30</v>
      </c>
      <c r="P1" s="8" t="s">
        <v>34</v>
      </c>
      <c r="Q1" s="8" t="s">
        <v>36</v>
      </c>
      <c r="R1" s="8" t="s">
        <v>37</v>
      </c>
      <c r="S1" s="8" t="s">
        <v>38</v>
      </c>
      <c r="T1" s="11"/>
      <c r="U1" s="11"/>
      <c r="V1" s="11"/>
      <c r="W1" s="11"/>
      <c r="X1" s="11"/>
      <c r="Y1" s="11"/>
      <c r="Z1" s="11"/>
    </row>
    <row r="2">
      <c r="A2" s="2">
        <v>1.0</v>
      </c>
      <c r="B2" s="2" t="s">
        <v>41</v>
      </c>
      <c r="C2" s="2">
        <v>8.0</v>
      </c>
      <c r="D2" s="2" t="s">
        <v>43</v>
      </c>
      <c r="E2" s="12">
        <v>5115.0</v>
      </c>
      <c r="F2" s="12">
        <v>1023.0</v>
      </c>
      <c r="G2" s="12">
        <v>7753.72</v>
      </c>
      <c r="H2" s="2">
        <v>300.0</v>
      </c>
      <c r="I2" s="11"/>
      <c r="J2" s="2">
        <v>800.0</v>
      </c>
      <c r="K2" s="12">
        <v>5657.22</v>
      </c>
      <c r="L2" s="2">
        <v>258.29</v>
      </c>
      <c r="M2" s="11"/>
      <c r="N2" s="11"/>
      <c r="O2" s="2" t="s">
        <v>43</v>
      </c>
      <c r="P2" s="12">
        <v>20907.23</v>
      </c>
      <c r="Q2" s="11"/>
      <c r="R2" s="12">
        <v>20907.23</v>
      </c>
      <c r="S2" s="2" t="s">
        <v>48</v>
      </c>
      <c r="T2" s="11"/>
      <c r="U2" s="11"/>
      <c r="V2" s="11"/>
      <c r="W2" s="11"/>
      <c r="X2" s="11"/>
      <c r="Y2" s="11"/>
      <c r="Z2" s="11"/>
    </row>
    <row r="3">
      <c r="A3" s="2">
        <v>1.0</v>
      </c>
      <c r="B3" s="2" t="s">
        <v>41</v>
      </c>
      <c r="C3" s="2">
        <v>8.0</v>
      </c>
      <c r="D3" s="2" t="s">
        <v>53</v>
      </c>
      <c r="E3" s="12">
        <v>5616.6</v>
      </c>
      <c r="F3" s="12">
        <v>1404.15</v>
      </c>
      <c r="G3" s="12">
        <v>8776.25</v>
      </c>
      <c r="H3" s="2">
        <v>200.0</v>
      </c>
      <c r="I3" s="11"/>
      <c r="J3" s="2">
        <v>560.0</v>
      </c>
      <c r="K3" s="12">
        <v>1086.32</v>
      </c>
      <c r="L3" s="2">
        <v>65.85</v>
      </c>
      <c r="M3" s="11"/>
      <c r="N3" s="11"/>
      <c r="O3" s="2" t="s">
        <v>53</v>
      </c>
      <c r="P3" s="12">
        <v>17709.17</v>
      </c>
      <c r="Q3" s="11"/>
      <c r="R3" s="12">
        <v>17709.17</v>
      </c>
      <c r="S3" s="2" t="s">
        <v>58</v>
      </c>
      <c r="T3" s="11"/>
      <c r="U3" s="11"/>
      <c r="V3" s="11"/>
      <c r="W3" s="11"/>
      <c r="X3" s="11"/>
      <c r="Y3" s="11"/>
      <c r="Z3" s="11"/>
    </row>
    <row r="4">
      <c r="A4" s="2">
        <v>1.0</v>
      </c>
      <c r="B4" s="2" t="s">
        <v>41</v>
      </c>
      <c r="C4" s="2">
        <v>8.0</v>
      </c>
      <c r="D4" s="2" t="s">
        <v>65</v>
      </c>
      <c r="E4" s="12">
        <v>7077.15</v>
      </c>
      <c r="F4" s="12">
        <v>1415.43</v>
      </c>
      <c r="G4" s="12">
        <v>10613.46</v>
      </c>
      <c r="H4" s="2">
        <v>350.0</v>
      </c>
      <c r="I4" s="11"/>
      <c r="J4" s="12">
        <v>2000.0</v>
      </c>
      <c r="K4" s="12">
        <v>5003.81</v>
      </c>
      <c r="L4" s="2">
        <v>280.15</v>
      </c>
      <c r="M4" s="11"/>
      <c r="N4" s="11"/>
      <c r="O4" s="2" t="s">
        <v>65</v>
      </c>
      <c r="P4" s="12">
        <v>26740.0</v>
      </c>
      <c r="Q4" s="11"/>
      <c r="R4" s="12">
        <v>26740.0</v>
      </c>
      <c r="S4" s="2" t="s">
        <v>68</v>
      </c>
      <c r="T4" s="11"/>
      <c r="U4" s="11"/>
      <c r="V4" s="11"/>
      <c r="W4" s="11"/>
      <c r="X4" s="11"/>
      <c r="Y4" s="11"/>
      <c r="Z4" s="11"/>
    </row>
    <row r="5">
      <c r="A5" s="2">
        <v>1.0</v>
      </c>
      <c r="B5" s="2" t="s">
        <v>41</v>
      </c>
      <c r="C5" s="2">
        <v>8.0</v>
      </c>
      <c r="D5" s="2" t="s">
        <v>72</v>
      </c>
      <c r="E5" s="12">
        <v>4725.6</v>
      </c>
      <c r="F5" s="12">
        <v>2677.84</v>
      </c>
      <c r="G5" s="12">
        <v>8900.92</v>
      </c>
      <c r="H5" s="2">
        <v>350.0</v>
      </c>
      <c r="I5" s="11"/>
      <c r="J5" s="2">
        <v>800.0</v>
      </c>
      <c r="K5" s="12">
        <v>6706.79</v>
      </c>
      <c r="L5" s="2">
        <v>300.27</v>
      </c>
      <c r="M5" s="11"/>
      <c r="N5" s="11"/>
      <c r="O5" s="2" t="s">
        <v>72</v>
      </c>
      <c r="P5" s="12">
        <v>24461.42</v>
      </c>
      <c r="Q5" s="11"/>
      <c r="R5" s="12">
        <v>24461.42</v>
      </c>
      <c r="S5" s="2" t="s">
        <v>68</v>
      </c>
      <c r="T5" s="11"/>
      <c r="U5" s="11"/>
      <c r="V5" s="11"/>
      <c r="W5" s="11"/>
      <c r="X5" s="11"/>
      <c r="Y5" s="11"/>
      <c r="Z5" s="11"/>
    </row>
    <row r="6">
      <c r="A6" s="2">
        <v>1.0</v>
      </c>
      <c r="B6" s="2" t="s">
        <v>41</v>
      </c>
      <c r="C6" s="2">
        <v>8.0</v>
      </c>
      <c r="D6" s="2" t="s">
        <v>85</v>
      </c>
      <c r="E6" s="12">
        <v>5979.0</v>
      </c>
      <c r="F6" s="12">
        <v>1195.8</v>
      </c>
      <c r="G6" s="12">
        <v>8957.99</v>
      </c>
      <c r="H6" s="2">
        <v>200.0</v>
      </c>
      <c r="I6" s="11"/>
      <c r="J6" s="2">
        <v>800.0</v>
      </c>
      <c r="K6" s="12">
        <v>3077.21</v>
      </c>
      <c r="L6" s="2">
        <v>155.09</v>
      </c>
      <c r="M6" s="11"/>
      <c r="N6" s="11"/>
      <c r="O6" s="2" t="s">
        <v>85</v>
      </c>
      <c r="P6" s="12">
        <v>20365.09</v>
      </c>
      <c r="Q6" s="11"/>
      <c r="R6" s="12">
        <v>20365.09</v>
      </c>
      <c r="S6" s="2" t="s">
        <v>68</v>
      </c>
      <c r="T6" s="11"/>
      <c r="U6" s="11"/>
      <c r="V6" s="11"/>
      <c r="W6" s="11"/>
      <c r="X6" s="11"/>
      <c r="Y6" s="11"/>
      <c r="Z6" s="11"/>
    </row>
    <row r="7">
      <c r="A7" s="2">
        <v>1.0</v>
      </c>
      <c r="B7" s="2" t="s">
        <v>41</v>
      </c>
      <c r="C7" s="2">
        <v>8.0</v>
      </c>
      <c r="D7" s="2" t="s">
        <v>90</v>
      </c>
      <c r="E7" s="12">
        <v>4725.6</v>
      </c>
      <c r="F7" s="2">
        <v>945.12</v>
      </c>
      <c r="G7" s="12">
        <v>7116.22</v>
      </c>
      <c r="H7" s="2">
        <v>200.0</v>
      </c>
      <c r="I7" s="11"/>
      <c r="J7" s="12">
        <v>1320.0</v>
      </c>
      <c r="K7" s="12">
        <v>5733.1</v>
      </c>
      <c r="L7" s="2">
        <v>282.12</v>
      </c>
      <c r="M7" s="11"/>
      <c r="N7" s="11"/>
      <c r="O7" s="2" t="s">
        <v>90</v>
      </c>
      <c r="P7" s="12">
        <v>20322.16</v>
      </c>
      <c r="Q7" s="11"/>
      <c r="R7" s="12">
        <v>20322.16</v>
      </c>
      <c r="S7" s="2" t="s">
        <v>68</v>
      </c>
      <c r="T7" s="11"/>
      <c r="U7" s="11"/>
      <c r="V7" s="11"/>
      <c r="W7" s="11"/>
      <c r="X7" s="11"/>
      <c r="Y7" s="11"/>
      <c r="Z7" s="11"/>
    </row>
    <row r="8">
      <c r="A8" s="2">
        <v>1.0</v>
      </c>
      <c r="B8" s="2" t="s">
        <v>41</v>
      </c>
      <c r="C8" s="2">
        <v>8.0</v>
      </c>
      <c r="D8" s="2" t="s">
        <v>95</v>
      </c>
      <c r="E8" s="12">
        <v>5017.05</v>
      </c>
      <c r="F8" s="2">
        <v>997.41</v>
      </c>
      <c r="G8" s="12">
        <v>7524.08</v>
      </c>
      <c r="H8" s="2">
        <v>300.0</v>
      </c>
      <c r="I8" s="11"/>
      <c r="J8" s="11"/>
      <c r="K8" s="2">
        <v>0.0</v>
      </c>
      <c r="L8" s="2">
        <v>0.0</v>
      </c>
      <c r="M8" s="11"/>
      <c r="N8" s="11"/>
      <c r="O8" s="2" t="s">
        <v>95</v>
      </c>
      <c r="P8" s="12">
        <v>13838.54</v>
      </c>
      <c r="Q8" s="11"/>
      <c r="R8" s="12">
        <v>13838.54</v>
      </c>
      <c r="S8" s="2" t="s">
        <v>68</v>
      </c>
      <c r="T8" s="11"/>
      <c r="U8" s="11"/>
      <c r="V8" s="11"/>
      <c r="W8" s="11"/>
      <c r="X8" s="11"/>
      <c r="Y8" s="11"/>
      <c r="Z8" s="11"/>
    </row>
    <row r="9">
      <c r="A9" s="2">
        <v>1.0</v>
      </c>
      <c r="B9" s="2" t="s">
        <v>41</v>
      </c>
      <c r="C9" s="2">
        <v>8.0</v>
      </c>
      <c r="D9" s="2" t="s">
        <v>101</v>
      </c>
      <c r="E9" s="12">
        <v>3780.48</v>
      </c>
      <c r="F9" s="12">
        <v>2362.8</v>
      </c>
      <c r="G9" s="12">
        <v>7600.62</v>
      </c>
      <c r="H9" s="2">
        <v>200.0</v>
      </c>
      <c r="I9" s="2">
        <v>378.05</v>
      </c>
      <c r="J9" s="11"/>
      <c r="K9" s="2">
        <v>0.0</v>
      </c>
      <c r="L9" s="2">
        <v>0.0</v>
      </c>
      <c r="M9" s="11"/>
      <c r="N9" s="11"/>
      <c r="O9" s="2" t="s">
        <v>101</v>
      </c>
      <c r="P9" s="12">
        <v>14321.95</v>
      </c>
      <c r="Q9" s="11"/>
      <c r="R9" s="12">
        <v>14321.95</v>
      </c>
      <c r="S9" s="2" t="s">
        <v>68</v>
      </c>
      <c r="T9" s="11"/>
      <c r="U9" s="11"/>
      <c r="V9" s="11"/>
      <c r="W9" s="11"/>
      <c r="X9" s="11"/>
      <c r="Y9" s="11"/>
      <c r="Z9" s="11"/>
    </row>
    <row r="10">
      <c r="A10" s="2">
        <v>1.0</v>
      </c>
      <c r="B10" s="2" t="s">
        <v>41</v>
      </c>
      <c r="C10" s="2">
        <v>8.0</v>
      </c>
      <c r="D10" s="2" t="s">
        <v>106</v>
      </c>
      <c r="E10" s="12">
        <v>3361.5</v>
      </c>
      <c r="F10" s="12">
        <v>4407.3</v>
      </c>
      <c r="G10" s="12">
        <v>9469.07</v>
      </c>
      <c r="H10" s="2">
        <v>300.0</v>
      </c>
      <c r="I10" s="11"/>
      <c r="J10" s="2">
        <v>520.0</v>
      </c>
      <c r="K10" s="12">
        <v>1121.33</v>
      </c>
      <c r="L10" s="2">
        <v>65.65</v>
      </c>
      <c r="M10" s="11"/>
      <c r="N10" s="11"/>
      <c r="O10" s="2" t="s">
        <v>106</v>
      </c>
      <c r="P10" s="12">
        <v>19244.85</v>
      </c>
      <c r="Q10" s="11"/>
      <c r="R10" s="12">
        <v>19244.85</v>
      </c>
      <c r="S10" s="2" t="s">
        <v>68</v>
      </c>
      <c r="T10" s="11"/>
      <c r="U10" s="11"/>
      <c r="V10" s="11"/>
      <c r="W10" s="11"/>
      <c r="X10" s="11"/>
      <c r="Y10" s="11"/>
      <c r="Z10" s="11"/>
    </row>
    <row r="11">
      <c r="A11" s="2">
        <v>1.0</v>
      </c>
      <c r="B11" s="2" t="s">
        <v>41</v>
      </c>
      <c r="C11" s="2">
        <v>8.0</v>
      </c>
      <c r="D11" s="2" t="s">
        <v>109</v>
      </c>
      <c r="E11" s="12">
        <v>5115.0</v>
      </c>
      <c r="F11" s="12">
        <v>1023.0</v>
      </c>
      <c r="G11" s="12">
        <v>7692.34</v>
      </c>
      <c r="H11" s="2">
        <v>350.0</v>
      </c>
      <c r="I11" s="11"/>
      <c r="J11" s="2">
        <v>800.0</v>
      </c>
      <c r="K11" s="12">
        <v>4487.22</v>
      </c>
      <c r="L11" s="2">
        <v>211.49</v>
      </c>
      <c r="M11" s="11"/>
      <c r="N11" s="11"/>
      <c r="O11" s="2" t="s">
        <v>109</v>
      </c>
      <c r="P11" s="12">
        <v>19679.05</v>
      </c>
      <c r="Q11" s="11"/>
      <c r="R11" s="12">
        <v>19679.05</v>
      </c>
      <c r="S11" s="2" t="s">
        <v>78</v>
      </c>
      <c r="T11" s="11"/>
      <c r="U11" s="11"/>
      <c r="V11" s="11"/>
      <c r="W11" s="11"/>
      <c r="X11" s="11"/>
      <c r="Y11" s="11"/>
      <c r="Z11" s="11"/>
    </row>
    <row r="12">
      <c r="A12" s="2">
        <v>1.0</v>
      </c>
      <c r="B12" s="2" t="s">
        <v>41</v>
      </c>
      <c r="C12" s="2">
        <v>8.0</v>
      </c>
      <c r="D12" s="2" t="s">
        <v>114</v>
      </c>
      <c r="E12" s="12">
        <v>4725.6</v>
      </c>
      <c r="F12" s="2" t="s">
        <v>115</v>
      </c>
      <c r="G12" s="12">
        <v>6450.8</v>
      </c>
      <c r="H12" s="11"/>
      <c r="I12" s="11"/>
      <c r="J12" s="11"/>
      <c r="K12" s="2">
        <v>0.0</v>
      </c>
      <c r="L12" s="2">
        <v>0.0</v>
      </c>
      <c r="M12" s="11"/>
      <c r="N12" s="11"/>
      <c r="O12" s="2" t="s">
        <v>114</v>
      </c>
      <c r="P12" s="12">
        <v>11176.4</v>
      </c>
      <c r="Q12" s="11"/>
      <c r="R12" s="12">
        <v>11176.4</v>
      </c>
      <c r="S12" s="2" t="s">
        <v>31</v>
      </c>
      <c r="T12" s="11"/>
      <c r="U12" s="11"/>
      <c r="V12" s="11"/>
      <c r="W12" s="11"/>
      <c r="X12" s="11"/>
      <c r="Y12" s="11"/>
      <c r="Z12" s="11"/>
    </row>
    <row r="13">
      <c r="A13" s="2">
        <v>1.0</v>
      </c>
      <c r="B13" s="2" t="s">
        <v>41</v>
      </c>
      <c r="C13" s="2">
        <v>8.0</v>
      </c>
      <c r="D13" s="2" t="s">
        <v>119</v>
      </c>
      <c r="E13" s="12">
        <v>5115.0</v>
      </c>
      <c r="F13" s="12">
        <v>1023.0</v>
      </c>
      <c r="G13" s="12">
        <v>7753.72</v>
      </c>
      <c r="H13" s="2">
        <v>300.0</v>
      </c>
      <c r="I13" s="11"/>
      <c r="J13" s="2">
        <v>600.0</v>
      </c>
      <c r="K13" s="12">
        <v>1987.22</v>
      </c>
      <c r="L13" s="2">
        <v>103.49</v>
      </c>
      <c r="M13" s="11"/>
      <c r="N13" s="11"/>
      <c r="O13" s="2" t="s">
        <v>119</v>
      </c>
      <c r="P13" s="12">
        <v>16882.43</v>
      </c>
      <c r="Q13" s="11"/>
      <c r="R13" s="12">
        <v>16882.43</v>
      </c>
      <c r="S13" s="2" t="s">
        <v>57</v>
      </c>
      <c r="T13" s="11"/>
      <c r="U13" s="11"/>
      <c r="V13" s="11"/>
      <c r="W13" s="11"/>
      <c r="X13" s="11"/>
      <c r="Y13" s="11"/>
      <c r="Z13" s="11"/>
    </row>
    <row r="14">
      <c r="A14" s="2">
        <v>1.0</v>
      </c>
      <c r="B14" s="2" t="s">
        <v>41</v>
      </c>
      <c r="C14" s="2">
        <v>8.0</v>
      </c>
      <c r="D14" s="2" t="s">
        <v>125</v>
      </c>
      <c r="E14" s="12">
        <v>4491.48</v>
      </c>
      <c r="F14" s="12">
        <v>2221.17</v>
      </c>
      <c r="G14" s="12">
        <v>8382.14</v>
      </c>
      <c r="H14" s="2">
        <v>300.0</v>
      </c>
      <c r="I14" s="2">
        <v>480.0</v>
      </c>
      <c r="J14" s="11"/>
      <c r="K14" s="2">
        <v>0.0</v>
      </c>
      <c r="L14" s="2">
        <v>0.0</v>
      </c>
      <c r="M14" s="11"/>
      <c r="N14" s="11"/>
      <c r="O14" s="2" t="s">
        <v>125</v>
      </c>
      <c r="P14" s="12">
        <v>15874.79</v>
      </c>
      <c r="Q14" s="11"/>
      <c r="R14" s="12">
        <v>15874.79</v>
      </c>
      <c r="S14" s="2" t="s">
        <v>68</v>
      </c>
      <c r="T14" s="11"/>
      <c r="U14" s="11"/>
      <c r="V14" s="11"/>
      <c r="W14" s="11"/>
      <c r="X14" s="11"/>
      <c r="Y14" s="11"/>
      <c r="Z14" s="11"/>
    </row>
    <row r="15">
      <c r="A15" s="2">
        <v>1.0</v>
      </c>
      <c r="B15" s="2" t="s">
        <v>41</v>
      </c>
      <c r="C15" s="2">
        <v>8.0</v>
      </c>
      <c r="D15" s="2" t="s">
        <v>130</v>
      </c>
      <c r="E15" s="12">
        <v>4725.6</v>
      </c>
      <c r="F15" s="2">
        <v>945.12</v>
      </c>
      <c r="G15" s="12">
        <v>7172.92</v>
      </c>
      <c r="H15" s="2">
        <v>350.0</v>
      </c>
      <c r="I15" s="11"/>
      <c r="J15" s="2">
        <v>800.0</v>
      </c>
      <c r="K15" s="12">
        <v>4772.84</v>
      </c>
      <c r="L15" s="2">
        <v>222.91</v>
      </c>
      <c r="M15" s="11"/>
      <c r="N15" s="11"/>
      <c r="O15" s="2" t="s">
        <v>130</v>
      </c>
      <c r="P15" s="12">
        <v>18989.39</v>
      </c>
      <c r="Q15" s="11"/>
      <c r="R15" s="12">
        <v>18989.39</v>
      </c>
      <c r="S15" s="2" t="s">
        <v>68</v>
      </c>
      <c r="T15" s="11"/>
      <c r="U15" s="11"/>
      <c r="V15" s="11"/>
      <c r="W15" s="11"/>
      <c r="X15" s="11"/>
      <c r="Y15" s="11"/>
      <c r="Z15" s="11"/>
    </row>
    <row r="16">
      <c r="A16" s="2">
        <v>1.0</v>
      </c>
      <c r="B16" s="2" t="s">
        <v>41</v>
      </c>
      <c r="C16" s="2">
        <v>8.0</v>
      </c>
      <c r="D16" s="2" t="s">
        <v>136</v>
      </c>
      <c r="E16" s="12">
        <v>4725.6</v>
      </c>
      <c r="F16" s="2">
        <v>945.12</v>
      </c>
      <c r="G16" s="12">
        <v>7168.18</v>
      </c>
      <c r="H16" s="2">
        <v>300.0</v>
      </c>
      <c r="I16" s="11"/>
      <c r="J16" s="2">
        <v>480.0</v>
      </c>
      <c r="K16" s="2">
        <v>772.84</v>
      </c>
      <c r="L16" s="2">
        <v>50.11</v>
      </c>
      <c r="M16" s="11"/>
      <c r="N16" s="11"/>
      <c r="O16" s="2" t="s">
        <v>136</v>
      </c>
      <c r="P16" s="12">
        <v>14441.85</v>
      </c>
      <c r="Q16" s="11"/>
      <c r="R16" s="12">
        <v>14441.85</v>
      </c>
      <c r="S16" s="2" t="s">
        <v>57</v>
      </c>
      <c r="T16" s="11"/>
      <c r="U16" s="11"/>
      <c r="V16" s="11"/>
      <c r="W16" s="11"/>
      <c r="X16" s="11"/>
      <c r="Y16" s="11"/>
      <c r="Z16" s="11"/>
    </row>
    <row r="17">
      <c r="A17" s="2">
        <v>1.0</v>
      </c>
      <c r="B17" s="2" t="s">
        <v>41</v>
      </c>
      <c r="C17" s="2">
        <v>8.0</v>
      </c>
      <c r="D17" s="2" t="s">
        <v>143</v>
      </c>
      <c r="E17" s="12">
        <v>4985.11</v>
      </c>
      <c r="F17" s="12">
        <v>1763.96</v>
      </c>
      <c r="G17" s="12">
        <v>8454.42</v>
      </c>
      <c r="H17" s="2">
        <v>200.0</v>
      </c>
      <c r="I17" s="11"/>
      <c r="J17" s="12">
        <v>1200.0</v>
      </c>
      <c r="K17" s="12">
        <v>7768.29</v>
      </c>
      <c r="L17" s="2">
        <v>358.73</v>
      </c>
      <c r="M17" s="11"/>
      <c r="N17" s="11"/>
      <c r="O17" s="2" t="s">
        <v>143</v>
      </c>
      <c r="P17" s="12">
        <v>24730.51</v>
      </c>
      <c r="Q17" s="11"/>
      <c r="R17" s="12">
        <v>24730.51</v>
      </c>
      <c r="S17" s="2" t="s">
        <v>68</v>
      </c>
      <c r="T17" s="11"/>
      <c r="U17" s="11"/>
      <c r="V17" s="11"/>
      <c r="W17" s="11"/>
      <c r="X17" s="11"/>
      <c r="Y17" s="11"/>
      <c r="Z17" s="11"/>
    </row>
    <row r="18">
      <c r="A18" s="2">
        <v>1.0</v>
      </c>
      <c r="B18" s="2" t="s">
        <v>41</v>
      </c>
      <c r="C18" s="2">
        <v>8.0</v>
      </c>
      <c r="D18" s="2" t="s">
        <v>147</v>
      </c>
      <c r="E18" s="12">
        <v>4725.6</v>
      </c>
      <c r="F18" s="12">
        <v>1181.4</v>
      </c>
      <c r="G18" s="12">
        <v>7418.65</v>
      </c>
      <c r="H18" s="2">
        <v>350.0</v>
      </c>
      <c r="I18" s="11"/>
      <c r="J18" s="2">
        <v>600.0</v>
      </c>
      <c r="K18" s="12">
        <v>2424.25</v>
      </c>
      <c r="L18" s="2">
        <v>120.97</v>
      </c>
      <c r="M18" s="11"/>
      <c r="N18" s="11"/>
      <c r="O18" s="2" t="s">
        <v>147</v>
      </c>
      <c r="P18" s="12">
        <v>16820.87</v>
      </c>
      <c r="Q18" s="11"/>
      <c r="R18" s="12">
        <v>16820.87</v>
      </c>
      <c r="S18" s="2" t="s">
        <v>58</v>
      </c>
      <c r="T18" s="11"/>
      <c r="U18" s="11"/>
      <c r="V18" s="11"/>
      <c r="W18" s="11"/>
      <c r="X18" s="11"/>
      <c r="Y18" s="11"/>
      <c r="Z18" s="11"/>
    </row>
    <row r="19">
      <c r="A19" s="2">
        <v>1.0</v>
      </c>
      <c r="B19" s="2" t="s">
        <v>41</v>
      </c>
      <c r="C19" s="2">
        <v>8.0</v>
      </c>
      <c r="D19" s="2" t="s">
        <v>151</v>
      </c>
      <c r="E19" s="12">
        <v>5753.85</v>
      </c>
      <c r="F19" s="12">
        <v>3068.72</v>
      </c>
      <c r="G19" s="12">
        <v>10677.14</v>
      </c>
      <c r="H19" s="2">
        <v>300.0</v>
      </c>
      <c r="I19" s="11"/>
      <c r="J19" s="2">
        <v>760.0</v>
      </c>
      <c r="K19" s="12">
        <v>4609.35</v>
      </c>
      <c r="L19" s="2">
        <v>214.77</v>
      </c>
      <c r="M19" s="11"/>
      <c r="N19" s="11"/>
      <c r="O19" s="2" t="s">
        <v>151</v>
      </c>
      <c r="P19" s="12">
        <v>25383.83</v>
      </c>
      <c r="Q19" s="11"/>
      <c r="R19" s="12">
        <v>25383.83</v>
      </c>
      <c r="S19" s="2" t="s">
        <v>23</v>
      </c>
      <c r="T19" s="11"/>
      <c r="U19" s="11"/>
      <c r="V19" s="11"/>
      <c r="W19" s="11"/>
      <c r="X19" s="11"/>
      <c r="Y19" s="11"/>
      <c r="Z19" s="11"/>
    </row>
    <row r="20">
      <c r="A20" s="2">
        <v>1.0</v>
      </c>
      <c r="B20" s="2" t="s">
        <v>41</v>
      </c>
      <c r="C20" s="2">
        <v>8.0</v>
      </c>
      <c r="D20" s="2" t="s">
        <v>157</v>
      </c>
      <c r="E20" s="12">
        <v>5753.85</v>
      </c>
      <c r="F20" s="2">
        <v>990.77</v>
      </c>
      <c r="G20" s="12">
        <v>8516.07</v>
      </c>
      <c r="H20" s="2">
        <v>350.0</v>
      </c>
      <c r="I20" s="11"/>
      <c r="J20" s="2">
        <v>640.0</v>
      </c>
      <c r="K20" s="12">
        <v>1994.11</v>
      </c>
      <c r="L20" s="2">
        <v>105.36</v>
      </c>
      <c r="M20" s="11"/>
      <c r="N20" s="11"/>
      <c r="O20" s="2" t="s">
        <v>157</v>
      </c>
      <c r="P20" s="12">
        <v>18350.16</v>
      </c>
      <c r="Q20" s="11"/>
      <c r="R20" s="12">
        <v>18350.16</v>
      </c>
      <c r="S20" s="2" t="s">
        <v>158</v>
      </c>
      <c r="T20" s="11"/>
      <c r="U20" s="11"/>
      <c r="V20" s="11"/>
      <c r="W20" s="11"/>
      <c r="X20" s="11"/>
      <c r="Y20" s="11"/>
      <c r="Z20" s="11"/>
    </row>
    <row r="21">
      <c r="A21" s="2">
        <v>1.0</v>
      </c>
      <c r="B21" s="2" t="s">
        <v>41</v>
      </c>
      <c r="C21" s="2">
        <v>8.0</v>
      </c>
      <c r="D21" s="2" t="s">
        <v>159</v>
      </c>
      <c r="E21" s="12">
        <v>4492.56</v>
      </c>
      <c r="F21" s="12">
        <v>1377.62</v>
      </c>
      <c r="G21" s="12">
        <v>7577.92</v>
      </c>
      <c r="H21" s="2">
        <v>300.0</v>
      </c>
      <c r="I21" s="11"/>
      <c r="J21" s="2">
        <v>420.0</v>
      </c>
      <c r="K21" s="2">
        <v>0.0</v>
      </c>
      <c r="L21" s="2">
        <v>16.8</v>
      </c>
      <c r="M21" s="11"/>
      <c r="N21" s="11"/>
      <c r="O21" s="2" t="s">
        <v>159</v>
      </c>
      <c r="P21" s="12">
        <v>14184.9</v>
      </c>
      <c r="Q21" s="11"/>
      <c r="R21" s="12">
        <v>14184.9</v>
      </c>
      <c r="S21" s="2" t="s">
        <v>57</v>
      </c>
      <c r="T21" s="11"/>
      <c r="U21" s="11"/>
      <c r="V21" s="11"/>
      <c r="W21" s="11"/>
      <c r="X21" s="11"/>
      <c r="Y21" s="11"/>
      <c r="Z21" s="11"/>
    </row>
    <row r="22">
      <c r="A22" s="2">
        <v>1.0</v>
      </c>
      <c r="B22" s="2" t="s">
        <v>41</v>
      </c>
      <c r="C22" s="2">
        <v>8.0</v>
      </c>
      <c r="D22" s="2" t="s">
        <v>165</v>
      </c>
      <c r="E22" s="12">
        <v>5017.05</v>
      </c>
      <c r="F22" s="12">
        <v>1003.41</v>
      </c>
      <c r="G22" s="12">
        <v>7591.73</v>
      </c>
      <c r="H22" s="2">
        <v>300.0</v>
      </c>
      <c r="I22" s="11"/>
      <c r="J22" s="2">
        <v>480.0</v>
      </c>
      <c r="K22" s="2">
        <v>588.78</v>
      </c>
      <c r="L22" s="2">
        <v>42.75</v>
      </c>
      <c r="M22" s="11"/>
      <c r="N22" s="11"/>
      <c r="O22" s="2" t="s">
        <v>165</v>
      </c>
      <c r="P22" s="12">
        <v>15023.72</v>
      </c>
      <c r="Q22" s="11"/>
      <c r="R22" s="12">
        <v>15023.72</v>
      </c>
      <c r="S22" s="2" t="s">
        <v>57</v>
      </c>
      <c r="T22" s="11"/>
      <c r="U22" s="11"/>
      <c r="V22" s="11"/>
      <c r="W22" s="11"/>
      <c r="X22" s="11"/>
      <c r="Y22" s="11"/>
      <c r="Z22" s="11"/>
    </row>
    <row r="23">
      <c r="A23" s="2">
        <v>1.0</v>
      </c>
      <c r="B23" s="2" t="s">
        <v>41</v>
      </c>
      <c r="C23" s="2">
        <v>8.0</v>
      </c>
      <c r="D23" s="2" t="s">
        <v>171</v>
      </c>
      <c r="E23" s="12">
        <v>3051.0</v>
      </c>
      <c r="F23" s="12">
        <v>2644.2</v>
      </c>
      <c r="G23" s="12">
        <v>7286.96</v>
      </c>
      <c r="H23" s="2">
        <v>300.0</v>
      </c>
      <c r="I23" s="11"/>
      <c r="J23" s="2">
        <v>480.0</v>
      </c>
      <c r="K23" s="2">
        <v>879.32</v>
      </c>
      <c r="L23" s="2">
        <v>54.37</v>
      </c>
      <c r="M23" s="11"/>
      <c r="N23" s="11"/>
      <c r="O23" s="2" t="s">
        <v>171</v>
      </c>
      <c r="P23" s="12">
        <v>14695.85</v>
      </c>
      <c r="Q23" s="11"/>
      <c r="R23" s="12">
        <v>14695.85</v>
      </c>
      <c r="S23" s="2" t="s">
        <v>57</v>
      </c>
      <c r="T23" s="11"/>
      <c r="U23" s="11"/>
      <c r="V23" s="11"/>
      <c r="W23" s="11"/>
      <c r="X23" s="11"/>
      <c r="Y23" s="11"/>
      <c r="Z23" s="11"/>
    </row>
    <row r="24">
      <c r="A24" s="2">
        <v>1.0</v>
      </c>
      <c r="B24" s="2" t="s">
        <v>41</v>
      </c>
      <c r="C24" s="2">
        <v>8.0</v>
      </c>
      <c r="D24" s="2" t="s">
        <v>173</v>
      </c>
      <c r="E24" s="12">
        <v>7152.6</v>
      </c>
      <c r="F24" s="12">
        <v>1788.15</v>
      </c>
      <c r="G24" s="12">
        <v>11570.55</v>
      </c>
      <c r="H24" s="2">
        <v>300.0</v>
      </c>
      <c r="I24" s="11"/>
      <c r="J24" s="2">
        <v>652.0</v>
      </c>
      <c r="K24" s="2">
        <v>430.69</v>
      </c>
      <c r="L24" s="2">
        <v>43.31</v>
      </c>
      <c r="M24" s="11"/>
      <c r="N24" s="11"/>
      <c r="O24" s="2" t="s">
        <v>173</v>
      </c>
      <c r="P24" s="12">
        <v>21937.3</v>
      </c>
      <c r="Q24" s="11"/>
      <c r="R24" s="12">
        <v>21937.3</v>
      </c>
      <c r="S24" s="2" t="s">
        <v>68</v>
      </c>
      <c r="T24" s="11"/>
      <c r="U24" s="11"/>
      <c r="V24" s="11"/>
      <c r="W24" s="11"/>
      <c r="X24" s="11"/>
      <c r="Y24" s="11"/>
      <c r="Z24" s="11"/>
    </row>
    <row r="25">
      <c r="A25" s="2">
        <v>1.0</v>
      </c>
      <c r="B25" s="2" t="s">
        <v>41</v>
      </c>
      <c r="C25" s="2">
        <v>8.0</v>
      </c>
      <c r="D25" s="2" t="s">
        <v>179</v>
      </c>
      <c r="E25" s="12">
        <v>4682.58</v>
      </c>
      <c r="F25" s="12">
        <v>1270.99</v>
      </c>
      <c r="G25" s="12">
        <v>7520.9</v>
      </c>
      <c r="H25" s="2">
        <v>300.0</v>
      </c>
      <c r="I25" s="11"/>
      <c r="J25" s="2">
        <v>480.0</v>
      </c>
      <c r="K25" s="2">
        <v>647.95</v>
      </c>
      <c r="L25" s="2">
        <v>45.12</v>
      </c>
      <c r="M25" s="11"/>
      <c r="N25" s="11"/>
      <c r="O25" s="2" t="s">
        <v>179</v>
      </c>
      <c r="P25" s="12">
        <v>14947.54</v>
      </c>
      <c r="Q25" s="11"/>
      <c r="R25" s="12">
        <v>14947.54</v>
      </c>
      <c r="S25" s="2" t="s">
        <v>68</v>
      </c>
      <c r="T25" s="11"/>
      <c r="U25" s="11"/>
      <c r="V25" s="11"/>
      <c r="W25" s="11"/>
      <c r="X25" s="11"/>
      <c r="Y25" s="11"/>
      <c r="Z25" s="11"/>
    </row>
    <row r="26">
      <c r="A26" s="2">
        <v>1.0</v>
      </c>
      <c r="B26" s="2" t="s">
        <v>41</v>
      </c>
      <c r="C26" s="2">
        <v>8.0</v>
      </c>
      <c r="D26" s="2" t="s">
        <v>187</v>
      </c>
      <c r="E26" s="12">
        <v>3361.59</v>
      </c>
      <c r="F26" s="12">
        <v>2913.38</v>
      </c>
      <c r="G26" s="12">
        <v>7994.75</v>
      </c>
      <c r="H26" s="2">
        <v>200.0</v>
      </c>
      <c r="I26" s="11"/>
      <c r="J26" s="2">
        <v>520.0</v>
      </c>
      <c r="K26" s="2">
        <v>882.08</v>
      </c>
      <c r="L26" s="2">
        <v>56.08</v>
      </c>
      <c r="M26" s="11"/>
      <c r="N26" s="11"/>
      <c r="O26" s="2" t="s">
        <v>187</v>
      </c>
      <c r="P26" s="12">
        <v>15927.88</v>
      </c>
      <c r="Q26" s="11"/>
      <c r="R26" s="12">
        <v>15927.88</v>
      </c>
      <c r="S26" s="2" t="s">
        <v>57</v>
      </c>
      <c r="T26" s="11"/>
      <c r="U26" s="11"/>
      <c r="V26" s="11"/>
      <c r="W26" s="11"/>
      <c r="X26" s="11"/>
      <c r="Y26" s="11"/>
      <c r="Z26" s="11"/>
    </row>
    <row r="27">
      <c r="A27" s="2">
        <v>1.0</v>
      </c>
      <c r="B27" s="2" t="s">
        <v>41</v>
      </c>
      <c r="C27" s="2">
        <v>8.0</v>
      </c>
      <c r="D27" s="2" t="s">
        <v>193</v>
      </c>
      <c r="E27" s="12">
        <v>4410.98</v>
      </c>
      <c r="F27" s="12">
        <v>1076.03</v>
      </c>
      <c r="G27" s="12">
        <v>6979.62</v>
      </c>
      <c r="H27" s="2">
        <v>300.0</v>
      </c>
      <c r="I27" s="11"/>
      <c r="J27" s="11"/>
      <c r="K27" s="2">
        <v>886.7</v>
      </c>
      <c r="L27" s="2">
        <v>35.47</v>
      </c>
      <c r="M27" s="11"/>
      <c r="N27" s="11"/>
      <c r="O27" s="2" t="s">
        <v>193</v>
      </c>
      <c r="P27" s="12">
        <v>13688.8</v>
      </c>
      <c r="Q27" s="11"/>
      <c r="R27" s="12">
        <v>13688.8</v>
      </c>
      <c r="S27" s="2" t="s">
        <v>158</v>
      </c>
      <c r="T27" s="11"/>
      <c r="U27" s="11"/>
      <c r="V27" s="11"/>
      <c r="W27" s="11"/>
      <c r="X27" s="11"/>
      <c r="Y27" s="11"/>
      <c r="Z27" s="11"/>
    </row>
    <row r="28">
      <c r="A28" s="2">
        <v>1.0</v>
      </c>
      <c r="B28" s="2" t="s">
        <v>41</v>
      </c>
      <c r="C28" s="2">
        <v>8.0</v>
      </c>
      <c r="D28" s="2" t="s">
        <v>203</v>
      </c>
      <c r="E28" s="12">
        <v>4445.52</v>
      </c>
      <c r="F28" s="12">
        <v>1985.71</v>
      </c>
      <c r="G28" s="12">
        <v>8150.72</v>
      </c>
      <c r="H28" s="2">
        <v>350.0</v>
      </c>
      <c r="I28" s="11"/>
      <c r="J28" s="2">
        <v>880.0</v>
      </c>
      <c r="K28" s="12">
        <v>16449.64</v>
      </c>
      <c r="L28" s="2">
        <v>693.19</v>
      </c>
      <c r="M28" s="11"/>
      <c r="N28" s="11"/>
      <c r="O28" s="2" t="s">
        <v>203</v>
      </c>
      <c r="P28" s="12">
        <v>32954.78</v>
      </c>
      <c r="Q28" s="11"/>
      <c r="R28" s="12">
        <v>32954.78</v>
      </c>
      <c r="S28" s="2" t="s">
        <v>48</v>
      </c>
      <c r="T28" s="11"/>
      <c r="U28" s="11"/>
      <c r="V28" s="11"/>
      <c r="W28" s="11"/>
      <c r="X28" s="11"/>
      <c r="Y28" s="11"/>
      <c r="Z28" s="11"/>
    </row>
    <row r="29">
      <c r="A29" s="2">
        <v>1.0</v>
      </c>
      <c r="B29" s="2" t="s">
        <v>41</v>
      </c>
      <c r="C29" s="2">
        <v>8.0</v>
      </c>
      <c r="D29" s="2" t="s">
        <v>210</v>
      </c>
      <c r="E29" s="12">
        <v>5026.8</v>
      </c>
      <c r="F29" s="2">
        <v>705.36</v>
      </c>
      <c r="G29" s="12">
        <v>7291.26</v>
      </c>
      <c r="H29" s="2">
        <v>300.0</v>
      </c>
      <c r="I29" s="11"/>
      <c r="J29" s="2">
        <v>460.0</v>
      </c>
      <c r="K29" s="2">
        <v>500.0</v>
      </c>
      <c r="L29" s="2">
        <v>38.4</v>
      </c>
      <c r="M29" s="11"/>
      <c r="N29" s="11"/>
      <c r="O29" s="2" t="s">
        <v>210</v>
      </c>
      <c r="P29" s="12">
        <v>14321.82</v>
      </c>
      <c r="Q29" s="11"/>
      <c r="R29" s="12">
        <v>14321.82</v>
      </c>
      <c r="S29" s="2" t="s">
        <v>68</v>
      </c>
      <c r="T29" s="11"/>
      <c r="U29" s="11"/>
      <c r="V29" s="11"/>
      <c r="W29" s="11"/>
      <c r="X29" s="11"/>
      <c r="Y29" s="11"/>
      <c r="Z29" s="11"/>
    </row>
    <row r="30">
      <c r="A30" s="2">
        <v>1.0</v>
      </c>
      <c r="B30" s="2" t="s">
        <v>41</v>
      </c>
      <c r="C30" s="2">
        <v>8.0</v>
      </c>
      <c r="D30" s="2" t="s">
        <v>216</v>
      </c>
      <c r="E30" s="12">
        <v>4725.6</v>
      </c>
      <c r="F30" s="2">
        <v>945.12</v>
      </c>
      <c r="G30" s="12">
        <v>7172.92</v>
      </c>
      <c r="H30" s="2">
        <v>350.0</v>
      </c>
      <c r="I30" s="11"/>
      <c r="J30" s="2">
        <v>880.0</v>
      </c>
      <c r="K30" s="12">
        <v>3332.27</v>
      </c>
      <c r="L30" s="2">
        <v>168.49</v>
      </c>
      <c r="M30" s="11"/>
      <c r="N30" s="11"/>
      <c r="O30" s="2" t="s">
        <v>216</v>
      </c>
      <c r="P30" s="12">
        <v>17574.4</v>
      </c>
      <c r="Q30" s="11"/>
      <c r="R30" s="12">
        <v>17574.4</v>
      </c>
      <c r="S30" s="2" t="s">
        <v>57</v>
      </c>
      <c r="T30" s="11"/>
      <c r="U30" s="11"/>
      <c r="V30" s="11"/>
      <c r="W30" s="11"/>
      <c r="X30" s="11"/>
      <c r="Y30" s="11"/>
      <c r="Z30" s="11"/>
    </row>
    <row r="31">
      <c r="A31" s="2">
        <v>1.0</v>
      </c>
      <c r="B31" s="2" t="s">
        <v>41</v>
      </c>
      <c r="C31" s="2">
        <v>8.0</v>
      </c>
      <c r="D31" s="2" t="s">
        <v>221</v>
      </c>
      <c r="E31" s="12">
        <v>4347.2</v>
      </c>
      <c r="F31" s="12">
        <v>1538.24</v>
      </c>
      <c r="G31" s="12">
        <v>7448.5</v>
      </c>
      <c r="H31" s="2">
        <v>300.0</v>
      </c>
      <c r="I31" s="11"/>
      <c r="J31" s="2">
        <v>540.0</v>
      </c>
      <c r="K31" s="12">
        <v>1458.18</v>
      </c>
      <c r="L31" s="2">
        <v>79.93</v>
      </c>
      <c r="M31" s="11"/>
      <c r="N31" s="11"/>
      <c r="O31" s="2" t="s">
        <v>221</v>
      </c>
      <c r="P31" s="12">
        <v>15712.05</v>
      </c>
      <c r="Q31" s="11"/>
      <c r="R31" s="12">
        <v>15712.05</v>
      </c>
      <c r="S31" s="2" t="s">
        <v>225</v>
      </c>
      <c r="T31" s="11"/>
      <c r="U31" s="11"/>
      <c r="V31" s="11"/>
      <c r="W31" s="11"/>
      <c r="X31" s="11"/>
      <c r="Y31" s="11"/>
      <c r="Z31" s="11"/>
    </row>
    <row r="32">
      <c r="A32" s="2">
        <v>1.0</v>
      </c>
      <c r="B32" s="2" t="s">
        <v>41</v>
      </c>
      <c r="C32" s="2">
        <v>8.0</v>
      </c>
      <c r="D32" s="2" t="s">
        <v>229</v>
      </c>
      <c r="E32" s="12">
        <v>4725.6</v>
      </c>
      <c r="F32" s="2" t="s">
        <v>115</v>
      </c>
      <c r="G32" s="12">
        <v>6186.46</v>
      </c>
      <c r="H32" s="2">
        <v>200.0</v>
      </c>
      <c r="I32" s="2">
        <v>378.05</v>
      </c>
      <c r="J32" s="11"/>
      <c r="K32" s="2">
        <v>0.0</v>
      </c>
      <c r="L32" s="2">
        <v>0.0</v>
      </c>
      <c r="M32" s="11"/>
      <c r="N32" s="11"/>
      <c r="O32" s="2" t="s">
        <v>229</v>
      </c>
      <c r="P32" s="12">
        <v>11490.11</v>
      </c>
      <c r="Q32" s="11"/>
      <c r="R32" s="12">
        <v>11490.11</v>
      </c>
      <c r="S32" s="2" t="s">
        <v>57</v>
      </c>
      <c r="T32" s="11"/>
      <c r="U32" s="11"/>
      <c r="V32" s="11"/>
      <c r="W32" s="11"/>
      <c r="X32" s="11"/>
      <c r="Y32" s="11"/>
      <c r="Z32" s="11"/>
    </row>
    <row r="33">
      <c r="A33" s="2">
        <v>1.0</v>
      </c>
      <c r="B33" s="2" t="s">
        <v>41</v>
      </c>
      <c r="C33" s="2">
        <v>8.0</v>
      </c>
      <c r="D33" s="2" t="s">
        <v>233</v>
      </c>
      <c r="E33" s="2">
        <v>0.0</v>
      </c>
      <c r="F33" s="2" t="s">
        <v>115</v>
      </c>
      <c r="G33" s="2" t="s">
        <v>115</v>
      </c>
      <c r="H33" s="2" t="s">
        <v>115</v>
      </c>
      <c r="I33" s="11"/>
      <c r="J33" s="11"/>
      <c r="K33" s="2">
        <v>0.0</v>
      </c>
      <c r="L33" s="2">
        <v>0.0</v>
      </c>
      <c r="M33" s="11"/>
      <c r="N33" s="11"/>
      <c r="O33" s="2" t="s">
        <v>233</v>
      </c>
      <c r="P33" s="2">
        <v>0.0</v>
      </c>
      <c r="Q33" s="11"/>
      <c r="R33" s="2">
        <v>0.0</v>
      </c>
      <c r="S33" s="2" t="s">
        <v>68</v>
      </c>
      <c r="T33" s="11"/>
      <c r="U33" s="11"/>
      <c r="V33" s="11"/>
      <c r="W33" s="11"/>
      <c r="X33" s="11"/>
      <c r="Y33" s="11"/>
      <c r="Z33" s="11"/>
    </row>
    <row r="34">
      <c r="A34" s="2">
        <v>1.0</v>
      </c>
      <c r="B34" s="2" t="s">
        <v>41</v>
      </c>
      <c r="C34" s="2">
        <v>8.0</v>
      </c>
      <c r="D34" s="2" t="s">
        <v>237</v>
      </c>
      <c r="E34" s="12">
        <v>4725.6</v>
      </c>
      <c r="F34" s="2">
        <v>390.94</v>
      </c>
      <c r="G34" s="12">
        <v>6541.87</v>
      </c>
      <c r="H34" s="2">
        <v>300.0</v>
      </c>
      <c r="I34" s="11"/>
      <c r="J34" s="11"/>
      <c r="K34" s="2">
        <v>0.0</v>
      </c>
      <c r="L34" s="2">
        <v>0.0</v>
      </c>
      <c r="M34" s="11"/>
      <c r="N34" s="11"/>
      <c r="O34" s="2" t="s">
        <v>237</v>
      </c>
      <c r="P34" s="12">
        <v>11958.41</v>
      </c>
      <c r="Q34" s="11"/>
      <c r="R34" s="12">
        <v>11958.41</v>
      </c>
      <c r="S34" s="2" t="s">
        <v>68</v>
      </c>
      <c r="T34" s="11"/>
      <c r="U34" s="11"/>
      <c r="V34" s="11"/>
      <c r="W34" s="11"/>
      <c r="X34" s="11"/>
      <c r="Y34" s="11"/>
      <c r="Z34" s="11"/>
    </row>
    <row r="35">
      <c r="A35" s="2">
        <v>1.0</v>
      </c>
      <c r="B35" s="2" t="s">
        <v>41</v>
      </c>
      <c r="C35" s="2">
        <v>8.0</v>
      </c>
      <c r="D35" s="2" t="s">
        <v>243</v>
      </c>
      <c r="E35" s="12">
        <v>5016.9</v>
      </c>
      <c r="F35" s="2">
        <v>703.38</v>
      </c>
      <c r="G35" s="12">
        <v>7274.43</v>
      </c>
      <c r="H35" s="2">
        <v>300.0</v>
      </c>
      <c r="I35" s="11"/>
      <c r="J35" s="2">
        <v>520.0</v>
      </c>
      <c r="K35" s="2">
        <v>325.0</v>
      </c>
      <c r="L35" s="2">
        <v>33.8</v>
      </c>
      <c r="M35" s="11"/>
      <c r="N35" s="11"/>
      <c r="O35" s="2" t="s">
        <v>243</v>
      </c>
      <c r="P35" s="12">
        <v>14173.51</v>
      </c>
      <c r="Q35" s="11"/>
      <c r="R35" s="12">
        <v>14173.51</v>
      </c>
      <c r="S35" s="2" t="s">
        <v>68</v>
      </c>
      <c r="T35" s="11"/>
      <c r="U35" s="11"/>
      <c r="V35" s="11"/>
      <c r="W35" s="11"/>
      <c r="X35" s="11"/>
      <c r="Y35" s="11"/>
      <c r="Z35" s="11"/>
    </row>
    <row r="36">
      <c r="A36" s="2">
        <v>1.0</v>
      </c>
      <c r="B36" s="2" t="s">
        <v>41</v>
      </c>
      <c r="C36" s="2">
        <v>8.0</v>
      </c>
      <c r="D36" s="2" t="s">
        <v>252</v>
      </c>
      <c r="E36" s="12">
        <v>5616.3</v>
      </c>
      <c r="F36" s="12">
        <v>1123.26</v>
      </c>
      <c r="G36" s="12">
        <v>8483.75</v>
      </c>
      <c r="H36" s="2">
        <v>300.0</v>
      </c>
      <c r="I36" s="11"/>
      <c r="J36" s="2">
        <v>620.0</v>
      </c>
      <c r="K36" s="12">
        <v>1745.27</v>
      </c>
      <c r="L36" s="2">
        <v>94.61</v>
      </c>
      <c r="M36" s="11"/>
      <c r="N36" s="11"/>
      <c r="O36" s="2" t="s">
        <v>252</v>
      </c>
      <c r="P36" s="12">
        <v>17983.19</v>
      </c>
      <c r="Q36" s="11"/>
      <c r="R36" s="12">
        <v>17983.19</v>
      </c>
      <c r="S36" s="2" t="s">
        <v>257</v>
      </c>
      <c r="T36" s="11"/>
      <c r="U36" s="11"/>
      <c r="V36" s="11"/>
      <c r="W36" s="11"/>
      <c r="X36" s="11"/>
      <c r="Y36" s="11"/>
      <c r="Z36" s="11"/>
    </row>
    <row r="37">
      <c r="A37" s="2">
        <v>1.0</v>
      </c>
      <c r="B37" s="2" t="s">
        <v>41</v>
      </c>
      <c r="C37" s="2">
        <v>8.0</v>
      </c>
      <c r="D37" s="2" t="s">
        <v>262</v>
      </c>
      <c r="E37" s="12">
        <v>5015.85</v>
      </c>
      <c r="F37" s="2">
        <v>733.17</v>
      </c>
      <c r="G37" s="12">
        <v>7306.59</v>
      </c>
      <c r="H37" s="2">
        <v>300.0</v>
      </c>
      <c r="I37" s="11"/>
      <c r="J37" s="2">
        <v>480.0</v>
      </c>
      <c r="K37" s="2">
        <v>879.22</v>
      </c>
      <c r="L37" s="2">
        <v>54.37</v>
      </c>
      <c r="M37" s="11"/>
      <c r="N37" s="11"/>
      <c r="O37" s="2" t="s">
        <v>262</v>
      </c>
      <c r="P37" s="12">
        <v>14769.2</v>
      </c>
      <c r="Q37" s="11"/>
      <c r="R37" s="12">
        <v>14769.2</v>
      </c>
      <c r="S37" s="2" t="s">
        <v>57</v>
      </c>
      <c r="T37" s="11"/>
      <c r="U37" s="11"/>
      <c r="V37" s="11"/>
      <c r="W37" s="11"/>
      <c r="X37" s="11"/>
      <c r="Y37" s="11"/>
      <c r="Z37" s="11"/>
    </row>
    <row r="38">
      <c r="A38" s="2">
        <v>1.0</v>
      </c>
      <c r="B38" s="2" t="s">
        <v>41</v>
      </c>
      <c r="C38" s="2">
        <v>8.0</v>
      </c>
      <c r="D38" s="2" t="s">
        <v>268</v>
      </c>
      <c r="E38" s="12">
        <v>4725.6</v>
      </c>
      <c r="F38" s="2">
        <v>512.0</v>
      </c>
      <c r="G38" s="12">
        <v>6717.73</v>
      </c>
      <c r="H38" s="2">
        <v>300.0</v>
      </c>
      <c r="I38" s="11"/>
      <c r="J38" s="2">
        <v>480.0</v>
      </c>
      <c r="K38" s="12">
        <v>1000.0</v>
      </c>
      <c r="L38" s="2">
        <v>59.2</v>
      </c>
      <c r="M38" s="11"/>
      <c r="N38" s="11"/>
      <c r="O38" s="2" t="s">
        <v>268</v>
      </c>
      <c r="P38" s="12">
        <v>13794.53</v>
      </c>
      <c r="Q38" s="11"/>
      <c r="R38" s="12">
        <v>13794.53</v>
      </c>
      <c r="S38" s="2" t="s">
        <v>57</v>
      </c>
      <c r="T38" s="11"/>
      <c r="U38" s="11"/>
      <c r="V38" s="11"/>
      <c r="W38" s="11"/>
      <c r="X38" s="11"/>
      <c r="Y38" s="11"/>
      <c r="Z38" s="11"/>
    </row>
    <row r="39">
      <c r="A39" s="2">
        <v>1.0</v>
      </c>
      <c r="B39" s="2" t="s">
        <v>41</v>
      </c>
      <c r="C39" s="2">
        <v>8.0</v>
      </c>
      <c r="D39" s="2" t="s">
        <v>274</v>
      </c>
      <c r="E39" s="12">
        <v>7077.0</v>
      </c>
      <c r="F39" s="12">
        <v>1415.4</v>
      </c>
      <c r="G39" s="12">
        <v>10698.17</v>
      </c>
      <c r="H39" s="2">
        <v>350.0</v>
      </c>
      <c r="I39" s="11"/>
      <c r="J39" s="12">
        <v>2496.0</v>
      </c>
      <c r="K39" s="12">
        <v>11850.0</v>
      </c>
      <c r="L39" s="2">
        <v>573.84</v>
      </c>
      <c r="M39" s="11"/>
      <c r="N39" s="11"/>
      <c r="O39" s="2" t="s">
        <v>274</v>
      </c>
      <c r="P39" s="11">
        <v>17230.205</v>
      </c>
      <c r="Q39" s="11">
        <v>0.0</v>
      </c>
      <c r="R39" s="11">
        <v>17230.205</v>
      </c>
      <c r="S39" s="2" t="s">
        <v>42</v>
      </c>
      <c r="T39" s="11"/>
      <c r="U39" s="11"/>
      <c r="V39" s="11"/>
      <c r="W39" s="11"/>
      <c r="X39" s="11"/>
      <c r="Y39" s="11"/>
      <c r="Z39" s="11"/>
    </row>
    <row r="40">
      <c r="A40" s="2"/>
      <c r="B40" s="2"/>
      <c r="C40" s="2"/>
      <c r="D40" s="2" t="s">
        <v>274</v>
      </c>
      <c r="E40" s="12"/>
      <c r="F40" s="12"/>
      <c r="G40" s="12"/>
      <c r="H40" s="2"/>
      <c r="I40" s="11"/>
      <c r="J40" s="12"/>
      <c r="K40" s="12"/>
      <c r="L40" s="2"/>
      <c r="M40" s="11"/>
      <c r="N40" s="11"/>
      <c r="O40" s="2" t="s">
        <v>274</v>
      </c>
      <c r="P40" s="22">
        <v>17230.205</v>
      </c>
      <c r="Q40" s="11">
        <v>0.0</v>
      </c>
      <c r="R40" s="22">
        <v>17230.205</v>
      </c>
      <c r="S40" s="2" t="s">
        <v>158</v>
      </c>
      <c r="T40" s="11"/>
      <c r="U40" s="11"/>
      <c r="V40" s="11"/>
      <c r="W40" s="11"/>
      <c r="X40" s="11"/>
      <c r="Y40" s="11"/>
      <c r="Z40" s="11"/>
    </row>
    <row r="41">
      <c r="A41" s="2">
        <v>1.0</v>
      </c>
      <c r="B41" s="2" t="s">
        <v>41</v>
      </c>
      <c r="C41" s="2">
        <v>8.0</v>
      </c>
      <c r="D41" s="2" t="s">
        <v>285</v>
      </c>
      <c r="E41" s="12">
        <v>4725.6</v>
      </c>
      <c r="F41" s="2" t="s">
        <v>115</v>
      </c>
      <c r="G41" s="12">
        <v>6447.56</v>
      </c>
      <c r="H41" s="2">
        <v>200.0</v>
      </c>
      <c r="I41" s="2">
        <v>378.05</v>
      </c>
      <c r="J41" s="11"/>
      <c r="K41" s="2">
        <v>0.0</v>
      </c>
      <c r="L41" s="2">
        <v>0.0</v>
      </c>
      <c r="M41" s="11"/>
      <c r="N41" s="11"/>
      <c r="O41" s="2" t="s">
        <v>285</v>
      </c>
      <c r="P41" s="12">
        <v>11751.21</v>
      </c>
      <c r="Q41" s="11"/>
      <c r="R41" s="12">
        <v>11751.21</v>
      </c>
      <c r="S41" s="2" t="s">
        <v>290</v>
      </c>
      <c r="T41" s="11"/>
      <c r="U41" s="11"/>
      <c r="V41" s="11"/>
      <c r="W41" s="11"/>
      <c r="X41" s="11"/>
      <c r="Y41" s="11"/>
      <c r="Z41" s="11"/>
    </row>
    <row r="42">
      <c r="A42" s="2">
        <v>1.0</v>
      </c>
      <c r="B42" s="2" t="s">
        <v>41</v>
      </c>
      <c r="C42" s="2">
        <v>8.0</v>
      </c>
      <c r="D42" s="2" t="s">
        <v>293</v>
      </c>
      <c r="E42" s="12">
        <v>5016.0</v>
      </c>
      <c r="F42" s="2">
        <v>823.2</v>
      </c>
      <c r="G42" s="12">
        <v>7343.35</v>
      </c>
      <c r="H42" s="2">
        <v>200.0</v>
      </c>
      <c r="I42" s="2">
        <v>420.0</v>
      </c>
      <c r="J42" s="11"/>
      <c r="K42" s="2">
        <v>0.0</v>
      </c>
      <c r="L42" s="2">
        <v>0.0</v>
      </c>
      <c r="M42" s="11"/>
      <c r="N42" s="11"/>
      <c r="O42" s="2" t="s">
        <v>293</v>
      </c>
      <c r="P42" s="12">
        <v>13802.55</v>
      </c>
      <c r="Q42" s="11"/>
      <c r="R42" s="12">
        <v>13802.55</v>
      </c>
      <c r="S42" s="2" t="s">
        <v>74</v>
      </c>
      <c r="T42" s="11"/>
      <c r="U42" s="11"/>
      <c r="V42" s="11"/>
      <c r="W42" s="11"/>
      <c r="X42" s="11"/>
      <c r="Y42" s="11"/>
      <c r="Z42" s="11"/>
    </row>
    <row r="43">
      <c r="A43" s="2">
        <v>1.0</v>
      </c>
      <c r="B43" s="2" t="s">
        <v>41</v>
      </c>
      <c r="C43" s="2">
        <v>8.0</v>
      </c>
      <c r="D43" s="2" t="s">
        <v>296</v>
      </c>
      <c r="E43" s="12">
        <v>5605.05</v>
      </c>
      <c r="F43" s="2">
        <v>284.36</v>
      </c>
      <c r="G43" s="12">
        <v>7909.49</v>
      </c>
      <c r="H43" s="2">
        <v>300.0</v>
      </c>
      <c r="I43" s="11"/>
      <c r="J43" s="2">
        <v>420.0</v>
      </c>
      <c r="K43" s="2">
        <v>0.0</v>
      </c>
      <c r="L43" s="2">
        <v>16.8</v>
      </c>
      <c r="M43" s="11"/>
      <c r="N43" s="11"/>
      <c r="O43" s="2" t="s">
        <v>296</v>
      </c>
      <c r="P43" s="12">
        <v>14535.7</v>
      </c>
      <c r="Q43" s="11"/>
      <c r="R43" s="12">
        <v>14535.7</v>
      </c>
      <c r="S43" s="2" t="s">
        <v>290</v>
      </c>
      <c r="T43" s="11"/>
      <c r="U43" s="11"/>
      <c r="V43" s="11"/>
      <c r="W43" s="11"/>
      <c r="X43" s="11"/>
      <c r="Y43" s="11"/>
      <c r="Z43" s="11"/>
    </row>
    <row r="44">
      <c r="A44" s="2">
        <v>1.0</v>
      </c>
      <c r="B44" s="2" t="s">
        <v>41</v>
      </c>
      <c r="C44" s="2">
        <v>8.0</v>
      </c>
      <c r="D44" s="2" t="s">
        <v>300</v>
      </c>
      <c r="E44" s="12">
        <v>4725.6</v>
      </c>
      <c r="F44" s="2">
        <v>945.12</v>
      </c>
      <c r="G44" s="12">
        <v>7167.05</v>
      </c>
      <c r="H44" s="2">
        <v>200.0</v>
      </c>
      <c r="I44" s="11"/>
      <c r="J44" s="2">
        <v>480.0</v>
      </c>
      <c r="K44" s="2">
        <v>210.34</v>
      </c>
      <c r="L44" s="2">
        <v>27.61</v>
      </c>
      <c r="M44" s="11"/>
      <c r="N44" s="11"/>
      <c r="O44" s="2" t="s">
        <v>300</v>
      </c>
      <c r="P44" s="12">
        <v>13755.72</v>
      </c>
      <c r="Q44" s="11"/>
      <c r="R44" s="12">
        <v>13755.72</v>
      </c>
      <c r="S44" s="2" t="s">
        <v>57</v>
      </c>
      <c r="T44" s="11"/>
      <c r="U44" s="11"/>
      <c r="V44" s="11"/>
      <c r="W44" s="11"/>
      <c r="X44" s="11"/>
      <c r="Y44" s="11"/>
      <c r="Z44" s="11"/>
    </row>
    <row r="45">
      <c r="A45" s="2">
        <v>1.0</v>
      </c>
      <c r="B45" s="2" t="s">
        <v>41</v>
      </c>
      <c r="C45" s="2">
        <v>8.0</v>
      </c>
      <c r="D45" s="2" t="s">
        <v>304</v>
      </c>
      <c r="E45" s="12">
        <v>5017.8</v>
      </c>
      <c r="F45" s="12">
        <v>2663.42</v>
      </c>
      <c r="G45" s="12">
        <v>9261.62</v>
      </c>
      <c r="H45" s="2">
        <v>200.0</v>
      </c>
      <c r="I45" s="11"/>
      <c r="J45" s="11"/>
      <c r="K45" s="2">
        <v>0.0</v>
      </c>
      <c r="L45" s="2">
        <v>0.0</v>
      </c>
      <c r="M45" s="11"/>
      <c r="N45" s="11"/>
      <c r="O45" s="2" t="s">
        <v>304</v>
      </c>
      <c r="P45" s="12">
        <v>17142.84</v>
      </c>
      <c r="Q45" s="11"/>
      <c r="R45" s="12">
        <v>17142.84</v>
      </c>
      <c r="S45" s="2" t="s">
        <v>74</v>
      </c>
      <c r="T45" s="11"/>
      <c r="U45" s="11"/>
      <c r="V45" s="11"/>
      <c r="W45" s="11"/>
      <c r="X45" s="11"/>
      <c r="Y45" s="11"/>
      <c r="Z45" s="11"/>
    </row>
    <row r="46">
      <c r="A46" s="2">
        <v>1.0</v>
      </c>
      <c r="B46" s="2" t="s">
        <v>41</v>
      </c>
      <c r="C46" s="2">
        <v>8.0</v>
      </c>
      <c r="D46" s="2" t="s">
        <v>311</v>
      </c>
      <c r="E46" s="12">
        <v>2341.22</v>
      </c>
      <c r="F46" s="12">
        <v>3143.92</v>
      </c>
      <c r="G46" s="12">
        <v>7308.38</v>
      </c>
      <c r="H46" s="2">
        <v>350.0</v>
      </c>
      <c r="I46" s="11"/>
      <c r="J46" s="2">
        <v>480.07</v>
      </c>
      <c r="K46" s="2">
        <v>210.5</v>
      </c>
      <c r="L46" s="2">
        <v>27.62</v>
      </c>
      <c r="M46" s="11"/>
      <c r="N46" s="11"/>
      <c r="O46" s="2" t="s">
        <v>311</v>
      </c>
      <c r="P46" s="12">
        <v>13861.71</v>
      </c>
      <c r="Q46" s="11"/>
      <c r="R46" s="12">
        <v>13861.71</v>
      </c>
      <c r="S46" s="2" t="s">
        <v>74</v>
      </c>
      <c r="T46" s="11"/>
      <c r="U46" s="11"/>
      <c r="V46" s="11"/>
      <c r="W46" s="11"/>
      <c r="X46" s="11"/>
      <c r="Y46" s="11"/>
      <c r="Z46" s="11"/>
    </row>
    <row r="47">
      <c r="A47" s="2">
        <v>1.0</v>
      </c>
      <c r="B47" s="2" t="s">
        <v>41</v>
      </c>
      <c r="C47" s="2">
        <v>8.0</v>
      </c>
      <c r="D47" s="2" t="s">
        <v>314</v>
      </c>
      <c r="E47" s="12">
        <v>4681.6</v>
      </c>
      <c r="F47" s="12">
        <v>2273.92</v>
      </c>
      <c r="G47" s="12">
        <v>8491.82</v>
      </c>
      <c r="H47" s="2">
        <v>350.0</v>
      </c>
      <c r="I47" s="11"/>
      <c r="J47" s="11"/>
      <c r="K47" s="12">
        <v>2480.7</v>
      </c>
      <c r="L47" s="2">
        <v>99.23</v>
      </c>
      <c r="M47" s="11"/>
      <c r="N47" s="11"/>
      <c r="O47" s="2" t="s">
        <v>314</v>
      </c>
      <c r="P47" s="12">
        <v>18377.27</v>
      </c>
      <c r="Q47" s="11"/>
      <c r="R47" s="12">
        <v>18377.27</v>
      </c>
      <c r="S47" s="2" t="s">
        <v>158</v>
      </c>
      <c r="T47" s="11"/>
      <c r="U47" s="11"/>
      <c r="V47" s="11"/>
      <c r="W47" s="11"/>
      <c r="X47" s="11"/>
      <c r="Y47" s="11"/>
      <c r="Z47" s="11"/>
    </row>
    <row r="48">
      <c r="A48" s="2">
        <v>1.0</v>
      </c>
      <c r="B48" s="2" t="s">
        <v>41</v>
      </c>
      <c r="C48" s="2">
        <v>8.0</v>
      </c>
      <c r="D48" s="2" t="s">
        <v>322</v>
      </c>
      <c r="E48" s="12">
        <v>5753.85</v>
      </c>
      <c r="F48" s="12">
        <v>1150.77</v>
      </c>
      <c r="G48" s="12">
        <v>8684.06</v>
      </c>
      <c r="H48" s="2">
        <v>350.0</v>
      </c>
      <c r="I48" s="11"/>
      <c r="J48" s="2">
        <v>800.0</v>
      </c>
      <c r="K48" s="12">
        <v>3860.86</v>
      </c>
      <c r="L48" s="2">
        <v>186.43</v>
      </c>
      <c r="M48" s="11"/>
      <c r="N48" s="11"/>
      <c r="O48" s="2" t="s">
        <v>322</v>
      </c>
      <c r="P48" s="12">
        <v>20785.97</v>
      </c>
      <c r="Q48" s="11"/>
      <c r="R48" s="12">
        <v>20785.97</v>
      </c>
      <c r="S48" s="2" t="s">
        <v>57</v>
      </c>
      <c r="T48" s="11"/>
      <c r="U48" s="11"/>
      <c r="V48" s="11"/>
      <c r="W48" s="11"/>
      <c r="X48" s="11"/>
      <c r="Y48" s="11"/>
      <c r="Z48" s="11"/>
    </row>
    <row r="49">
      <c r="A49" s="2">
        <v>1.0</v>
      </c>
      <c r="B49" s="2" t="s">
        <v>41</v>
      </c>
      <c r="C49" s="2">
        <v>8.0</v>
      </c>
      <c r="D49" s="2" t="s">
        <v>328</v>
      </c>
      <c r="E49" s="12">
        <v>4725.6</v>
      </c>
      <c r="F49" s="2">
        <v>945.12</v>
      </c>
      <c r="G49" s="12">
        <v>7172.92</v>
      </c>
      <c r="H49" s="2">
        <v>200.0</v>
      </c>
      <c r="I49" s="11"/>
      <c r="J49" s="12">
        <v>1800.0</v>
      </c>
      <c r="K49" s="12">
        <v>7007.15</v>
      </c>
      <c r="L49" s="2">
        <v>352.29</v>
      </c>
      <c r="M49" s="11"/>
      <c r="N49" s="11"/>
      <c r="O49" s="2" t="s">
        <v>328</v>
      </c>
      <c r="P49" s="12">
        <v>22203.08</v>
      </c>
      <c r="Q49" s="11"/>
      <c r="R49" s="12">
        <v>22203.08</v>
      </c>
      <c r="S49" s="2" t="s">
        <v>68</v>
      </c>
      <c r="T49" s="11"/>
      <c r="U49" s="11"/>
      <c r="V49" s="11"/>
      <c r="W49" s="11"/>
      <c r="X49" s="11"/>
      <c r="Y49" s="11"/>
      <c r="Z49" s="11"/>
    </row>
    <row r="50">
      <c r="A50" s="2">
        <v>1.0</v>
      </c>
      <c r="B50" s="2" t="s">
        <v>41</v>
      </c>
      <c r="C50" s="2">
        <v>8.0</v>
      </c>
      <c r="D50" s="2" t="s">
        <v>333</v>
      </c>
      <c r="E50" s="12">
        <v>4725.6</v>
      </c>
      <c r="F50" s="2">
        <v>62.0</v>
      </c>
      <c r="G50" s="12">
        <v>6509.91</v>
      </c>
      <c r="H50" s="2">
        <v>766.05</v>
      </c>
      <c r="I50" s="11"/>
      <c r="J50" s="11"/>
      <c r="K50" s="2">
        <v>0.0</v>
      </c>
      <c r="L50" s="2">
        <v>0.0</v>
      </c>
      <c r="M50" s="11"/>
      <c r="N50" s="11"/>
      <c r="O50" s="2" t="s">
        <v>333</v>
      </c>
      <c r="P50" s="12">
        <v>12063.56</v>
      </c>
      <c r="Q50" s="11"/>
      <c r="R50" s="12">
        <v>12063.56</v>
      </c>
      <c r="S50" s="2" t="s">
        <v>35</v>
      </c>
      <c r="T50" s="11"/>
      <c r="U50" s="11"/>
      <c r="V50" s="11"/>
      <c r="W50" s="11"/>
      <c r="X50" s="11"/>
      <c r="Y50" s="11"/>
      <c r="Z50" s="11"/>
    </row>
    <row r="51">
      <c r="A51" s="2">
        <v>1.0</v>
      </c>
      <c r="B51" s="2" t="s">
        <v>41</v>
      </c>
      <c r="C51" s="2">
        <v>8.0</v>
      </c>
      <c r="D51" s="2" t="s">
        <v>337</v>
      </c>
      <c r="E51" s="12">
        <v>4095.78</v>
      </c>
      <c r="F51" s="12">
        <v>1449.28</v>
      </c>
      <c r="G51" s="12">
        <v>7290.17</v>
      </c>
      <c r="H51" s="2">
        <v>300.0</v>
      </c>
      <c r="I51" s="11"/>
      <c r="J51" s="11"/>
      <c r="K51" s="12">
        <v>3739.38</v>
      </c>
      <c r="L51" s="2">
        <v>149.58</v>
      </c>
      <c r="M51" s="11"/>
      <c r="N51" s="11"/>
      <c r="O51" s="2" t="s">
        <v>337</v>
      </c>
      <c r="P51" s="12">
        <v>17024.19</v>
      </c>
      <c r="Q51" s="11"/>
      <c r="R51" s="12">
        <v>17024.19</v>
      </c>
      <c r="S51" s="2" t="s">
        <v>78</v>
      </c>
      <c r="T51" s="11"/>
      <c r="U51" s="11"/>
      <c r="V51" s="11"/>
      <c r="W51" s="11"/>
      <c r="X51" s="11"/>
      <c r="Y51" s="11"/>
      <c r="Z51" s="11"/>
    </row>
    <row r="52">
      <c r="A52" s="2">
        <v>1.0</v>
      </c>
      <c r="B52" s="2" t="s">
        <v>41</v>
      </c>
      <c r="C52" s="2">
        <v>8.0</v>
      </c>
      <c r="D52" s="2" t="s">
        <v>341</v>
      </c>
      <c r="E52" s="12">
        <v>4725.9</v>
      </c>
      <c r="F52" s="2">
        <v>442.71</v>
      </c>
      <c r="G52" s="12">
        <v>6593.23</v>
      </c>
      <c r="H52" s="2">
        <v>350.0</v>
      </c>
      <c r="I52" s="11"/>
      <c r="J52" s="2">
        <v>560.0</v>
      </c>
      <c r="K52" s="12">
        <v>9474.03</v>
      </c>
      <c r="L52" s="2">
        <v>401.36</v>
      </c>
      <c r="M52" s="11"/>
      <c r="N52" s="11"/>
      <c r="O52" s="2" t="s">
        <v>341</v>
      </c>
      <c r="P52" s="12">
        <v>22547.23</v>
      </c>
      <c r="Q52" s="11"/>
      <c r="R52" s="12">
        <v>22547.23</v>
      </c>
      <c r="S52" s="2" t="s">
        <v>48</v>
      </c>
      <c r="T52" s="11"/>
      <c r="U52" s="11"/>
      <c r="V52" s="11"/>
      <c r="W52" s="11"/>
      <c r="X52" s="11"/>
      <c r="Y52" s="11"/>
      <c r="Z52" s="11"/>
    </row>
    <row r="53">
      <c r="A53" s="2">
        <v>1.0</v>
      </c>
      <c r="B53" s="2" t="s">
        <v>41</v>
      </c>
      <c r="C53" s="2">
        <v>8.0</v>
      </c>
      <c r="D53" s="2" t="s">
        <v>345</v>
      </c>
      <c r="E53" s="12">
        <v>4725.6</v>
      </c>
      <c r="F53" s="2" t="s">
        <v>115</v>
      </c>
      <c r="G53" s="12">
        <v>6446.05</v>
      </c>
      <c r="H53" s="2">
        <v>766.05</v>
      </c>
      <c r="I53" s="11"/>
      <c r="J53" s="11"/>
      <c r="K53" s="2">
        <v>0.0</v>
      </c>
      <c r="L53" s="2">
        <v>0.0</v>
      </c>
      <c r="M53" s="11"/>
      <c r="N53" s="11"/>
      <c r="O53" s="2" t="s">
        <v>345</v>
      </c>
      <c r="P53" s="12">
        <v>11937.7</v>
      </c>
      <c r="Q53" s="11"/>
      <c r="R53" s="12">
        <v>11937.7</v>
      </c>
      <c r="S53" s="2" t="s">
        <v>31</v>
      </c>
      <c r="T53" s="11"/>
      <c r="U53" s="11"/>
      <c r="V53" s="11"/>
      <c r="W53" s="11"/>
      <c r="X53" s="11"/>
      <c r="Y53" s="11"/>
      <c r="Z53" s="11"/>
    </row>
    <row r="54">
      <c r="A54" s="2">
        <v>1.0</v>
      </c>
      <c r="B54" s="2" t="s">
        <v>41</v>
      </c>
      <c r="C54" s="2">
        <v>8.0</v>
      </c>
      <c r="D54" s="2" t="s">
        <v>352</v>
      </c>
      <c r="E54" s="12">
        <v>4725.6</v>
      </c>
      <c r="F54" s="12">
        <v>1235.12</v>
      </c>
      <c r="G54" s="12">
        <v>7409.05</v>
      </c>
      <c r="H54" s="2">
        <v>300.0</v>
      </c>
      <c r="I54" s="11"/>
      <c r="J54" s="11"/>
      <c r="K54" s="2">
        <v>0.0</v>
      </c>
      <c r="L54" s="2">
        <v>0.0</v>
      </c>
      <c r="M54" s="11"/>
      <c r="N54" s="11"/>
      <c r="O54" s="2" t="s">
        <v>352</v>
      </c>
      <c r="P54" s="12">
        <v>13669.77</v>
      </c>
      <c r="Q54" s="11"/>
      <c r="R54" s="12">
        <v>13669.77</v>
      </c>
      <c r="S54" s="2" t="s">
        <v>68</v>
      </c>
      <c r="T54" s="11"/>
      <c r="U54" s="11"/>
      <c r="V54" s="11"/>
      <c r="W54" s="11"/>
      <c r="X54" s="11"/>
      <c r="Y54" s="11"/>
      <c r="Z54" s="11"/>
    </row>
    <row r="55">
      <c r="A55" s="2">
        <v>1.0</v>
      </c>
      <c r="B55" s="2" t="s">
        <v>41</v>
      </c>
      <c r="C55" s="2">
        <v>8.0</v>
      </c>
      <c r="D55" s="2" t="s">
        <v>357</v>
      </c>
      <c r="E55" s="12">
        <v>4725.6</v>
      </c>
      <c r="F55" s="2" t="s">
        <v>115</v>
      </c>
      <c r="G55" s="12">
        <v>6446.05</v>
      </c>
      <c r="H55" s="2">
        <v>766.05</v>
      </c>
      <c r="I55" s="11"/>
      <c r="J55" s="11"/>
      <c r="K55" s="2">
        <v>0.0</v>
      </c>
      <c r="L55" s="2">
        <v>0.0</v>
      </c>
      <c r="M55" s="11"/>
      <c r="N55" s="11"/>
      <c r="O55" s="2" t="s">
        <v>357</v>
      </c>
      <c r="P55" s="12">
        <v>11937.7</v>
      </c>
      <c r="Q55" s="11"/>
      <c r="R55" s="12">
        <v>11937.7</v>
      </c>
      <c r="S55" s="2" t="s">
        <v>31</v>
      </c>
      <c r="T55" s="11"/>
      <c r="U55" s="11"/>
      <c r="V55" s="11"/>
      <c r="W55" s="11"/>
      <c r="X55" s="11"/>
      <c r="Y55" s="11"/>
      <c r="Z55" s="11"/>
    </row>
    <row r="56">
      <c r="A56" s="2">
        <v>1.0</v>
      </c>
      <c r="B56" s="2" t="s">
        <v>41</v>
      </c>
      <c r="C56" s="2">
        <v>8.0</v>
      </c>
      <c r="D56" s="2" t="s">
        <v>362</v>
      </c>
      <c r="E56" s="12">
        <v>4725.6</v>
      </c>
      <c r="F56" s="2" t="s">
        <v>115</v>
      </c>
      <c r="G56" s="12">
        <v>6136.87</v>
      </c>
      <c r="H56" s="2">
        <v>200.0</v>
      </c>
      <c r="I56" s="2">
        <v>378.05</v>
      </c>
      <c r="J56" s="11"/>
      <c r="K56" s="2">
        <v>0.0</v>
      </c>
      <c r="L56" s="2">
        <v>0.0</v>
      </c>
      <c r="M56" s="11"/>
      <c r="N56" s="11"/>
      <c r="O56" s="2" t="s">
        <v>362</v>
      </c>
      <c r="P56" s="12">
        <v>11440.52</v>
      </c>
      <c r="Q56" s="11"/>
      <c r="R56" s="12">
        <v>11440.52</v>
      </c>
      <c r="S56" s="2" t="s">
        <v>55</v>
      </c>
      <c r="T56" s="11"/>
      <c r="U56" s="11"/>
      <c r="V56" s="11"/>
      <c r="W56" s="11"/>
      <c r="X56" s="11"/>
      <c r="Y56" s="11"/>
      <c r="Z56" s="11"/>
    </row>
    <row r="57">
      <c r="A57" s="2">
        <v>1.0</v>
      </c>
      <c r="B57" s="2" t="s">
        <v>41</v>
      </c>
      <c r="C57" s="2">
        <v>8.0</v>
      </c>
      <c r="D57" s="2" t="s">
        <v>366</v>
      </c>
      <c r="E57" s="12">
        <v>4725.6</v>
      </c>
      <c r="F57" s="2">
        <v>80.0</v>
      </c>
      <c r="G57" s="12">
        <v>6273.2</v>
      </c>
      <c r="H57" s="2">
        <v>300.0</v>
      </c>
      <c r="I57" s="2">
        <v>378.05</v>
      </c>
      <c r="J57" s="11"/>
      <c r="K57" s="2">
        <v>0.0</v>
      </c>
      <c r="L57" s="2">
        <v>0.0</v>
      </c>
      <c r="M57" s="11"/>
      <c r="N57" s="11"/>
      <c r="O57" s="2" t="s">
        <v>366</v>
      </c>
      <c r="P57" s="12">
        <v>11756.85</v>
      </c>
      <c r="Q57" s="11"/>
      <c r="R57" s="12">
        <v>11756.85</v>
      </c>
      <c r="S57" s="2" t="s">
        <v>68</v>
      </c>
      <c r="T57" s="11"/>
      <c r="U57" s="11"/>
      <c r="V57" s="11"/>
      <c r="W57" s="11"/>
      <c r="X57" s="11"/>
      <c r="Y57" s="11"/>
      <c r="Z57" s="11"/>
    </row>
    <row r="58">
      <c r="A58" s="2">
        <v>1.0</v>
      </c>
      <c r="B58" s="2" t="s">
        <v>41</v>
      </c>
      <c r="C58" s="2">
        <v>8.0</v>
      </c>
      <c r="D58" s="2" t="s">
        <v>370</v>
      </c>
      <c r="E58" s="12">
        <v>4725.6</v>
      </c>
      <c r="F58" s="2">
        <v>445.12</v>
      </c>
      <c r="G58" s="12">
        <v>6649.38</v>
      </c>
      <c r="H58" s="2">
        <v>300.0</v>
      </c>
      <c r="I58" s="2">
        <v>400.0</v>
      </c>
      <c r="J58" s="11"/>
      <c r="K58" s="2">
        <v>0.0</v>
      </c>
      <c r="L58" s="2">
        <v>0.0</v>
      </c>
      <c r="M58" s="11"/>
      <c r="N58" s="11"/>
      <c r="O58" s="2" t="s">
        <v>370</v>
      </c>
      <c r="P58" s="12">
        <v>12520.1</v>
      </c>
      <c r="Q58" s="11"/>
      <c r="R58" s="12">
        <v>12520.1</v>
      </c>
      <c r="S58" s="2" t="s">
        <v>158</v>
      </c>
      <c r="T58" s="11"/>
      <c r="U58" s="11"/>
      <c r="V58" s="11"/>
      <c r="W58" s="11"/>
      <c r="X58" s="11"/>
      <c r="Y58" s="11"/>
      <c r="Z58" s="11"/>
    </row>
    <row r="59">
      <c r="A59" s="2">
        <v>1.0</v>
      </c>
      <c r="B59" s="2" t="s">
        <v>41</v>
      </c>
      <c r="C59" s="2">
        <v>8.0</v>
      </c>
      <c r="D59" s="2" t="s">
        <v>374</v>
      </c>
      <c r="E59" s="12">
        <v>4725.6</v>
      </c>
      <c r="F59" s="2" t="s">
        <v>115</v>
      </c>
      <c r="G59" s="12">
        <v>6136.87</v>
      </c>
      <c r="H59" s="2">
        <v>200.0</v>
      </c>
      <c r="I59" s="11"/>
      <c r="J59" s="11"/>
      <c r="K59" s="2">
        <v>0.0</v>
      </c>
      <c r="L59" s="2">
        <v>0.0</v>
      </c>
      <c r="M59" s="11"/>
      <c r="N59" s="11"/>
      <c r="O59" s="2" t="s">
        <v>374</v>
      </c>
      <c r="P59" s="12">
        <v>11062.47</v>
      </c>
      <c r="Q59" s="11"/>
      <c r="R59" s="12">
        <v>11062.47</v>
      </c>
      <c r="S59" s="2" t="s">
        <v>55</v>
      </c>
      <c r="T59" s="11"/>
      <c r="U59" s="11"/>
      <c r="V59" s="11"/>
      <c r="W59" s="11"/>
      <c r="X59" s="11"/>
      <c r="Y59" s="11"/>
      <c r="Z59" s="11"/>
    </row>
    <row r="60">
      <c r="A60" s="2">
        <v>1.0</v>
      </c>
      <c r="B60" s="2" t="s">
        <v>41</v>
      </c>
      <c r="C60" s="2">
        <v>8.0</v>
      </c>
      <c r="D60" s="2" t="s">
        <v>378</v>
      </c>
      <c r="E60" s="12">
        <v>4410.84</v>
      </c>
      <c r="F60" s="2">
        <v>582.17</v>
      </c>
      <c r="G60" s="12">
        <v>6412.36</v>
      </c>
      <c r="H60" s="2">
        <v>300.0</v>
      </c>
      <c r="I60" s="11"/>
      <c r="J60" s="11"/>
      <c r="K60" s="12">
        <v>2405.49</v>
      </c>
      <c r="L60" s="2">
        <v>96.22</v>
      </c>
      <c r="M60" s="11"/>
      <c r="N60" s="11"/>
      <c r="O60" s="2" t="s">
        <v>378</v>
      </c>
      <c r="P60" s="12">
        <v>14207.08</v>
      </c>
      <c r="Q60" s="11"/>
      <c r="R60" s="12">
        <v>14207.08</v>
      </c>
      <c r="S60" s="2" t="s">
        <v>74</v>
      </c>
      <c r="T60" s="11"/>
      <c r="U60" s="11"/>
      <c r="V60" s="11"/>
      <c r="W60" s="11"/>
      <c r="X60" s="11"/>
      <c r="Y60" s="11"/>
      <c r="Z60" s="11"/>
    </row>
    <row r="61">
      <c r="A61" s="2">
        <v>1.0</v>
      </c>
      <c r="B61" s="2" t="s">
        <v>41</v>
      </c>
      <c r="C61" s="2">
        <v>8.0</v>
      </c>
      <c r="D61" s="2" t="s">
        <v>382</v>
      </c>
      <c r="E61" s="12">
        <v>5016.75</v>
      </c>
      <c r="F61" s="2" t="s">
        <v>115</v>
      </c>
      <c r="G61" s="12">
        <v>6822.39</v>
      </c>
      <c r="H61" s="2">
        <v>200.0</v>
      </c>
      <c r="I61" s="2">
        <v>378.05</v>
      </c>
      <c r="J61" s="11"/>
      <c r="K61" s="2">
        <v>0.0</v>
      </c>
      <c r="L61" s="2">
        <v>0.0</v>
      </c>
      <c r="M61" s="11"/>
      <c r="N61" s="11"/>
      <c r="O61" s="2" t="s">
        <v>382</v>
      </c>
      <c r="P61" s="12">
        <v>12417.19</v>
      </c>
      <c r="Q61" s="11"/>
      <c r="R61" s="12">
        <v>12417.19</v>
      </c>
      <c r="S61" s="2" t="s">
        <v>385</v>
      </c>
      <c r="T61" s="11"/>
      <c r="U61" s="11"/>
      <c r="V61" s="11"/>
      <c r="W61" s="11"/>
      <c r="X61" s="11"/>
      <c r="Y61" s="11"/>
      <c r="Z61" s="11"/>
    </row>
    <row r="62">
      <c r="A62" s="2">
        <v>1.0</v>
      </c>
      <c r="B62" s="2" t="s">
        <v>41</v>
      </c>
      <c r="C62" s="2">
        <v>8.0</v>
      </c>
      <c r="D62" s="2" t="s">
        <v>387</v>
      </c>
      <c r="E62" s="12">
        <v>4725.6</v>
      </c>
      <c r="F62" s="2">
        <v>724.7</v>
      </c>
      <c r="G62" s="12">
        <v>6883.31</v>
      </c>
      <c r="H62" s="2">
        <v>300.0</v>
      </c>
      <c r="I62" s="2">
        <v>420.0</v>
      </c>
      <c r="J62" s="11"/>
      <c r="K62" s="2">
        <v>0.0</v>
      </c>
      <c r="L62" s="2">
        <v>0.0</v>
      </c>
      <c r="M62" s="11"/>
      <c r="N62" s="11"/>
      <c r="O62" s="2" t="s">
        <v>387</v>
      </c>
      <c r="P62" s="12">
        <v>13053.61</v>
      </c>
      <c r="Q62" s="11"/>
      <c r="R62" s="12">
        <v>13053.61</v>
      </c>
      <c r="S62" s="2" t="s">
        <v>74</v>
      </c>
      <c r="T62" s="11"/>
      <c r="U62" s="11"/>
      <c r="V62" s="11"/>
      <c r="W62" s="11"/>
      <c r="X62" s="11"/>
      <c r="Y62" s="11"/>
      <c r="Z62" s="11"/>
    </row>
    <row r="63">
      <c r="A63" s="2">
        <v>1.0</v>
      </c>
      <c r="B63" s="2" t="s">
        <v>41</v>
      </c>
      <c r="C63" s="2">
        <v>8.0</v>
      </c>
      <c r="D63" s="2" t="s">
        <v>393</v>
      </c>
      <c r="E63" s="12">
        <v>4725.6</v>
      </c>
      <c r="F63" s="2">
        <v>110.0</v>
      </c>
      <c r="G63" s="12">
        <v>6250.17</v>
      </c>
      <c r="H63" s="2">
        <v>300.0</v>
      </c>
      <c r="I63" s="2">
        <v>380.0</v>
      </c>
      <c r="J63" s="11"/>
      <c r="K63" s="2">
        <v>0.0</v>
      </c>
      <c r="L63" s="2">
        <v>0.0</v>
      </c>
      <c r="M63" s="11"/>
      <c r="N63" s="11"/>
      <c r="O63" s="2" t="s">
        <v>393</v>
      </c>
      <c r="P63" s="12">
        <v>11765.77</v>
      </c>
      <c r="Q63" s="11"/>
      <c r="R63" s="12">
        <v>11765.77</v>
      </c>
      <c r="S63" s="2" t="s">
        <v>68</v>
      </c>
      <c r="T63" s="11"/>
      <c r="U63" s="11"/>
      <c r="V63" s="11"/>
      <c r="W63" s="11"/>
      <c r="X63" s="11"/>
      <c r="Y63" s="11"/>
      <c r="Z63" s="11"/>
    </row>
    <row r="64">
      <c r="A64" s="2">
        <v>1.0</v>
      </c>
      <c r="B64" s="2" t="s">
        <v>41</v>
      </c>
      <c r="C64" s="2">
        <v>8.0</v>
      </c>
      <c r="D64" s="2" t="s">
        <v>398</v>
      </c>
      <c r="E64" s="12">
        <v>4725.6</v>
      </c>
      <c r="F64" s="2">
        <v>715.12</v>
      </c>
      <c r="G64" s="12">
        <v>6873.45</v>
      </c>
      <c r="H64" s="2">
        <v>300.0</v>
      </c>
      <c r="I64" s="11"/>
      <c r="J64" s="11"/>
      <c r="K64" s="12">
        <v>4714.66</v>
      </c>
      <c r="L64" s="2">
        <v>188.59</v>
      </c>
      <c r="M64" s="11"/>
      <c r="N64" s="11"/>
      <c r="O64" s="2" t="s">
        <v>398</v>
      </c>
      <c r="P64" s="12">
        <v>17517.42</v>
      </c>
      <c r="Q64" s="11"/>
      <c r="R64" s="12">
        <v>17517.42</v>
      </c>
      <c r="S64" s="2" t="s">
        <v>68</v>
      </c>
      <c r="T64" s="11"/>
      <c r="U64" s="11"/>
      <c r="V64" s="11"/>
      <c r="W64" s="11"/>
      <c r="X64" s="11"/>
      <c r="Y64" s="11"/>
      <c r="Z64" s="11"/>
    </row>
    <row r="65">
      <c r="A65" s="2">
        <v>1.0</v>
      </c>
      <c r="B65" s="2" t="s">
        <v>41</v>
      </c>
      <c r="C65" s="2">
        <v>8.0</v>
      </c>
      <c r="D65" s="2" t="s">
        <v>401</v>
      </c>
      <c r="E65" s="12">
        <v>4725.6</v>
      </c>
      <c r="F65" s="2">
        <v>60.7</v>
      </c>
      <c r="G65" s="12">
        <v>6508.58</v>
      </c>
      <c r="H65" s="2">
        <v>766.05</v>
      </c>
      <c r="I65" s="11"/>
      <c r="J65" s="11"/>
      <c r="K65" s="2">
        <v>0.0</v>
      </c>
      <c r="L65" s="2">
        <v>0.0</v>
      </c>
      <c r="M65" s="11"/>
      <c r="N65" s="11"/>
      <c r="O65" s="2" t="s">
        <v>401</v>
      </c>
      <c r="P65" s="12">
        <v>12060.93</v>
      </c>
      <c r="Q65" s="11"/>
      <c r="R65" s="12">
        <v>12060.93</v>
      </c>
      <c r="S65" s="2" t="s">
        <v>35</v>
      </c>
      <c r="T65" s="11"/>
      <c r="U65" s="11"/>
      <c r="V65" s="11"/>
      <c r="W65" s="11"/>
      <c r="X65" s="11"/>
      <c r="Y65" s="11"/>
      <c r="Z65" s="11"/>
    </row>
    <row r="66">
      <c r="A66" s="2">
        <v>1.0</v>
      </c>
      <c r="B66" s="2" t="s">
        <v>41</v>
      </c>
      <c r="C66" s="2">
        <v>8.0</v>
      </c>
      <c r="D66" s="2" t="s">
        <v>404</v>
      </c>
      <c r="E66" s="12">
        <v>4725.6</v>
      </c>
      <c r="F66" s="2">
        <v>447.12</v>
      </c>
      <c r="G66" s="12">
        <v>6597.41</v>
      </c>
      <c r="H66" s="2">
        <v>350.0</v>
      </c>
      <c r="I66" s="11"/>
      <c r="J66" s="2">
        <v>600.0</v>
      </c>
      <c r="K66" s="12">
        <v>2774.4</v>
      </c>
      <c r="L66" s="2">
        <v>134.98</v>
      </c>
      <c r="M66" s="11"/>
      <c r="N66" s="11"/>
      <c r="O66" s="2" t="s">
        <v>404</v>
      </c>
      <c r="P66" s="12">
        <v>15629.51</v>
      </c>
      <c r="Q66" s="11"/>
      <c r="R66" s="12">
        <v>15629.51</v>
      </c>
      <c r="S66" s="2" t="s">
        <v>68</v>
      </c>
      <c r="T66" s="11"/>
      <c r="U66" s="11"/>
      <c r="V66" s="11"/>
      <c r="W66" s="11"/>
      <c r="X66" s="11"/>
      <c r="Y66" s="11"/>
      <c r="Z66" s="11"/>
    </row>
    <row r="67">
      <c r="A67" s="2">
        <v>1.0</v>
      </c>
      <c r="B67" s="2" t="s">
        <v>41</v>
      </c>
      <c r="C67" s="2">
        <v>8.0</v>
      </c>
      <c r="D67" s="2" t="s">
        <v>413</v>
      </c>
      <c r="E67" s="12">
        <v>4999.95</v>
      </c>
      <c r="F67" s="2" t="s">
        <v>115</v>
      </c>
      <c r="G67" s="12">
        <v>6472.04</v>
      </c>
      <c r="H67" s="2">
        <v>300.0</v>
      </c>
      <c r="I67" s="11"/>
      <c r="J67" s="2">
        <v>720.0</v>
      </c>
      <c r="K67" s="12">
        <v>4230.93</v>
      </c>
      <c r="L67" s="2">
        <v>198.04</v>
      </c>
      <c r="M67" s="11"/>
      <c r="N67" s="11"/>
      <c r="O67" s="2" t="s">
        <v>413</v>
      </c>
      <c r="P67" s="12">
        <v>16920.96</v>
      </c>
      <c r="Q67" s="11"/>
      <c r="R67" s="12">
        <v>16920.96</v>
      </c>
      <c r="S67" s="2" t="s">
        <v>290</v>
      </c>
      <c r="T67" s="11"/>
      <c r="U67" s="11"/>
      <c r="V67" s="11"/>
      <c r="W67" s="11"/>
      <c r="X67" s="11"/>
      <c r="Y67" s="11"/>
      <c r="Z67" s="11"/>
    </row>
    <row r="68">
      <c r="A68" s="2">
        <v>1.0</v>
      </c>
      <c r="B68" s="2" t="s">
        <v>41</v>
      </c>
      <c r="C68" s="2">
        <v>8.0</v>
      </c>
      <c r="D68" s="2" t="s">
        <v>418</v>
      </c>
      <c r="E68" s="12">
        <v>4399.92</v>
      </c>
      <c r="F68" s="2">
        <v>879.98</v>
      </c>
      <c r="G68" s="12">
        <v>6881.29</v>
      </c>
      <c r="H68" s="2">
        <v>200.0</v>
      </c>
      <c r="I68" s="11"/>
      <c r="J68" s="11"/>
      <c r="K68" s="2">
        <v>0.0</v>
      </c>
      <c r="L68" s="2">
        <v>0.0</v>
      </c>
      <c r="M68" s="11"/>
      <c r="N68" s="11"/>
      <c r="O68" s="2" t="s">
        <v>418</v>
      </c>
      <c r="P68" s="12">
        <v>12361.19</v>
      </c>
      <c r="Q68" s="11"/>
      <c r="R68" s="12">
        <v>12361.19</v>
      </c>
      <c r="S68" s="2" t="s">
        <v>158</v>
      </c>
      <c r="T68" s="11"/>
      <c r="U68" s="11"/>
      <c r="V68" s="11"/>
      <c r="W68" s="11"/>
      <c r="X68" s="11"/>
      <c r="Y68" s="11"/>
      <c r="Z68" s="11"/>
    </row>
    <row r="69">
      <c r="A69" s="2">
        <v>1.0</v>
      </c>
      <c r="B69" s="2" t="s">
        <v>41</v>
      </c>
      <c r="C69" s="2">
        <v>8.0</v>
      </c>
      <c r="D69" s="2" t="s">
        <v>423</v>
      </c>
      <c r="E69" s="12">
        <v>4433.24</v>
      </c>
      <c r="F69" s="12">
        <v>1365.81</v>
      </c>
      <c r="G69" s="12">
        <v>7247.19</v>
      </c>
      <c r="H69" s="2">
        <v>200.0</v>
      </c>
      <c r="I69" s="11"/>
      <c r="J69" s="11"/>
      <c r="K69" s="2">
        <v>0.0</v>
      </c>
      <c r="L69" s="2">
        <v>0.0</v>
      </c>
      <c r="M69" s="11"/>
      <c r="N69" s="11"/>
      <c r="O69" s="2" t="s">
        <v>423</v>
      </c>
      <c r="P69" s="12">
        <v>13246.24</v>
      </c>
      <c r="Q69" s="11"/>
      <c r="R69" s="12">
        <v>13246.24</v>
      </c>
      <c r="S69" s="2" t="s">
        <v>158</v>
      </c>
      <c r="T69" s="11"/>
      <c r="U69" s="11"/>
      <c r="V69" s="11"/>
      <c r="W69" s="11"/>
      <c r="X69" s="11"/>
      <c r="Y69" s="11"/>
      <c r="Z69" s="11"/>
    </row>
    <row r="70">
      <c r="A70" s="2">
        <v>1.0</v>
      </c>
      <c r="B70" s="2" t="s">
        <v>41</v>
      </c>
      <c r="C70" s="2">
        <v>8.0</v>
      </c>
      <c r="D70" s="2" t="s">
        <v>427</v>
      </c>
      <c r="E70" s="12">
        <v>4410.56</v>
      </c>
      <c r="F70" s="2">
        <v>80.0</v>
      </c>
      <c r="G70" s="12">
        <v>6203.96</v>
      </c>
      <c r="H70" s="2">
        <v>714.98</v>
      </c>
      <c r="I70" s="11"/>
      <c r="J70" s="11"/>
      <c r="K70" s="2">
        <v>0.0</v>
      </c>
      <c r="L70" s="2">
        <v>0.0</v>
      </c>
      <c r="M70" s="11"/>
      <c r="N70" s="11"/>
      <c r="O70" s="2" t="s">
        <v>427</v>
      </c>
      <c r="P70" s="12">
        <v>11409.5</v>
      </c>
      <c r="Q70" s="11"/>
      <c r="R70" s="12">
        <v>11409.5</v>
      </c>
      <c r="S70" s="2" t="s">
        <v>35</v>
      </c>
      <c r="T70" s="11"/>
      <c r="U70" s="11"/>
      <c r="V70" s="11"/>
      <c r="W70" s="11"/>
      <c r="X70" s="11"/>
      <c r="Y70" s="11"/>
      <c r="Z70" s="11"/>
    </row>
    <row r="71">
      <c r="A71" s="2">
        <v>1.0</v>
      </c>
      <c r="B71" s="2" t="s">
        <v>41</v>
      </c>
      <c r="C71" s="2">
        <v>8.0</v>
      </c>
      <c r="D71" s="2" t="s">
        <v>441</v>
      </c>
      <c r="E71" s="12">
        <v>6500.0</v>
      </c>
      <c r="F71" s="12">
        <v>1060.0</v>
      </c>
      <c r="G71" s="12">
        <v>9454.15</v>
      </c>
      <c r="H71" s="2">
        <v>350.0</v>
      </c>
      <c r="I71" s="11"/>
      <c r="J71" s="2">
        <v>880.0</v>
      </c>
      <c r="K71" s="12">
        <v>4340.12</v>
      </c>
      <c r="L71" s="2">
        <v>208.8</v>
      </c>
      <c r="M71" s="11"/>
      <c r="N71" s="11"/>
      <c r="O71" s="2" t="s">
        <v>441</v>
      </c>
      <c r="P71" s="12">
        <v>22793.07</v>
      </c>
      <c r="Q71" s="11"/>
      <c r="R71" s="12">
        <v>22793.07</v>
      </c>
      <c r="S71" s="2" t="s">
        <v>158</v>
      </c>
      <c r="T71" s="11"/>
      <c r="U71" s="11"/>
      <c r="V71" s="11"/>
      <c r="W71" s="11"/>
      <c r="X71" s="11"/>
      <c r="Y71" s="11"/>
      <c r="Z71" s="11"/>
    </row>
    <row r="72">
      <c r="A72" s="2">
        <v>1.0</v>
      </c>
      <c r="B72" s="2" t="s">
        <v>41</v>
      </c>
      <c r="C72" s="2">
        <v>8.0</v>
      </c>
      <c r="D72" s="2" t="s">
        <v>447</v>
      </c>
      <c r="E72" s="12">
        <v>5000.0</v>
      </c>
      <c r="F72" s="2">
        <v>300.0</v>
      </c>
      <c r="G72" s="12">
        <v>6781.1</v>
      </c>
      <c r="H72" s="2">
        <v>300.0</v>
      </c>
      <c r="I72" s="11"/>
      <c r="J72" s="2">
        <v>500.0</v>
      </c>
      <c r="K72" s="12">
        <v>1250.0</v>
      </c>
      <c r="L72" s="2">
        <v>70.0</v>
      </c>
      <c r="M72" s="11"/>
      <c r="N72" s="11"/>
      <c r="O72" s="2" t="s">
        <v>447</v>
      </c>
      <c r="P72" s="12">
        <v>14201.1</v>
      </c>
      <c r="Q72" s="11"/>
      <c r="R72" s="12">
        <v>14201.1</v>
      </c>
      <c r="S72" s="2" t="s">
        <v>158</v>
      </c>
      <c r="T72" s="11"/>
      <c r="U72" s="11"/>
      <c r="V72" s="11"/>
      <c r="W72" s="11"/>
      <c r="X72" s="11"/>
      <c r="Y72" s="11"/>
      <c r="Z72" s="11"/>
    </row>
    <row r="73">
      <c r="A73" s="2">
        <v>1.0</v>
      </c>
      <c r="B73" s="2" t="s">
        <v>41</v>
      </c>
      <c r="C73" s="2">
        <v>8.0</v>
      </c>
      <c r="D73" s="2" t="s">
        <v>452</v>
      </c>
      <c r="E73" s="12">
        <v>4749.9</v>
      </c>
      <c r="F73" s="2">
        <v>249.98</v>
      </c>
      <c r="G73" s="12">
        <v>6424.04</v>
      </c>
      <c r="H73" s="11"/>
      <c r="I73" s="2">
        <v>380.0</v>
      </c>
      <c r="J73" s="11"/>
      <c r="K73" s="2">
        <v>0.0</v>
      </c>
      <c r="L73" s="2">
        <v>0.0</v>
      </c>
      <c r="M73" s="11"/>
      <c r="N73" s="11"/>
      <c r="O73" s="2" t="s">
        <v>452</v>
      </c>
      <c r="P73" s="12">
        <v>11803.92</v>
      </c>
      <c r="Q73" s="11"/>
      <c r="R73" s="12">
        <v>11803.92</v>
      </c>
      <c r="S73" s="2" t="s">
        <v>456</v>
      </c>
      <c r="T73" s="11"/>
      <c r="U73" s="11"/>
      <c r="V73" s="11"/>
      <c r="W73" s="11"/>
      <c r="X73" s="11"/>
      <c r="Y73" s="11"/>
      <c r="Z73" s="11"/>
    </row>
    <row r="74">
      <c r="A74" s="2">
        <v>1.0</v>
      </c>
      <c r="B74" s="2" t="s">
        <v>41</v>
      </c>
      <c r="C74" s="2">
        <v>8.0</v>
      </c>
      <c r="D74" s="2" t="s">
        <v>457</v>
      </c>
      <c r="E74" s="12">
        <v>4433.24</v>
      </c>
      <c r="F74" s="2">
        <v>382.33</v>
      </c>
      <c r="G74" s="12">
        <v>6234.2</v>
      </c>
      <c r="H74" s="2">
        <v>200.0</v>
      </c>
      <c r="I74" s="11"/>
      <c r="J74" s="11"/>
      <c r="K74" s="2">
        <v>0.0</v>
      </c>
      <c r="L74" s="2">
        <v>0.0</v>
      </c>
      <c r="M74" s="11"/>
      <c r="N74" s="11"/>
      <c r="O74" s="2" t="s">
        <v>457</v>
      </c>
      <c r="P74" s="12">
        <v>11249.77</v>
      </c>
      <c r="Q74" s="11"/>
      <c r="R74" s="12">
        <v>11249.77</v>
      </c>
      <c r="S74" s="2" t="s">
        <v>158</v>
      </c>
      <c r="T74" s="11"/>
      <c r="U74" s="11"/>
      <c r="V74" s="11"/>
      <c r="W74" s="11"/>
      <c r="X74" s="11"/>
      <c r="Y74" s="11"/>
      <c r="Z74" s="11"/>
    </row>
    <row r="75">
      <c r="A75" s="2">
        <v>1.0</v>
      </c>
      <c r="B75" s="2" t="s">
        <v>41</v>
      </c>
      <c r="C75" s="2">
        <v>8.0</v>
      </c>
      <c r="D75" s="2" t="s">
        <v>463</v>
      </c>
      <c r="E75" s="12">
        <v>4749.9</v>
      </c>
      <c r="F75" s="2">
        <v>309.15</v>
      </c>
      <c r="G75" s="12">
        <v>6484.98</v>
      </c>
      <c r="H75" s="2">
        <v>200.0</v>
      </c>
      <c r="I75" s="2">
        <v>380.0</v>
      </c>
      <c r="J75" s="11"/>
      <c r="K75" s="2">
        <v>0.0</v>
      </c>
      <c r="L75" s="2">
        <v>0.0</v>
      </c>
      <c r="M75" s="11"/>
      <c r="N75" s="11"/>
      <c r="O75" s="2" t="s">
        <v>463</v>
      </c>
      <c r="P75" s="12">
        <v>12124.03</v>
      </c>
      <c r="Q75" s="11"/>
      <c r="R75" s="12">
        <v>12124.03</v>
      </c>
      <c r="S75" s="2" t="s">
        <v>158</v>
      </c>
      <c r="T75" s="11"/>
      <c r="U75" s="11"/>
      <c r="V75" s="11"/>
      <c r="W75" s="11"/>
      <c r="X75" s="11"/>
      <c r="Y75" s="11"/>
      <c r="Z75" s="11"/>
    </row>
    <row r="76">
      <c r="A76" s="2">
        <v>1.0</v>
      </c>
      <c r="B76" s="2" t="s">
        <v>41</v>
      </c>
      <c r="C76" s="2">
        <v>8.0</v>
      </c>
      <c r="D76" s="2" t="s">
        <v>467</v>
      </c>
      <c r="E76" s="12">
        <v>5000.0</v>
      </c>
      <c r="F76" s="2">
        <v>992.0</v>
      </c>
      <c r="G76" s="12">
        <v>7493.86</v>
      </c>
      <c r="H76" s="2">
        <v>300.0</v>
      </c>
      <c r="I76" s="2">
        <v>440.0</v>
      </c>
      <c r="J76" s="11"/>
      <c r="K76" s="2">
        <v>0.0</v>
      </c>
      <c r="L76" s="2">
        <v>0.0</v>
      </c>
      <c r="M76" s="11"/>
      <c r="N76" s="11"/>
      <c r="O76" s="2" t="s">
        <v>467</v>
      </c>
      <c r="P76" s="12">
        <v>14225.86</v>
      </c>
      <c r="Q76" s="11"/>
      <c r="R76" s="12">
        <v>14225.86</v>
      </c>
      <c r="S76" s="2" t="s">
        <v>78</v>
      </c>
      <c r="T76" s="11"/>
      <c r="U76" s="11"/>
      <c r="V76" s="11"/>
      <c r="W76" s="11"/>
      <c r="X76" s="11"/>
      <c r="Y76" s="11"/>
      <c r="Z76" s="11"/>
    </row>
    <row r="77">
      <c r="A77" s="2">
        <v>1.0</v>
      </c>
      <c r="B77" s="2" t="s">
        <v>41</v>
      </c>
      <c r="C77" s="2">
        <v>8.0</v>
      </c>
      <c r="D77" s="2" t="s">
        <v>473</v>
      </c>
      <c r="E77" s="12">
        <v>4749.9</v>
      </c>
      <c r="F77" s="2">
        <v>629.15</v>
      </c>
      <c r="G77" s="12">
        <v>6814.58</v>
      </c>
      <c r="H77" s="2">
        <v>200.0</v>
      </c>
      <c r="I77" s="11"/>
      <c r="J77" s="11"/>
      <c r="K77" s="2">
        <v>0.0</v>
      </c>
      <c r="L77" s="2">
        <v>0.0</v>
      </c>
      <c r="M77" s="11"/>
      <c r="N77" s="11"/>
      <c r="O77" s="2" t="s">
        <v>473</v>
      </c>
      <c r="P77" s="12">
        <v>12393.63</v>
      </c>
      <c r="Q77" s="11"/>
      <c r="R77" s="12">
        <v>12393.63</v>
      </c>
      <c r="S77" s="2" t="s">
        <v>158</v>
      </c>
      <c r="T77" s="11"/>
      <c r="U77" s="11"/>
      <c r="V77" s="11"/>
      <c r="W77" s="11"/>
      <c r="X77" s="11"/>
      <c r="Y77" s="11"/>
      <c r="Z77" s="11"/>
    </row>
    <row r="78">
      <c r="A78" s="2">
        <v>1.0</v>
      </c>
      <c r="B78" s="2" t="s">
        <v>41</v>
      </c>
      <c r="C78" s="2">
        <v>8.0</v>
      </c>
      <c r="D78" s="2" t="s">
        <v>477</v>
      </c>
      <c r="E78" s="12">
        <v>4725.6</v>
      </c>
      <c r="F78" s="2" t="s">
        <v>115</v>
      </c>
      <c r="G78" s="12">
        <v>6136.87</v>
      </c>
      <c r="H78" s="2">
        <v>200.0</v>
      </c>
      <c r="I78" s="11"/>
      <c r="J78" s="11"/>
      <c r="K78" s="2">
        <v>0.0</v>
      </c>
      <c r="L78" s="2">
        <v>0.0</v>
      </c>
      <c r="M78" s="11"/>
      <c r="N78" s="11"/>
      <c r="O78" s="2" t="s">
        <v>477</v>
      </c>
      <c r="P78" s="12">
        <v>11062.47</v>
      </c>
      <c r="Q78" s="11"/>
      <c r="R78" s="12">
        <v>11062.47</v>
      </c>
      <c r="S78" s="2" t="s">
        <v>480</v>
      </c>
      <c r="T78" s="11"/>
      <c r="U78" s="11"/>
      <c r="V78" s="11"/>
      <c r="W78" s="11"/>
      <c r="X78" s="11"/>
      <c r="Y78" s="11"/>
      <c r="Z78" s="11"/>
    </row>
    <row r="79">
      <c r="A79" s="2">
        <v>1.0</v>
      </c>
      <c r="B79" s="2" t="s">
        <v>41</v>
      </c>
      <c r="C79" s="2">
        <v>8.0</v>
      </c>
      <c r="D79" s="2" t="s">
        <v>484</v>
      </c>
      <c r="E79" s="12">
        <v>4725.6</v>
      </c>
      <c r="F79" s="2" t="s">
        <v>115</v>
      </c>
      <c r="G79" s="12">
        <v>6136.87</v>
      </c>
      <c r="H79" s="2">
        <v>300.0</v>
      </c>
      <c r="I79" s="11"/>
      <c r="J79" s="11"/>
      <c r="K79" s="2">
        <v>0.0</v>
      </c>
      <c r="L79" s="2">
        <v>0.0</v>
      </c>
      <c r="M79" s="11"/>
      <c r="N79" s="11"/>
      <c r="O79" s="2" t="s">
        <v>484</v>
      </c>
      <c r="P79" s="12">
        <v>11162.47</v>
      </c>
      <c r="Q79" s="11"/>
      <c r="R79" s="12">
        <v>11162.47</v>
      </c>
      <c r="S79" s="2" t="s">
        <v>23</v>
      </c>
      <c r="T79" s="11"/>
      <c r="U79" s="11"/>
      <c r="V79" s="11"/>
      <c r="W79" s="11"/>
      <c r="X79" s="11"/>
      <c r="Y79" s="11"/>
      <c r="Z79" s="11"/>
    </row>
    <row r="80">
      <c r="A80" s="2">
        <v>1.0</v>
      </c>
      <c r="B80" s="2" t="s">
        <v>41</v>
      </c>
      <c r="C80" s="2">
        <v>8.0</v>
      </c>
      <c r="D80" s="2" t="s">
        <v>489</v>
      </c>
      <c r="E80" s="12">
        <v>4749.9</v>
      </c>
      <c r="F80" s="2">
        <v>225.12</v>
      </c>
      <c r="G80" s="12">
        <v>6398.43</v>
      </c>
      <c r="H80" s="2">
        <v>300.0</v>
      </c>
      <c r="I80" s="2">
        <v>380.0</v>
      </c>
      <c r="J80" s="11"/>
      <c r="K80" s="2">
        <v>0.0</v>
      </c>
      <c r="L80" s="2">
        <v>0.0</v>
      </c>
      <c r="M80" s="11"/>
      <c r="N80" s="11"/>
      <c r="O80" s="2" t="s">
        <v>489</v>
      </c>
      <c r="P80" s="12">
        <v>12053.45</v>
      </c>
      <c r="Q80" s="11"/>
      <c r="R80" s="12">
        <v>12053.45</v>
      </c>
      <c r="S80" s="2" t="s">
        <v>57</v>
      </c>
      <c r="T80" s="11"/>
      <c r="U80" s="11"/>
      <c r="V80" s="11"/>
      <c r="W80" s="11"/>
      <c r="X80" s="11"/>
      <c r="Y80" s="11"/>
      <c r="Z80" s="11"/>
    </row>
    <row r="81">
      <c r="A81" s="2">
        <v>1.0</v>
      </c>
      <c r="B81" s="2" t="s">
        <v>41</v>
      </c>
      <c r="C81" s="2">
        <v>8.0</v>
      </c>
      <c r="D81" s="2" t="s">
        <v>491</v>
      </c>
      <c r="E81" s="12">
        <v>1583.34</v>
      </c>
      <c r="F81" s="12">
        <v>2394.52</v>
      </c>
      <c r="G81" s="12">
        <v>4097.2</v>
      </c>
      <c r="H81" s="11"/>
      <c r="I81" s="11"/>
      <c r="J81" s="11"/>
      <c r="K81" s="2">
        <v>0.0</v>
      </c>
      <c r="L81" s="2">
        <v>0.0</v>
      </c>
      <c r="M81" s="11"/>
      <c r="N81" s="11"/>
      <c r="O81" s="2" t="s">
        <v>491</v>
      </c>
      <c r="P81" s="12">
        <v>8075.06</v>
      </c>
      <c r="Q81" s="11"/>
      <c r="R81" s="12">
        <v>8075.06</v>
      </c>
      <c r="S81" s="2" t="s">
        <v>158</v>
      </c>
      <c r="T81" s="11"/>
      <c r="U81" s="11"/>
      <c r="V81" s="11"/>
      <c r="W81" s="11"/>
      <c r="X81" s="11"/>
      <c r="Y81" s="11"/>
      <c r="Z81" s="11"/>
    </row>
    <row r="82">
      <c r="A82" s="2">
        <v>1.0</v>
      </c>
      <c r="B82" s="2" t="s">
        <v>41</v>
      </c>
      <c r="C82" s="2">
        <v>8.0</v>
      </c>
      <c r="D82" s="2" t="s">
        <v>495</v>
      </c>
      <c r="E82" s="2">
        <v>0.0</v>
      </c>
      <c r="F82" s="12">
        <v>2231.5</v>
      </c>
      <c r="G82" s="12">
        <v>2298.45</v>
      </c>
      <c r="H82" s="2" t="s">
        <v>115</v>
      </c>
      <c r="I82" s="11"/>
      <c r="J82" s="11"/>
      <c r="K82" s="2">
        <v>0.0</v>
      </c>
      <c r="L82" s="2">
        <v>0.0</v>
      </c>
      <c r="M82" s="11"/>
      <c r="N82" s="11"/>
      <c r="O82" s="2" t="s">
        <v>495</v>
      </c>
      <c r="P82" s="12">
        <v>4529.95</v>
      </c>
      <c r="Q82" s="11"/>
      <c r="R82" s="12">
        <v>4529.95</v>
      </c>
      <c r="S82" s="2" t="s">
        <v>31</v>
      </c>
      <c r="T82" s="11"/>
      <c r="U82" s="11"/>
      <c r="V82" s="11"/>
      <c r="W82" s="11"/>
      <c r="X82" s="11"/>
      <c r="Y82" s="11"/>
      <c r="Z82" s="11"/>
    </row>
    <row r="83">
      <c r="A83" s="2">
        <v>1.0</v>
      </c>
      <c r="B83" s="2" t="s">
        <v>41</v>
      </c>
      <c r="C83" s="2">
        <v>8.0</v>
      </c>
      <c r="D83" s="2" t="s">
        <v>498</v>
      </c>
      <c r="E83" s="12">
        <v>4749.9</v>
      </c>
      <c r="F83" s="2">
        <v>390.33</v>
      </c>
      <c r="G83" s="12">
        <v>6568.6</v>
      </c>
      <c r="H83" s="2">
        <v>200.0</v>
      </c>
      <c r="I83" s="2">
        <v>380.0</v>
      </c>
      <c r="J83" s="11"/>
      <c r="K83" s="2">
        <v>0.0</v>
      </c>
      <c r="L83" s="2">
        <v>0.0</v>
      </c>
      <c r="M83" s="11"/>
      <c r="N83" s="11"/>
      <c r="O83" s="2" t="s">
        <v>498</v>
      </c>
      <c r="P83" s="12">
        <v>12288.83</v>
      </c>
      <c r="Q83" s="11"/>
      <c r="R83" s="12">
        <v>12288.83</v>
      </c>
      <c r="S83" s="2" t="s">
        <v>158</v>
      </c>
      <c r="T83" s="11"/>
      <c r="U83" s="11"/>
      <c r="V83" s="11"/>
      <c r="W83" s="11"/>
      <c r="X83" s="11"/>
      <c r="Y83" s="11"/>
      <c r="Z83" s="11"/>
    </row>
    <row r="84">
      <c r="A84" s="2">
        <v>1.0</v>
      </c>
      <c r="B84" s="2" t="s">
        <v>41</v>
      </c>
      <c r="C84" s="2">
        <v>8.0</v>
      </c>
      <c r="D84" s="2" t="s">
        <v>504</v>
      </c>
      <c r="E84" s="12">
        <v>4725.6</v>
      </c>
      <c r="F84" s="2" t="s">
        <v>115</v>
      </c>
      <c r="G84" s="12">
        <v>6446.05</v>
      </c>
      <c r="H84" s="2">
        <v>766.05</v>
      </c>
      <c r="I84" s="11"/>
      <c r="J84" s="11"/>
      <c r="K84" s="2">
        <v>0.0</v>
      </c>
      <c r="L84" s="2">
        <v>0.0</v>
      </c>
      <c r="M84" s="11"/>
      <c r="N84" s="11"/>
      <c r="O84" s="2" t="s">
        <v>504</v>
      </c>
      <c r="P84" s="12">
        <v>11937.7</v>
      </c>
      <c r="Q84" s="11"/>
      <c r="R84" s="12">
        <v>11937.7</v>
      </c>
      <c r="S84" s="2" t="s">
        <v>48</v>
      </c>
      <c r="T84" s="11"/>
      <c r="U84" s="11"/>
      <c r="V84" s="11"/>
      <c r="W84" s="11"/>
      <c r="X84" s="11"/>
      <c r="Y84" s="11"/>
      <c r="Z84" s="11"/>
    </row>
    <row r="85">
      <c r="A85" s="2">
        <v>1.0</v>
      </c>
      <c r="B85" s="2" t="s">
        <v>41</v>
      </c>
      <c r="C85" s="2">
        <v>8.0</v>
      </c>
      <c r="D85" s="2" t="s">
        <v>508</v>
      </c>
      <c r="E85" s="12">
        <v>4750.05</v>
      </c>
      <c r="F85" s="2">
        <v>950.01</v>
      </c>
      <c r="G85" s="12">
        <v>7145.25</v>
      </c>
      <c r="H85" s="11"/>
      <c r="I85" s="2">
        <v>480.0</v>
      </c>
      <c r="J85" s="2">
        <v>480.0</v>
      </c>
      <c r="K85" s="2">
        <v>866.67</v>
      </c>
      <c r="L85" s="2">
        <v>53.87</v>
      </c>
      <c r="M85" s="11"/>
      <c r="N85" s="11"/>
      <c r="O85" s="2" t="s">
        <v>508</v>
      </c>
      <c r="P85" s="12">
        <v>14725.85</v>
      </c>
      <c r="Q85" s="11"/>
      <c r="R85" s="12">
        <v>14725.85</v>
      </c>
      <c r="S85" s="2" t="s">
        <v>158</v>
      </c>
      <c r="T85" s="11"/>
      <c r="U85" s="11"/>
      <c r="V85" s="11"/>
      <c r="W85" s="11"/>
      <c r="X85" s="11"/>
      <c r="Y85" s="11"/>
      <c r="Z85" s="11"/>
    </row>
    <row r="86">
      <c r="A86" s="2">
        <v>1.0</v>
      </c>
      <c r="B86" s="2" t="s">
        <v>41</v>
      </c>
      <c r="C86" s="2">
        <v>8.0</v>
      </c>
      <c r="D86" s="2" t="s">
        <v>514</v>
      </c>
      <c r="E86" s="12">
        <v>4116.71</v>
      </c>
      <c r="F86" s="2">
        <v>380.34</v>
      </c>
      <c r="G86" s="12">
        <v>5906.15</v>
      </c>
      <c r="H86" s="11"/>
      <c r="I86" s="2">
        <v>329.33</v>
      </c>
      <c r="J86" s="11"/>
      <c r="K86" s="2">
        <v>0.0</v>
      </c>
      <c r="L86" s="2">
        <v>0.0</v>
      </c>
      <c r="M86" s="11"/>
      <c r="N86" s="11"/>
      <c r="O86" s="2" t="s">
        <v>514</v>
      </c>
      <c r="P86" s="12">
        <v>10732.53</v>
      </c>
      <c r="Q86" s="11"/>
      <c r="R86" s="12">
        <v>10732.53</v>
      </c>
      <c r="S86" s="2" t="s">
        <v>158</v>
      </c>
      <c r="T86" s="11"/>
      <c r="U86" s="11"/>
      <c r="V86" s="11"/>
      <c r="W86" s="11"/>
      <c r="X86" s="11"/>
      <c r="Y86" s="11"/>
      <c r="Z86" s="11"/>
    </row>
    <row r="87">
      <c r="A87" s="2">
        <v>1.0</v>
      </c>
      <c r="B87" s="2" t="s">
        <v>41</v>
      </c>
      <c r="C87" s="2">
        <v>8.0</v>
      </c>
      <c r="D87" s="2" t="s">
        <v>517</v>
      </c>
      <c r="E87" s="12">
        <v>4725.6</v>
      </c>
      <c r="F87" s="2" t="s">
        <v>115</v>
      </c>
      <c r="G87" s="12">
        <v>6136.87</v>
      </c>
      <c r="H87" s="11"/>
      <c r="I87" s="11"/>
      <c r="J87" s="11"/>
      <c r="K87" s="12">
        <v>4774.4</v>
      </c>
      <c r="L87" s="2">
        <v>190.98</v>
      </c>
      <c r="M87" s="11"/>
      <c r="N87" s="11"/>
      <c r="O87" s="2" t="s">
        <v>517</v>
      </c>
      <c r="P87" s="12">
        <v>15827.85</v>
      </c>
      <c r="Q87" s="11"/>
      <c r="R87" s="12">
        <v>15827.85</v>
      </c>
      <c r="S87" s="2" t="s">
        <v>225</v>
      </c>
      <c r="T87" s="11"/>
      <c r="U87" s="11"/>
      <c r="V87" s="11"/>
      <c r="W87" s="11"/>
      <c r="X87" s="11"/>
      <c r="Y87" s="11"/>
      <c r="Z87" s="11"/>
    </row>
    <row r="88">
      <c r="A88" s="2">
        <v>1.0</v>
      </c>
      <c r="B88" s="2" t="s">
        <v>41</v>
      </c>
      <c r="C88" s="2">
        <v>8.0</v>
      </c>
      <c r="D88" s="2" t="s">
        <v>523</v>
      </c>
      <c r="E88" s="12">
        <v>2850.0</v>
      </c>
      <c r="F88" s="12">
        <v>1587.68</v>
      </c>
      <c r="G88" s="12">
        <v>4570.81</v>
      </c>
      <c r="H88" s="11"/>
      <c r="I88" s="11"/>
      <c r="J88" s="11"/>
      <c r="K88" s="2">
        <v>0.0</v>
      </c>
      <c r="L88" s="2">
        <v>0.0</v>
      </c>
      <c r="M88" s="11"/>
      <c r="N88" s="11"/>
      <c r="O88" s="2" t="s">
        <v>523</v>
      </c>
      <c r="P88" s="12">
        <v>9008.49</v>
      </c>
      <c r="Q88" s="11"/>
      <c r="R88" s="12">
        <v>9008.49</v>
      </c>
      <c r="S88" s="2" t="s">
        <v>158</v>
      </c>
      <c r="T88" s="11"/>
      <c r="U88" s="11"/>
      <c r="V88" s="11"/>
      <c r="W88" s="11"/>
      <c r="X88" s="11"/>
      <c r="Y88" s="11"/>
      <c r="Z88" s="11"/>
    </row>
    <row r="89">
      <c r="A89" s="2">
        <v>1.0</v>
      </c>
      <c r="B89" s="2" t="s">
        <v>41</v>
      </c>
      <c r="C89" s="2">
        <v>8.0</v>
      </c>
      <c r="D89" s="2" t="s">
        <v>524</v>
      </c>
      <c r="E89" s="12">
        <v>4750.05</v>
      </c>
      <c r="F89" s="2">
        <v>309.17</v>
      </c>
      <c r="G89" s="12">
        <v>6485.19</v>
      </c>
      <c r="H89" s="11"/>
      <c r="I89" s="2">
        <v>380.0</v>
      </c>
      <c r="J89" s="11"/>
      <c r="K89" s="2">
        <v>0.0</v>
      </c>
      <c r="L89" s="2">
        <v>0.0</v>
      </c>
      <c r="M89" s="11"/>
      <c r="N89" s="11"/>
      <c r="O89" s="2" t="s">
        <v>524</v>
      </c>
      <c r="P89" s="12">
        <v>11924.41</v>
      </c>
      <c r="Q89" s="11"/>
      <c r="R89" s="12">
        <v>11924.41</v>
      </c>
      <c r="S89" s="2" t="s">
        <v>158</v>
      </c>
      <c r="T89" s="11"/>
      <c r="U89" s="11"/>
      <c r="V89" s="11"/>
      <c r="W89" s="11"/>
      <c r="X89" s="11"/>
      <c r="Y89" s="11"/>
      <c r="Z89" s="11"/>
    </row>
    <row r="90">
      <c r="A90" s="2">
        <v>1.0</v>
      </c>
      <c r="B90" s="2" t="s">
        <v>41</v>
      </c>
      <c r="C90" s="2">
        <v>8.0</v>
      </c>
      <c r="D90" s="2" t="s">
        <v>525</v>
      </c>
      <c r="E90" s="12">
        <v>4750.05</v>
      </c>
      <c r="F90" s="2">
        <v>304.67</v>
      </c>
      <c r="G90" s="12">
        <v>6480.55</v>
      </c>
      <c r="H90" s="11"/>
      <c r="I90" s="2">
        <v>380.0</v>
      </c>
      <c r="J90" s="11"/>
      <c r="K90" s="2">
        <v>0.0</v>
      </c>
      <c r="L90" s="2">
        <v>0.0</v>
      </c>
      <c r="M90" s="11"/>
      <c r="N90" s="11"/>
      <c r="O90" s="2" t="s">
        <v>525</v>
      </c>
      <c r="P90" s="12">
        <v>11915.27</v>
      </c>
      <c r="Q90" s="11"/>
      <c r="R90" s="12">
        <v>11915.27</v>
      </c>
      <c r="S90" s="2" t="s">
        <v>158</v>
      </c>
      <c r="T90" s="11"/>
      <c r="U90" s="11"/>
      <c r="V90" s="11"/>
      <c r="W90" s="11"/>
      <c r="X90" s="11"/>
      <c r="Y90" s="11"/>
      <c r="Z90" s="11"/>
    </row>
    <row r="91">
      <c r="A91" s="2">
        <v>1.0</v>
      </c>
      <c r="B91" s="2" t="s">
        <v>41</v>
      </c>
      <c r="C91" s="2">
        <v>8.0</v>
      </c>
      <c r="D91" s="2" t="s">
        <v>526</v>
      </c>
      <c r="E91" s="12">
        <v>5000.0</v>
      </c>
      <c r="F91" s="2" t="s">
        <v>115</v>
      </c>
      <c r="G91" s="12">
        <v>6799.23</v>
      </c>
      <c r="H91" s="11"/>
      <c r="I91" s="11"/>
      <c r="J91" s="2">
        <v>560.0</v>
      </c>
      <c r="K91" s="12">
        <v>2226.64</v>
      </c>
      <c r="L91" s="2">
        <v>111.47</v>
      </c>
      <c r="M91" s="11"/>
      <c r="N91" s="11"/>
      <c r="O91" s="2" t="s">
        <v>526</v>
      </c>
      <c r="P91" s="12">
        <v>14697.34</v>
      </c>
      <c r="Q91" s="11"/>
      <c r="R91" s="12">
        <v>14697.34</v>
      </c>
      <c r="S91" s="2" t="s">
        <v>78</v>
      </c>
      <c r="T91" s="11"/>
      <c r="U91" s="11"/>
      <c r="V91" s="11"/>
      <c r="W91" s="11"/>
      <c r="X91" s="11"/>
      <c r="Y91" s="11"/>
      <c r="Z91" s="11"/>
    </row>
    <row r="92">
      <c r="A92" s="2">
        <v>1.0</v>
      </c>
      <c r="B92" s="2" t="s">
        <v>41</v>
      </c>
      <c r="C92" s="2">
        <v>8.0</v>
      </c>
      <c r="D92" s="2" t="s">
        <v>527</v>
      </c>
      <c r="E92" s="12">
        <v>4750.01</v>
      </c>
      <c r="F92" s="2">
        <v>220.12</v>
      </c>
      <c r="G92" s="12">
        <v>6393.41</v>
      </c>
      <c r="H92" s="11"/>
      <c r="I92" s="11"/>
      <c r="J92" s="11"/>
      <c r="K92" s="2">
        <v>0.0</v>
      </c>
      <c r="L92" s="2">
        <v>0.0</v>
      </c>
      <c r="M92" s="11"/>
      <c r="N92" s="11"/>
      <c r="O92" s="2" t="s">
        <v>527</v>
      </c>
      <c r="P92" s="12">
        <v>11363.54</v>
      </c>
      <c r="Q92" s="11"/>
      <c r="R92" s="12">
        <v>11363.54</v>
      </c>
      <c r="S92" s="2" t="s">
        <v>23</v>
      </c>
      <c r="T92" s="11"/>
      <c r="U92" s="11"/>
      <c r="V92" s="11"/>
      <c r="W92" s="11"/>
      <c r="X92" s="11"/>
      <c r="Y92" s="11"/>
      <c r="Z92" s="11"/>
    </row>
    <row r="93">
      <c r="A93" s="2">
        <v>1.0</v>
      </c>
      <c r="B93" s="2" t="s">
        <v>41</v>
      </c>
      <c r="C93" s="2">
        <v>8.0</v>
      </c>
      <c r="D93" s="2" t="s">
        <v>528</v>
      </c>
      <c r="E93" s="12">
        <v>4750.01</v>
      </c>
      <c r="F93" s="2">
        <v>305.67</v>
      </c>
      <c r="G93" s="12">
        <v>6481.52</v>
      </c>
      <c r="H93" s="11"/>
      <c r="I93" s="11"/>
      <c r="J93" s="11"/>
      <c r="K93" s="2">
        <v>0.0</v>
      </c>
      <c r="L93" s="2">
        <v>0.0</v>
      </c>
      <c r="M93" s="11"/>
      <c r="N93" s="11"/>
      <c r="O93" s="2" t="s">
        <v>528</v>
      </c>
      <c r="P93" s="12">
        <v>11537.2</v>
      </c>
      <c r="Q93" s="11"/>
      <c r="R93" s="12">
        <v>11537.2</v>
      </c>
      <c r="S93" s="2" t="s">
        <v>158</v>
      </c>
      <c r="T93" s="11"/>
      <c r="U93" s="11"/>
      <c r="V93" s="11"/>
      <c r="W93" s="11"/>
      <c r="X93" s="11"/>
      <c r="Y93" s="11"/>
      <c r="Z93" s="11"/>
    </row>
    <row r="94">
      <c r="A94" s="2">
        <v>1.0</v>
      </c>
      <c r="B94" s="2" t="s">
        <v>41</v>
      </c>
      <c r="C94" s="2">
        <v>8.0</v>
      </c>
      <c r="D94" s="2" t="s">
        <v>529</v>
      </c>
      <c r="E94" s="12">
        <v>4433.34</v>
      </c>
      <c r="F94" s="2">
        <v>224.0</v>
      </c>
      <c r="G94" s="12">
        <v>6071.24</v>
      </c>
      <c r="H94" s="11"/>
      <c r="I94" s="11"/>
      <c r="J94" s="11"/>
      <c r="K94" s="2">
        <v>0.0</v>
      </c>
      <c r="L94" s="2">
        <v>0.0</v>
      </c>
      <c r="M94" s="11"/>
      <c r="N94" s="11"/>
      <c r="O94" s="2" t="s">
        <v>529</v>
      </c>
      <c r="P94" s="12">
        <v>10728.58</v>
      </c>
      <c r="Q94" s="11"/>
      <c r="R94" s="12">
        <v>10728.58</v>
      </c>
      <c r="S94" s="2" t="s">
        <v>158</v>
      </c>
      <c r="T94" s="11"/>
      <c r="U94" s="11"/>
      <c r="V94" s="11"/>
      <c r="W94" s="11"/>
      <c r="X94" s="11"/>
      <c r="Y94" s="11"/>
      <c r="Z94" s="11"/>
    </row>
    <row r="95">
      <c r="A95" s="2">
        <v>1.0</v>
      </c>
      <c r="B95" s="2" t="s">
        <v>41</v>
      </c>
      <c r="C95" s="2">
        <v>8.0</v>
      </c>
      <c r="D95" s="2" t="s">
        <v>530</v>
      </c>
      <c r="E95" s="12">
        <v>4725.6</v>
      </c>
      <c r="F95" s="12">
        <v>2791.12</v>
      </c>
      <c r="G95" s="12">
        <v>9011.73</v>
      </c>
      <c r="H95" s="11"/>
      <c r="I95" s="11"/>
      <c r="J95" s="2">
        <v>560.0</v>
      </c>
      <c r="K95" s="2">
        <v>46.94</v>
      </c>
      <c r="L95" s="2">
        <v>24.28</v>
      </c>
      <c r="M95" s="11"/>
      <c r="N95" s="11"/>
      <c r="O95" s="2" t="s">
        <v>530</v>
      </c>
      <c r="P95" s="12">
        <v>17159.67</v>
      </c>
      <c r="Q95" s="11"/>
      <c r="R95" s="12">
        <v>17159.67</v>
      </c>
      <c r="S95" s="2" t="s">
        <v>78</v>
      </c>
      <c r="T95" s="11"/>
      <c r="U95" s="11"/>
      <c r="V95" s="11"/>
      <c r="W95" s="11"/>
      <c r="X95" s="11"/>
      <c r="Y95" s="11"/>
      <c r="Z95" s="11"/>
    </row>
    <row r="96">
      <c r="A96" s="2">
        <v>1.0</v>
      </c>
      <c r="B96" s="2" t="s">
        <v>41</v>
      </c>
      <c r="C96" s="2">
        <v>8.0</v>
      </c>
      <c r="D96" s="2" t="s">
        <v>532</v>
      </c>
      <c r="E96" s="12">
        <v>4750.01</v>
      </c>
      <c r="F96" s="2">
        <v>220.12</v>
      </c>
      <c r="G96" s="12">
        <v>6393.41</v>
      </c>
      <c r="H96" s="11"/>
      <c r="I96" s="2">
        <v>380.0</v>
      </c>
      <c r="J96" s="11"/>
      <c r="K96" s="2">
        <v>0.0</v>
      </c>
      <c r="L96" s="2">
        <v>0.0</v>
      </c>
      <c r="M96" s="11"/>
      <c r="N96" s="11"/>
      <c r="O96" s="2" t="s">
        <v>532</v>
      </c>
      <c r="P96" s="12">
        <v>11743.54</v>
      </c>
      <c r="Q96" s="11"/>
      <c r="R96" s="12">
        <v>11743.54</v>
      </c>
      <c r="S96" s="2" t="s">
        <v>158</v>
      </c>
      <c r="T96" s="11"/>
      <c r="U96" s="11"/>
      <c r="V96" s="11"/>
      <c r="W96" s="11"/>
      <c r="X96" s="11"/>
      <c r="Y96" s="11"/>
      <c r="Z96" s="11"/>
    </row>
    <row r="97">
      <c r="A97" s="2">
        <v>1.0</v>
      </c>
      <c r="B97" s="2" t="s">
        <v>41</v>
      </c>
      <c r="C97" s="2">
        <v>8.0</v>
      </c>
      <c r="D97" s="2" t="s">
        <v>533</v>
      </c>
      <c r="E97" s="12">
        <v>4725.6</v>
      </c>
      <c r="F97" s="2">
        <v>220.0</v>
      </c>
      <c r="G97" s="12">
        <v>6363.47</v>
      </c>
      <c r="H97" s="11"/>
      <c r="I97" s="2">
        <v>378.05</v>
      </c>
      <c r="J97" s="11"/>
      <c r="K97" s="2">
        <v>0.0</v>
      </c>
      <c r="L97" s="2">
        <v>0.0</v>
      </c>
      <c r="M97" s="11"/>
      <c r="N97" s="11"/>
      <c r="O97" s="2" t="s">
        <v>533</v>
      </c>
      <c r="P97" s="12">
        <v>11687.12</v>
      </c>
      <c r="Q97" s="11"/>
      <c r="R97" s="12">
        <v>11687.12</v>
      </c>
      <c r="S97" s="2" t="s">
        <v>23</v>
      </c>
      <c r="T97" s="11"/>
      <c r="U97" s="11"/>
      <c r="V97" s="11"/>
      <c r="W97" s="11"/>
      <c r="X97" s="11"/>
      <c r="Y97" s="11"/>
      <c r="Z97" s="11"/>
    </row>
    <row r="98">
      <c r="A98" s="2">
        <v>1.0</v>
      </c>
      <c r="B98" s="2" t="s">
        <v>41</v>
      </c>
      <c r="C98" s="2">
        <v>8.0</v>
      </c>
      <c r="D98" s="2" t="s">
        <v>534</v>
      </c>
      <c r="E98" s="12">
        <v>4750.0</v>
      </c>
      <c r="F98" s="2">
        <v>224.0</v>
      </c>
      <c r="G98" s="12">
        <v>6397.4</v>
      </c>
      <c r="H98" s="11"/>
      <c r="I98" s="11"/>
      <c r="J98" s="11"/>
      <c r="K98" s="2">
        <v>0.0</v>
      </c>
      <c r="L98" s="2">
        <v>0.0</v>
      </c>
      <c r="M98" s="11"/>
      <c r="N98" s="11"/>
      <c r="O98" s="2" t="s">
        <v>534</v>
      </c>
      <c r="P98" s="12">
        <v>11371.4</v>
      </c>
      <c r="Q98" s="11"/>
      <c r="R98" s="12">
        <v>11371.4</v>
      </c>
      <c r="S98" s="2" t="s">
        <v>158</v>
      </c>
      <c r="T98" s="11"/>
      <c r="U98" s="11"/>
      <c r="V98" s="11"/>
      <c r="W98" s="11"/>
      <c r="X98" s="11"/>
      <c r="Y98" s="11"/>
      <c r="Z98" s="11"/>
    </row>
    <row r="99">
      <c r="A99" s="2">
        <v>1.0</v>
      </c>
      <c r="B99" s="2" t="s">
        <v>41</v>
      </c>
      <c r="C99" s="2">
        <v>8.0</v>
      </c>
      <c r="D99" s="2" t="s">
        <v>535</v>
      </c>
      <c r="E99" s="12">
        <v>4725.6</v>
      </c>
      <c r="F99" s="2">
        <v>225.2</v>
      </c>
      <c r="G99" s="12">
        <v>6368.83</v>
      </c>
      <c r="H99" s="11"/>
      <c r="I99" s="2">
        <v>378.05</v>
      </c>
      <c r="J99" s="11"/>
      <c r="K99" s="2">
        <v>0.0</v>
      </c>
      <c r="L99" s="2">
        <v>0.0</v>
      </c>
      <c r="M99" s="11"/>
      <c r="N99" s="11"/>
      <c r="O99" s="2" t="s">
        <v>535</v>
      </c>
      <c r="P99" s="12">
        <v>11697.68</v>
      </c>
      <c r="Q99" s="11"/>
      <c r="R99" s="12">
        <v>11697.68</v>
      </c>
      <c r="S99" s="2" t="s">
        <v>480</v>
      </c>
      <c r="T99" s="11"/>
      <c r="U99" s="11"/>
      <c r="V99" s="11"/>
      <c r="W99" s="11"/>
      <c r="X99" s="11"/>
      <c r="Y99" s="11"/>
      <c r="Z99" s="11"/>
    </row>
    <row r="100">
      <c r="A100" s="2">
        <v>1.0</v>
      </c>
      <c r="B100" s="2" t="s">
        <v>41</v>
      </c>
      <c r="C100" s="2">
        <v>8.0</v>
      </c>
      <c r="D100" s="2" t="s">
        <v>536</v>
      </c>
      <c r="E100" s="12">
        <v>4116.67</v>
      </c>
      <c r="F100" s="2">
        <v>190.0</v>
      </c>
      <c r="G100" s="12">
        <v>5525.63</v>
      </c>
      <c r="H100" s="11"/>
      <c r="I100" s="2">
        <v>329.33</v>
      </c>
      <c r="J100" s="11"/>
      <c r="K100" s="2">
        <v>0.0</v>
      </c>
      <c r="L100" s="2">
        <v>0.0</v>
      </c>
      <c r="M100" s="11"/>
      <c r="N100" s="11"/>
      <c r="O100" s="2" t="s">
        <v>536</v>
      </c>
      <c r="P100" s="12">
        <v>10161.63</v>
      </c>
      <c r="Q100" s="11"/>
      <c r="R100" s="12">
        <v>10161.63</v>
      </c>
      <c r="S100" s="2" t="s">
        <v>158</v>
      </c>
      <c r="T100" s="11"/>
      <c r="U100" s="11"/>
      <c r="V100" s="11"/>
      <c r="W100" s="11"/>
      <c r="X100" s="11"/>
      <c r="Y100" s="11"/>
      <c r="Z100" s="11"/>
    </row>
    <row r="101">
      <c r="A101" s="2">
        <v>1.0</v>
      </c>
      <c r="B101" s="2" t="s">
        <v>41</v>
      </c>
      <c r="C101" s="2">
        <v>8.0</v>
      </c>
      <c r="D101" s="2" t="s">
        <v>540</v>
      </c>
      <c r="E101" s="12">
        <v>3780.48</v>
      </c>
      <c r="F101" s="2">
        <v>168.0</v>
      </c>
      <c r="G101" s="12">
        <v>5313.27</v>
      </c>
      <c r="H101" s="11"/>
      <c r="I101" s="11"/>
      <c r="J101" s="11"/>
      <c r="K101" s="2">
        <v>0.0</v>
      </c>
      <c r="L101" s="2">
        <v>0.0</v>
      </c>
      <c r="M101" s="11"/>
      <c r="N101" s="11"/>
      <c r="O101" s="2" t="s">
        <v>540</v>
      </c>
      <c r="P101" s="12">
        <v>9261.75</v>
      </c>
      <c r="Q101" s="11"/>
      <c r="R101" s="12">
        <v>9261.75</v>
      </c>
      <c r="S101" s="2" t="s">
        <v>31</v>
      </c>
      <c r="T101" s="11"/>
      <c r="U101" s="11"/>
      <c r="V101" s="11"/>
      <c r="W101" s="11"/>
      <c r="X101" s="11"/>
      <c r="Y101" s="11"/>
      <c r="Z101" s="11"/>
    </row>
    <row r="102">
      <c r="A102" s="2">
        <v>1.0</v>
      </c>
      <c r="B102" s="2" t="s">
        <v>41</v>
      </c>
      <c r="C102" s="2">
        <v>8.0</v>
      </c>
      <c r="D102" s="2" t="s">
        <v>541</v>
      </c>
      <c r="E102" s="12">
        <v>3166.67</v>
      </c>
      <c r="F102" s="2">
        <v>140.0</v>
      </c>
      <c r="G102" s="12">
        <v>4244.14</v>
      </c>
      <c r="H102" s="11"/>
      <c r="I102" s="11"/>
      <c r="J102" s="11"/>
      <c r="K102" s="2">
        <v>0.0</v>
      </c>
      <c r="L102" s="2">
        <v>0.0</v>
      </c>
      <c r="M102" s="11"/>
      <c r="N102" s="11"/>
      <c r="O102" s="2" t="s">
        <v>541</v>
      </c>
      <c r="P102" s="12">
        <v>7550.81</v>
      </c>
      <c r="Q102" s="11"/>
      <c r="R102" s="12">
        <v>7550.81</v>
      </c>
      <c r="S102" s="2" t="s">
        <v>158</v>
      </c>
      <c r="T102" s="11"/>
      <c r="U102" s="11"/>
      <c r="V102" s="11"/>
      <c r="W102" s="11"/>
      <c r="X102" s="11"/>
      <c r="Y102" s="11"/>
      <c r="Z102" s="11"/>
    </row>
    <row r="103">
      <c r="A103" s="2">
        <v>2.0</v>
      </c>
      <c r="B103" s="2" t="s">
        <v>41</v>
      </c>
      <c r="C103" s="2">
        <v>8.0</v>
      </c>
      <c r="D103" s="2" t="s">
        <v>43</v>
      </c>
      <c r="E103" s="12">
        <v>5115.0</v>
      </c>
      <c r="F103" s="12">
        <v>1023.0</v>
      </c>
      <c r="G103" s="12">
        <v>7753.72</v>
      </c>
      <c r="H103" s="2">
        <v>300.0</v>
      </c>
      <c r="I103" s="11"/>
      <c r="J103" s="11"/>
      <c r="K103" s="12">
        <v>8157.22</v>
      </c>
      <c r="L103" s="2">
        <v>326.29</v>
      </c>
      <c r="M103" s="11"/>
      <c r="N103" s="2">
        <v>250.0</v>
      </c>
      <c r="O103" s="2" t="s">
        <v>43</v>
      </c>
      <c r="P103" s="12">
        <v>22925.23</v>
      </c>
      <c r="Q103" s="12">
        <v>1207.71</v>
      </c>
      <c r="R103" s="12">
        <v>24132.94</v>
      </c>
      <c r="S103" s="2" t="s">
        <v>48</v>
      </c>
      <c r="T103" s="11"/>
      <c r="U103" s="11"/>
      <c r="V103" s="11"/>
      <c r="W103" s="11"/>
      <c r="X103" s="11"/>
      <c r="Y103" s="11"/>
      <c r="Z103" s="11"/>
    </row>
    <row r="104">
      <c r="A104" s="2">
        <v>2.0</v>
      </c>
      <c r="B104" s="2" t="s">
        <v>41</v>
      </c>
      <c r="C104" s="2">
        <v>8.0</v>
      </c>
      <c r="D104" s="2" t="s">
        <v>53</v>
      </c>
      <c r="E104" s="12">
        <v>5616.6</v>
      </c>
      <c r="F104" s="12">
        <v>1310.54</v>
      </c>
      <c r="G104" s="12">
        <v>8678.9</v>
      </c>
      <c r="H104" s="2">
        <v>200.0</v>
      </c>
      <c r="I104" s="11"/>
      <c r="J104" s="2">
        <v>560.0</v>
      </c>
      <c r="K104" s="12">
        <v>1055.87</v>
      </c>
      <c r="L104" s="2">
        <v>64.63</v>
      </c>
      <c r="M104" s="11"/>
      <c r="N104" s="2">
        <v>250.0</v>
      </c>
      <c r="O104" s="2" t="s">
        <v>53</v>
      </c>
      <c r="P104" s="12">
        <v>17736.54</v>
      </c>
      <c r="Q104" s="12">
        <v>1326.14</v>
      </c>
      <c r="R104" s="12">
        <v>19062.68</v>
      </c>
      <c r="S104" s="2" t="s">
        <v>58</v>
      </c>
      <c r="T104" s="11"/>
      <c r="U104" s="11"/>
      <c r="V104" s="11"/>
      <c r="W104" s="11"/>
      <c r="X104" s="11"/>
      <c r="Y104" s="11"/>
      <c r="Z104" s="11"/>
    </row>
    <row r="105">
      <c r="A105" s="2">
        <v>2.0</v>
      </c>
      <c r="B105" s="2" t="s">
        <v>41</v>
      </c>
      <c r="C105" s="2">
        <v>8.0</v>
      </c>
      <c r="D105" s="2" t="s">
        <v>65</v>
      </c>
      <c r="E105" s="12">
        <v>7077.15</v>
      </c>
      <c r="F105" s="12">
        <v>1415.43</v>
      </c>
      <c r="G105" s="12">
        <v>10613.46</v>
      </c>
      <c r="H105" s="2">
        <v>350.0</v>
      </c>
      <c r="I105" s="11"/>
      <c r="J105" s="12">
        <v>2000.0</v>
      </c>
      <c r="K105" s="12">
        <v>5003.81</v>
      </c>
      <c r="L105" s="2">
        <v>280.15</v>
      </c>
      <c r="M105" s="11"/>
      <c r="N105" s="2">
        <v>250.0</v>
      </c>
      <c r="O105" s="2" t="s">
        <v>65</v>
      </c>
      <c r="P105" s="12">
        <v>26990.0</v>
      </c>
      <c r="Q105" s="12">
        <v>1671.0</v>
      </c>
      <c r="R105" s="12">
        <v>28661.0</v>
      </c>
      <c r="S105" s="2" t="s">
        <v>68</v>
      </c>
      <c r="T105" s="11"/>
      <c r="U105" s="11"/>
      <c r="V105" s="11"/>
      <c r="W105" s="11"/>
      <c r="X105" s="11"/>
      <c r="Y105" s="11"/>
      <c r="Z105" s="11"/>
    </row>
    <row r="106">
      <c r="A106" s="2">
        <v>2.0</v>
      </c>
      <c r="B106" s="2" t="s">
        <v>41</v>
      </c>
      <c r="C106" s="2">
        <v>8.0</v>
      </c>
      <c r="D106" s="2" t="s">
        <v>72</v>
      </c>
      <c r="E106" s="12">
        <v>4725.6</v>
      </c>
      <c r="F106" s="2">
        <v>945.12</v>
      </c>
      <c r="G106" s="12">
        <v>7116.22</v>
      </c>
      <c r="H106" s="2">
        <v>350.0</v>
      </c>
      <c r="I106" s="11"/>
      <c r="J106" s="2">
        <v>800.0</v>
      </c>
      <c r="K106" s="12">
        <v>4772.84</v>
      </c>
      <c r="L106" s="2">
        <v>222.91</v>
      </c>
      <c r="M106" s="11"/>
      <c r="N106" s="2">
        <v>250.0</v>
      </c>
      <c r="O106" s="2" t="s">
        <v>72</v>
      </c>
      <c r="P106" s="12">
        <v>19182.69</v>
      </c>
      <c r="Q106" s="2">
        <v>170.64</v>
      </c>
      <c r="R106" s="12">
        <v>19353.33</v>
      </c>
      <c r="S106" s="2" t="s">
        <v>68</v>
      </c>
      <c r="T106" s="11"/>
      <c r="U106" s="11"/>
      <c r="V106" s="11"/>
      <c r="W106" s="11"/>
      <c r="X106" s="11"/>
      <c r="Y106" s="11"/>
      <c r="Z106" s="11"/>
    </row>
    <row r="107">
      <c r="A107" s="2">
        <v>2.0</v>
      </c>
      <c r="B107" s="2" t="s">
        <v>41</v>
      </c>
      <c r="C107" s="2">
        <v>8.0</v>
      </c>
      <c r="D107" s="2" t="s">
        <v>85</v>
      </c>
      <c r="E107" s="12">
        <v>5979.0</v>
      </c>
      <c r="F107" s="12">
        <v>1195.8</v>
      </c>
      <c r="G107" s="12">
        <v>8957.99</v>
      </c>
      <c r="H107" s="2">
        <v>200.0</v>
      </c>
      <c r="I107" s="11"/>
      <c r="J107" s="12">
        <v>1080.0</v>
      </c>
      <c r="K107" s="12">
        <v>6577.21</v>
      </c>
      <c r="L107" s="2">
        <v>306.29</v>
      </c>
      <c r="M107" s="11"/>
      <c r="N107" s="2">
        <v>250.0</v>
      </c>
      <c r="O107" s="2" t="s">
        <v>85</v>
      </c>
      <c r="P107" s="12">
        <v>24546.29</v>
      </c>
      <c r="Q107" s="12">
        <v>1494.75</v>
      </c>
      <c r="R107" s="12">
        <v>26041.04</v>
      </c>
      <c r="S107" s="2" t="s">
        <v>68</v>
      </c>
      <c r="T107" s="11"/>
      <c r="U107" s="11"/>
      <c r="V107" s="11"/>
      <c r="W107" s="11"/>
      <c r="X107" s="11"/>
      <c r="Y107" s="11"/>
      <c r="Z107" s="11"/>
    </row>
    <row r="108">
      <c r="A108" s="2">
        <v>2.0</v>
      </c>
      <c r="B108" s="2" t="s">
        <v>41</v>
      </c>
      <c r="C108" s="2">
        <v>8.0</v>
      </c>
      <c r="D108" s="2" t="s">
        <v>90</v>
      </c>
      <c r="E108" s="12">
        <v>4725.6</v>
      </c>
      <c r="F108" s="2">
        <v>945.12</v>
      </c>
      <c r="G108" s="12">
        <v>7116.22</v>
      </c>
      <c r="H108" s="2">
        <v>200.0</v>
      </c>
      <c r="I108" s="11"/>
      <c r="J108" s="12">
        <v>1320.0</v>
      </c>
      <c r="K108" s="12">
        <v>10614.25</v>
      </c>
      <c r="L108" s="2">
        <v>477.37</v>
      </c>
      <c r="M108" s="11"/>
      <c r="N108" s="2">
        <v>250.0</v>
      </c>
      <c r="O108" s="2" t="s">
        <v>90</v>
      </c>
      <c r="P108" s="12">
        <v>25648.56</v>
      </c>
      <c r="Q108" s="12">
        <v>1115.76</v>
      </c>
      <c r="R108" s="12">
        <v>26764.32</v>
      </c>
      <c r="S108" s="2" t="s">
        <v>68</v>
      </c>
      <c r="T108" s="11"/>
      <c r="U108" s="11"/>
      <c r="V108" s="11"/>
      <c r="W108" s="11"/>
      <c r="X108" s="11"/>
      <c r="Y108" s="11"/>
      <c r="Z108" s="11"/>
    </row>
    <row r="109">
      <c r="A109" s="2">
        <v>2.0</v>
      </c>
      <c r="B109" s="2" t="s">
        <v>41</v>
      </c>
      <c r="C109" s="2">
        <v>8.0</v>
      </c>
      <c r="D109" s="2" t="s">
        <v>95</v>
      </c>
      <c r="E109" s="12">
        <v>4682.58</v>
      </c>
      <c r="F109" s="12">
        <v>1264.99</v>
      </c>
      <c r="G109" s="12">
        <v>7455.18</v>
      </c>
      <c r="H109" s="2">
        <v>300.0</v>
      </c>
      <c r="I109" s="11"/>
      <c r="J109" s="11"/>
      <c r="K109" s="2">
        <v>59.36</v>
      </c>
      <c r="L109" s="2">
        <v>2.37</v>
      </c>
      <c r="M109" s="11"/>
      <c r="N109" s="2">
        <v>250.0</v>
      </c>
      <c r="O109" s="2" t="s">
        <v>95</v>
      </c>
      <c r="P109" s="12">
        <v>14014.48</v>
      </c>
      <c r="Q109" s="2">
        <v>-961.59</v>
      </c>
      <c r="R109" s="12">
        <v>13052.89</v>
      </c>
      <c r="S109" s="2" t="s">
        <v>68</v>
      </c>
      <c r="T109" s="11"/>
      <c r="U109" s="11"/>
      <c r="V109" s="11"/>
      <c r="W109" s="11"/>
      <c r="X109" s="11"/>
      <c r="Y109" s="11"/>
      <c r="Z109" s="11"/>
    </row>
    <row r="110">
      <c r="A110" s="2">
        <v>2.0</v>
      </c>
      <c r="B110" s="2" t="s">
        <v>41</v>
      </c>
      <c r="C110" s="2">
        <v>8.0</v>
      </c>
      <c r="D110" s="2" t="s">
        <v>101</v>
      </c>
      <c r="E110" s="12">
        <v>4410.56</v>
      </c>
      <c r="F110" s="2">
        <v>315.04</v>
      </c>
      <c r="G110" s="12">
        <v>6140.41</v>
      </c>
      <c r="H110" s="2">
        <v>200.0</v>
      </c>
      <c r="I110" s="2">
        <v>378.05</v>
      </c>
      <c r="J110" s="11"/>
      <c r="K110" s="2">
        <v>0.0</v>
      </c>
      <c r="L110" s="2">
        <v>0.0</v>
      </c>
      <c r="M110" s="11"/>
      <c r="N110" s="2">
        <v>250.0</v>
      </c>
      <c r="O110" s="2" t="s">
        <v>101</v>
      </c>
      <c r="P110" s="12">
        <v>11694.06</v>
      </c>
      <c r="Q110" s="2">
        <v>984.5</v>
      </c>
      <c r="R110" s="12">
        <v>12678.56</v>
      </c>
      <c r="S110" s="2" t="s">
        <v>68</v>
      </c>
      <c r="T110" s="11"/>
      <c r="U110" s="11"/>
      <c r="V110" s="11"/>
      <c r="W110" s="11"/>
      <c r="X110" s="11"/>
      <c r="Y110" s="11"/>
      <c r="Z110" s="11"/>
    </row>
    <row r="111">
      <c r="A111" s="2">
        <v>2.0</v>
      </c>
      <c r="B111" s="2" t="s">
        <v>41</v>
      </c>
      <c r="C111" s="2">
        <v>8.0</v>
      </c>
      <c r="D111" s="2" t="s">
        <v>106</v>
      </c>
      <c r="E111" s="12">
        <v>5602.5</v>
      </c>
      <c r="F111" s="12">
        <v>1120.5</v>
      </c>
      <c r="G111" s="12">
        <v>8391.89</v>
      </c>
      <c r="H111" s="2">
        <v>300.0</v>
      </c>
      <c r="I111" s="11"/>
      <c r="J111" s="11"/>
      <c r="K111" s="2">
        <v>508.11</v>
      </c>
      <c r="L111" s="2">
        <v>20.32</v>
      </c>
      <c r="M111" s="11"/>
      <c r="N111" s="2">
        <v>250.0</v>
      </c>
      <c r="O111" s="2" t="s">
        <v>106</v>
      </c>
      <c r="P111" s="12">
        <v>16193.32</v>
      </c>
      <c r="Q111" s="12">
        <v>-1262.14</v>
      </c>
      <c r="R111" s="12">
        <v>14931.18</v>
      </c>
      <c r="S111" s="2" t="s">
        <v>68</v>
      </c>
      <c r="T111" s="11"/>
      <c r="U111" s="11"/>
      <c r="V111" s="11"/>
      <c r="W111" s="11"/>
      <c r="X111" s="11"/>
      <c r="Y111" s="11"/>
      <c r="Z111" s="11"/>
    </row>
    <row r="112">
      <c r="A112" s="2">
        <v>2.0</v>
      </c>
      <c r="B112" s="2" t="s">
        <v>41</v>
      </c>
      <c r="C112" s="2">
        <v>8.0</v>
      </c>
      <c r="D112" s="2" t="s">
        <v>109</v>
      </c>
      <c r="E112" s="12">
        <v>5115.0</v>
      </c>
      <c r="F112" s="12">
        <v>1023.0</v>
      </c>
      <c r="G112" s="12">
        <v>7692.34</v>
      </c>
      <c r="H112" s="2">
        <v>350.0</v>
      </c>
      <c r="I112" s="11"/>
      <c r="J112" s="12">
        <v>1080.0</v>
      </c>
      <c r="K112" s="12">
        <v>7987.22</v>
      </c>
      <c r="L112" s="2">
        <v>362.69</v>
      </c>
      <c r="M112" s="11"/>
      <c r="N112" s="2">
        <v>250.0</v>
      </c>
      <c r="O112" s="2" t="s">
        <v>109</v>
      </c>
      <c r="P112" s="12">
        <v>23860.25</v>
      </c>
      <c r="Q112" s="12">
        <v>1207.71</v>
      </c>
      <c r="R112" s="12">
        <v>25067.96</v>
      </c>
      <c r="S112" s="2" t="s">
        <v>78</v>
      </c>
      <c r="T112" s="11"/>
      <c r="U112" s="11"/>
      <c r="V112" s="11"/>
      <c r="W112" s="11"/>
      <c r="X112" s="11"/>
      <c r="Y112" s="11"/>
      <c r="Z112" s="11"/>
    </row>
    <row r="113">
      <c r="A113" s="2">
        <v>2.0</v>
      </c>
      <c r="B113" s="2" t="s">
        <v>41</v>
      </c>
      <c r="C113" s="2">
        <v>8.0</v>
      </c>
      <c r="D113" s="2" t="s">
        <v>114</v>
      </c>
      <c r="E113" s="12">
        <v>4725.6</v>
      </c>
      <c r="F113" s="2" t="s">
        <v>115</v>
      </c>
      <c r="G113" s="12">
        <v>6450.8</v>
      </c>
      <c r="H113" s="11"/>
      <c r="I113" s="11"/>
      <c r="J113" s="11"/>
      <c r="K113" s="2">
        <v>0.0</v>
      </c>
      <c r="L113" s="2">
        <v>0.0</v>
      </c>
      <c r="M113" s="11"/>
      <c r="N113" s="2">
        <v>250.0</v>
      </c>
      <c r="O113" s="2" t="s">
        <v>114</v>
      </c>
      <c r="P113" s="12">
        <v>11426.4</v>
      </c>
      <c r="Q113" s="2">
        <v>984.5</v>
      </c>
      <c r="R113" s="12">
        <v>12410.9</v>
      </c>
      <c r="S113" s="2" t="s">
        <v>31</v>
      </c>
      <c r="T113" s="11"/>
      <c r="U113" s="11"/>
      <c r="V113" s="11"/>
      <c r="W113" s="11"/>
      <c r="X113" s="11"/>
      <c r="Y113" s="11"/>
      <c r="Z113" s="11"/>
    </row>
    <row r="114">
      <c r="A114" s="2">
        <v>2.0</v>
      </c>
      <c r="B114" s="2" t="s">
        <v>41</v>
      </c>
      <c r="C114" s="2">
        <v>8.0</v>
      </c>
      <c r="D114" s="2" t="s">
        <v>119</v>
      </c>
      <c r="E114" s="12">
        <v>5115.0</v>
      </c>
      <c r="F114" s="12">
        <v>1023.0</v>
      </c>
      <c r="G114" s="12">
        <v>7753.72</v>
      </c>
      <c r="H114" s="2">
        <v>300.0</v>
      </c>
      <c r="I114" s="11"/>
      <c r="J114" s="2">
        <v>600.0</v>
      </c>
      <c r="K114" s="12">
        <v>1987.22</v>
      </c>
      <c r="L114" s="2">
        <v>103.49</v>
      </c>
      <c r="M114" s="11"/>
      <c r="N114" s="2">
        <v>250.0</v>
      </c>
      <c r="O114" s="2" t="s">
        <v>119</v>
      </c>
      <c r="P114" s="12">
        <v>17132.43</v>
      </c>
      <c r="Q114" s="12">
        <v>1207.71</v>
      </c>
      <c r="R114" s="12">
        <v>18340.14</v>
      </c>
      <c r="S114" s="2" t="s">
        <v>57</v>
      </c>
      <c r="T114" s="11"/>
      <c r="U114" s="11"/>
      <c r="V114" s="11"/>
      <c r="W114" s="11"/>
      <c r="X114" s="11"/>
      <c r="Y114" s="11"/>
      <c r="Z114" s="11"/>
    </row>
    <row r="115">
      <c r="A115" s="2">
        <v>2.0</v>
      </c>
      <c r="B115" s="2" t="s">
        <v>41</v>
      </c>
      <c r="C115" s="2">
        <v>8.0</v>
      </c>
      <c r="D115" s="2" t="s">
        <v>125</v>
      </c>
      <c r="E115" s="12">
        <v>4491.48</v>
      </c>
      <c r="F115" s="12">
        <v>3630.18</v>
      </c>
      <c r="G115" s="12">
        <v>9833.42</v>
      </c>
      <c r="H115" s="2">
        <v>300.0</v>
      </c>
      <c r="I115" s="2">
        <v>480.0</v>
      </c>
      <c r="J115" s="11"/>
      <c r="K115" s="2">
        <v>0.0</v>
      </c>
      <c r="L115" s="2">
        <v>0.0</v>
      </c>
      <c r="M115" s="11"/>
      <c r="N115" s="2">
        <v>250.0</v>
      </c>
      <c r="O115" s="2" t="s">
        <v>125</v>
      </c>
      <c r="P115" s="12">
        <v>18985.08</v>
      </c>
      <c r="Q115" s="12">
        <v>-1232.04</v>
      </c>
      <c r="R115" s="12">
        <v>17753.04</v>
      </c>
      <c r="S115" s="2" t="s">
        <v>68</v>
      </c>
      <c r="T115" s="11"/>
      <c r="U115" s="11"/>
      <c r="V115" s="11"/>
      <c r="W115" s="11"/>
      <c r="X115" s="11"/>
      <c r="Y115" s="11"/>
      <c r="Z115" s="11"/>
    </row>
    <row r="116">
      <c r="A116" s="2">
        <v>2.0</v>
      </c>
      <c r="B116" s="2" t="s">
        <v>41</v>
      </c>
      <c r="C116" s="2">
        <v>8.0</v>
      </c>
      <c r="D116" s="2" t="s">
        <v>130</v>
      </c>
      <c r="E116" s="12">
        <v>4725.6</v>
      </c>
      <c r="F116" s="2">
        <v>945.12</v>
      </c>
      <c r="G116" s="12">
        <v>7172.92</v>
      </c>
      <c r="H116" s="2">
        <v>350.0</v>
      </c>
      <c r="I116" s="11"/>
      <c r="J116" s="2">
        <v>800.0</v>
      </c>
      <c r="K116" s="12">
        <v>4772.84</v>
      </c>
      <c r="L116" s="2">
        <v>222.91</v>
      </c>
      <c r="M116" s="11"/>
      <c r="N116" s="2">
        <v>250.0</v>
      </c>
      <c r="O116" s="2" t="s">
        <v>130</v>
      </c>
      <c r="P116" s="12">
        <v>19239.39</v>
      </c>
      <c r="Q116" s="12">
        <v>1115.76</v>
      </c>
      <c r="R116" s="12">
        <v>20355.15</v>
      </c>
      <c r="S116" s="2" t="s">
        <v>68</v>
      </c>
      <c r="T116" s="11"/>
      <c r="U116" s="11"/>
      <c r="V116" s="11"/>
      <c r="W116" s="11"/>
      <c r="X116" s="11"/>
      <c r="Y116" s="11"/>
      <c r="Z116" s="11"/>
    </row>
    <row r="117">
      <c r="A117" s="2">
        <v>2.0</v>
      </c>
      <c r="B117" s="2" t="s">
        <v>41</v>
      </c>
      <c r="C117" s="2">
        <v>8.0</v>
      </c>
      <c r="D117" s="2" t="s">
        <v>136</v>
      </c>
      <c r="E117" s="12">
        <v>4095.52</v>
      </c>
      <c r="F117" s="12">
        <v>1134.14</v>
      </c>
      <c r="G117" s="12">
        <v>6709.48</v>
      </c>
      <c r="H117" s="2">
        <v>300.0</v>
      </c>
      <c r="I117" s="11"/>
      <c r="J117" s="2">
        <v>480.0</v>
      </c>
      <c r="K117" s="2">
        <v>935.39</v>
      </c>
      <c r="L117" s="2">
        <v>56.62</v>
      </c>
      <c r="M117" s="11"/>
      <c r="N117" s="2">
        <v>250.0</v>
      </c>
      <c r="O117" s="2" t="s">
        <v>136</v>
      </c>
      <c r="P117" s="12">
        <v>13961.15</v>
      </c>
      <c r="Q117" s="2">
        <v>853.24</v>
      </c>
      <c r="R117" s="12">
        <v>14814.39</v>
      </c>
      <c r="S117" s="2" t="s">
        <v>57</v>
      </c>
      <c r="T117" s="11"/>
      <c r="U117" s="11"/>
      <c r="V117" s="11"/>
      <c r="W117" s="11"/>
      <c r="X117" s="11"/>
      <c r="Y117" s="11"/>
      <c r="Z117" s="11"/>
    </row>
    <row r="118">
      <c r="A118" s="2">
        <v>2.0</v>
      </c>
      <c r="B118" s="2" t="s">
        <v>41</v>
      </c>
      <c r="C118" s="2">
        <v>8.0</v>
      </c>
      <c r="D118" s="2" t="s">
        <v>143</v>
      </c>
      <c r="E118" s="12">
        <v>4985.11</v>
      </c>
      <c r="F118" s="12">
        <v>1763.96</v>
      </c>
      <c r="G118" s="12">
        <v>8454.42</v>
      </c>
      <c r="H118" s="2">
        <v>200.0</v>
      </c>
      <c r="I118" s="11"/>
      <c r="J118" s="12">
        <v>1200.0</v>
      </c>
      <c r="K118" s="12">
        <v>7768.29</v>
      </c>
      <c r="L118" s="2">
        <v>358.73</v>
      </c>
      <c r="M118" s="11"/>
      <c r="N118" s="2">
        <v>250.0</v>
      </c>
      <c r="O118" s="2" t="s">
        <v>143</v>
      </c>
      <c r="P118" s="12">
        <v>24980.51</v>
      </c>
      <c r="Q118" s="12">
        <v>1358.13</v>
      </c>
      <c r="R118" s="12">
        <v>26338.64</v>
      </c>
      <c r="S118" s="2" t="s">
        <v>68</v>
      </c>
      <c r="T118" s="11"/>
      <c r="U118" s="11"/>
      <c r="V118" s="11"/>
      <c r="W118" s="11"/>
      <c r="X118" s="11"/>
      <c r="Y118" s="11"/>
      <c r="Z118" s="11"/>
    </row>
    <row r="119">
      <c r="A119" s="2">
        <v>2.0</v>
      </c>
      <c r="B119" s="2" t="s">
        <v>41</v>
      </c>
      <c r="C119" s="2">
        <v>8.0</v>
      </c>
      <c r="D119" s="2" t="s">
        <v>147</v>
      </c>
      <c r="E119" s="12">
        <v>4725.6</v>
      </c>
      <c r="F119" s="12">
        <v>1102.64</v>
      </c>
      <c r="G119" s="12">
        <v>7336.74</v>
      </c>
      <c r="H119" s="2">
        <v>350.0</v>
      </c>
      <c r="I119" s="11"/>
      <c r="J119" s="2">
        <v>600.0</v>
      </c>
      <c r="K119" s="12">
        <v>2373.78</v>
      </c>
      <c r="L119" s="2">
        <v>118.95</v>
      </c>
      <c r="M119" s="11"/>
      <c r="N119" s="2">
        <v>250.0</v>
      </c>
      <c r="O119" s="2" t="s">
        <v>147</v>
      </c>
      <c r="P119" s="12">
        <v>16857.71</v>
      </c>
      <c r="Q119" s="12">
        <v>1115.76</v>
      </c>
      <c r="R119" s="12">
        <v>17973.47</v>
      </c>
      <c r="S119" s="2" t="s">
        <v>58</v>
      </c>
      <c r="T119" s="11"/>
      <c r="U119" s="11"/>
      <c r="V119" s="11"/>
      <c r="W119" s="11"/>
      <c r="X119" s="11"/>
      <c r="Y119" s="11"/>
      <c r="Z119" s="11"/>
    </row>
    <row r="120">
      <c r="A120" s="2">
        <v>2.0</v>
      </c>
      <c r="B120" s="2" t="s">
        <v>41</v>
      </c>
      <c r="C120" s="2">
        <v>8.0</v>
      </c>
      <c r="D120" s="2" t="s">
        <v>151</v>
      </c>
      <c r="E120" s="12">
        <v>1150.77</v>
      </c>
      <c r="F120" s="12">
        <v>4833.23</v>
      </c>
      <c r="G120" s="12">
        <v>7725.03</v>
      </c>
      <c r="H120" s="2">
        <v>300.0</v>
      </c>
      <c r="I120" s="11"/>
      <c r="J120" s="2">
        <v>928.0</v>
      </c>
      <c r="K120" s="12">
        <v>6240.08</v>
      </c>
      <c r="L120" s="2">
        <v>286.72</v>
      </c>
      <c r="M120" s="11"/>
      <c r="N120" s="2">
        <v>250.0</v>
      </c>
      <c r="O120" s="2" t="s">
        <v>151</v>
      </c>
      <c r="P120" s="12">
        <v>21713.83</v>
      </c>
      <c r="Q120" s="12">
        <v>1278.64</v>
      </c>
      <c r="R120" s="12">
        <v>22992.47</v>
      </c>
      <c r="S120" s="2" t="s">
        <v>23</v>
      </c>
      <c r="T120" s="11"/>
      <c r="U120" s="11"/>
      <c r="V120" s="11"/>
      <c r="W120" s="11"/>
      <c r="X120" s="11"/>
      <c r="Y120" s="11"/>
      <c r="Z120" s="11"/>
    </row>
    <row r="121">
      <c r="A121" s="2">
        <v>2.0</v>
      </c>
      <c r="B121" s="2" t="s">
        <v>41</v>
      </c>
      <c r="C121" s="2">
        <v>8.0</v>
      </c>
      <c r="D121" s="2" t="s">
        <v>157</v>
      </c>
      <c r="E121" s="12">
        <v>5753.85</v>
      </c>
      <c r="F121" s="12">
        <v>2908.72</v>
      </c>
      <c r="G121" s="12">
        <v>10510.74</v>
      </c>
      <c r="H121" s="2">
        <v>350.0</v>
      </c>
      <c r="I121" s="11"/>
      <c r="J121" s="2">
        <v>640.0</v>
      </c>
      <c r="K121" s="12">
        <v>2742.83</v>
      </c>
      <c r="L121" s="2">
        <v>135.31</v>
      </c>
      <c r="M121" s="11"/>
      <c r="N121" s="2">
        <v>250.0</v>
      </c>
      <c r="O121" s="2" t="s">
        <v>157</v>
      </c>
      <c r="P121" s="12">
        <v>23291.45</v>
      </c>
      <c r="Q121" s="12">
        <v>1278.64</v>
      </c>
      <c r="R121" s="12">
        <v>24570.09</v>
      </c>
      <c r="S121" s="2" t="s">
        <v>158</v>
      </c>
      <c r="T121" s="11"/>
      <c r="U121" s="11"/>
      <c r="V121" s="11"/>
      <c r="W121" s="11"/>
      <c r="X121" s="11"/>
      <c r="Y121" s="11"/>
      <c r="Z121" s="11"/>
    </row>
    <row r="122">
      <c r="A122" s="2">
        <v>2.0</v>
      </c>
      <c r="B122" s="2" t="s">
        <v>41</v>
      </c>
      <c r="C122" s="2">
        <v>8.0</v>
      </c>
      <c r="D122" s="2" t="s">
        <v>159</v>
      </c>
      <c r="E122" s="12">
        <v>5615.7</v>
      </c>
      <c r="F122" s="2">
        <v>254.48</v>
      </c>
      <c r="G122" s="12">
        <v>7577.92</v>
      </c>
      <c r="H122" s="2">
        <v>300.0</v>
      </c>
      <c r="I122" s="11"/>
      <c r="J122" s="2">
        <v>420.0</v>
      </c>
      <c r="K122" s="2">
        <v>0.0</v>
      </c>
      <c r="L122" s="2">
        <v>16.8</v>
      </c>
      <c r="M122" s="11"/>
      <c r="N122" s="2">
        <v>250.0</v>
      </c>
      <c r="O122" s="2" t="s">
        <v>159</v>
      </c>
      <c r="P122" s="12">
        <v>14434.9</v>
      </c>
      <c r="Q122" s="12">
        <v>1247.94</v>
      </c>
      <c r="R122" s="12">
        <v>15682.84</v>
      </c>
      <c r="S122" s="2" t="s">
        <v>57</v>
      </c>
      <c r="T122" s="11"/>
      <c r="U122" s="11"/>
      <c r="V122" s="11"/>
      <c r="W122" s="11"/>
      <c r="X122" s="11"/>
      <c r="Y122" s="11"/>
      <c r="Z122" s="11"/>
    </row>
    <row r="123">
      <c r="A123" s="2">
        <v>2.0</v>
      </c>
      <c r="B123" s="2" t="s">
        <v>41</v>
      </c>
      <c r="C123" s="2">
        <v>8.0</v>
      </c>
      <c r="D123" s="2" t="s">
        <v>165</v>
      </c>
      <c r="E123" s="12">
        <v>5017.05</v>
      </c>
      <c r="F123" s="12">
        <v>1003.41</v>
      </c>
      <c r="G123" s="12">
        <v>7591.73</v>
      </c>
      <c r="H123" s="2">
        <v>300.0</v>
      </c>
      <c r="I123" s="11"/>
      <c r="J123" s="2">
        <v>480.0</v>
      </c>
      <c r="K123" s="2">
        <v>588.78</v>
      </c>
      <c r="L123" s="2">
        <v>42.75</v>
      </c>
      <c r="M123" s="11"/>
      <c r="N123" s="2">
        <v>250.0</v>
      </c>
      <c r="O123" s="2" t="s">
        <v>165</v>
      </c>
      <c r="P123" s="12">
        <v>15273.72</v>
      </c>
      <c r="Q123" s="12">
        <v>1114.9</v>
      </c>
      <c r="R123" s="12">
        <v>16388.62</v>
      </c>
      <c r="S123" s="2" t="s">
        <v>57</v>
      </c>
      <c r="T123" s="11"/>
      <c r="U123" s="11"/>
      <c r="V123" s="11"/>
      <c r="W123" s="11"/>
      <c r="X123" s="11"/>
      <c r="Y123" s="11"/>
      <c r="Z123" s="11"/>
    </row>
    <row r="124">
      <c r="A124" s="2">
        <v>2.0</v>
      </c>
      <c r="B124" s="2" t="s">
        <v>41</v>
      </c>
      <c r="C124" s="2">
        <v>8.0</v>
      </c>
      <c r="D124" s="2" t="s">
        <v>171</v>
      </c>
      <c r="E124" s="12">
        <v>5085.0</v>
      </c>
      <c r="F124" s="12">
        <v>1017.0</v>
      </c>
      <c r="G124" s="12">
        <v>7710.03</v>
      </c>
      <c r="H124" s="2">
        <v>300.0</v>
      </c>
      <c r="I124" s="11"/>
      <c r="J124" s="2">
        <v>480.0</v>
      </c>
      <c r="K124" s="2">
        <v>518.39</v>
      </c>
      <c r="L124" s="2">
        <v>39.94</v>
      </c>
      <c r="M124" s="11"/>
      <c r="N124" s="2">
        <v>250.0</v>
      </c>
      <c r="O124" s="2" t="s">
        <v>171</v>
      </c>
      <c r="P124" s="12">
        <v>15400.36</v>
      </c>
      <c r="Q124" s="12">
        <v>1200.63</v>
      </c>
      <c r="R124" s="12">
        <v>16600.99</v>
      </c>
      <c r="S124" s="2" t="s">
        <v>57</v>
      </c>
      <c r="T124" s="11"/>
      <c r="U124" s="11"/>
      <c r="V124" s="11"/>
      <c r="W124" s="11"/>
      <c r="X124" s="11"/>
      <c r="Y124" s="11"/>
      <c r="Z124" s="11"/>
    </row>
    <row r="125">
      <c r="A125" s="2">
        <v>2.0</v>
      </c>
      <c r="B125" s="2" t="s">
        <v>41</v>
      </c>
      <c r="C125" s="2">
        <v>8.0</v>
      </c>
      <c r="D125" s="2" t="s">
        <v>173</v>
      </c>
      <c r="E125" s="12">
        <v>8940.75</v>
      </c>
      <c r="F125" s="2" t="s">
        <v>115</v>
      </c>
      <c r="G125" s="12">
        <v>11570.55</v>
      </c>
      <c r="H125" s="2">
        <v>300.0</v>
      </c>
      <c r="I125" s="11"/>
      <c r="J125" s="2">
        <v>652.0</v>
      </c>
      <c r="K125" s="2">
        <v>430.69</v>
      </c>
      <c r="L125" s="2">
        <v>43.31</v>
      </c>
      <c r="M125" s="11"/>
      <c r="N125" s="2">
        <v>250.0</v>
      </c>
      <c r="O125" s="2" t="s">
        <v>173</v>
      </c>
      <c r="P125" s="12">
        <v>22187.3</v>
      </c>
      <c r="Q125" s="12">
        <v>1862.66</v>
      </c>
      <c r="R125" s="12">
        <v>24049.96</v>
      </c>
      <c r="S125" s="2" t="s">
        <v>68</v>
      </c>
      <c r="T125" s="11"/>
      <c r="U125" s="11"/>
      <c r="V125" s="11"/>
      <c r="W125" s="11"/>
      <c r="X125" s="11"/>
      <c r="Y125" s="11"/>
      <c r="Z125" s="11"/>
    </row>
    <row r="126">
      <c r="A126" s="2">
        <v>2.0</v>
      </c>
      <c r="B126" s="2" t="s">
        <v>41</v>
      </c>
      <c r="C126" s="2">
        <v>8.0</v>
      </c>
      <c r="D126" s="2" t="s">
        <v>179</v>
      </c>
      <c r="E126" s="12">
        <v>5017.05</v>
      </c>
      <c r="F126" s="12">
        <v>1003.41</v>
      </c>
      <c r="G126" s="12">
        <v>7590.47</v>
      </c>
      <c r="H126" s="2">
        <v>300.0</v>
      </c>
      <c r="I126" s="11"/>
      <c r="J126" s="11"/>
      <c r="K126" s="2">
        <v>588.6</v>
      </c>
      <c r="L126" s="2">
        <v>23.54</v>
      </c>
      <c r="M126" s="11"/>
      <c r="N126" s="2">
        <v>250.0</v>
      </c>
      <c r="O126" s="2" t="s">
        <v>179</v>
      </c>
      <c r="P126" s="12">
        <v>14773.07</v>
      </c>
      <c r="Q126" s="2">
        <v>41.81</v>
      </c>
      <c r="R126" s="12">
        <v>14814.88</v>
      </c>
      <c r="S126" s="2" t="s">
        <v>68</v>
      </c>
      <c r="T126" s="11"/>
      <c r="U126" s="11"/>
      <c r="V126" s="11"/>
      <c r="W126" s="11"/>
      <c r="X126" s="11"/>
      <c r="Y126" s="11"/>
      <c r="Z126" s="11"/>
    </row>
    <row r="127">
      <c r="A127" s="2">
        <v>2.0</v>
      </c>
      <c r="B127" s="2" t="s">
        <v>41</v>
      </c>
      <c r="C127" s="2">
        <v>8.0</v>
      </c>
      <c r="D127" s="2" t="s">
        <v>187</v>
      </c>
      <c r="E127" s="12">
        <v>5602.65</v>
      </c>
      <c r="F127" s="12">
        <v>1120.53</v>
      </c>
      <c r="G127" s="12">
        <v>8460.89</v>
      </c>
      <c r="H127" s="2">
        <v>200.0</v>
      </c>
      <c r="I127" s="11"/>
      <c r="J127" s="2">
        <v>520.0</v>
      </c>
      <c r="K127" s="2">
        <v>508.18</v>
      </c>
      <c r="L127" s="2">
        <v>41.13</v>
      </c>
      <c r="M127" s="11"/>
      <c r="N127" s="2">
        <v>250.0</v>
      </c>
      <c r="O127" s="2" t="s">
        <v>187</v>
      </c>
      <c r="P127" s="12">
        <v>16703.38</v>
      </c>
      <c r="Q127" s="12">
        <v>1167.23</v>
      </c>
      <c r="R127" s="12">
        <v>17870.61</v>
      </c>
      <c r="S127" s="2" t="s">
        <v>57</v>
      </c>
      <c r="T127" s="11"/>
      <c r="U127" s="11"/>
      <c r="V127" s="11"/>
      <c r="W127" s="11"/>
      <c r="X127" s="11"/>
      <c r="Y127" s="11"/>
      <c r="Z127" s="11"/>
    </row>
    <row r="128">
      <c r="A128" s="2">
        <v>2.0</v>
      </c>
      <c r="B128" s="2" t="s">
        <v>41</v>
      </c>
      <c r="C128" s="2">
        <v>8.0</v>
      </c>
      <c r="D128" s="2" t="s">
        <v>193</v>
      </c>
      <c r="E128" s="12">
        <v>4726.05</v>
      </c>
      <c r="F128" s="2">
        <v>902.75</v>
      </c>
      <c r="G128" s="12">
        <v>7127.08</v>
      </c>
      <c r="H128" s="2">
        <v>300.0</v>
      </c>
      <c r="I128" s="11"/>
      <c r="J128" s="2">
        <v>480.0</v>
      </c>
      <c r="K128" s="2">
        <v>856.25</v>
      </c>
      <c r="L128" s="2">
        <v>53.45</v>
      </c>
      <c r="M128" s="11"/>
      <c r="N128" s="2">
        <v>250.0</v>
      </c>
      <c r="O128" s="2" t="s">
        <v>193</v>
      </c>
      <c r="P128" s="12">
        <v>14695.58</v>
      </c>
      <c r="Q128" s="2">
        <v>984.6</v>
      </c>
      <c r="R128" s="12">
        <v>15680.18</v>
      </c>
      <c r="S128" s="2" t="s">
        <v>158</v>
      </c>
      <c r="T128" s="11"/>
      <c r="U128" s="11"/>
      <c r="V128" s="11"/>
      <c r="W128" s="11"/>
      <c r="X128" s="11"/>
      <c r="Y128" s="11"/>
      <c r="Z128" s="11"/>
    </row>
    <row r="129">
      <c r="A129" s="2">
        <v>2.0</v>
      </c>
      <c r="B129" s="2" t="s">
        <v>41</v>
      </c>
      <c r="C129" s="2">
        <v>8.0</v>
      </c>
      <c r="D129" s="2" t="s">
        <v>203</v>
      </c>
      <c r="E129" s="12">
        <v>5556.9</v>
      </c>
      <c r="F129" s="12">
        <v>1004.0</v>
      </c>
      <c r="G129" s="12">
        <v>8285.57</v>
      </c>
      <c r="H129" s="2">
        <v>350.0</v>
      </c>
      <c r="I129" s="11"/>
      <c r="J129" s="2">
        <v>880.0</v>
      </c>
      <c r="K129" s="12">
        <v>19720.18</v>
      </c>
      <c r="L129" s="2">
        <v>824.01</v>
      </c>
      <c r="M129" s="11"/>
      <c r="N129" s="2">
        <v>250.0</v>
      </c>
      <c r="O129" s="2" t="s">
        <v>203</v>
      </c>
      <c r="P129" s="12">
        <v>36870.66</v>
      </c>
      <c r="Q129" s="12">
        <v>1312.05</v>
      </c>
      <c r="R129" s="12">
        <v>38182.71</v>
      </c>
      <c r="S129" s="2" t="s">
        <v>48</v>
      </c>
      <c r="T129" s="11"/>
      <c r="U129" s="11"/>
      <c r="V129" s="11"/>
      <c r="W129" s="11"/>
      <c r="X129" s="11"/>
      <c r="Y129" s="11"/>
      <c r="Z129" s="11"/>
    </row>
    <row r="130">
      <c r="A130" s="2">
        <v>2.0</v>
      </c>
      <c r="B130" s="2" t="s">
        <v>41</v>
      </c>
      <c r="C130" s="2">
        <v>8.0</v>
      </c>
      <c r="D130" s="2" t="s">
        <v>210</v>
      </c>
      <c r="E130" s="12">
        <v>5026.8</v>
      </c>
      <c r="F130" s="2">
        <v>705.36</v>
      </c>
      <c r="G130" s="12">
        <v>7291.26</v>
      </c>
      <c r="H130" s="2">
        <v>300.0</v>
      </c>
      <c r="I130" s="11"/>
      <c r="J130" s="11"/>
      <c r="K130" s="2">
        <v>500.0</v>
      </c>
      <c r="L130" s="2">
        <v>20.0</v>
      </c>
      <c r="M130" s="11"/>
      <c r="N130" s="2">
        <v>250.0</v>
      </c>
      <c r="O130" s="2" t="s">
        <v>210</v>
      </c>
      <c r="P130" s="12">
        <v>14093.42</v>
      </c>
      <c r="Q130" s="2">
        <v>977.44</v>
      </c>
      <c r="R130" s="12">
        <v>15070.86</v>
      </c>
      <c r="S130" s="2" t="s">
        <v>68</v>
      </c>
      <c r="T130" s="11"/>
      <c r="U130" s="11"/>
      <c r="V130" s="11"/>
      <c r="W130" s="11"/>
      <c r="X130" s="11"/>
      <c r="Y130" s="11"/>
      <c r="Z130" s="11"/>
    </row>
    <row r="131">
      <c r="A131" s="2">
        <v>2.0</v>
      </c>
      <c r="B131" s="2" t="s">
        <v>41</v>
      </c>
      <c r="C131" s="2">
        <v>8.0</v>
      </c>
      <c r="D131" s="2" t="s">
        <v>216</v>
      </c>
      <c r="E131" s="12">
        <v>4725.6</v>
      </c>
      <c r="F131" s="2">
        <v>945.12</v>
      </c>
      <c r="G131" s="12">
        <v>7172.92</v>
      </c>
      <c r="H131" s="2">
        <v>350.0</v>
      </c>
      <c r="I131" s="11"/>
      <c r="J131" s="2">
        <v>880.0</v>
      </c>
      <c r="K131" s="12">
        <v>3332.27</v>
      </c>
      <c r="L131" s="2">
        <v>168.49</v>
      </c>
      <c r="M131" s="11"/>
      <c r="N131" s="2">
        <v>250.0</v>
      </c>
      <c r="O131" s="2" t="s">
        <v>216</v>
      </c>
      <c r="P131" s="12">
        <v>17824.4</v>
      </c>
      <c r="Q131" s="12">
        <v>1115.76</v>
      </c>
      <c r="R131" s="12">
        <v>18940.16</v>
      </c>
      <c r="S131" s="2" t="s">
        <v>57</v>
      </c>
      <c r="T131" s="11"/>
      <c r="U131" s="11"/>
      <c r="V131" s="11"/>
      <c r="W131" s="11"/>
      <c r="X131" s="11"/>
      <c r="Y131" s="11"/>
      <c r="Z131" s="11"/>
    </row>
    <row r="132">
      <c r="A132" s="2">
        <v>2.0</v>
      </c>
      <c r="B132" s="2" t="s">
        <v>41</v>
      </c>
      <c r="C132" s="2">
        <v>8.0</v>
      </c>
      <c r="D132" s="2" t="s">
        <v>221</v>
      </c>
      <c r="E132" s="2">
        <v>0.0</v>
      </c>
      <c r="F132" s="2" t="s">
        <v>115</v>
      </c>
      <c r="G132" s="2" t="s">
        <v>115</v>
      </c>
      <c r="H132" s="2" t="s">
        <v>115</v>
      </c>
      <c r="I132" s="11"/>
      <c r="J132" s="11"/>
      <c r="K132" s="2">
        <v>0.0</v>
      </c>
      <c r="L132" s="2">
        <v>0.0</v>
      </c>
      <c r="M132" s="11"/>
      <c r="N132" s="2">
        <v>250.0</v>
      </c>
      <c r="O132" s="2" t="s">
        <v>221</v>
      </c>
      <c r="P132" s="2">
        <v>250.0</v>
      </c>
      <c r="Q132" s="2">
        <v>975.34</v>
      </c>
      <c r="R132" s="12">
        <v>1225.34</v>
      </c>
      <c r="S132" s="2" t="s">
        <v>225</v>
      </c>
      <c r="T132" s="11"/>
      <c r="U132" s="11"/>
      <c r="V132" s="11"/>
      <c r="W132" s="11"/>
      <c r="X132" s="11"/>
      <c r="Y132" s="11"/>
      <c r="Z132" s="11"/>
    </row>
    <row r="133">
      <c r="A133" s="2">
        <v>2.0</v>
      </c>
      <c r="B133" s="2" t="s">
        <v>41</v>
      </c>
      <c r="C133" s="2">
        <v>8.0</v>
      </c>
      <c r="D133" s="2" t="s">
        <v>229</v>
      </c>
      <c r="E133" s="12">
        <v>4725.6</v>
      </c>
      <c r="F133" s="2" t="s">
        <v>115</v>
      </c>
      <c r="G133" s="12">
        <v>6186.46</v>
      </c>
      <c r="H133" s="2">
        <v>200.0</v>
      </c>
      <c r="I133" s="2">
        <v>378.05</v>
      </c>
      <c r="J133" s="11"/>
      <c r="K133" s="2">
        <v>0.0</v>
      </c>
      <c r="L133" s="2">
        <v>0.0</v>
      </c>
      <c r="M133" s="11"/>
      <c r="N133" s="2">
        <v>250.0</v>
      </c>
      <c r="O133" s="2" t="s">
        <v>229</v>
      </c>
      <c r="P133" s="12">
        <v>11740.11</v>
      </c>
      <c r="Q133" s="2">
        <v>918.86</v>
      </c>
      <c r="R133" s="12">
        <v>12658.97</v>
      </c>
      <c r="S133" s="2" t="s">
        <v>57</v>
      </c>
      <c r="T133" s="11"/>
      <c r="U133" s="11"/>
      <c r="V133" s="11"/>
      <c r="W133" s="11"/>
      <c r="X133" s="11"/>
      <c r="Y133" s="11"/>
      <c r="Z133" s="11"/>
    </row>
    <row r="134">
      <c r="A134" s="2">
        <v>2.0</v>
      </c>
      <c r="B134" s="2" t="s">
        <v>41</v>
      </c>
      <c r="C134" s="2">
        <v>8.0</v>
      </c>
      <c r="D134" s="2" t="s">
        <v>233</v>
      </c>
      <c r="E134" s="2">
        <v>0.0</v>
      </c>
      <c r="F134" s="2" t="s">
        <v>115</v>
      </c>
      <c r="G134" s="2" t="s">
        <v>115</v>
      </c>
      <c r="H134" s="2" t="s">
        <v>115</v>
      </c>
      <c r="I134" s="11"/>
      <c r="J134" s="11"/>
      <c r="K134" s="2">
        <v>0.0</v>
      </c>
      <c r="L134" s="2">
        <v>0.0</v>
      </c>
      <c r="M134" s="11"/>
      <c r="N134" s="2">
        <v>250.0</v>
      </c>
      <c r="O134" s="2" t="s">
        <v>233</v>
      </c>
      <c r="P134" s="2">
        <v>250.0</v>
      </c>
      <c r="Q134" s="2">
        <v>0.0</v>
      </c>
      <c r="R134" s="2">
        <v>250.0</v>
      </c>
      <c r="S134" s="2" t="s">
        <v>68</v>
      </c>
      <c r="T134" s="11"/>
      <c r="U134" s="11"/>
      <c r="V134" s="11"/>
      <c r="W134" s="11"/>
      <c r="X134" s="11"/>
      <c r="Y134" s="11"/>
      <c r="Z134" s="11"/>
    </row>
    <row r="135">
      <c r="A135" s="2">
        <v>2.0</v>
      </c>
      <c r="B135" s="2" t="s">
        <v>41</v>
      </c>
      <c r="C135" s="2">
        <v>8.0</v>
      </c>
      <c r="D135" s="2" t="s">
        <v>237</v>
      </c>
      <c r="E135" s="12">
        <v>4095.52</v>
      </c>
      <c r="F135" s="12">
        <v>1021.02</v>
      </c>
      <c r="G135" s="12">
        <v>6541.87</v>
      </c>
      <c r="H135" s="2">
        <v>300.0</v>
      </c>
      <c r="I135" s="11"/>
      <c r="J135" s="11"/>
      <c r="K135" s="2">
        <v>0.0</v>
      </c>
      <c r="L135" s="2">
        <v>0.0</v>
      </c>
      <c r="M135" s="11"/>
      <c r="N135" s="2">
        <v>250.0</v>
      </c>
      <c r="O135" s="2" t="s">
        <v>237</v>
      </c>
      <c r="P135" s="12">
        <v>12208.41</v>
      </c>
      <c r="Q135" s="2">
        <v>918.86</v>
      </c>
      <c r="R135" s="12">
        <v>13127.27</v>
      </c>
      <c r="S135" s="2" t="s">
        <v>68</v>
      </c>
      <c r="T135" s="11"/>
      <c r="U135" s="11"/>
      <c r="V135" s="11"/>
      <c r="W135" s="11"/>
      <c r="X135" s="11"/>
      <c r="Y135" s="11"/>
      <c r="Z135" s="11"/>
    </row>
    <row r="136">
      <c r="A136" s="2">
        <v>2.0</v>
      </c>
      <c r="B136" s="2" t="s">
        <v>41</v>
      </c>
      <c r="C136" s="2">
        <v>8.0</v>
      </c>
      <c r="D136" s="2" t="s">
        <v>243</v>
      </c>
      <c r="E136" s="12">
        <v>5016.9</v>
      </c>
      <c r="F136" s="2">
        <v>703.38</v>
      </c>
      <c r="G136" s="12">
        <v>7274.43</v>
      </c>
      <c r="H136" s="2">
        <v>300.0</v>
      </c>
      <c r="I136" s="11"/>
      <c r="J136" s="2">
        <v>680.0</v>
      </c>
      <c r="K136" s="12">
        <v>1386.8</v>
      </c>
      <c r="L136" s="2">
        <v>82.67</v>
      </c>
      <c r="M136" s="11"/>
      <c r="N136" s="2">
        <v>250.0</v>
      </c>
      <c r="O136" s="2" t="s">
        <v>243</v>
      </c>
      <c r="P136" s="12">
        <v>15694.18</v>
      </c>
      <c r="Q136" s="2">
        <v>-202.04</v>
      </c>
      <c r="R136" s="12">
        <v>15492.14</v>
      </c>
      <c r="S136" s="2" t="s">
        <v>68</v>
      </c>
      <c r="T136" s="11"/>
      <c r="U136" s="11"/>
      <c r="V136" s="11"/>
      <c r="W136" s="11"/>
      <c r="X136" s="11"/>
      <c r="Y136" s="11"/>
      <c r="Z136" s="11"/>
    </row>
    <row r="137">
      <c r="A137" s="2">
        <v>2.0</v>
      </c>
      <c r="B137" s="2" t="s">
        <v>41</v>
      </c>
      <c r="C137" s="2">
        <v>8.0</v>
      </c>
      <c r="D137" s="2" t="s">
        <v>252</v>
      </c>
      <c r="E137" s="12">
        <v>3744.2</v>
      </c>
      <c r="F137" s="12">
        <v>2620.94</v>
      </c>
      <c r="G137" s="12">
        <v>8094.35</v>
      </c>
      <c r="H137" s="2">
        <v>300.0</v>
      </c>
      <c r="I137" s="11"/>
      <c r="J137" s="2">
        <v>620.0</v>
      </c>
      <c r="K137" s="12">
        <v>2057.61</v>
      </c>
      <c r="L137" s="2">
        <v>107.1</v>
      </c>
      <c r="M137" s="11"/>
      <c r="N137" s="2">
        <v>250.0</v>
      </c>
      <c r="O137" s="2" t="s">
        <v>252</v>
      </c>
      <c r="P137" s="12">
        <v>17794.2</v>
      </c>
      <c r="Q137" s="12">
        <v>1326.08</v>
      </c>
      <c r="R137" s="12">
        <v>19120.28</v>
      </c>
      <c r="S137" s="2" t="s">
        <v>257</v>
      </c>
      <c r="T137" s="11"/>
      <c r="U137" s="11"/>
      <c r="V137" s="11"/>
      <c r="W137" s="11"/>
      <c r="X137" s="11"/>
      <c r="Y137" s="11"/>
      <c r="Z137" s="11"/>
    </row>
    <row r="138">
      <c r="A138" s="2">
        <v>2.0</v>
      </c>
      <c r="B138" s="2" t="s">
        <v>41</v>
      </c>
      <c r="C138" s="2">
        <v>8.0</v>
      </c>
      <c r="D138" s="2" t="s">
        <v>262</v>
      </c>
      <c r="E138" s="12">
        <v>4681.46</v>
      </c>
      <c r="F138" s="12">
        <v>1000.68</v>
      </c>
      <c r="G138" s="12">
        <v>7237.04</v>
      </c>
      <c r="H138" s="2">
        <v>300.0</v>
      </c>
      <c r="I138" s="11"/>
      <c r="J138" s="2">
        <v>480.0</v>
      </c>
      <c r="K138" s="2">
        <v>938.56</v>
      </c>
      <c r="L138" s="2">
        <v>56.74</v>
      </c>
      <c r="M138" s="11"/>
      <c r="N138" s="2">
        <v>250.0</v>
      </c>
      <c r="O138" s="2" t="s">
        <v>262</v>
      </c>
      <c r="P138" s="12">
        <v>14944.48</v>
      </c>
      <c r="Q138" s="2">
        <v>975.3</v>
      </c>
      <c r="R138" s="12">
        <v>15919.78</v>
      </c>
      <c r="S138" s="2" t="s">
        <v>57</v>
      </c>
      <c r="T138" s="11"/>
      <c r="U138" s="11"/>
      <c r="V138" s="11"/>
      <c r="W138" s="11"/>
      <c r="X138" s="11"/>
      <c r="Y138" s="11"/>
      <c r="Z138" s="11"/>
    </row>
    <row r="139">
      <c r="A139" s="2">
        <v>2.0</v>
      </c>
      <c r="B139" s="2" t="s">
        <v>41</v>
      </c>
      <c r="C139" s="2">
        <v>8.0</v>
      </c>
      <c r="D139" s="2" t="s">
        <v>268</v>
      </c>
      <c r="E139" s="12">
        <v>4725.6</v>
      </c>
      <c r="F139" s="2">
        <v>512.0</v>
      </c>
      <c r="G139" s="12">
        <v>6717.73</v>
      </c>
      <c r="H139" s="2">
        <v>300.0</v>
      </c>
      <c r="I139" s="11"/>
      <c r="J139" s="2">
        <v>480.0</v>
      </c>
      <c r="K139" s="12">
        <v>1000.0</v>
      </c>
      <c r="L139" s="2">
        <v>59.2</v>
      </c>
      <c r="M139" s="11"/>
      <c r="N139" s="2">
        <v>250.0</v>
      </c>
      <c r="O139" s="2" t="s">
        <v>268</v>
      </c>
      <c r="P139" s="12">
        <v>14044.53</v>
      </c>
      <c r="Q139" s="2">
        <v>823.24</v>
      </c>
      <c r="R139" s="12">
        <v>14867.77</v>
      </c>
      <c r="S139" s="2" t="s">
        <v>57</v>
      </c>
      <c r="T139" s="11"/>
      <c r="U139" s="11"/>
      <c r="V139" s="11"/>
      <c r="W139" s="11"/>
      <c r="X139" s="11"/>
      <c r="Y139" s="11"/>
      <c r="Z139" s="11"/>
    </row>
    <row r="140">
      <c r="A140" s="2">
        <v>2.0</v>
      </c>
      <c r="B140" s="2" t="s">
        <v>41</v>
      </c>
      <c r="C140" s="2">
        <v>8.0</v>
      </c>
      <c r="D140" s="2" t="s">
        <v>274</v>
      </c>
      <c r="E140" s="12">
        <v>7077.0</v>
      </c>
      <c r="F140" s="12">
        <v>1415.4</v>
      </c>
      <c r="G140" s="12">
        <v>10698.17</v>
      </c>
      <c r="H140" s="2">
        <v>350.0</v>
      </c>
      <c r="I140" s="11"/>
      <c r="J140" s="12">
        <v>2496.0</v>
      </c>
      <c r="K140" s="12">
        <v>11850.0</v>
      </c>
      <c r="L140" s="2">
        <v>573.84</v>
      </c>
      <c r="M140" s="11"/>
      <c r="N140" s="2">
        <v>250.0</v>
      </c>
      <c r="O140" s="2" t="s">
        <v>274</v>
      </c>
      <c r="P140" s="11">
        <v>17355.205</v>
      </c>
      <c r="Q140" s="11">
        <v>835.48</v>
      </c>
      <c r="R140" s="11">
        <v>18190.685</v>
      </c>
      <c r="S140" s="2" t="s">
        <v>42</v>
      </c>
      <c r="T140" s="11"/>
      <c r="U140" s="11"/>
      <c r="V140" s="11"/>
      <c r="W140" s="11"/>
      <c r="X140" s="11"/>
      <c r="Y140" s="11"/>
      <c r="Z140" s="11"/>
    </row>
    <row r="141">
      <c r="A141" s="2"/>
      <c r="B141" s="2"/>
      <c r="C141" s="2"/>
      <c r="D141" s="2"/>
      <c r="E141" s="12"/>
      <c r="F141" s="12"/>
      <c r="G141" s="12"/>
      <c r="H141" s="2"/>
      <c r="I141" s="11"/>
      <c r="J141" s="12"/>
      <c r="K141" s="12"/>
      <c r="L141" s="2"/>
      <c r="M141" s="11"/>
      <c r="N141" s="2"/>
      <c r="O141" s="2" t="s">
        <v>274</v>
      </c>
      <c r="P141" s="11">
        <v>17355.205</v>
      </c>
      <c r="Q141" s="11">
        <v>835.48</v>
      </c>
      <c r="R141" s="11">
        <v>18190.685</v>
      </c>
      <c r="S141" s="2" t="s">
        <v>158</v>
      </c>
      <c r="T141" s="11"/>
      <c r="U141" s="11"/>
      <c r="V141" s="11"/>
      <c r="W141" s="11"/>
      <c r="X141" s="11"/>
      <c r="Y141" s="11"/>
      <c r="Z141" s="11"/>
    </row>
    <row r="142">
      <c r="A142" s="2">
        <v>2.0</v>
      </c>
      <c r="B142" s="2" t="s">
        <v>41</v>
      </c>
      <c r="C142" s="2">
        <v>8.0</v>
      </c>
      <c r="D142" s="2" t="s">
        <v>285</v>
      </c>
      <c r="E142" s="12">
        <v>4725.6</v>
      </c>
      <c r="F142" s="2" t="s">
        <v>115</v>
      </c>
      <c r="G142" s="12">
        <v>6447.56</v>
      </c>
      <c r="H142" s="2">
        <v>200.0</v>
      </c>
      <c r="I142" s="2">
        <v>378.05</v>
      </c>
      <c r="J142" s="11"/>
      <c r="K142" s="2">
        <v>0.0</v>
      </c>
      <c r="L142" s="2">
        <v>0.0</v>
      </c>
      <c r="M142" s="11"/>
      <c r="N142" s="2">
        <v>250.0</v>
      </c>
      <c r="O142" s="2" t="s">
        <v>285</v>
      </c>
      <c r="P142" s="12">
        <v>12001.21</v>
      </c>
      <c r="Q142" s="2">
        <v>853.24</v>
      </c>
      <c r="R142" s="12">
        <v>12854.45</v>
      </c>
      <c r="S142" s="2" t="s">
        <v>290</v>
      </c>
      <c r="T142" s="11"/>
      <c r="U142" s="11"/>
      <c r="V142" s="11"/>
      <c r="W142" s="11"/>
      <c r="X142" s="11"/>
      <c r="Y142" s="11"/>
      <c r="Z142" s="11"/>
    </row>
    <row r="143">
      <c r="A143" s="2">
        <v>2.0</v>
      </c>
      <c r="B143" s="2" t="s">
        <v>41</v>
      </c>
      <c r="C143" s="2">
        <v>8.0</v>
      </c>
      <c r="D143" s="2" t="s">
        <v>293</v>
      </c>
      <c r="E143" s="12">
        <v>5016.0</v>
      </c>
      <c r="F143" s="2">
        <v>823.2</v>
      </c>
      <c r="G143" s="12">
        <v>7343.35</v>
      </c>
      <c r="H143" s="2">
        <v>200.0</v>
      </c>
      <c r="I143" s="2">
        <v>420.0</v>
      </c>
      <c r="J143" s="11"/>
      <c r="K143" s="2">
        <v>0.0</v>
      </c>
      <c r="L143" s="2">
        <v>0.0</v>
      </c>
      <c r="M143" s="11"/>
      <c r="N143" s="2">
        <v>250.0</v>
      </c>
      <c r="O143" s="2" t="s">
        <v>293</v>
      </c>
      <c r="P143" s="12">
        <v>14052.55</v>
      </c>
      <c r="Q143" s="12">
        <v>1045.0</v>
      </c>
      <c r="R143" s="12">
        <v>15097.55</v>
      </c>
      <c r="S143" s="2" t="s">
        <v>74</v>
      </c>
      <c r="T143" s="11"/>
      <c r="U143" s="11"/>
      <c r="V143" s="11"/>
      <c r="W143" s="11"/>
      <c r="X143" s="11"/>
      <c r="Y143" s="11"/>
      <c r="Z143" s="11"/>
    </row>
    <row r="144">
      <c r="A144" s="2">
        <v>2.0</v>
      </c>
      <c r="B144" s="2" t="s">
        <v>41</v>
      </c>
      <c r="C144" s="2">
        <v>8.0</v>
      </c>
      <c r="D144" s="2" t="s">
        <v>296</v>
      </c>
      <c r="E144" s="12">
        <v>5605.05</v>
      </c>
      <c r="F144" s="2">
        <v>284.36</v>
      </c>
      <c r="G144" s="12">
        <v>7909.49</v>
      </c>
      <c r="H144" s="2">
        <v>300.0</v>
      </c>
      <c r="I144" s="11"/>
      <c r="J144" s="2">
        <v>420.0</v>
      </c>
      <c r="K144" s="2">
        <v>0.0</v>
      </c>
      <c r="L144" s="2">
        <v>16.8</v>
      </c>
      <c r="M144" s="11"/>
      <c r="N144" s="2">
        <v>250.0</v>
      </c>
      <c r="O144" s="2" t="s">
        <v>296</v>
      </c>
      <c r="P144" s="12">
        <v>14785.7</v>
      </c>
      <c r="Q144" s="2">
        <v>-551.19</v>
      </c>
      <c r="R144" s="12">
        <v>14234.51</v>
      </c>
      <c r="S144" s="2" t="s">
        <v>290</v>
      </c>
      <c r="T144" s="11"/>
      <c r="U144" s="11"/>
      <c r="V144" s="11"/>
      <c r="W144" s="11"/>
      <c r="X144" s="11"/>
      <c r="Y144" s="11"/>
      <c r="Z144" s="11"/>
    </row>
    <row r="145">
      <c r="A145" s="2">
        <v>2.0</v>
      </c>
      <c r="B145" s="2" t="s">
        <v>41</v>
      </c>
      <c r="C145" s="2">
        <v>8.0</v>
      </c>
      <c r="D145" s="2" t="s">
        <v>300</v>
      </c>
      <c r="E145" s="12">
        <v>4725.6</v>
      </c>
      <c r="F145" s="2">
        <v>945.12</v>
      </c>
      <c r="G145" s="12">
        <v>7167.05</v>
      </c>
      <c r="H145" s="2">
        <v>200.0</v>
      </c>
      <c r="I145" s="11"/>
      <c r="J145" s="2">
        <v>480.0</v>
      </c>
      <c r="K145" s="2">
        <v>210.34</v>
      </c>
      <c r="L145" s="2">
        <v>27.61</v>
      </c>
      <c r="M145" s="11"/>
      <c r="N145" s="2">
        <v>250.0</v>
      </c>
      <c r="O145" s="2" t="s">
        <v>300</v>
      </c>
      <c r="P145" s="12">
        <v>14005.72</v>
      </c>
      <c r="Q145" s="2">
        <v>787.6</v>
      </c>
      <c r="R145" s="12">
        <v>14793.32</v>
      </c>
      <c r="S145" s="2" t="s">
        <v>57</v>
      </c>
      <c r="T145" s="11"/>
      <c r="U145" s="11"/>
      <c r="V145" s="11"/>
      <c r="W145" s="11"/>
      <c r="X145" s="11"/>
      <c r="Y145" s="11"/>
      <c r="Z145" s="11"/>
    </row>
    <row r="146">
      <c r="A146" s="2">
        <v>2.0</v>
      </c>
      <c r="B146" s="2" t="s">
        <v>41</v>
      </c>
      <c r="C146" s="2">
        <v>8.0</v>
      </c>
      <c r="D146" s="2" t="s">
        <v>304</v>
      </c>
      <c r="E146" s="12">
        <v>5017.8</v>
      </c>
      <c r="F146" s="2">
        <v>823.56</v>
      </c>
      <c r="G146" s="12">
        <v>7366.56</v>
      </c>
      <c r="H146" s="2">
        <v>200.0</v>
      </c>
      <c r="I146" s="11"/>
      <c r="J146" s="11"/>
      <c r="K146" s="2">
        <v>0.0</v>
      </c>
      <c r="L146" s="2">
        <v>0.0</v>
      </c>
      <c r="M146" s="11"/>
      <c r="N146" s="2">
        <v>250.0</v>
      </c>
      <c r="O146" s="2" t="s">
        <v>304</v>
      </c>
      <c r="P146" s="12">
        <v>13657.92</v>
      </c>
      <c r="Q146" s="12">
        <v>1184.76</v>
      </c>
      <c r="R146" s="12">
        <v>14842.68</v>
      </c>
      <c r="S146" s="2" t="s">
        <v>74</v>
      </c>
      <c r="T146" s="11"/>
      <c r="U146" s="11"/>
      <c r="V146" s="11"/>
      <c r="W146" s="11"/>
      <c r="X146" s="11"/>
      <c r="Y146" s="11"/>
      <c r="Z146" s="11"/>
    </row>
    <row r="147">
      <c r="A147" s="2">
        <v>2.0</v>
      </c>
      <c r="B147" s="2" t="s">
        <v>41</v>
      </c>
      <c r="C147" s="2">
        <v>8.0</v>
      </c>
      <c r="D147" s="2" t="s">
        <v>311</v>
      </c>
      <c r="E147" s="2">
        <v>0.0</v>
      </c>
      <c r="F147" s="2" t="s">
        <v>115</v>
      </c>
      <c r="G147" s="2" t="s">
        <v>115</v>
      </c>
      <c r="H147" s="2">
        <v>350.0</v>
      </c>
      <c r="I147" s="11"/>
      <c r="J147" s="2">
        <v>480.07</v>
      </c>
      <c r="K147" s="2">
        <v>0.0</v>
      </c>
      <c r="L147" s="2">
        <v>19.2</v>
      </c>
      <c r="M147" s="11"/>
      <c r="N147" s="2">
        <v>250.0</v>
      </c>
      <c r="O147" s="2" t="s">
        <v>311</v>
      </c>
      <c r="P147" s="12">
        <v>1099.27</v>
      </c>
      <c r="Q147" s="2">
        <v>365.72</v>
      </c>
      <c r="R147" s="12">
        <v>1464.99</v>
      </c>
      <c r="S147" s="2" t="s">
        <v>74</v>
      </c>
      <c r="T147" s="11"/>
      <c r="U147" s="11"/>
      <c r="V147" s="11"/>
      <c r="W147" s="11"/>
      <c r="X147" s="11"/>
      <c r="Y147" s="11"/>
      <c r="Z147" s="11"/>
    </row>
    <row r="148">
      <c r="A148" s="2">
        <v>2.0</v>
      </c>
      <c r="B148" s="2" t="s">
        <v>41</v>
      </c>
      <c r="C148" s="2">
        <v>8.0</v>
      </c>
      <c r="D148" s="2" t="s">
        <v>314</v>
      </c>
      <c r="E148" s="12">
        <v>4347.2</v>
      </c>
      <c r="F148" s="12">
        <v>1036.64</v>
      </c>
      <c r="G148" s="12">
        <v>6872.99</v>
      </c>
      <c r="H148" s="2">
        <v>350.0</v>
      </c>
      <c r="I148" s="11"/>
      <c r="J148" s="11"/>
      <c r="K148" s="12">
        <v>1872.01</v>
      </c>
      <c r="L148" s="2">
        <v>74.88</v>
      </c>
      <c r="M148" s="11"/>
      <c r="N148" s="2">
        <v>250.0</v>
      </c>
      <c r="O148" s="2" t="s">
        <v>314</v>
      </c>
      <c r="P148" s="12">
        <v>14803.72</v>
      </c>
      <c r="Q148" s="2">
        <v>975.34</v>
      </c>
      <c r="R148" s="12">
        <v>15779.06</v>
      </c>
      <c r="S148" s="2" t="s">
        <v>158</v>
      </c>
      <c r="T148" s="11"/>
      <c r="U148" s="11"/>
      <c r="V148" s="11"/>
      <c r="W148" s="11"/>
      <c r="X148" s="11"/>
      <c r="Y148" s="11"/>
      <c r="Z148" s="11"/>
    </row>
    <row r="149">
      <c r="A149" s="2">
        <v>2.0</v>
      </c>
      <c r="B149" s="2" t="s">
        <v>41</v>
      </c>
      <c r="C149" s="2">
        <v>8.0</v>
      </c>
      <c r="D149" s="2" t="s">
        <v>322</v>
      </c>
      <c r="E149" s="12">
        <v>5753.85</v>
      </c>
      <c r="F149" s="12">
        <v>1150.77</v>
      </c>
      <c r="G149" s="12">
        <v>8684.06</v>
      </c>
      <c r="H149" s="2">
        <v>350.0</v>
      </c>
      <c r="I149" s="11"/>
      <c r="J149" s="2">
        <v>800.0</v>
      </c>
      <c r="K149" s="12">
        <v>3860.86</v>
      </c>
      <c r="L149" s="2">
        <v>186.43</v>
      </c>
      <c r="M149" s="11"/>
      <c r="N149" s="2">
        <v>250.0</v>
      </c>
      <c r="O149" s="2" t="s">
        <v>322</v>
      </c>
      <c r="P149" s="12">
        <v>21035.97</v>
      </c>
      <c r="Q149" s="12">
        <v>1358.55</v>
      </c>
      <c r="R149" s="12">
        <v>22394.52</v>
      </c>
      <c r="S149" s="2" t="s">
        <v>57</v>
      </c>
      <c r="T149" s="11"/>
      <c r="U149" s="11"/>
      <c r="V149" s="11"/>
      <c r="W149" s="11"/>
      <c r="X149" s="11"/>
      <c r="Y149" s="11"/>
      <c r="Z149" s="11"/>
    </row>
    <row r="150">
      <c r="A150" s="2">
        <v>2.0</v>
      </c>
      <c r="B150" s="2" t="s">
        <v>41</v>
      </c>
      <c r="C150" s="2">
        <v>8.0</v>
      </c>
      <c r="D150" s="2" t="s">
        <v>328</v>
      </c>
      <c r="E150" s="12">
        <v>4725.6</v>
      </c>
      <c r="F150" s="2">
        <v>945.12</v>
      </c>
      <c r="G150" s="12">
        <v>7172.92</v>
      </c>
      <c r="H150" s="2">
        <v>200.0</v>
      </c>
      <c r="I150" s="11"/>
      <c r="J150" s="12">
        <v>1800.0</v>
      </c>
      <c r="K150" s="12">
        <v>7007.15</v>
      </c>
      <c r="L150" s="2">
        <v>352.29</v>
      </c>
      <c r="M150" s="11"/>
      <c r="N150" s="2">
        <v>250.0</v>
      </c>
      <c r="O150" s="2" t="s">
        <v>328</v>
      </c>
      <c r="P150" s="12">
        <v>22453.08</v>
      </c>
      <c r="Q150" s="12">
        <v>1115.76</v>
      </c>
      <c r="R150" s="12">
        <v>23568.84</v>
      </c>
      <c r="S150" s="2" t="s">
        <v>68</v>
      </c>
      <c r="T150" s="11"/>
      <c r="U150" s="11"/>
      <c r="V150" s="11"/>
      <c r="W150" s="11"/>
      <c r="X150" s="11"/>
      <c r="Y150" s="11"/>
      <c r="Z150" s="11"/>
    </row>
    <row r="151">
      <c r="A151" s="2">
        <v>2.0</v>
      </c>
      <c r="B151" s="2" t="s">
        <v>41</v>
      </c>
      <c r="C151" s="2">
        <v>8.0</v>
      </c>
      <c r="D151" s="2" t="s">
        <v>333</v>
      </c>
      <c r="E151" s="12">
        <v>4725.6</v>
      </c>
      <c r="F151" s="2">
        <v>62.0</v>
      </c>
      <c r="G151" s="12">
        <v>6509.91</v>
      </c>
      <c r="H151" s="2">
        <v>766.05</v>
      </c>
      <c r="I151" s="11"/>
      <c r="J151" s="11"/>
      <c r="K151" s="2">
        <v>0.0</v>
      </c>
      <c r="L151" s="2">
        <v>0.0</v>
      </c>
      <c r="M151" s="11"/>
      <c r="N151" s="2">
        <v>250.0</v>
      </c>
      <c r="O151" s="2" t="s">
        <v>333</v>
      </c>
      <c r="P151" s="12">
        <v>12313.56</v>
      </c>
      <c r="Q151" s="2">
        <v>787.6</v>
      </c>
      <c r="R151" s="12">
        <v>13101.16</v>
      </c>
      <c r="S151" s="2" t="s">
        <v>35</v>
      </c>
      <c r="T151" s="11"/>
      <c r="U151" s="11"/>
      <c r="V151" s="11"/>
      <c r="W151" s="11"/>
      <c r="X151" s="11"/>
      <c r="Y151" s="11"/>
      <c r="Z151" s="11"/>
    </row>
    <row r="152">
      <c r="A152" s="2">
        <v>2.0</v>
      </c>
      <c r="B152" s="2" t="s">
        <v>41</v>
      </c>
      <c r="C152" s="2">
        <v>8.0</v>
      </c>
      <c r="D152" s="2" t="s">
        <v>337</v>
      </c>
      <c r="E152" s="12">
        <v>4725.9</v>
      </c>
      <c r="F152" s="2">
        <v>945.18</v>
      </c>
      <c r="G152" s="12">
        <v>7419.98</v>
      </c>
      <c r="H152" s="2">
        <v>300.0</v>
      </c>
      <c r="I152" s="11"/>
      <c r="J152" s="2">
        <v>720.0</v>
      </c>
      <c r="K152" s="12">
        <v>3891.87</v>
      </c>
      <c r="L152" s="2">
        <v>184.47</v>
      </c>
      <c r="M152" s="11"/>
      <c r="N152" s="2">
        <v>250.0</v>
      </c>
      <c r="O152" s="2" t="s">
        <v>337</v>
      </c>
      <c r="P152" s="12">
        <v>18437.4</v>
      </c>
      <c r="Q152" s="2">
        <v>787.66</v>
      </c>
      <c r="R152" s="12">
        <v>19225.06</v>
      </c>
      <c r="S152" s="2" t="s">
        <v>78</v>
      </c>
      <c r="T152" s="11"/>
      <c r="U152" s="11"/>
      <c r="V152" s="11"/>
      <c r="W152" s="11"/>
      <c r="X152" s="11"/>
      <c r="Y152" s="11"/>
      <c r="Z152" s="11"/>
    </row>
    <row r="153">
      <c r="A153" s="2">
        <v>2.0</v>
      </c>
      <c r="B153" s="2" t="s">
        <v>41</v>
      </c>
      <c r="C153" s="2">
        <v>8.0</v>
      </c>
      <c r="D153" s="2" t="s">
        <v>341</v>
      </c>
      <c r="E153" s="12">
        <v>4725.9</v>
      </c>
      <c r="F153" s="2">
        <v>442.71</v>
      </c>
      <c r="G153" s="12">
        <v>6593.23</v>
      </c>
      <c r="H153" s="2">
        <v>350.0</v>
      </c>
      <c r="I153" s="11"/>
      <c r="J153" s="2">
        <v>560.0</v>
      </c>
      <c r="K153" s="12">
        <v>10026.03</v>
      </c>
      <c r="L153" s="2">
        <v>423.44</v>
      </c>
      <c r="M153" s="11"/>
      <c r="N153" s="2">
        <v>250.0</v>
      </c>
      <c r="O153" s="2" t="s">
        <v>341</v>
      </c>
      <c r="P153" s="12">
        <v>23371.31</v>
      </c>
      <c r="Q153" s="2">
        <v>787.66</v>
      </c>
      <c r="R153" s="12">
        <v>24158.97</v>
      </c>
      <c r="S153" s="2" t="s">
        <v>48</v>
      </c>
      <c r="T153" s="11"/>
      <c r="U153" s="11"/>
      <c r="V153" s="11"/>
      <c r="W153" s="11"/>
      <c r="X153" s="11"/>
      <c r="Y153" s="11"/>
      <c r="Z153" s="11"/>
    </row>
    <row r="154">
      <c r="A154" s="2">
        <v>2.0</v>
      </c>
      <c r="B154" s="2" t="s">
        <v>41</v>
      </c>
      <c r="C154" s="2">
        <v>8.0</v>
      </c>
      <c r="D154" s="2" t="s">
        <v>345</v>
      </c>
      <c r="E154" s="12">
        <v>4725.6</v>
      </c>
      <c r="F154" s="2" t="s">
        <v>115</v>
      </c>
      <c r="G154" s="12">
        <v>6446.05</v>
      </c>
      <c r="H154" s="2">
        <v>766.05</v>
      </c>
      <c r="I154" s="11"/>
      <c r="J154" s="11"/>
      <c r="K154" s="2">
        <v>0.0</v>
      </c>
      <c r="L154" s="2">
        <v>0.0</v>
      </c>
      <c r="M154" s="11"/>
      <c r="N154" s="2">
        <v>250.0</v>
      </c>
      <c r="O154" s="2" t="s">
        <v>345</v>
      </c>
      <c r="P154" s="12">
        <v>12187.7</v>
      </c>
      <c r="Q154" s="2">
        <v>787.6</v>
      </c>
      <c r="R154" s="12">
        <v>12975.3</v>
      </c>
      <c r="S154" s="2" t="s">
        <v>31</v>
      </c>
      <c r="T154" s="11"/>
      <c r="U154" s="11"/>
      <c r="V154" s="11"/>
      <c r="W154" s="11"/>
      <c r="X154" s="11"/>
      <c r="Y154" s="11"/>
      <c r="Z154" s="11"/>
    </row>
    <row r="155">
      <c r="A155" s="2">
        <v>2.0</v>
      </c>
      <c r="B155" s="2" t="s">
        <v>41</v>
      </c>
      <c r="C155" s="2">
        <v>8.0</v>
      </c>
      <c r="D155" s="2" t="s">
        <v>352</v>
      </c>
      <c r="E155" s="12">
        <v>4725.6</v>
      </c>
      <c r="F155" s="12">
        <v>1235.12</v>
      </c>
      <c r="G155" s="12">
        <v>7409.05</v>
      </c>
      <c r="H155" s="2">
        <v>300.0</v>
      </c>
      <c r="I155" s="11"/>
      <c r="J155" s="11"/>
      <c r="K155" s="2">
        <v>0.0</v>
      </c>
      <c r="L155" s="2">
        <v>0.0</v>
      </c>
      <c r="M155" s="11"/>
      <c r="N155" s="2">
        <v>250.0</v>
      </c>
      <c r="O155" s="2" t="s">
        <v>352</v>
      </c>
      <c r="P155" s="12">
        <v>13919.77</v>
      </c>
      <c r="Q155" s="2">
        <v>787.6</v>
      </c>
      <c r="R155" s="12">
        <v>14707.37</v>
      </c>
      <c r="S155" s="2" t="s">
        <v>68</v>
      </c>
      <c r="T155" s="11"/>
      <c r="U155" s="11"/>
      <c r="V155" s="11"/>
      <c r="W155" s="11"/>
      <c r="X155" s="11"/>
      <c r="Y155" s="11"/>
      <c r="Z155" s="11"/>
    </row>
    <row r="156">
      <c r="A156" s="2">
        <v>2.0</v>
      </c>
      <c r="B156" s="2" t="s">
        <v>41</v>
      </c>
      <c r="C156" s="2">
        <v>8.0</v>
      </c>
      <c r="D156" s="2" t="s">
        <v>357</v>
      </c>
      <c r="E156" s="12">
        <v>4725.6</v>
      </c>
      <c r="F156" s="2" t="s">
        <v>115</v>
      </c>
      <c r="G156" s="12">
        <v>6446.05</v>
      </c>
      <c r="H156" s="2">
        <v>766.05</v>
      </c>
      <c r="I156" s="11"/>
      <c r="J156" s="11"/>
      <c r="K156" s="2">
        <v>0.0</v>
      </c>
      <c r="L156" s="2">
        <v>0.0</v>
      </c>
      <c r="M156" s="11"/>
      <c r="N156" s="2">
        <v>250.0</v>
      </c>
      <c r="O156" s="2" t="s">
        <v>357</v>
      </c>
      <c r="P156" s="12">
        <v>12187.7</v>
      </c>
      <c r="Q156" s="2">
        <v>787.6</v>
      </c>
      <c r="R156" s="12">
        <v>12975.3</v>
      </c>
      <c r="S156" s="2" t="s">
        <v>31</v>
      </c>
      <c r="T156" s="11"/>
      <c r="U156" s="11"/>
      <c r="V156" s="11"/>
      <c r="W156" s="11"/>
      <c r="X156" s="11"/>
      <c r="Y156" s="11"/>
      <c r="Z156" s="11"/>
    </row>
    <row r="157">
      <c r="A157" s="2">
        <v>2.0</v>
      </c>
      <c r="B157" s="2" t="s">
        <v>41</v>
      </c>
      <c r="C157" s="2">
        <v>8.0</v>
      </c>
      <c r="D157" s="2" t="s">
        <v>362</v>
      </c>
      <c r="E157" s="12">
        <v>4095.52</v>
      </c>
      <c r="F157" s="2">
        <v>630.08</v>
      </c>
      <c r="G157" s="12">
        <v>6136.87</v>
      </c>
      <c r="H157" s="2">
        <v>200.0</v>
      </c>
      <c r="I157" s="2">
        <v>378.05</v>
      </c>
      <c r="J157" s="11"/>
      <c r="K157" s="2">
        <v>0.0</v>
      </c>
      <c r="L157" s="2">
        <v>0.0</v>
      </c>
      <c r="M157" s="11"/>
      <c r="N157" s="2">
        <v>250.0</v>
      </c>
      <c r="O157" s="2" t="s">
        <v>362</v>
      </c>
      <c r="P157" s="12">
        <v>11690.52</v>
      </c>
      <c r="Q157" s="2">
        <v>787.6</v>
      </c>
      <c r="R157" s="12">
        <v>12478.12</v>
      </c>
      <c r="S157" s="2" t="s">
        <v>55</v>
      </c>
      <c r="T157" s="11"/>
      <c r="U157" s="11"/>
      <c r="V157" s="11"/>
      <c r="W157" s="11"/>
      <c r="X157" s="11"/>
      <c r="Y157" s="11"/>
      <c r="Z157" s="11"/>
    </row>
    <row r="158">
      <c r="A158" s="2">
        <v>2.0</v>
      </c>
      <c r="B158" s="2" t="s">
        <v>41</v>
      </c>
      <c r="C158" s="2">
        <v>8.0</v>
      </c>
      <c r="D158" s="2" t="s">
        <v>366</v>
      </c>
      <c r="E158" s="12">
        <v>4725.6</v>
      </c>
      <c r="F158" s="2">
        <v>80.0</v>
      </c>
      <c r="G158" s="12">
        <v>6273.2</v>
      </c>
      <c r="H158" s="2">
        <v>300.0</v>
      </c>
      <c r="I158" s="2">
        <v>378.05</v>
      </c>
      <c r="J158" s="11"/>
      <c r="K158" s="2">
        <v>0.0</v>
      </c>
      <c r="L158" s="2">
        <v>0.0</v>
      </c>
      <c r="M158" s="11"/>
      <c r="N158" s="2">
        <v>250.0</v>
      </c>
      <c r="O158" s="2" t="s">
        <v>366</v>
      </c>
      <c r="P158" s="12">
        <v>12006.85</v>
      </c>
      <c r="Q158" s="12">
        <v>1115.76</v>
      </c>
      <c r="R158" s="12">
        <v>13122.61</v>
      </c>
      <c r="S158" s="2" t="s">
        <v>68</v>
      </c>
      <c r="T158" s="11"/>
      <c r="U158" s="11"/>
      <c r="V158" s="11"/>
      <c r="W158" s="11"/>
      <c r="X158" s="11"/>
      <c r="Y158" s="11"/>
      <c r="Z158" s="11"/>
    </row>
    <row r="159">
      <c r="A159" s="2">
        <v>2.0</v>
      </c>
      <c r="B159" s="2" t="s">
        <v>41</v>
      </c>
      <c r="C159" s="2">
        <v>8.0</v>
      </c>
      <c r="D159" s="2" t="s">
        <v>370</v>
      </c>
      <c r="E159" s="12">
        <v>4725.6</v>
      </c>
      <c r="F159" s="2">
        <v>617.52</v>
      </c>
      <c r="G159" s="12">
        <v>6828.68</v>
      </c>
      <c r="H159" s="2">
        <v>300.0</v>
      </c>
      <c r="I159" s="2">
        <v>400.0</v>
      </c>
      <c r="J159" s="11"/>
      <c r="K159" s="2">
        <v>0.0</v>
      </c>
      <c r="L159" s="2">
        <v>0.0</v>
      </c>
      <c r="M159" s="11"/>
      <c r="N159" s="2">
        <v>250.0</v>
      </c>
      <c r="O159" s="2" t="s">
        <v>370</v>
      </c>
      <c r="P159" s="12">
        <v>13121.8</v>
      </c>
      <c r="Q159" s="2">
        <v>918.86</v>
      </c>
      <c r="R159" s="12">
        <v>14040.66</v>
      </c>
      <c r="S159" s="2" t="s">
        <v>158</v>
      </c>
      <c r="T159" s="11"/>
      <c r="U159" s="11"/>
      <c r="V159" s="11"/>
      <c r="W159" s="11"/>
      <c r="X159" s="11"/>
      <c r="Y159" s="11"/>
      <c r="Z159" s="11"/>
    </row>
    <row r="160">
      <c r="A160" s="2">
        <v>2.0</v>
      </c>
      <c r="B160" s="2" t="s">
        <v>41</v>
      </c>
      <c r="C160" s="2">
        <v>8.0</v>
      </c>
      <c r="D160" s="2" t="s">
        <v>374</v>
      </c>
      <c r="E160" s="12">
        <v>2835.36</v>
      </c>
      <c r="F160" s="12">
        <v>1890.24</v>
      </c>
      <c r="G160" s="12">
        <v>6136.87</v>
      </c>
      <c r="H160" s="2">
        <v>200.0</v>
      </c>
      <c r="I160" s="2">
        <v>378.05</v>
      </c>
      <c r="J160" s="11"/>
      <c r="K160" s="2">
        <v>0.0</v>
      </c>
      <c r="L160" s="2">
        <v>0.0</v>
      </c>
      <c r="M160" s="11"/>
      <c r="N160" s="2">
        <v>250.0</v>
      </c>
      <c r="O160" s="2" t="s">
        <v>374</v>
      </c>
      <c r="P160" s="12">
        <v>11690.52</v>
      </c>
      <c r="Q160" s="2">
        <v>787.6</v>
      </c>
      <c r="R160" s="12">
        <v>12478.12</v>
      </c>
      <c r="S160" s="2" t="s">
        <v>55</v>
      </c>
      <c r="T160" s="11"/>
      <c r="U160" s="11"/>
      <c r="V160" s="11"/>
      <c r="W160" s="11"/>
      <c r="X160" s="11"/>
      <c r="Y160" s="11"/>
      <c r="Z160" s="11"/>
    </row>
    <row r="161">
      <c r="A161" s="2">
        <v>2.0</v>
      </c>
      <c r="B161" s="2" t="s">
        <v>41</v>
      </c>
      <c r="C161" s="2">
        <v>8.0</v>
      </c>
      <c r="D161" s="2" t="s">
        <v>378</v>
      </c>
      <c r="E161" s="12">
        <v>4725.9</v>
      </c>
      <c r="F161" s="2">
        <v>645.18</v>
      </c>
      <c r="G161" s="12">
        <v>6801.77</v>
      </c>
      <c r="H161" s="2">
        <v>300.0</v>
      </c>
      <c r="I161" s="11"/>
      <c r="J161" s="2">
        <v>600.0</v>
      </c>
      <c r="K161" s="12">
        <v>2543.75</v>
      </c>
      <c r="L161" s="2">
        <v>125.75</v>
      </c>
      <c r="M161" s="11"/>
      <c r="N161" s="2">
        <v>250.0</v>
      </c>
      <c r="O161" s="2" t="s">
        <v>378</v>
      </c>
      <c r="P161" s="12">
        <v>15992.35</v>
      </c>
      <c r="Q161" s="2">
        <v>-423.82</v>
      </c>
      <c r="R161" s="12">
        <v>15568.53</v>
      </c>
      <c r="S161" s="2" t="s">
        <v>74</v>
      </c>
      <c r="T161" s="11"/>
      <c r="U161" s="11"/>
      <c r="V161" s="11"/>
      <c r="W161" s="11"/>
      <c r="X161" s="11"/>
      <c r="Y161" s="11"/>
      <c r="Z161" s="11"/>
    </row>
    <row r="162">
      <c r="A162" s="2">
        <v>2.0</v>
      </c>
      <c r="B162" s="2" t="s">
        <v>41</v>
      </c>
      <c r="C162" s="2">
        <v>8.0</v>
      </c>
      <c r="D162" s="2" t="s">
        <v>382</v>
      </c>
      <c r="E162" s="12">
        <v>5016.75</v>
      </c>
      <c r="F162" s="2" t="s">
        <v>115</v>
      </c>
      <c r="G162" s="12">
        <v>6824.11</v>
      </c>
      <c r="H162" s="2">
        <v>200.0</v>
      </c>
      <c r="I162" s="2">
        <v>378.05</v>
      </c>
      <c r="J162" s="11"/>
      <c r="K162" s="2">
        <v>0.0</v>
      </c>
      <c r="L162" s="2">
        <v>0.0</v>
      </c>
      <c r="M162" s="11"/>
      <c r="N162" s="2">
        <v>250.0</v>
      </c>
      <c r="O162" s="2" t="s">
        <v>382</v>
      </c>
      <c r="P162" s="12">
        <v>12668.91</v>
      </c>
      <c r="Q162" s="2">
        <v>975.47</v>
      </c>
      <c r="R162" s="12">
        <v>13644.38</v>
      </c>
      <c r="S162" s="2" t="s">
        <v>385</v>
      </c>
      <c r="T162" s="11"/>
      <c r="U162" s="11"/>
      <c r="V162" s="11"/>
      <c r="W162" s="11"/>
      <c r="X162" s="11"/>
      <c r="Y162" s="11"/>
      <c r="Z162" s="11"/>
    </row>
    <row r="163">
      <c r="A163" s="2">
        <v>2.0</v>
      </c>
      <c r="B163" s="2" t="s">
        <v>41</v>
      </c>
      <c r="C163" s="2">
        <v>8.0</v>
      </c>
      <c r="D163" s="2" t="s">
        <v>387</v>
      </c>
      <c r="E163" s="12">
        <v>4725.6</v>
      </c>
      <c r="F163" s="2">
        <v>724.7</v>
      </c>
      <c r="G163" s="12">
        <v>6883.31</v>
      </c>
      <c r="H163" s="2">
        <v>300.0</v>
      </c>
      <c r="I163" s="2">
        <v>420.0</v>
      </c>
      <c r="J163" s="11"/>
      <c r="K163" s="2">
        <v>0.0</v>
      </c>
      <c r="L163" s="2">
        <v>0.0</v>
      </c>
      <c r="M163" s="11"/>
      <c r="N163" s="2">
        <v>250.0</v>
      </c>
      <c r="O163" s="2" t="s">
        <v>387</v>
      </c>
      <c r="P163" s="12">
        <v>13303.61</v>
      </c>
      <c r="Q163" s="2">
        <v>787.6</v>
      </c>
      <c r="R163" s="12">
        <v>14091.21</v>
      </c>
      <c r="S163" s="2" t="s">
        <v>74</v>
      </c>
      <c r="T163" s="11"/>
      <c r="U163" s="11"/>
      <c r="V163" s="11"/>
      <c r="W163" s="11"/>
      <c r="X163" s="11"/>
      <c r="Y163" s="11"/>
      <c r="Z163" s="11"/>
    </row>
    <row r="164">
      <c r="A164" s="2">
        <v>2.0</v>
      </c>
      <c r="B164" s="2" t="s">
        <v>41</v>
      </c>
      <c r="C164" s="2">
        <v>8.0</v>
      </c>
      <c r="D164" s="2" t="s">
        <v>393</v>
      </c>
      <c r="E164" s="12">
        <v>4725.6</v>
      </c>
      <c r="F164" s="2">
        <v>971.12</v>
      </c>
      <c r="G164" s="12">
        <v>7137.13</v>
      </c>
      <c r="H164" s="2">
        <v>300.0</v>
      </c>
      <c r="I164" s="2">
        <v>420.0</v>
      </c>
      <c r="J164" s="11"/>
      <c r="K164" s="2">
        <v>0.0</v>
      </c>
      <c r="L164" s="2">
        <v>0.0</v>
      </c>
      <c r="M164" s="11"/>
      <c r="N164" s="2">
        <v>250.0</v>
      </c>
      <c r="O164" s="2" t="s">
        <v>393</v>
      </c>
      <c r="P164" s="12">
        <v>13803.85</v>
      </c>
      <c r="Q164" s="2">
        <v>787.6</v>
      </c>
      <c r="R164" s="12">
        <v>14591.45</v>
      </c>
      <c r="S164" s="2" t="s">
        <v>68</v>
      </c>
      <c r="T164" s="11"/>
      <c r="U164" s="11"/>
      <c r="V164" s="11"/>
      <c r="W164" s="11"/>
      <c r="X164" s="11"/>
      <c r="Y164" s="11"/>
      <c r="Z164" s="11"/>
    </row>
    <row r="165">
      <c r="A165" s="2">
        <v>2.0</v>
      </c>
      <c r="B165" s="2" t="s">
        <v>41</v>
      </c>
      <c r="C165" s="2">
        <v>8.0</v>
      </c>
      <c r="D165" s="2" t="s">
        <v>398</v>
      </c>
      <c r="E165" s="12">
        <v>4725.6</v>
      </c>
      <c r="F165" s="2">
        <v>715.12</v>
      </c>
      <c r="G165" s="12">
        <v>6873.45</v>
      </c>
      <c r="H165" s="2">
        <v>300.0</v>
      </c>
      <c r="I165" s="11"/>
      <c r="J165" s="11"/>
      <c r="K165" s="12">
        <v>4714.66</v>
      </c>
      <c r="L165" s="2">
        <v>188.59</v>
      </c>
      <c r="M165" s="11"/>
      <c r="N165" s="2">
        <v>250.0</v>
      </c>
      <c r="O165" s="2" t="s">
        <v>398</v>
      </c>
      <c r="P165" s="12">
        <v>17767.42</v>
      </c>
      <c r="Q165" s="2">
        <v>787.6</v>
      </c>
      <c r="R165" s="12">
        <v>18555.02</v>
      </c>
      <c r="S165" s="2" t="s">
        <v>68</v>
      </c>
      <c r="T165" s="11"/>
      <c r="U165" s="11"/>
      <c r="V165" s="11"/>
      <c r="W165" s="11"/>
      <c r="X165" s="11"/>
      <c r="Y165" s="11"/>
      <c r="Z165" s="11"/>
    </row>
    <row r="166">
      <c r="A166" s="2">
        <v>2.0</v>
      </c>
      <c r="B166" s="2" t="s">
        <v>41</v>
      </c>
      <c r="C166" s="2">
        <v>8.0</v>
      </c>
      <c r="D166" s="2" t="s">
        <v>401</v>
      </c>
      <c r="E166" s="12">
        <v>4725.6</v>
      </c>
      <c r="F166" s="2">
        <v>60.7</v>
      </c>
      <c r="G166" s="12">
        <v>6508.58</v>
      </c>
      <c r="H166" s="2">
        <v>766.05</v>
      </c>
      <c r="I166" s="11"/>
      <c r="J166" s="11"/>
      <c r="K166" s="2">
        <v>0.0</v>
      </c>
      <c r="L166" s="2">
        <v>0.0</v>
      </c>
      <c r="M166" s="11"/>
      <c r="N166" s="2">
        <v>250.0</v>
      </c>
      <c r="O166" s="2" t="s">
        <v>401</v>
      </c>
      <c r="P166" s="12">
        <v>12310.93</v>
      </c>
      <c r="Q166" s="2">
        <v>787.6</v>
      </c>
      <c r="R166" s="12">
        <v>13098.53</v>
      </c>
      <c r="S166" s="2" t="s">
        <v>35</v>
      </c>
      <c r="T166" s="11"/>
      <c r="U166" s="11"/>
      <c r="V166" s="11"/>
      <c r="W166" s="11"/>
      <c r="X166" s="11"/>
      <c r="Y166" s="11"/>
      <c r="Z166" s="11"/>
    </row>
    <row r="167">
      <c r="A167" s="2">
        <v>2.0</v>
      </c>
      <c r="B167" s="2" t="s">
        <v>41</v>
      </c>
      <c r="C167" s="2">
        <v>8.0</v>
      </c>
      <c r="D167" s="2" t="s">
        <v>404</v>
      </c>
      <c r="E167" s="12">
        <v>4725.6</v>
      </c>
      <c r="F167" s="2">
        <v>447.12</v>
      </c>
      <c r="G167" s="12">
        <v>6597.41</v>
      </c>
      <c r="H167" s="2">
        <v>350.0</v>
      </c>
      <c r="I167" s="11"/>
      <c r="J167" s="2">
        <v>600.0</v>
      </c>
      <c r="K167" s="12">
        <v>2774.4</v>
      </c>
      <c r="L167" s="2">
        <v>134.98</v>
      </c>
      <c r="M167" s="11"/>
      <c r="N167" s="2">
        <v>250.0</v>
      </c>
      <c r="O167" s="2" t="s">
        <v>404</v>
      </c>
      <c r="P167" s="12">
        <v>15879.51</v>
      </c>
      <c r="Q167" s="2">
        <v>787.6</v>
      </c>
      <c r="R167" s="12">
        <v>16667.11</v>
      </c>
      <c r="S167" s="2" t="s">
        <v>68</v>
      </c>
      <c r="T167" s="11"/>
      <c r="U167" s="11"/>
      <c r="V167" s="11"/>
      <c r="W167" s="11"/>
      <c r="X167" s="11"/>
      <c r="Y167" s="11"/>
      <c r="Z167" s="11"/>
    </row>
    <row r="168">
      <c r="A168" s="2">
        <v>2.0</v>
      </c>
      <c r="B168" s="2" t="s">
        <v>41</v>
      </c>
      <c r="C168" s="2">
        <v>8.0</v>
      </c>
      <c r="D168" s="2" t="s">
        <v>413</v>
      </c>
      <c r="E168" s="12">
        <v>4999.95</v>
      </c>
      <c r="F168" s="2" t="s">
        <v>115</v>
      </c>
      <c r="G168" s="12">
        <v>6472.04</v>
      </c>
      <c r="H168" s="2">
        <v>300.0</v>
      </c>
      <c r="I168" s="11"/>
      <c r="J168" s="2">
        <v>720.0</v>
      </c>
      <c r="K168" s="12">
        <v>4230.93</v>
      </c>
      <c r="L168" s="2">
        <v>198.04</v>
      </c>
      <c r="M168" s="11"/>
      <c r="N168" s="2">
        <v>250.0</v>
      </c>
      <c r="O168" s="2" t="s">
        <v>413</v>
      </c>
      <c r="P168" s="12">
        <v>17170.96</v>
      </c>
      <c r="Q168" s="2">
        <v>833.32</v>
      </c>
      <c r="R168" s="12">
        <v>18004.28</v>
      </c>
      <c r="S168" s="2" t="s">
        <v>290</v>
      </c>
      <c r="T168" s="11"/>
      <c r="U168" s="11"/>
      <c r="V168" s="11"/>
      <c r="W168" s="11"/>
      <c r="X168" s="11"/>
      <c r="Y168" s="11"/>
      <c r="Z168" s="11"/>
    </row>
    <row r="169">
      <c r="A169" s="2">
        <v>2.0</v>
      </c>
      <c r="B169" s="2" t="s">
        <v>41</v>
      </c>
      <c r="C169" s="2">
        <v>8.0</v>
      </c>
      <c r="D169" s="2" t="s">
        <v>418</v>
      </c>
      <c r="E169" s="12">
        <v>5133.24</v>
      </c>
      <c r="F169" s="12">
        <v>1132.0</v>
      </c>
      <c r="G169" s="12">
        <v>7896.19</v>
      </c>
      <c r="H169" s="2">
        <v>200.0</v>
      </c>
      <c r="I169" s="11"/>
      <c r="J169" s="11"/>
      <c r="K169" s="2">
        <v>0.0</v>
      </c>
      <c r="L169" s="2">
        <v>0.0</v>
      </c>
      <c r="M169" s="11"/>
      <c r="N169" s="2">
        <v>250.0</v>
      </c>
      <c r="O169" s="2" t="s">
        <v>418</v>
      </c>
      <c r="P169" s="12">
        <v>14611.43</v>
      </c>
      <c r="Q169" s="2">
        <v>916.66</v>
      </c>
      <c r="R169" s="12">
        <v>15528.09</v>
      </c>
      <c r="S169" s="2" t="s">
        <v>158</v>
      </c>
      <c r="T169" s="11"/>
      <c r="U169" s="11"/>
      <c r="V169" s="11"/>
      <c r="W169" s="11"/>
      <c r="X169" s="11"/>
      <c r="Y169" s="11"/>
      <c r="Z169" s="11"/>
    </row>
    <row r="170">
      <c r="A170" s="2">
        <v>2.0</v>
      </c>
      <c r="B170" s="2" t="s">
        <v>41</v>
      </c>
      <c r="C170" s="2">
        <v>8.0</v>
      </c>
      <c r="D170" s="2" t="s">
        <v>423</v>
      </c>
      <c r="E170" s="12">
        <v>4749.9</v>
      </c>
      <c r="F170" s="12">
        <v>1108.31</v>
      </c>
      <c r="G170" s="12">
        <v>7308.12</v>
      </c>
      <c r="H170" s="2">
        <v>200.0</v>
      </c>
      <c r="I170" s="2">
        <v>420.0</v>
      </c>
      <c r="J170" s="11"/>
      <c r="K170" s="2">
        <v>0.0</v>
      </c>
      <c r="L170" s="2">
        <v>0.0</v>
      </c>
      <c r="M170" s="11"/>
      <c r="N170" s="2">
        <v>250.0</v>
      </c>
      <c r="O170" s="2" t="s">
        <v>423</v>
      </c>
      <c r="P170" s="12">
        <v>14036.33</v>
      </c>
      <c r="Q170" s="2">
        <v>791.66</v>
      </c>
      <c r="R170" s="12">
        <v>14827.99</v>
      </c>
      <c r="S170" s="2" t="s">
        <v>158</v>
      </c>
      <c r="T170" s="11"/>
      <c r="U170" s="11"/>
      <c r="V170" s="11"/>
      <c r="W170" s="11"/>
      <c r="X170" s="11"/>
      <c r="Y170" s="11"/>
      <c r="Z170" s="11"/>
    </row>
    <row r="171">
      <c r="A171" s="2">
        <v>2.0</v>
      </c>
      <c r="B171" s="2" t="s">
        <v>41</v>
      </c>
      <c r="C171" s="2">
        <v>8.0</v>
      </c>
      <c r="D171" s="2" t="s">
        <v>427</v>
      </c>
      <c r="E171" s="12">
        <v>4725.6</v>
      </c>
      <c r="F171" s="2">
        <v>100.0</v>
      </c>
      <c r="G171" s="12">
        <v>6549.05</v>
      </c>
      <c r="H171" s="2">
        <v>766.05</v>
      </c>
      <c r="I171" s="11"/>
      <c r="J171" s="11"/>
      <c r="K171" s="2">
        <v>0.0</v>
      </c>
      <c r="L171" s="2">
        <v>0.0</v>
      </c>
      <c r="M171" s="11"/>
      <c r="N171" s="2">
        <v>250.0</v>
      </c>
      <c r="O171" s="2" t="s">
        <v>427</v>
      </c>
      <c r="P171" s="12">
        <v>12390.7</v>
      </c>
      <c r="Q171" s="2">
        <v>757.6</v>
      </c>
      <c r="R171" s="12">
        <v>13148.3</v>
      </c>
      <c r="S171" s="2" t="s">
        <v>35</v>
      </c>
      <c r="T171" s="11"/>
      <c r="U171" s="11"/>
      <c r="V171" s="11"/>
      <c r="W171" s="11"/>
      <c r="X171" s="11"/>
      <c r="Y171" s="11"/>
      <c r="Z171" s="11"/>
    </row>
    <row r="172">
      <c r="A172" s="2">
        <v>2.0</v>
      </c>
      <c r="B172" s="2" t="s">
        <v>41</v>
      </c>
      <c r="C172" s="2">
        <v>8.0</v>
      </c>
      <c r="D172" s="2" t="s">
        <v>441</v>
      </c>
      <c r="E172" s="12">
        <v>6500.0</v>
      </c>
      <c r="F172" s="12">
        <v>1060.0</v>
      </c>
      <c r="G172" s="12">
        <v>9454.15</v>
      </c>
      <c r="H172" s="2">
        <v>350.0</v>
      </c>
      <c r="I172" s="11"/>
      <c r="J172" s="2">
        <v>880.0</v>
      </c>
      <c r="K172" s="12">
        <v>4340.12</v>
      </c>
      <c r="L172" s="2">
        <v>208.8</v>
      </c>
      <c r="M172" s="11"/>
      <c r="N172" s="2">
        <v>250.0</v>
      </c>
      <c r="O172" s="2" t="s">
        <v>441</v>
      </c>
      <c r="P172" s="12">
        <v>23043.07</v>
      </c>
      <c r="Q172" s="12">
        <v>1083.33</v>
      </c>
      <c r="R172" s="12">
        <v>24126.4</v>
      </c>
      <c r="S172" s="2" t="s">
        <v>158</v>
      </c>
      <c r="T172" s="11"/>
      <c r="U172" s="11"/>
      <c r="V172" s="11"/>
      <c r="W172" s="11"/>
      <c r="X172" s="11"/>
      <c r="Y172" s="11"/>
      <c r="Z172" s="11"/>
    </row>
    <row r="173">
      <c r="A173" s="2">
        <v>2.0</v>
      </c>
      <c r="B173" s="2" t="s">
        <v>41</v>
      </c>
      <c r="C173" s="2">
        <v>8.0</v>
      </c>
      <c r="D173" s="2" t="s">
        <v>447</v>
      </c>
      <c r="E173" s="12">
        <v>5000.0</v>
      </c>
      <c r="F173" s="2">
        <v>300.0</v>
      </c>
      <c r="G173" s="12">
        <v>6781.1</v>
      </c>
      <c r="H173" s="2">
        <v>300.0</v>
      </c>
      <c r="I173" s="11"/>
      <c r="J173" s="2">
        <v>560.0</v>
      </c>
      <c r="K173" s="12">
        <v>2000.0</v>
      </c>
      <c r="L173" s="2">
        <v>102.4</v>
      </c>
      <c r="M173" s="11"/>
      <c r="N173" s="2">
        <v>250.0</v>
      </c>
      <c r="O173" s="2" t="s">
        <v>447</v>
      </c>
      <c r="P173" s="12">
        <v>15293.5</v>
      </c>
      <c r="Q173" s="2">
        <v>833.33</v>
      </c>
      <c r="R173" s="12">
        <v>16126.83</v>
      </c>
      <c r="S173" s="2" t="s">
        <v>158</v>
      </c>
      <c r="T173" s="11"/>
      <c r="U173" s="11"/>
      <c r="V173" s="11"/>
      <c r="W173" s="11"/>
      <c r="X173" s="11"/>
      <c r="Y173" s="11"/>
      <c r="Z173" s="11"/>
    </row>
    <row r="174">
      <c r="A174" s="2">
        <v>2.0</v>
      </c>
      <c r="B174" s="2" t="s">
        <v>41</v>
      </c>
      <c r="C174" s="2">
        <v>8.0</v>
      </c>
      <c r="D174" s="2" t="s">
        <v>452</v>
      </c>
      <c r="E174" s="12">
        <v>4749.9</v>
      </c>
      <c r="F174" s="12">
        <v>1074.98</v>
      </c>
      <c r="G174" s="12">
        <v>7273.79</v>
      </c>
      <c r="H174" s="12">
        <v>1200.0</v>
      </c>
      <c r="I174" s="2">
        <v>420.0</v>
      </c>
      <c r="J174" s="11"/>
      <c r="K174" s="2">
        <v>0.0</v>
      </c>
      <c r="L174" s="2">
        <v>0.0</v>
      </c>
      <c r="M174" s="11"/>
      <c r="N174" s="2">
        <v>250.0</v>
      </c>
      <c r="O174" s="2" t="s">
        <v>452</v>
      </c>
      <c r="P174" s="12">
        <v>14968.67</v>
      </c>
      <c r="Q174" s="2">
        <v>791.66</v>
      </c>
      <c r="R174" s="12">
        <v>15760.33</v>
      </c>
      <c r="S174" s="2" t="s">
        <v>456</v>
      </c>
      <c r="T174" s="11"/>
      <c r="U174" s="11"/>
      <c r="V174" s="11"/>
      <c r="W174" s="11"/>
      <c r="X174" s="11"/>
      <c r="Y174" s="11"/>
      <c r="Z174" s="11"/>
    </row>
    <row r="175">
      <c r="A175" s="2">
        <v>2.0</v>
      </c>
      <c r="B175" s="2" t="s">
        <v>41</v>
      </c>
      <c r="C175" s="2">
        <v>8.0</v>
      </c>
      <c r="D175" s="2" t="s">
        <v>457</v>
      </c>
      <c r="E175" s="12">
        <v>4116.58</v>
      </c>
      <c r="F175" s="2">
        <v>206.4</v>
      </c>
      <c r="G175" s="12">
        <v>5726.83</v>
      </c>
      <c r="H175" s="2">
        <v>200.0</v>
      </c>
      <c r="I175" s="11"/>
      <c r="J175" s="11"/>
      <c r="K175" s="2">
        <v>0.0</v>
      </c>
      <c r="L175" s="2">
        <v>0.0</v>
      </c>
      <c r="M175" s="11"/>
      <c r="N175" s="2">
        <v>250.0</v>
      </c>
      <c r="O175" s="2" t="s">
        <v>457</v>
      </c>
      <c r="P175" s="12">
        <v>10499.81</v>
      </c>
      <c r="Q175" s="2">
        <v>791.66</v>
      </c>
      <c r="R175" s="12">
        <v>11291.47</v>
      </c>
      <c r="S175" s="2" t="s">
        <v>158</v>
      </c>
      <c r="T175" s="11"/>
      <c r="U175" s="11"/>
      <c r="V175" s="11"/>
      <c r="W175" s="11"/>
      <c r="X175" s="11"/>
      <c r="Y175" s="11"/>
      <c r="Z175" s="11"/>
    </row>
    <row r="176">
      <c r="A176" s="2">
        <v>2.0</v>
      </c>
      <c r="B176" s="2" t="s">
        <v>41</v>
      </c>
      <c r="C176" s="2">
        <v>8.0</v>
      </c>
      <c r="D176" s="2" t="s">
        <v>463</v>
      </c>
      <c r="E176" s="12">
        <v>4749.9</v>
      </c>
      <c r="F176" s="2">
        <v>222.74</v>
      </c>
      <c r="G176" s="12">
        <v>6395.98</v>
      </c>
      <c r="H176" s="2">
        <v>200.0</v>
      </c>
      <c r="I176" s="2">
        <v>380.0</v>
      </c>
      <c r="J176" s="11"/>
      <c r="K176" s="2">
        <v>0.0</v>
      </c>
      <c r="L176" s="2">
        <v>0.0</v>
      </c>
      <c r="M176" s="11"/>
      <c r="N176" s="2">
        <v>250.0</v>
      </c>
      <c r="O176" s="2" t="s">
        <v>463</v>
      </c>
      <c r="P176" s="12">
        <v>12198.62</v>
      </c>
      <c r="Q176" s="2">
        <v>791.66</v>
      </c>
      <c r="R176" s="12">
        <v>12990.28</v>
      </c>
      <c r="S176" s="2" t="s">
        <v>158</v>
      </c>
      <c r="T176" s="11"/>
      <c r="U176" s="11"/>
      <c r="V176" s="11"/>
      <c r="W176" s="11"/>
      <c r="X176" s="11"/>
      <c r="Y176" s="11"/>
      <c r="Z176" s="11"/>
    </row>
    <row r="177">
      <c r="A177" s="2">
        <v>2.0</v>
      </c>
      <c r="B177" s="2" t="s">
        <v>41</v>
      </c>
      <c r="C177" s="2">
        <v>8.0</v>
      </c>
      <c r="D177" s="2" t="s">
        <v>467</v>
      </c>
      <c r="E177" s="12">
        <v>5000.0</v>
      </c>
      <c r="F177" s="2">
        <v>992.0</v>
      </c>
      <c r="G177" s="12">
        <v>7493.86</v>
      </c>
      <c r="H177" s="2">
        <v>300.0</v>
      </c>
      <c r="I177" s="2">
        <v>880.0</v>
      </c>
      <c r="J177" s="11"/>
      <c r="K177" s="2">
        <v>0.0</v>
      </c>
      <c r="L177" s="2">
        <v>0.0</v>
      </c>
      <c r="M177" s="11"/>
      <c r="N177" s="2">
        <v>250.0</v>
      </c>
      <c r="O177" s="2" t="s">
        <v>467</v>
      </c>
      <c r="P177" s="12">
        <v>14915.86</v>
      </c>
      <c r="Q177" s="2">
        <v>833.33</v>
      </c>
      <c r="R177" s="12">
        <v>15749.19</v>
      </c>
      <c r="S177" s="2" t="s">
        <v>78</v>
      </c>
      <c r="T177" s="11"/>
      <c r="U177" s="11"/>
      <c r="V177" s="11"/>
      <c r="W177" s="11"/>
      <c r="X177" s="11"/>
      <c r="Y177" s="11"/>
      <c r="Z177" s="11"/>
    </row>
    <row r="178">
      <c r="A178" s="2">
        <v>2.0</v>
      </c>
      <c r="B178" s="2" t="s">
        <v>41</v>
      </c>
      <c r="C178" s="2">
        <v>8.0</v>
      </c>
      <c r="D178" s="2" t="s">
        <v>473</v>
      </c>
      <c r="E178" s="12">
        <v>4749.9</v>
      </c>
      <c r="F178" s="2">
        <v>678.33</v>
      </c>
      <c r="G178" s="12">
        <v>6865.24</v>
      </c>
      <c r="H178" s="2">
        <v>200.0</v>
      </c>
      <c r="I178" s="2">
        <v>800.0</v>
      </c>
      <c r="J178" s="11"/>
      <c r="K178" s="2">
        <v>0.0</v>
      </c>
      <c r="L178" s="2">
        <v>0.0</v>
      </c>
      <c r="M178" s="11"/>
      <c r="N178" s="2">
        <v>250.0</v>
      </c>
      <c r="O178" s="2" t="s">
        <v>473</v>
      </c>
      <c r="P178" s="12">
        <v>13543.47</v>
      </c>
      <c r="Q178" s="2">
        <v>791.66</v>
      </c>
      <c r="R178" s="12">
        <v>14335.13</v>
      </c>
      <c r="S178" s="2" t="s">
        <v>158</v>
      </c>
      <c r="T178" s="11"/>
      <c r="U178" s="11"/>
      <c r="V178" s="11"/>
      <c r="W178" s="11"/>
      <c r="X178" s="11"/>
      <c r="Y178" s="11"/>
      <c r="Z178" s="11"/>
    </row>
    <row r="179">
      <c r="A179" s="2">
        <v>2.0</v>
      </c>
      <c r="B179" s="2" t="s">
        <v>41</v>
      </c>
      <c r="C179" s="2">
        <v>8.0</v>
      </c>
      <c r="D179" s="2" t="s">
        <v>477</v>
      </c>
      <c r="E179" s="12">
        <v>4725.6</v>
      </c>
      <c r="F179" s="2" t="s">
        <v>115</v>
      </c>
      <c r="G179" s="12">
        <v>6136.87</v>
      </c>
      <c r="H179" s="2">
        <v>200.0</v>
      </c>
      <c r="I179" s="11"/>
      <c r="J179" s="11"/>
      <c r="K179" s="2">
        <v>0.0</v>
      </c>
      <c r="L179" s="2">
        <v>0.0</v>
      </c>
      <c r="M179" s="11"/>
      <c r="N179" s="2">
        <v>250.0</v>
      </c>
      <c r="O179" s="2" t="s">
        <v>477</v>
      </c>
      <c r="P179" s="12">
        <v>11312.47</v>
      </c>
      <c r="Q179" s="2">
        <v>787.6</v>
      </c>
      <c r="R179" s="12">
        <v>12100.07</v>
      </c>
      <c r="S179" s="2" t="s">
        <v>480</v>
      </c>
      <c r="T179" s="11"/>
      <c r="U179" s="11"/>
      <c r="V179" s="11"/>
      <c r="W179" s="11"/>
      <c r="X179" s="11"/>
      <c r="Y179" s="11"/>
      <c r="Z179" s="11"/>
    </row>
    <row r="180">
      <c r="A180" s="2">
        <v>2.0</v>
      </c>
      <c r="B180" s="2" t="s">
        <v>41</v>
      </c>
      <c r="C180" s="2">
        <v>8.0</v>
      </c>
      <c r="D180" s="2" t="s">
        <v>484</v>
      </c>
      <c r="E180" s="12">
        <v>4725.6</v>
      </c>
      <c r="F180" s="2" t="s">
        <v>115</v>
      </c>
      <c r="G180" s="12">
        <v>6136.87</v>
      </c>
      <c r="H180" s="2">
        <v>300.0</v>
      </c>
      <c r="I180" s="11"/>
      <c r="J180" s="11"/>
      <c r="K180" s="2">
        <v>0.0</v>
      </c>
      <c r="L180" s="2">
        <v>0.0</v>
      </c>
      <c r="M180" s="11"/>
      <c r="N180" s="2">
        <v>250.0</v>
      </c>
      <c r="O180" s="2" t="s">
        <v>484</v>
      </c>
      <c r="P180" s="12">
        <v>11412.47</v>
      </c>
      <c r="Q180" s="2">
        <v>787.6</v>
      </c>
      <c r="R180" s="12">
        <v>12200.07</v>
      </c>
      <c r="S180" s="2" t="s">
        <v>23</v>
      </c>
      <c r="T180" s="11"/>
      <c r="U180" s="11"/>
      <c r="V180" s="11"/>
      <c r="W180" s="11"/>
      <c r="X180" s="11"/>
      <c r="Y180" s="11"/>
      <c r="Z180" s="11"/>
    </row>
    <row r="181">
      <c r="A181" s="2">
        <v>2.0</v>
      </c>
      <c r="B181" s="2" t="s">
        <v>41</v>
      </c>
      <c r="C181" s="2">
        <v>8.0</v>
      </c>
      <c r="D181" s="2" t="s">
        <v>489</v>
      </c>
      <c r="E181" s="12">
        <v>4749.9</v>
      </c>
      <c r="F181" s="2">
        <v>388.33</v>
      </c>
      <c r="G181" s="12">
        <v>6566.54</v>
      </c>
      <c r="H181" s="2">
        <v>300.0</v>
      </c>
      <c r="I181" s="11"/>
      <c r="J181" s="11"/>
      <c r="K181" s="2">
        <v>0.0</v>
      </c>
      <c r="L181" s="2">
        <v>0.0</v>
      </c>
      <c r="M181" s="11"/>
      <c r="N181" s="2">
        <v>250.0</v>
      </c>
      <c r="O181" s="2" t="s">
        <v>489</v>
      </c>
      <c r="P181" s="12">
        <v>12254.77</v>
      </c>
      <c r="Q181" s="2">
        <v>431.42</v>
      </c>
      <c r="R181" s="12">
        <v>12686.19</v>
      </c>
      <c r="S181" s="2" t="s">
        <v>57</v>
      </c>
      <c r="T181" s="11"/>
      <c r="U181" s="11"/>
      <c r="V181" s="11"/>
      <c r="W181" s="11"/>
      <c r="X181" s="11"/>
      <c r="Y181" s="11"/>
      <c r="Z181" s="11"/>
    </row>
    <row r="182">
      <c r="A182" s="2">
        <v>2.0</v>
      </c>
      <c r="B182" s="2" t="s">
        <v>41</v>
      </c>
      <c r="C182" s="2">
        <v>8.0</v>
      </c>
      <c r="D182" s="2" t="s">
        <v>498</v>
      </c>
      <c r="E182" s="12">
        <v>4749.9</v>
      </c>
      <c r="F182" s="2">
        <v>240.0</v>
      </c>
      <c r="G182" s="12">
        <v>6413.76</v>
      </c>
      <c r="H182" s="2">
        <v>200.0</v>
      </c>
      <c r="I182" s="2">
        <v>380.0</v>
      </c>
      <c r="J182" s="11"/>
      <c r="K182" s="2">
        <v>0.0</v>
      </c>
      <c r="L182" s="2">
        <v>0.0</v>
      </c>
      <c r="M182" s="11"/>
      <c r="N182" s="2">
        <v>250.0</v>
      </c>
      <c r="O182" s="2" t="s">
        <v>498</v>
      </c>
      <c r="P182" s="12">
        <v>12233.66</v>
      </c>
      <c r="Q182" s="2">
        <v>791.66</v>
      </c>
      <c r="R182" s="12">
        <v>13025.32</v>
      </c>
      <c r="S182" s="2" t="s">
        <v>158</v>
      </c>
      <c r="T182" s="11"/>
      <c r="U182" s="11"/>
      <c r="V182" s="11"/>
      <c r="W182" s="11"/>
      <c r="X182" s="11"/>
      <c r="Y182" s="11"/>
      <c r="Z182" s="11"/>
    </row>
    <row r="183">
      <c r="A183" s="2">
        <v>2.0</v>
      </c>
      <c r="B183" s="2" t="s">
        <v>41</v>
      </c>
      <c r="C183" s="2">
        <v>8.0</v>
      </c>
      <c r="D183" s="2" t="s">
        <v>504</v>
      </c>
      <c r="E183" s="12">
        <v>4725.6</v>
      </c>
      <c r="F183" s="2" t="s">
        <v>115</v>
      </c>
      <c r="G183" s="12">
        <v>6446.05</v>
      </c>
      <c r="H183" s="2">
        <v>766.05</v>
      </c>
      <c r="I183" s="11"/>
      <c r="J183" s="11"/>
      <c r="K183" s="2">
        <v>0.0</v>
      </c>
      <c r="L183" s="2">
        <v>0.0</v>
      </c>
      <c r="M183" s="11"/>
      <c r="N183" s="2">
        <v>250.0</v>
      </c>
      <c r="O183" s="2" t="s">
        <v>504</v>
      </c>
      <c r="P183" s="12">
        <v>12187.7</v>
      </c>
      <c r="Q183" s="2">
        <v>787.6</v>
      </c>
      <c r="R183" s="12">
        <v>12975.3</v>
      </c>
      <c r="S183" s="2" t="s">
        <v>48</v>
      </c>
      <c r="T183" s="11"/>
      <c r="U183" s="11"/>
      <c r="V183" s="11"/>
      <c r="W183" s="11"/>
      <c r="X183" s="11"/>
      <c r="Y183" s="11"/>
      <c r="Z183" s="11"/>
    </row>
    <row r="184">
      <c r="A184" s="2">
        <v>2.0</v>
      </c>
      <c r="B184" s="2" t="s">
        <v>41</v>
      </c>
      <c r="C184" s="2">
        <v>8.0</v>
      </c>
      <c r="D184" s="2" t="s">
        <v>508</v>
      </c>
      <c r="E184" s="12">
        <v>4750.05</v>
      </c>
      <c r="F184" s="2">
        <v>950.01</v>
      </c>
      <c r="G184" s="12">
        <v>7145.25</v>
      </c>
      <c r="H184" s="2">
        <v>300.0</v>
      </c>
      <c r="I184" s="11"/>
      <c r="J184" s="11"/>
      <c r="K184" s="2">
        <v>866.67</v>
      </c>
      <c r="L184" s="2">
        <v>34.67</v>
      </c>
      <c r="M184" s="11"/>
      <c r="N184" s="2">
        <v>250.0</v>
      </c>
      <c r="O184" s="2" t="s">
        <v>508</v>
      </c>
      <c r="P184" s="12">
        <v>14296.65</v>
      </c>
      <c r="Q184" s="2">
        <v>791.68</v>
      </c>
      <c r="R184" s="12">
        <v>15088.33</v>
      </c>
      <c r="S184" s="2" t="s">
        <v>158</v>
      </c>
      <c r="T184" s="11"/>
      <c r="U184" s="11"/>
      <c r="V184" s="11"/>
      <c r="W184" s="11"/>
      <c r="X184" s="11"/>
      <c r="Y184" s="11"/>
      <c r="Z184" s="11"/>
    </row>
    <row r="185">
      <c r="A185" s="2">
        <v>2.0</v>
      </c>
      <c r="B185" s="2" t="s">
        <v>41</v>
      </c>
      <c r="C185" s="2">
        <v>8.0</v>
      </c>
      <c r="D185" s="2" t="s">
        <v>514</v>
      </c>
      <c r="E185" s="12">
        <v>4750.05</v>
      </c>
      <c r="F185" s="2">
        <v>319.17</v>
      </c>
      <c r="G185" s="12">
        <v>6495.49</v>
      </c>
      <c r="H185" s="2">
        <v>200.0</v>
      </c>
      <c r="I185" s="11"/>
      <c r="J185" s="11"/>
      <c r="K185" s="2">
        <v>0.0</v>
      </c>
      <c r="L185" s="2">
        <v>0.0</v>
      </c>
      <c r="M185" s="11"/>
      <c r="N185" s="2">
        <v>250.0</v>
      </c>
      <c r="O185" s="2" t="s">
        <v>514</v>
      </c>
      <c r="P185" s="12">
        <v>12014.71</v>
      </c>
      <c r="Q185" s="2">
        <v>791.68</v>
      </c>
      <c r="R185" s="12">
        <v>12806.39</v>
      </c>
      <c r="S185" s="2" t="s">
        <v>158</v>
      </c>
      <c r="T185" s="11"/>
      <c r="U185" s="11"/>
      <c r="V185" s="11"/>
      <c r="W185" s="11"/>
      <c r="X185" s="11"/>
      <c r="Y185" s="11"/>
      <c r="Z185" s="11"/>
    </row>
    <row r="186">
      <c r="A186" s="2">
        <v>2.0</v>
      </c>
      <c r="B186" s="2" t="s">
        <v>41</v>
      </c>
      <c r="C186" s="2">
        <v>8.0</v>
      </c>
      <c r="D186" s="2" t="s">
        <v>517</v>
      </c>
      <c r="E186" s="12">
        <v>4725.6</v>
      </c>
      <c r="F186" s="2" t="s">
        <v>115</v>
      </c>
      <c r="G186" s="12">
        <v>6136.87</v>
      </c>
      <c r="H186" s="2">
        <v>350.0</v>
      </c>
      <c r="I186" s="11"/>
      <c r="J186" s="11"/>
      <c r="K186" s="12">
        <v>4774.4</v>
      </c>
      <c r="L186" s="2">
        <v>190.98</v>
      </c>
      <c r="M186" s="11"/>
      <c r="N186" s="2">
        <v>250.0</v>
      </c>
      <c r="O186" s="2" t="s">
        <v>517</v>
      </c>
      <c r="P186" s="12">
        <v>16427.85</v>
      </c>
      <c r="Q186" s="2">
        <v>787.6</v>
      </c>
      <c r="R186" s="12">
        <v>17215.45</v>
      </c>
      <c r="S186" s="2" t="s">
        <v>225</v>
      </c>
      <c r="T186" s="11"/>
      <c r="U186" s="11"/>
      <c r="V186" s="11"/>
      <c r="W186" s="11"/>
      <c r="X186" s="11"/>
      <c r="Y186" s="11"/>
      <c r="Z186" s="11"/>
    </row>
    <row r="187">
      <c r="A187" s="2">
        <v>2.0</v>
      </c>
      <c r="B187" s="2" t="s">
        <v>41</v>
      </c>
      <c r="C187" s="2">
        <v>8.0</v>
      </c>
      <c r="D187" s="2" t="s">
        <v>524</v>
      </c>
      <c r="E187" s="12">
        <v>3483.37</v>
      </c>
      <c r="F187" s="2">
        <v>277.17</v>
      </c>
      <c r="G187" s="12">
        <v>5147.54</v>
      </c>
      <c r="H187" s="11"/>
      <c r="I187" s="11"/>
      <c r="J187" s="11"/>
      <c r="K187" s="2">
        <v>0.0</v>
      </c>
      <c r="L187" s="2">
        <v>0.0</v>
      </c>
      <c r="M187" s="11"/>
      <c r="N187" s="2">
        <v>250.0</v>
      </c>
      <c r="O187" s="2" t="s">
        <v>524</v>
      </c>
      <c r="P187" s="12">
        <v>9158.08</v>
      </c>
      <c r="Q187" s="2">
        <v>791.68</v>
      </c>
      <c r="R187" s="12">
        <v>9949.76</v>
      </c>
      <c r="S187" s="2" t="s">
        <v>158</v>
      </c>
      <c r="T187" s="11"/>
      <c r="U187" s="11"/>
      <c r="V187" s="11"/>
      <c r="W187" s="11"/>
      <c r="X187" s="11"/>
      <c r="Y187" s="11"/>
      <c r="Z187" s="11"/>
    </row>
    <row r="188">
      <c r="A188" s="2">
        <v>2.0</v>
      </c>
      <c r="B188" s="2" t="s">
        <v>41</v>
      </c>
      <c r="C188" s="2">
        <v>8.0</v>
      </c>
      <c r="D188" s="2" t="s">
        <v>525</v>
      </c>
      <c r="E188" s="12">
        <v>4750.05</v>
      </c>
      <c r="F188" s="2">
        <v>398.34</v>
      </c>
      <c r="G188" s="12">
        <v>6577.03</v>
      </c>
      <c r="H188" s="11"/>
      <c r="I188" s="2">
        <v>380.0</v>
      </c>
      <c r="J188" s="11"/>
      <c r="K188" s="2">
        <v>0.0</v>
      </c>
      <c r="L188" s="2">
        <v>0.0</v>
      </c>
      <c r="M188" s="11"/>
      <c r="N188" s="2">
        <v>250.0</v>
      </c>
      <c r="O188" s="2" t="s">
        <v>525</v>
      </c>
      <c r="P188" s="12">
        <v>12355.42</v>
      </c>
      <c r="Q188" s="2">
        <v>791.68</v>
      </c>
      <c r="R188" s="12">
        <v>13147.1</v>
      </c>
      <c r="S188" s="2" t="s">
        <v>158</v>
      </c>
      <c r="T188" s="11"/>
      <c r="U188" s="11"/>
      <c r="V188" s="11"/>
      <c r="W188" s="11"/>
      <c r="X188" s="11"/>
      <c r="Y188" s="11"/>
      <c r="Z188" s="11"/>
    </row>
    <row r="189">
      <c r="A189" s="2">
        <v>2.0</v>
      </c>
      <c r="B189" s="2" t="s">
        <v>41</v>
      </c>
      <c r="C189" s="2">
        <v>8.0</v>
      </c>
      <c r="D189" s="2" t="s">
        <v>526</v>
      </c>
      <c r="E189" s="12">
        <v>5000.0</v>
      </c>
      <c r="F189" s="2" t="s">
        <v>115</v>
      </c>
      <c r="G189" s="12">
        <v>6799.23</v>
      </c>
      <c r="H189" s="11"/>
      <c r="I189" s="11"/>
      <c r="J189" s="2">
        <v>560.0</v>
      </c>
      <c r="K189" s="12">
        <v>2226.64</v>
      </c>
      <c r="L189" s="2">
        <v>111.47</v>
      </c>
      <c r="M189" s="11"/>
      <c r="N189" s="2">
        <v>250.0</v>
      </c>
      <c r="O189" s="2" t="s">
        <v>526</v>
      </c>
      <c r="P189" s="12">
        <v>14947.34</v>
      </c>
      <c r="Q189" s="2">
        <v>833.33</v>
      </c>
      <c r="R189" s="12">
        <v>15780.67</v>
      </c>
      <c r="S189" s="2" t="s">
        <v>78</v>
      </c>
      <c r="T189" s="11"/>
      <c r="U189" s="11"/>
      <c r="V189" s="11"/>
      <c r="W189" s="11"/>
      <c r="X189" s="11"/>
      <c r="Y189" s="11"/>
      <c r="Z189" s="11"/>
    </row>
    <row r="190">
      <c r="A190" s="2">
        <v>2.0</v>
      </c>
      <c r="B190" s="2" t="s">
        <v>41</v>
      </c>
      <c r="C190" s="2">
        <v>8.0</v>
      </c>
      <c r="D190" s="2" t="s">
        <v>527</v>
      </c>
      <c r="E190" s="12">
        <v>4750.01</v>
      </c>
      <c r="F190" s="2">
        <v>220.12</v>
      </c>
      <c r="G190" s="12">
        <v>6393.41</v>
      </c>
      <c r="H190" s="11"/>
      <c r="I190" s="2">
        <v>380.0</v>
      </c>
      <c r="J190" s="11"/>
      <c r="K190" s="2">
        <v>0.0</v>
      </c>
      <c r="L190" s="2">
        <v>0.0</v>
      </c>
      <c r="M190" s="11"/>
      <c r="N190" s="2">
        <v>250.0</v>
      </c>
      <c r="O190" s="2" t="s">
        <v>527</v>
      </c>
      <c r="P190" s="12">
        <v>11993.54</v>
      </c>
      <c r="Q190" s="2">
        <v>791.67</v>
      </c>
      <c r="R190" s="12">
        <v>12785.21</v>
      </c>
      <c r="S190" s="2" t="s">
        <v>23</v>
      </c>
      <c r="T190" s="11"/>
      <c r="U190" s="11"/>
      <c r="V190" s="11"/>
      <c r="W190" s="11"/>
      <c r="X190" s="11"/>
      <c r="Y190" s="11"/>
      <c r="Z190" s="11"/>
    </row>
    <row r="191">
      <c r="A191" s="2">
        <v>2.0</v>
      </c>
      <c r="B191" s="2" t="s">
        <v>41</v>
      </c>
      <c r="C191" s="2">
        <v>8.0</v>
      </c>
      <c r="D191" s="2" t="s">
        <v>528</v>
      </c>
      <c r="E191" s="12">
        <v>4750.01</v>
      </c>
      <c r="F191" s="2">
        <v>226.5</v>
      </c>
      <c r="G191" s="12">
        <v>6399.98</v>
      </c>
      <c r="H191" s="11"/>
      <c r="I191" s="11"/>
      <c r="J191" s="11"/>
      <c r="K191" s="2">
        <v>0.0</v>
      </c>
      <c r="L191" s="2">
        <v>0.0</v>
      </c>
      <c r="M191" s="11"/>
      <c r="N191" s="2">
        <v>250.0</v>
      </c>
      <c r="O191" s="2" t="s">
        <v>528</v>
      </c>
      <c r="P191" s="12">
        <v>11626.49</v>
      </c>
      <c r="Q191" s="2">
        <v>791.67</v>
      </c>
      <c r="R191" s="12">
        <v>12418.16</v>
      </c>
      <c r="S191" s="2" t="s">
        <v>158</v>
      </c>
      <c r="T191" s="11"/>
      <c r="U191" s="11"/>
      <c r="V191" s="11"/>
      <c r="W191" s="11"/>
      <c r="X191" s="11"/>
      <c r="Y191" s="11"/>
      <c r="Z191" s="11"/>
    </row>
    <row r="192">
      <c r="A192" s="2">
        <v>2.0</v>
      </c>
      <c r="B192" s="2" t="s">
        <v>41</v>
      </c>
      <c r="C192" s="2">
        <v>8.0</v>
      </c>
      <c r="D192" s="2" t="s">
        <v>529</v>
      </c>
      <c r="E192" s="2">
        <v>0.0</v>
      </c>
      <c r="F192" s="2" t="s">
        <v>115</v>
      </c>
      <c r="G192" s="2" t="s">
        <v>115</v>
      </c>
      <c r="H192" s="11"/>
      <c r="I192" s="11"/>
      <c r="J192" s="11"/>
      <c r="K192" s="2">
        <v>0.0</v>
      </c>
      <c r="L192" s="2">
        <v>0.0</v>
      </c>
      <c r="M192" s="11"/>
      <c r="N192" s="2">
        <v>250.0</v>
      </c>
      <c r="O192" s="2" t="s">
        <v>529</v>
      </c>
      <c r="P192" s="2">
        <v>250.0</v>
      </c>
      <c r="Q192" s="2">
        <v>791.67</v>
      </c>
      <c r="R192" s="12">
        <v>1041.67</v>
      </c>
      <c r="S192" s="2" t="s">
        <v>158</v>
      </c>
      <c r="T192" s="11"/>
      <c r="U192" s="11"/>
      <c r="V192" s="11"/>
      <c r="W192" s="11"/>
      <c r="X192" s="11"/>
      <c r="Y192" s="11"/>
      <c r="Z192" s="11"/>
    </row>
    <row r="193">
      <c r="A193" s="2">
        <v>2.0</v>
      </c>
      <c r="B193" s="2" t="s">
        <v>41</v>
      </c>
      <c r="C193" s="2">
        <v>8.0</v>
      </c>
      <c r="D193" s="2" t="s">
        <v>530</v>
      </c>
      <c r="E193" s="12">
        <v>4725.6</v>
      </c>
      <c r="F193" s="12">
        <v>2791.12</v>
      </c>
      <c r="G193" s="12">
        <v>9011.73</v>
      </c>
      <c r="H193" s="11"/>
      <c r="I193" s="11"/>
      <c r="J193" s="2">
        <v>560.0</v>
      </c>
      <c r="K193" s="2">
        <v>46.94</v>
      </c>
      <c r="L193" s="2">
        <v>24.28</v>
      </c>
      <c r="M193" s="11"/>
      <c r="N193" s="2">
        <v>250.0</v>
      </c>
      <c r="O193" s="2" t="s">
        <v>530</v>
      </c>
      <c r="P193" s="12">
        <v>17409.67</v>
      </c>
      <c r="Q193" s="2">
        <v>787.6</v>
      </c>
      <c r="R193" s="12">
        <v>18197.27</v>
      </c>
      <c r="S193" s="2" t="s">
        <v>78</v>
      </c>
      <c r="T193" s="11"/>
      <c r="U193" s="11"/>
      <c r="V193" s="11"/>
      <c r="W193" s="11"/>
      <c r="X193" s="11"/>
      <c r="Y193" s="11"/>
      <c r="Z193" s="11"/>
    </row>
    <row r="194">
      <c r="A194" s="2">
        <v>2.0</v>
      </c>
      <c r="B194" s="2" t="s">
        <v>41</v>
      </c>
      <c r="C194" s="2">
        <v>8.0</v>
      </c>
      <c r="D194" s="2" t="s">
        <v>532</v>
      </c>
      <c r="E194" s="12">
        <v>4750.01</v>
      </c>
      <c r="F194" s="2">
        <v>220.12</v>
      </c>
      <c r="G194" s="12">
        <v>6393.41</v>
      </c>
      <c r="H194" s="11"/>
      <c r="I194" s="2">
        <v>380.0</v>
      </c>
      <c r="J194" s="11"/>
      <c r="K194" s="2">
        <v>0.0</v>
      </c>
      <c r="L194" s="2">
        <v>0.0</v>
      </c>
      <c r="M194" s="11"/>
      <c r="N194" s="2">
        <v>250.0</v>
      </c>
      <c r="O194" s="2" t="s">
        <v>532</v>
      </c>
      <c r="P194" s="12">
        <v>11993.54</v>
      </c>
      <c r="Q194" s="2">
        <v>791.67</v>
      </c>
      <c r="R194" s="12">
        <v>12785.21</v>
      </c>
      <c r="S194" s="2" t="s">
        <v>158</v>
      </c>
      <c r="T194" s="11"/>
      <c r="U194" s="11"/>
      <c r="V194" s="11"/>
      <c r="W194" s="11"/>
      <c r="X194" s="11"/>
      <c r="Y194" s="11"/>
      <c r="Z194" s="11"/>
    </row>
    <row r="195">
      <c r="A195" s="2">
        <v>2.0</v>
      </c>
      <c r="B195" s="2" t="s">
        <v>41</v>
      </c>
      <c r="C195" s="2">
        <v>8.0</v>
      </c>
      <c r="D195" s="2" t="s">
        <v>533</v>
      </c>
      <c r="E195" s="12">
        <v>4725.6</v>
      </c>
      <c r="F195" s="2">
        <v>90.0</v>
      </c>
      <c r="G195" s="12">
        <v>6229.57</v>
      </c>
      <c r="H195" s="11"/>
      <c r="I195" s="2">
        <v>378.05</v>
      </c>
      <c r="J195" s="11"/>
      <c r="K195" s="2">
        <v>0.0</v>
      </c>
      <c r="L195" s="2">
        <v>0.0</v>
      </c>
      <c r="M195" s="11"/>
      <c r="N195" s="2">
        <v>250.0</v>
      </c>
      <c r="O195" s="2" t="s">
        <v>533</v>
      </c>
      <c r="P195" s="12">
        <v>11673.22</v>
      </c>
      <c r="Q195" s="2">
        <v>787.6</v>
      </c>
      <c r="R195" s="12">
        <v>12460.82</v>
      </c>
      <c r="S195" s="2" t="s">
        <v>23</v>
      </c>
      <c r="T195" s="11"/>
      <c r="U195" s="11"/>
      <c r="V195" s="11"/>
      <c r="W195" s="11"/>
      <c r="X195" s="11"/>
      <c r="Y195" s="11"/>
      <c r="Z195" s="11"/>
    </row>
    <row r="196">
      <c r="A196" s="2">
        <v>2.0</v>
      </c>
      <c r="B196" s="2" t="s">
        <v>41</v>
      </c>
      <c r="C196" s="2">
        <v>8.0</v>
      </c>
      <c r="D196" s="2" t="s">
        <v>534</v>
      </c>
      <c r="E196" s="12">
        <v>4750.0</v>
      </c>
      <c r="F196" s="2">
        <v>224.0</v>
      </c>
      <c r="G196" s="12">
        <v>6397.4</v>
      </c>
      <c r="H196" s="11"/>
      <c r="I196" s="11"/>
      <c r="J196" s="11"/>
      <c r="K196" s="2">
        <v>0.0</v>
      </c>
      <c r="L196" s="2">
        <v>0.0</v>
      </c>
      <c r="M196" s="11"/>
      <c r="N196" s="2">
        <v>250.0</v>
      </c>
      <c r="O196" s="2" t="s">
        <v>534</v>
      </c>
      <c r="P196" s="12">
        <v>11621.4</v>
      </c>
      <c r="Q196" s="2">
        <v>791.67</v>
      </c>
      <c r="R196" s="12">
        <v>12413.07</v>
      </c>
      <c r="S196" s="2" t="s">
        <v>158</v>
      </c>
      <c r="T196" s="11"/>
      <c r="U196" s="11"/>
      <c r="V196" s="11"/>
      <c r="W196" s="11"/>
      <c r="X196" s="11"/>
      <c r="Y196" s="11"/>
      <c r="Z196" s="11"/>
    </row>
    <row r="197">
      <c r="A197" s="2">
        <v>2.0</v>
      </c>
      <c r="B197" s="2" t="s">
        <v>41</v>
      </c>
      <c r="C197" s="2">
        <v>8.0</v>
      </c>
      <c r="D197" s="2" t="s">
        <v>535</v>
      </c>
      <c r="E197" s="12">
        <v>4725.6</v>
      </c>
      <c r="F197" s="2">
        <v>120.0</v>
      </c>
      <c r="G197" s="12">
        <v>6260.47</v>
      </c>
      <c r="H197" s="11"/>
      <c r="I197" s="11"/>
      <c r="J197" s="11"/>
      <c r="K197" s="2">
        <v>0.0</v>
      </c>
      <c r="L197" s="2">
        <v>0.0</v>
      </c>
      <c r="M197" s="11"/>
      <c r="N197" s="2">
        <v>250.0</v>
      </c>
      <c r="O197" s="2" t="s">
        <v>535</v>
      </c>
      <c r="P197" s="12">
        <v>11356.07</v>
      </c>
      <c r="Q197" s="2">
        <v>787.6</v>
      </c>
      <c r="R197" s="12">
        <v>12143.67</v>
      </c>
      <c r="S197" s="2" t="s">
        <v>480</v>
      </c>
      <c r="T197" s="11"/>
      <c r="U197" s="11"/>
      <c r="V197" s="11"/>
      <c r="W197" s="11"/>
      <c r="X197" s="11"/>
      <c r="Y197" s="11"/>
      <c r="Z197" s="11"/>
    </row>
    <row r="198">
      <c r="A198" s="2">
        <v>2.0</v>
      </c>
      <c r="B198" s="2" t="s">
        <v>41</v>
      </c>
      <c r="C198" s="2">
        <v>8.0</v>
      </c>
      <c r="D198" s="2" t="s">
        <v>536</v>
      </c>
      <c r="E198" s="12">
        <v>4750.0</v>
      </c>
      <c r="F198" s="2">
        <v>396.33</v>
      </c>
      <c r="G198" s="12">
        <v>6574.91</v>
      </c>
      <c r="H198" s="11"/>
      <c r="I198" s="2">
        <v>380.0</v>
      </c>
      <c r="J198" s="11"/>
      <c r="K198" s="2">
        <v>0.0</v>
      </c>
      <c r="L198" s="2">
        <v>0.0</v>
      </c>
      <c r="M198" s="11"/>
      <c r="N198" s="2">
        <v>250.0</v>
      </c>
      <c r="O198" s="2" t="s">
        <v>536</v>
      </c>
      <c r="P198" s="12">
        <v>12351.24</v>
      </c>
      <c r="Q198" s="2">
        <v>791.67</v>
      </c>
      <c r="R198" s="12">
        <v>13142.91</v>
      </c>
      <c r="S198" s="2" t="s">
        <v>158</v>
      </c>
      <c r="T198" s="11"/>
      <c r="U198" s="11"/>
      <c r="V198" s="11"/>
      <c r="W198" s="11"/>
      <c r="X198" s="11"/>
      <c r="Y198" s="11"/>
      <c r="Z198" s="11"/>
    </row>
    <row r="199">
      <c r="A199" s="2">
        <v>2.0</v>
      </c>
      <c r="B199" s="2" t="s">
        <v>41</v>
      </c>
      <c r="C199" s="2">
        <v>8.0</v>
      </c>
      <c r="D199" s="2" t="s">
        <v>540</v>
      </c>
      <c r="E199" s="12">
        <v>4725.6</v>
      </c>
      <c r="F199" s="2">
        <v>90.0</v>
      </c>
      <c r="G199" s="12">
        <v>6538.75</v>
      </c>
      <c r="H199" s="2">
        <v>766.05</v>
      </c>
      <c r="I199" s="11"/>
      <c r="J199" s="11"/>
      <c r="K199" s="2">
        <v>0.0</v>
      </c>
      <c r="L199" s="2">
        <v>0.0</v>
      </c>
      <c r="M199" s="11"/>
      <c r="N199" s="2">
        <v>250.0</v>
      </c>
      <c r="O199" s="2" t="s">
        <v>540</v>
      </c>
      <c r="P199" s="12">
        <v>12370.4</v>
      </c>
      <c r="Q199" s="2">
        <v>787.6</v>
      </c>
      <c r="R199" s="12">
        <v>13158.0</v>
      </c>
      <c r="S199" s="2" t="s">
        <v>31</v>
      </c>
      <c r="T199" s="11"/>
      <c r="U199" s="11"/>
      <c r="V199" s="11"/>
      <c r="W199" s="11"/>
      <c r="X199" s="11"/>
      <c r="Y199" s="11"/>
      <c r="Z199" s="11"/>
    </row>
    <row r="200">
      <c r="A200" s="2">
        <v>2.0</v>
      </c>
      <c r="B200" s="2" t="s">
        <v>41</v>
      </c>
      <c r="C200" s="2">
        <v>8.0</v>
      </c>
      <c r="D200" s="2" t="s">
        <v>541</v>
      </c>
      <c r="E200" s="12">
        <v>4750.0</v>
      </c>
      <c r="F200" s="2">
        <v>305.17</v>
      </c>
      <c r="G200" s="12">
        <v>6481.0</v>
      </c>
      <c r="H200" s="11"/>
      <c r="I200" s="2">
        <v>380.0</v>
      </c>
      <c r="J200" s="11"/>
      <c r="K200" s="2">
        <v>0.0</v>
      </c>
      <c r="L200" s="2">
        <v>0.0</v>
      </c>
      <c r="M200" s="11"/>
      <c r="N200" s="2">
        <v>250.0</v>
      </c>
      <c r="O200" s="2" t="s">
        <v>541</v>
      </c>
      <c r="P200" s="12">
        <v>12166.17</v>
      </c>
      <c r="Q200" s="2">
        <v>791.67</v>
      </c>
      <c r="R200" s="12">
        <v>12957.84</v>
      </c>
      <c r="S200" s="2" t="s">
        <v>158</v>
      </c>
      <c r="T200" s="11"/>
      <c r="U200" s="11"/>
      <c r="V200" s="11"/>
      <c r="W200" s="11"/>
      <c r="X200" s="11"/>
      <c r="Y200" s="11"/>
      <c r="Z200" s="11"/>
    </row>
    <row r="201">
      <c r="A201" s="2">
        <v>2.0</v>
      </c>
      <c r="B201" s="2" t="s">
        <v>41</v>
      </c>
      <c r="C201" s="2">
        <v>8.0</v>
      </c>
      <c r="D201" s="2" t="s">
        <v>568</v>
      </c>
      <c r="E201" s="12">
        <v>4433.33</v>
      </c>
      <c r="F201" s="12">
        <v>2244.5</v>
      </c>
      <c r="G201" s="12">
        <v>8152.35</v>
      </c>
      <c r="H201" s="11"/>
      <c r="I201" s="11"/>
      <c r="J201" s="11"/>
      <c r="K201" s="2">
        <v>0.0</v>
      </c>
      <c r="L201" s="2">
        <v>0.0</v>
      </c>
      <c r="M201" s="11"/>
      <c r="N201" s="2">
        <v>250.0</v>
      </c>
      <c r="O201" s="2" t="s">
        <v>568</v>
      </c>
      <c r="P201" s="12">
        <v>15080.18</v>
      </c>
      <c r="Q201" s="2">
        <v>791.67</v>
      </c>
      <c r="R201" s="12">
        <v>15871.85</v>
      </c>
      <c r="S201" s="2" t="s">
        <v>158</v>
      </c>
      <c r="T201" s="11"/>
      <c r="U201" s="11"/>
      <c r="V201" s="11"/>
      <c r="W201" s="11"/>
      <c r="X201" s="11"/>
      <c r="Y201" s="11"/>
      <c r="Z201" s="11"/>
    </row>
    <row r="202">
      <c r="A202" s="2">
        <v>2.0</v>
      </c>
      <c r="B202" s="2" t="s">
        <v>41</v>
      </c>
      <c r="C202" s="2">
        <v>8.0</v>
      </c>
      <c r="D202" s="2" t="s">
        <v>569</v>
      </c>
      <c r="E202" s="12">
        <v>4750.0</v>
      </c>
      <c r="F202" s="2">
        <v>220.0</v>
      </c>
      <c r="G202" s="12">
        <v>6376.52</v>
      </c>
      <c r="H202" s="11"/>
      <c r="I202" s="11"/>
      <c r="J202" s="11"/>
      <c r="K202" s="2">
        <v>0.0</v>
      </c>
      <c r="L202" s="2">
        <v>0.0</v>
      </c>
      <c r="M202" s="11"/>
      <c r="N202" s="2">
        <v>250.0</v>
      </c>
      <c r="O202" s="2" t="s">
        <v>569</v>
      </c>
      <c r="P202" s="12">
        <v>11596.52</v>
      </c>
      <c r="Q202" s="2">
        <v>791.67</v>
      </c>
      <c r="R202" s="12">
        <v>12388.19</v>
      </c>
      <c r="S202" s="2" t="s">
        <v>158</v>
      </c>
      <c r="T202" s="11"/>
      <c r="U202" s="11"/>
      <c r="V202" s="11"/>
      <c r="W202" s="11"/>
      <c r="X202" s="11"/>
      <c r="Y202" s="11"/>
      <c r="Z202" s="11"/>
    </row>
    <row r="203">
      <c r="A203" s="2">
        <v>2.0</v>
      </c>
      <c r="B203" s="2" t="s">
        <v>41</v>
      </c>
      <c r="C203" s="2">
        <v>8.0</v>
      </c>
      <c r="D203" s="2" t="s">
        <v>570</v>
      </c>
      <c r="E203" s="12">
        <v>5000.0</v>
      </c>
      <c r="F203" s="2" t="s">
        <v>115</v>
      </c>
      <c r="G203" s="12">
        <v>6454.7</v>
      </c>
      <c r="H203" s="11"/>
      <c r="I203" s="11"/>
      <c r="J203" s="2">
        <v>600.0</v>
      </c>
      <c r="K203" s="12">
        <v>2727.49</v>
      </c>
      <c r="L203" s="2">
        <v>133.1</v>
      </c>
      <c r="M203" s="11"/>
      <c r="N203" s="2">
        <v>250.0</v>
      </c>
      <c r="O203" s="2" t="s">
        <v>570</v>
      </c>
      <c r="P203" s="12">
        <v>15165.29</v>
      </c>
      <c r="Q203" s="2">
        <v>-463.33</v>
      </c>
      <c r="R203" s="12">
        <v>14701.96</v>
      </c>
      <c r="S203" s="2" t="s">
        <v>55</v>
      </c>
      <c r="T203" s="11"/>
      <c r="U203" s="11"/>
      <c r="V203" s="11"/>
      <c r="W203" s="11"/>
      <c r="X203" s="11"/>
      <c r="Y203" s="11"/>
      <c r="Z203" s="11"/>
    </row>
    <row r="204">
      <c r="A204" s="2">
        <v>2.0</v>
      </c>
      <c r="B204" s="2" t="s">
        <v>41</v>
      </c>
      <c r="C204" s="2">
        <v>8.0</v>
      </c>
      <c r="D204" s="2" t="s">
        <v>571</v>
      </c>
      <c r="E204" s="12">
        <v>4433.33</v>
      </c>
      <c r="F204" s="2">
        <v>206.17</v>
      </c>
      <c r="G204" s="12">
        <v>6036.1</v>
      </c>
      <c r="H204" s="11"/>
      <c r="I204" s="2">
        <v>354.67</v>
      </c>
      <c r="J204" s="11"/>
      <c r="K204" s="2">
        <v>0.0</v>
      </c>
      <c r="L204" s="2">
        <v>0.0</v>
      </c>
      <c r="M204" s="11"/>
      <c r="N204" s="2">
        <v>250.0</v>
      </c>
      <c r="O204" s="2" t="s">
        <v>571</v>
      </c>
      <c r="P204" s="12">
        <v>11280.27</v>
      </c>
      <c r="Q204" s="2">
        <v>791.67</v>
      </c>
      <c r="R204" s="12">
        <v>12071.94</v>
      </c>
      <c r="S204" s="2" t="s">
        <v>158</v>
      </c>
      <c r="T204" s="11"/>
      <c r="U204" s="11"/>
      <c r="V204" s="11"/>
      <c r="W204" s="11"/>
      <c r="X204" s="11"/>
      <c r="Y204" s="11"/>
      <c r="Z204" s="11"/>
    </row>
    <row r="205">
      <c r="A205" s="2">
        <v>2.0</v>
      </c>
      <c r="B205" s="2" t="s">
        <v>41</v>
      </c>
      <c r="C205" s="2">
        <v>8.0</v>
      </c>
      <c r="D205" s="2" t="s">
        <v>572</v>
      </c>
      <c r="E205" s="12">
        <v>3800.0</v>
      </c>
      <c r="F205" s="2">
        <v>255.17</v>
      </c>
      <c r="G205" s="12">
        <v>5182.75</v>
      </c>
      <c r="H205" s="11"/>
      <c r="I205" s="2">
        <v>304.0</v>
      </c>
      <c r="J205" s="11"/>
      <c r="K205" s="2">
        <v>0.0</v>
      </c>
      <c r="L205" s="2">
        <v>0.0</v>
      </c>
      <c r="M205" s="11"/>
      <c r="N205" s="2">
        <v>250.0</v>
      </c>
      <c r="O205" s="2" t="s">
        <v>572</v>
      </c>
      <c r="P205" s="12">
        <v>9791.92</v>
      </c>
      <c r="Q205" s="2">
        <v>791.67</v>
      </c>
      <c r="R205" s="12">
        <v>10583.59</v>
      </c>
      <c r="S205" s="2" t="s">
        <v>158</v>
      </c>
      <c r="T205" s="11"/>
      <c r="U205" s="11"/>
      <c r="V205" s="11"/>
      <c r="W205" s="11"/>
      <c r="X205" s="11"/>
      <c r="Y205" s="11"/>
      <c r="Z205" s="11"/>
    </row>
    <row r="206">
      <c r="A206" s="2">
        <v>2.0</v>
      </c>
      <c r="B206" s="2" t="s">
        <v>41</v>
      </c>
      <c r="C206" s="2">
        <v>8.0</v>
      </c>
      <c r="D206" s="2" t="s">
        <v>573</v>
      </c>
      <c r="E206" s="12">
        <v>1900.0</v>
      </c>
      <c r="F206" s="2">
        <v>82.0</v>
      </c>
      <c r="G206" s="12">
        <v>2544.43</v>
      </c>
      <c r="H206" s="11"/>
      <c r="I206" s="11"/>
      <c r="J206" s="11"/>
      <c r="K206" s="2">
        <v>0.0</v>
      </c>
      <c r="L206" s="2">
        <v>0.0</v>
      </c>
      <c r="M206" s="11"/>
      <c r="N206" s="2">
        <v>250.0</v>
      </c>
      <c r="O206" s="2" t="s">
        <v>573</v>
      </c>
      <c r="P206" s="12">
        <v>4776.43</v>
      </c>
      <c r="Q206" s="2">
        <v>791.67</v>
      </c>
      <c r="R206" s="12">
        <v>5568.1</v>
      </c>
      <c r="S206" s="2" t="s">
        <v>158</v>
      </c>
      <c r="T206" s="11"/>
      <c r="U206" s="11"/>
      <c r="V206" s="11"/>
      <c r="W206" s="11"/>
      <c r="X206" s="11"/>
      <c r="Y206" s="11"/>
      <c r="Z206" s="11"/>
    </row>
    <row r="207">
      <c r="A207" s="2">
        <v>2.0</v>
      </c>
      <c r="B207" s="2" t="s">
        <v>41</v>
      </c>
      <c r="C207" s="2">
        <v>8.0</v>
      </c>
      <c r="D207" s="2" t="s">
        <v>574</v>
      </c>
      <c r="E207" s="12">
        <v>1583.33</v>
      </c>
      <c r="F207" s="2">
        <v>68.0</v>
      </c>
      <c r="G207" s="12">
        <v>2120.01</v>
      </c>
      <c r="H207" s="11"/>
      <c r="I207" s="11"/>
      <c r="J207" s="11"/>
      <c r="K207" s="2">
        <v>0.0</v>
      </c>
      <c r="L207" s="2">
        <v>0.0</v>
      </c>
      <c r="M207" s="11"/>
      <c r="N207" s="2">
        <v>250.0</v>
      </c>
      <c r="O207" s="2" t="s">
        <v>574</v>
      </c>
      <c r="P207" s="12">
        <v>4021.34</v>
      </c>
      <c r="Q207" s="2">
        <v>791.67</v>
      </c>
      <c r="R207" s="12">
        <v>4813.01</v>
      </c>
      <c r="S207" s="2" t="s">
        <v>158</v>
      </c>
      <c r="T207" s="11"/>
      <c r="U207" s="11"/>
      <c r="V207" s="11"/>
      <c r="W207" s="11"/>
      <c r="X207" s="11"/>
      <c r="Y207" s="11"/>
      <c r="Z207" s="11"/>
    </row>
    <row r="208">
      <c r="A208" s="2">
        <v>2.0</v>
      </c>
      <c r="B208" s="2" t="s">
        <v>41</v>
      </c>
      <c r="C208" s="2">
        <v>8.0</v>
      </c>
      <c r="D208" s="2" t="s">
        <v>575</v>
      </c>
      <c r="E208" s="12">
        <v>1583.33</v>
      </c>
      <c r="F208" s="2">
        <v>68.0</v>
      </c>
      <c r="G208" s="12">
        <v>2120.01</v>
      </c>
      <c r="H208" s="11"/>
      <c r="I208" s="11"/>
      <c r="J208" s="11"/>
      <c r="K208" s="2">
        <v>0.0</v>
      </c>
      <c r="L208" s="2">
        <v>0.0</v>
      </c>
      <c r="M208" s="11"/>
      <c r="N208" s="2">
        <v>250.0</v>
      </c>
      <c r="O208" s="2" t="s">
        <v>575</v>
      </c>
      <c r="P208" s="12">
        <v>4021.34</v>
      </c>
      <c r="Q208" s="2">
        <v>791.67</v>
      </c>
      <c r="R208" s="12">
        <v>4813.01</v>
      </c>
      <c r="S208" s="2" t="s">
        <v>158</v>
      </c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</row>
    <row r="1015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  <row r="1017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</row>
    <row r="1018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</row>
    <row r="1019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</row>
    <row r="1020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</row>
    <row r="1022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</row>
    <row r="1023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</row>
    <row r="1024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</row>
    <row r="1025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</row>
    <row r="1026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</row>
    <row r="1027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</row>
    <row r="1028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</row>
    <row r="1029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</row>
    <row r="1030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</row>
    <row r="1031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</row>
    <row r="1032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</row>
    <row r="1033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</row>
    <row r="1034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</row>
    <row r="1035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</row>
    <row r="1036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</row>
    <row r="1037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</row>
    <row r="1038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</row>
    <row r="1039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</row>
    <row r="1040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</row>
    <row r="1041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</row>
    <row r="1042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</row>
    <row r="1043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</row>
    <row r="1044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</row>
    <row r="1045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</row>
    <row r="1046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</row>
    <row r="1047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</row>
    <row r="1048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</row>
    <row r="1049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</row>
    <row r="1050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</row>
    <row r="1051">
      <c r="A1051" s="11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</row>
    <row r="1052">
      <c r="A1052" s="11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</row>
    <row r="1053">
      <c r="A1053" s="11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</row>
    <row r="1054">
      <c r="A1054" s="11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</row>
    <row r="1055">
      <c r="A1055" s="11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</row>
    <row r="1056">
      <c r="A1056" s="11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</row>
    <row r="1057">
      <c r="A1057" s="11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</row>
    <row r="1058">
      <c r="A1058" s="11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</row>
    <row r="1059">
      <c r="A1059" s="11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</row>
    <row r="1060">
      <c r="A1060" s="11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</row>
    <row r="1061">
      <c r="A1061" s="11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</row>
    <row r="1062">
      <c r="A1062" s="11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</row>
    <row r="1063">
      <c r="A1063" s="11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</row>
    <row r="1064">
      <c r="A1064" s="11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</row>
    <row r="1065">
      <c r="A1065" s="11"/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</row>
    <row r="1066">
      <c r="A1066" s="11"/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</row>
    <row r="1067">
      <c r="A1067" s="11"/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</row>
    <row r="1068">
      <c r="A1068" s="11"/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</row>
    <row r="1069">
      <c r="A1069" s="11"/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</row>
    <row r="1070">
      <c r="A1070" s="11"/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</row>
    <row r="1071">
      <c r="A1071" s="11"/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</row>
    <row r="1072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</row>
    <row r="1073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</row>
    <row r="1074">
      <c r="A1074" s="11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</row>
    <row r="1075">
      <c r="A1075" s="11"/>
      <c r="B1075" s="11"/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</row>
    <row r="1076">
      <c r="A1076" s="11"/>
      <c r="B1076" s="11"/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</row>
    <row r="1077">
      <c r="A1077" s="11"/>
      <c r="B1077" s="11"/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</row>
    <row r="1078">
      <c r="A1078" s="11"/>
      <c r="B1078" s="11"/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</row>
    <row r="1079">
      <c r="A1079" s="11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</row>
    <row r="1080">
      <c r="A1080" s="11"/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</row>
    <row r="1081">
      <c r="A1081" s="11"/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</row>
    <row r="1082">
      <c r="A1082" s="11"/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</row>
    <row r="1083">
      <c r="A1083" s="11"/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</row>
    <row r="1084">
      <c r="A1084" s="11"/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</row>
    <row r="1085">
      <c r="A1085" s="11"/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</row>
    <row r="1086">
      <c r="A1086" s="11"/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</row>
    <row r="1087">
      <c r="A1087" s="11"/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</row>
    <row r="1088">
      <c r="A1088" s="11"/>
      <c r="B1088" s="11"/>
      <c r="C1088" s="11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</row>
    <row r="1089">
      <c r="A1089" s="11"/>
      <c r="B1089" s="11"/>
      <c r="C1089" s="11"/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</row>
    <row r="1090">
      <c r="A1090" s="11"/>
      <c r="B1090" s="11"/>
      <c r="C1090" s="11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</row>
    <row r="1091">
      <c r="A1091" s="11"/>
      <c r="B1091" s="11"/>
      <c r="C1091" s="11"/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</row>
    <row r="1092">
      <c r="A1092" s="11"/>
      <c r="B1092" s="11"/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</row>
    <row r="1093">
      <c r="A1093" s="11"/>
      <c r="B1093" s="11"/>
      <c r="C1093" s="11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</row>
    <row r="1094">
      <c r="A1094" s="11"/>
      <c r="B1094" s="11"/>
      <c r="C1094" s="11"/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</row>
    <row r="1095">
      <c r="A1095" s="11"/>
      <c r="B1095" s="11"/>
      <c r="C1095" s="11"/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</row>
    <row r="1096">
      <c r="A1096" s="11"/>
      <c r="B1096" s="11"/>
      <c r="C1096" s="11"/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</row>
    <row r="1097">
      <c r="A1097" s="11"/>
      <c r="B1097" s="11"/>
      <c r="C1097" s="11"/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</row>
    <row r="1098">
      <c r="A1098" s="11"/>
      <c r="B1098" s="11"/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</row>
    <row r="1099">
      <c r="A1099" s="11"/>
      <c r="B1099" s="11"/>
      <c r="C1099" s="11"/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</row>
    <row r="1100">
      <c r="A1100" s="11"/>
      <c r="B1100" s="11"/>
      <c r="C1100" s="11"/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</row>
    <row r="1101">
      <c r="A1101" s="11"/>
      <c r="B1101" s="11"/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</row>
    <row r="1102">
      <c r="A1102" s="11"/>
      <c r="B1102" s="11"/>
      <c r="C1102" s="11"/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</row>
    <row r="1103">
      <c r="A1103" s="11"/>
      <c r="B1103" s="11"/>
      <c r="C1103" s="11"/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</row>
    <row r="1104">
      <c r="A1104" s="11"/>
      <c r="B1104" s="11"/>
      <c r="C1104" s="11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</row>
    <row r="1105">
      <c r="A1105" s="11"/>
      <c r="B1105" s="11"/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</row>
    <row r="1106">
      <c r="A1106" s="11"/>
      <c r="B1106" s="11"/>
      <c r="C1106" s="11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</row>
    <row r="1107">
      <c r="A1107" s="11"/>
      <c r="B1107" s="11"/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</row>
    <row r="1108">
      <c r="A1108" s="11"/>
      <c r="B1108" s="11"/>
      <c r="C1108" s="11"/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</row>
    <row r="1109">
      <c r="A1109" s="11"/>
      <c r="B1109" s="11"/>
      <c r="C1109" s="11"/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</row>
    <row r="1110">
      <c r="A1110" s="11"/>
      <c r="B1110" s="11"/>
      <c r="C1110" s="11"/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</row>
    <row r="1111">
      <c r="A1111" s="11"/>
      <c r="B1111" s="11"/>
      <c r="C1111" s="11"/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</row>
    <row r="1112">
      <c r="A1112" s="11"/>
      <c r="B1112" s="11"/>
      <c r="C1112" s="11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</row>
    <row r="1113">
      <c r="A1113" s="11"/>
      <c r="B1113" s="11"/>
      <c r="C1113" s="11"/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</row>
    <row r="1114">
      <c r="A1114" s="11"/>
      <c r="B1114" s="11"/>
      <c r="C1114" s="11"/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</row>
    <row r="1115">
      <c r="A1115" s="11"/>
      <c r="B1115" s="11"/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</row>
    <row r="1116">
      <c r="A1116" s="11"/>
      <c r="B1116" s="11"/>
      <c r="C1116" s="11"/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</row>
    <row r="1117">
      <c r="A1117" s="11"/>
      <c r="B1117" s="11"/>
      <c r="C1117" s="11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</row>
    <row r="1118">
      <c r="A1118" s="11"/>
      <c r="B1118" s="11"/>
      <c r="C1118" s="11"/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</row>
    <row r="1119">
      <c r="A1119" s="11"/>
      <c r="B1119" s="11"/>
      <c r="C1119" s="11"/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</row>
    <row r="1120">
      <c r="A1120" s="11"/>
      <c r="B1120" s="11"/>
      <c r="C1120" s="11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</row>
    <row r="1121">
      <c r="A1121" s="11"/>
      <c r="B1121" s="11"/>
      <c r="C1121" s="11"/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</row>
    <row r="1122">
      <c r="A1122" s="11"/>
      <c r="B1122" s="11"/>
      <c r="C1122" s="11"/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</row>
    <row r="1123">
      <c r="A1123" s="11"/>
      <c r="B1123" s="11"/>
      <c r="C1123" s="11"/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</row>
    <row r="1124">
      <c r="A1124" s="11"/>
      <c r="B1124" s="11"/>
      <c r="C1124" s="11"/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</row>
    <row r="1125">
      <c r="A1125" s="11"/>
      <c r="B1125" s="11"/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</row>
    <row r="1126">
      <c r="A1126" s="11"/>
      <c r="B1126" s="11"/>
      <c r="C1126" s="11"/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</row>
    <row r="1127">
      <c r="A1127" s="11"/>
      <c r="B1127" s="11"/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</row>
    <row r="1128">
      <c r="A1128" s="11"/>
      <c r="B1128" s="11"/>
      <c r="C1128" s="11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</row>
    <row r="1129">
      <c r="A1129" s="11"/>
      <c r="B1129" s="11"/>
      <c r="C1129" s="11"/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</row>
    <row r="1130">
      <c r="A1130" s="11"/>
      <c r="B1130" s="11"/>
      <c r="C1130" s="11"/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</row>
    <row r="1131">
      <c r="A1131" s="11"/>
      <c r="B1131" s="11"/>
      <c r="C1131" s="11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</row>
    <row r="1132">
      <c r="A1132" s="11"/>
      <c r="B1132" s="11"/>
      <c r="C1132" s="11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</row>
    <row r="1133">
      <c r="A1133" s="11"/>
      <c r="B1133" s="11"/>
      <c r="C1133" s="11"/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</row>
    <row r="1134">
      <c r="A1134" s="11"/>
      <c r="B1134" s="11"/>
      <c r="C1134" s="11"/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</row>
    <row r="1135">
      <c r="A1135" s="11"/>
      <c r="B1135" s="11"/>
      <c r="C1135" s="11"/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</row>
    <row r="1136">
      <c r="A1136" s="11"/>
      <c r="B1136" s="11"/>
      <c r="C1136" s="11"/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</row>
    <row r="1137">
      <c r="A1137" s="11"/>
      <c r="B1137" s="11"/>
      <c r="C1137" s="11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</row>
    <row r="1138">
      <c r="A1138" s="11"/>
      <c r="B1138" s="11"/>
      <c r="C1138" s="11"/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</row>
    <row r="1139">
      <c r="A1139" s="11"/>
      <c r="B1139" s="11"/>
      <c r="C1139" s="11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</row>
    <row r="1140">
      <c r="A1140" s="11"/>
      <c r="B1140" s="11"/>
      <c r="C1140" s="11"/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</row>
    <row r="1141">
      <c r="A1141" s="11"/>
      <c r="B1141" s="11"/>
      <c r="C1141" s="11"/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</row>
    <row r="1142">
      <c r="A1142" s="11"/>
      <c r="B1142" s="11"/>
      <c r="C1142" s="11"/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</row>
    <row r="1143">
      <c r="A1143" s="11"/>
      <c r="B1143" s="11"/>
      <c r="C1143" s="11"/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</row>
    <row r="1144">
      <c r="A1144" s="11"/>
      <c r="B1144" s="11"/>
      <c r="C1144" s="11"/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</row>
    <row r="1145">
      <c r="A1145" s="11"/>
      <c r="B1145" s="11"/>
      <c r="C1145" s="11"/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</row>
    <row r="1146">
      <c r="A1146" s="11"/>
      <c r="B1146" s="11"/>
      <c r="C1146" s="11"/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</row>
    <row r="1147">
      <c r="A1147" s="11"/>
      <c r="B1147" s="11"/>
      <c r="C1147" s="11"/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</row>
    <row r="1148">
      <c r="A1148" s="11"/>
      <c r="B1148" s="11"/>
      <c r="C1148" s="11"/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</row>
    <row r="1149">
      <c r="A1149" s="11"/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</row>
    <row r="1150">
      <c r="A1150" s="11"/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</row>
    <row r="1151">
      <c r="A1151" s="11"/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</row>
    <row r="1152">
      <c r="A1152" s="11"/>
      <c r="B1152" s="11"/>
      <c r="C1152" s="11"/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</row>
    <row r="1153">
      <c r="A1153" s="11"/>
      <c r="B1153" s="11"/>
      <c r="C1153" s="11"/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</row>
    <row r="1154">
      <c r="A1154" s="11"/>
      <c r="B1154" s="11"/>
      <c r="C1154" s="11"/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</row>
    <row r="1155">
      <c r="A1155" s="11"/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</row>
    <row r="1156">
      <c r="A1156" s="11"/>
      <c r="B1156" s="11"/>
      <c r="C1156" s="11"/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</row>
    <row r="1157">
      <c r="A1157" s="11"/>
      <c r="B1157" s="11"/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</row>
    <row r="1158">
      <c r="A1158" s="11"/>
      <c r="B1158" s="11"/>
      <c r="C1158" s="11"/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</row>
    <row r="1159">
      <c r="A1159" s="11"/>
      <c r="B1159" s="11"/>
      <c r="C1159" s="11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</row>
    <row r="1160">
      <c r="A1160" s="11"/>
      <c r="B1160" s="11"/>
      <c r="C1160" s="11"/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</row>
    <row r="1161">
      <c r="A1161" s="11"/>
      <c r="B1161" s="11"/>
      <c r="C1161" s="11"/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</row>
    <row r="1162">
      <c r="A1162" s="11"/>
      <c r="B1162" s="11"/>
      <c r="C1162" s="11"/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</row>
    <row r="1163">
      <c r="A1163" s="11"/>
      <c r="B1163" s="11"/>
      <c r="C1163" s="11"/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</row>
    <row r="1164">
      <c r="A1164" s="11"/>
      <c r="B1164" s="11"/>
      <c r="C1164" s="11"/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</row>
    <row r="1165">
      <c r="A1165" s="11"/>
      <c r="B1165" s="11"/>
      <c r="C1165" s="11"/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</row>
    <row r="1166">
      <c r="A1166" s="11"/>
      <c r="B1166" s="11"/>
      <c r="C1166" s="11"/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</row>
    <row r="1167">
      <c r="A1167" s="11"/>
      <c r="B1167" s="11"/>
      <c r="C1167" s="11"/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</row>
    <row r="1168">
      <c r="A1168" s="11"/>
      <c r="B1168" s="11"/>
      <c r="C1168" s="11"/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</row>
    <row r="1169">
      <c r="A1169" s="11"/>
      <c r="B1169" s="11"/>
      <c r="C1169" s="11"/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</row>
    <row r="1170">
      <c r="A1170" s="11"/>
      <c r="B1170" s="11"/>
      <c r="C1170" s="11"/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</row>
    <row r="1171">
      <c r="A1171" s="11"/>
      <c r="B1171" s="11"/>
      <c r="C1171" s="11"/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</row>
    <row r="1172">
      <c r="A1172" s="11"/>
      <c r="B1172" s="11"/>
      <c r="C1172" s="11"/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</row>
    <row r="1173">
      <c r="A1173" s="11"/>
      <c r="B1173" s="11"/>
      <c r="C1173" s="11"/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</row>
    <row r="1174">
      <c r="A1174" s="11"/>
      <c r="B1174" s="11"/>
      <c r="C1174" s="11"/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</row>
    <row r="1175">
      <c r="A1175" s="11"/>
      <c r="B1175" s="11"/>
      <c r="C1175" s="11"/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</row>
    <row r="1176">
      <c r="A1176" s="11"/>
      <c r="B1176" s="11"/>
      <c r="C1176" s="11"/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</row>
    <row r="1177">
      <c r="A1177" s="11"/>
      <c r="B1177" s="11"/>
      <c r="C1177" s="11"/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</row>
    <row r="1178">
      <c r="A1178" s="11"/>
      <c r="B1178" s="11"/>
      <c r="C1178" s="11"/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</row>
    <row r="1179">
      <c r="A1179" s="11"/>
      <c r="B1179" s="11"/>
      <c r="C1179" s="11"/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</row>
    <row r="1180">
      <c r="A1180" s="11"/>
      <c r="B1180" s="11"/>
      <c r="C1180" s="11"/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</row>
    <row r="1181">
      <c r="A1181" s="11"/>
      <c r="B1181" s="11"/>
      <c r="C1181" s="11"/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</row>
    <row r="1182">
      <c r="A1182" s="11"/>
      <c r="B1182" s="11"/>
      <c r="C1182" s="11"/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</row>
    <row r="1183">
      <c r="A1183" s="11"/>
      <c r="B1183" s="11"/>
      <c r="C1183" s="11"/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</row>
    <row r="1184">
      <c r="A1184" s="11"/>
      <c r="B1184" s="11"/>
      <c r="C1184" s="11"/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</row>
    <row r="1185">
      <c r="A1185" s="11"/>
      <c r="B1185" s="11"/>
      <c r="C1185" s="11"/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</row>
    <row r="1186">
      <c r="A1186" s="11"/>
      <c r="B1186" s="11"/>
      <c r="C1186" s="11"/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</row>
    <row r="1187">
      <c r="A1187" s="11"/>
      <c r="B1187" s="11"/>
      <c r="C1187" s="11"/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</row>
    <row r="1188">
      <c r="A1188" s="11"/>
      <c r="B1188" s="11"/>
      <c r="C1188" s="11"/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</row>
    <row r="1189">
      <c r="A1189" s="11"/>
      <c r="B1189" s="11"/>
      <c r="C1189" s="11"/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</row>
    <row r="1190">
      <c r="A1190" s="11"/>
      <c r="B1190" s="11"/>
      <c r="C1190" s="11"/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</row>
    <row r="1191">
      <c r="A1191" s="11"/>
      <c r="B1191" s="11"/>
      <c r="C1191" s="11"/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</row>
    <row r="1192">
      <c r="A1192" s="11"/>
      <c r="B1192" s="11"/>
      <c r="C1192" s="11"/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</row>
    <row r="1193">
      <c r="A1193" s="11"/>
      <c r="B1193" s="11"/>
      <c r="C1193" s="11"/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</row>
    <row r="1194">
      <c r="A1194" s="11"/>
      <c r="B1194" s="11"/>
      <c r="C1194" s="11"/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</row>
    <row r="1195">
      <c r="A1195" s="11"/>
      <c r="B1195" s="11"/>
      <c r="C1195" s="11"/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</row>
    <row r="1196">
      <c r="A1196" s="11"/>
      <c r="B1196" s="11"/>
      <c r="C1196" s="11"/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</row>
    <row r="1197">
      <c r="A1197" s="11"/>
      <c r="B1197" s="11"/>
      <c r="C1197" s="11"/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</row>
    <row r="1198">
      <c r="A1198" s="11"/>
      <c r="B1198" s="11"/>
      <c r="C1198" s="11"/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</row>
    <row r="1199">
      <c r="A1199" s="11"/>
      <c r="B1199" s="11"/>
      <c r="C1199" s="11"/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</row>
    <row r="1200">
      <c r="A1200" s="11"/>
      <c r="B1200" s="11"/>
      <c r="C1200" s="11"/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</row>
    <row r="1201">
      <c r="A1201" s="11"/>
      <c r="B1201" s="11"/>
      <c r="C1201" s="11"/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</row>
    <row r="1202">
      <c r="A1202" s="11"/>
      <c r="B1202" s="11"/>
      <c r="C1202" s="11"/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</row>
    <row r="1203">
      <c r="A1203" s="11"/>
      <c r="B1203" s="11"/>
      <c r="C1203" s="11"/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</row>
    <row r="1204">
      <c r="A1204" s="11"/>
      <c r="B1204" s="11"/>
      <c r="C1204" s="11"/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</row>
    <row r="1205">
      <c r="A1205" s="11"/>
      <c r="B1205" s="11"/>
      <c r="C1205" s="11"/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</row>
    <row r="1206">
      <c r="A1206" s="11"/>
      <c r="B1206" s="11"/>
      <c r="C1206" s="11"/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</row>
    <row r="1207">
      <c r="A1207" s="11"/>
      <c r="B1207" s="11"/>
      <c r="C1207" s="11"/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</row>
    <row r="1208">
      <c r="A1208" s="11"/>
      <c r="B1208" s="11"/>
      <c r="C1208" s="11"/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</row>
    <row r="1209">
      <c r="A1209" s="11"/>
      <c r="B1209" s="11"/>
      <c r="C1209" s="11"/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</row>
    <row r="1210">
      <c r="A1210" s="11"/>
      <c r="B1210" s="11"/>
      <c r="C1210" s="11"/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</row>
    <row r="1211">
      <c r="A1211" s="11"/>
      <c r="B1211" s="11"/>
      <c r="C1211" s="11"/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</row>
    <row r="1212">
      <c r="A1212" s="11"/>
      <c r="B1212" s="11"/>
      <c r="C1212" s="11"/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</row>
    <row r="1213">
      <c r="A1213" s="11"/>
      <c r="B1213" s="11"/>
      <c r="C1213" s="11"/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</row>
    <row r="1214">
      <c r="A1214" s="11"/>
      <c r="B1214" s="11"/>
      <c r="C1214" s="11"/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</row>
    <row r="1215">
      <c r="A1215" s="11"/>
      <c r="B1215" s="11"/>
      <c r="C1215" s="11"/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</row>
    <row r="1216">
      <c r="A1216" s="11"/>
      <c r="B1216" s="11"/>
      <c r="C1216" s="11"/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</row>
    <row r="1217">
      <c r="A1217" s="11"/>
      <c r="B1217" s="11"/>
      <c r="C1217" s="11"/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</row>
    <row r="1218">
      <c r="A1218" s="11"/>
      <c r="B1218" s="11"/>
      <c r="C1218" s="11"/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</row>
    <row r="1219">
      <c r="A1219" s="11"/>
      <c r="B1219" s="11"/>
      <c r="C1219" s="11"/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</row>
    <row r="1220">
      <c r="A1220" s="11"/>
      <c r="B1220" s="11"/>
      <c r="C1220" s="11"/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</row>
    <row r="1221">
      <c r="A1221" s="11"/>
      <c r="B1221" s="11"/>
      <c r="C1221" s="11"/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</row>
    <row r="1222">
      <c r="A1222" s="11"/>
      <c r="B1222" s="11"/>
      <c r="C1222" s="11"/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</row>
    <row r="1223">
      <c r="A1223" s="11"/>
      <c r="B1223" s="11"/>
      <c r="C1223" s="11"/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</row>
    <row r="1224">
      <c r="A1224" s="11"/>
      <c r="B1224" s="11"/>
      <c r="C1224" s="11"/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</row>
    <row r="1225">
      <c r="A1225" s="11"/>
      <c r="B1225" s="11"/>
      <c r="C1225" s="11"/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</row>
    <row r="1226">
      <c r="A1226" s="11"/>
      <c r="B1226" s="11"/>
      <c r="C1226" s="11"/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</row>
    <row r="1227">
      <c r="A1227" s="11"/>
      <c r="B1227" s="11"/>
      <c r="C1227" s="11"/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</row>
    <row r="1228">
      <c r="A1228" s="11"/>
      <c r="B1228" s="11"/>
      <c r="C1228" s="11"/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</row>
    <row r="1229">
      <c r="A1229" s="11"/>
      <c r="B1229" s="11"/>
      <c r="C1229" s="11"/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</row>
    <row r="1230">
      <c r="A1230" s="11"/>
      <c r="B1230" s="11"/>
      <c r="C1230" s="11"/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</row>
    <row r="1231">
      <c r="A1231" s="11"/>
      <c r="B1231" s="11"/>
      <c r="C1231" s="11"/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</row>
    <row r="1232">
      <c r="A1232" s="11"/>
      <c r="B1232" s="11"/>
      <c r="C1232" s="11"/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</row>
    <row r="1233">
      <c r="A1233" s="11"/>
      <c r="B1233" s="11"/>
      <c r="C1233" s="11"/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</row>
    <row r="1234">
      <c r="A1234" s="11"/>
      <c r="B1234" s="11"/>
      <c r="C1234" s="11"/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</row>
    <row r="1235">
      <c r="A1235" s="11"/>
      <c r="B1235" s="11"/>
      <c r="C1235" s="11"/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</row>
    <row r="1236">
      <c r="A1236" s="11"/>
      <c r="B1236" s="11"/>
      <c r="C1236" s="11"/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</row>
    <row r="1237">
      <c r="A1237" s="11"/>
      <c r="B1237" s="11"/>
      <c r="C1237" s="11"/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</row>
    <row r="1238">
      <c r="A1238" s="11"/>
      <c r="B1238" s="11"/>
      <c r="C1238" s="11"/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</row>
    <row r="1239">
      <c r="A1239" s="11"/>
      <c r="B1239" s="11"/>
      <c r="C1239" s="11"/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</row>
    <row r="1240">
      <c r="A1240" s="11"/>
      <c r="B1240" s="11"/>
      <c r="C1240" s="11"/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</row>
    <row r="1241">
      <c r="A1241" s="11"/>
      <c r="B1241" s="11"/>
      <c r="C1241" s="11"/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</row>
    <row r="1242">
      <c r="A1242" s="11"/>
      <c r="B1242" s="11"/>
      <c r="C1242" s="11"/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</row>
    <row r="1243">
      <c r="A1243" s="11"/>
      <c r="B1243" s="11"/>
      <c r="C1243" s="11"/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</row>
    <row r="1244">
      <c r="A1244" s="11"/>
      <c r="B1244" s="11"/>
      <c r="C1244" s="11"/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</row>
    <row r="1245">
      <c r="A1245" s="11"/>
      <c r="B1245" s="11"/>
      <c r="C1245" s="11"/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</row>
    <row r="1246">
      <c r="A1246" s="11"/>
      <c r="B1246" s="11"/>
      <c r="C1246" s="11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</row>
    <row r="1247">
      <c r="A1247" s="11"/>
      <c r="B1247" s="11"/>
      <c r="C1247" s="11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</row>
    <row r="1248">
      <c r="A1248" s="11"/>
      <c r="B1248" s="11"/>
      <c r="C1248" s="11"/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</row>
    <row r="1249">
      <c r="A1249" s="11"/>
      <c r="B1249" s="11"/>
      <c r="C1249" s="11"/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</row>
    <row r="1250">
      <c r="A1250" s="11"/>
      <c r="B1250" s="11"/>
      <c r="C1250" s="11"/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</row>
    <row r="1251">
      <c r="A1251" s="11"/>
      <c r="B1251" s="11"/>
      <c r="C1251" s="11"/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</row>
    <row r="1252">
      <c r="A1252" s="11"/>
      <c r="B1252" s="11"/>
      <c r="C1252" s="11"/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</row>
    <row r="1253">
      <c r="A1253" s="11"/>
      <c r="B1253" s="11"/>
      <c r="C1253" s="11"/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</row>
    <row r="1254">
      <c r="A1254" s="11"/>
      <c r="B1254" s="11"/>
      <c r="C1254" s="11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</row>
    <row r="1255">
      <c r="A1255" s="11"/>
      <c r="B1255" s="11"/>
      <c r="C1255" s="11"/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</row>
    <row r="1256">
      <c r="A1256" s="11"/>
      <c r="B1256" s="11"/>
      <c r="C1256" s="11"/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</row>
    <row r="1257">
      <c r="A1257" s="11"/>
      <c r="B1257" s="11"/>
      <c r="C1257" s="11"/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</row>
    <row r="1258">
      <c r="A1258" s="11"/>
      <c r="B1258" s="11"/>
      <c r="C1258" s="11"/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</row>
    <row r="1259">
      <c r="A1259" s="11"/>
      <c r="B1259" s="11"/>
      <c r="C1259" s="11"/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</row>
    <row r="1260">
      <c r="A1260" s="11"/>
      <c r="B1260" s="11"/>
      <c r="C1260" s="11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</row>
    <row r="1261">
      <c r="A1261" s="11"/>
      <c r="B1261" s="11"/>
      <c r="C1261" s="11"/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</row>
    <row r="1262">
      <c r="A1262" s="11"/>
      <c r="B1262" s="11"/>
      <c r="C1262" s="11"/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</row>
    <row r="1263">
      <c r="A1263" s="11"/>
      <c r="B1263" s="11"/>
      <c r="C1263" s="11"/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</row>
    <row r="1264">
      <c r="A1264" s="11"/>
      <c r="B1264" s="11"/>
      <c r="C1264" s="11"/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</row>
    <row r="1265">
      <c r="A1265" s="11"/>
      <c r="B1265" s="11"/>
      <c r="C1265" s="11"/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</row>
    <row r="1266">
      <c r="A1266" s="11"/>
      <c r="B1266" s="11"/>
      <c r="C1266" s="11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</row>
    <row r="1267">
      <c r="A1267" s="11"/>
      <c r="B1267" s="11"/>
      <c r="C1267" s="11"/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</row>
    <row r="1268">
      <c r="A1268" s="11"/>
      <c r="B1268" s="11"/>
      <c r="C1268" s="11"/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</row>
    <row r="1269">
      <c r="A1269" s="11"/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</row>
    <row r="1270">
      <c r="A1270" s="11"/>
      <c r="B1270" s="11"/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</row>
    <row r="1271">
      <c r="A1271" s="11"/>
      <c r="B1271" s="11"/>
      <c r="C1271" s="11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</row>
    <row r="1272">
      <c r="A1272" s="11"/>
      <c r="B1272" s="11"/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</row>
    <row r="1273">
      <c r="A1273" s="11"/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</row>
    <row r="1274">
      <c r="A1274" s="11"/>
      <c r="B1274" s="11"/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</row>
    <row r="1275">
      <c r="A1275" s="11"/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</row>
    <row r="1276">
      <c r="A1276" s="11"/>
      <c r="B1276" s="11"/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</row>
    <row r="1277">
      <c r="A1277" s="11"/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</row>
    <row r="1278">
      <c r="A1278" s="11"/>
      <c r="B1278" s="11"/>
      <c r="C1278" s="11"/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</row>
    <row r="1279">
      <c r="A1279" s="11"/>
      <c r="B1279" s="11"/>
      <c r="C1279" s="11"/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</row>
    <row r="1280">
      <c r="A1280" s="11"/>
      <c r="B1280" s="11"/>
      <c r="C1280" s="11"/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</row>
    <row r="1281">
      <c r="A1281" s="11"/>
      <c r="B1281" s="11"/>
      <c r="C1281" s="11"/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</row>
    <row r="1282">
      <c r="A1282" s="11"/>
      <c r="B1282" s="11"/>
      <c r="C1282" s="11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</row>
    <row r="1283">
      <c r="A1283" s="11"/>
      <c r="B1283" s="11"/>
      <c r="C1283" s="11"/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</row>
    <row r="1284">
      <c r="A1284" s="11"/>
      <c r="B1284" s="11"/>
      <c r="C1284" s="11"/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</row>
    <row r="1285">
      <c r="A1285" s="11"/>
      <c r="B1285" s="11"/>
      <c r="C1285" s="11"/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</row>
    <row r="1286">
      <c r="A1286" s="11"/>
      <c r="B1286" s="11"/>
      <c r="C1286" s="11"/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</row>
    <row r="1287">
      <c r="A1287" s="11"/>
      <c r="B1287" s="11"/>
      <c r="C1287" s="11"/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</row>
    <row r="1288">
      <c r="A1288" s="11"/>
      <c r="B1288" s="11"/>
      <c r="C1288" s="11"/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</row>
    <row r="1289">
      <c r="A1289" s="11"/>
      <c r="B1289" s="11"/>
      <c r="C1289" s="11"/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</row>
    <row r="1290">
      <c r="A1290" s="11"/>
      <c r="B1290" s="11"/>
      <c r="C1290" s="11"/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</row>
    <row r="1291">
      <c r="A1291" s="11"/>
      <c r="B1291" s="11"/>
      <c r="C1291" s="11"/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</row>
    <row r="1292">
      <c r="A1292" s="11"/>
      <c r="B1292" s="11"/>
      <c r="C1292" s="11"/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</row>
    <row r="1293">
      <c r="A1293" s="11"/>
      <c r="B1293" s="11"/>
      <c r="C1293" s="11"/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</row>
    <row r="1294">
      <c r="A1294" s="11"/>
      <c r="B1294" s="11"/>
      <c r="C1294" s="11"/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</row>
    <row r="1295">
      <c r="A1295" s="11"/>
      <c r="B1295" s="11"/>
      <c r="C1295" s="11"/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</row>
    <row r="1296">
      <c r="A1296" s="11"/>
      <c r="B1296" s="11"/>
      <c r="C1296" s="11"/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</row>
    <row r="1297">
      <c r="A1297" s="11"/>
      <c r="B1297" s="11"/>
      <c r="C1297" s="11"/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</row>
    <row r="1298">
      <c r="A1298" s="11"/>
      <c r="B1298" s="11"/>
      <c r="C1298" s="11"/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</row>
    <row r="1299">
      <c r="A1299" s="11"/>
      <c r="B1299" s="11"/>
      <c r="C1299" s="11"/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</row>
    <row r="1300">
      <c r="A1300" s="11"/>
      <c r="B1300" s="11"/>
      <c r="C1300" s="11"/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</row>
    <row r="1301">
      <c r="A1301" s="11"/>
      <c r="B1301" s="11"/>
      <c r="C1301" s="11"/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</row>
    <row r="1302">
      <c r="A1302" s="11"/>
      <c r="B1302" s="11"/>
      <c r="C1302" s="11"/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</row>
    <row r="1303">
      <c r="A1303" s="11"/>
      <c r="B1303" s="11"/>
      <c r="C1303" s="11"/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</row>
    <row r="1304">
      <c r="A1304" s="11"/>
      <c r="B1304" s="11"/>
      <c r="C1304" s="11"/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</row>
    <row r="1305">
      <c r="A1305" s="11"/>
      <c r="B1305" s="11"/>
      <c r="C1305" s="11"/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</row>
    <row r="1306">
      <c r="A1306" s="11"/>
      <c r="B1306" s="11"/>
      <c r="C1306" s="11"/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</row>
    <row r="1307">
      <c r="A1307" s="11"/>
      <c r="B1307" s="11"/>
      <c r="C1307" s="11"/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</row>
    <row r="1308">
      <c r="A1308" s="11"/>
      <c r="B1308" s="11"/>
      <c r="C1308" s="11"/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</row>
    <row r="1309">
      <c r="A1309" s="11"/>
      <c r="B1309" s="11"/>
      <c r="C1309" s="11"/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</row>
    <row r="1310">
      <c r="A1310" s="11"/>
      <c r="B1310" s="11"/>
      <c r="C1310" s="11"/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</row>
    <row r="1311">
      <c r="A1311" s="11"/>
      <c r="B1311" s="11"/>
      <c r="C1311" s="11"/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</row>
    <row r="1312">
      <c r="A1312" s="11"/>
      <c r="B1312" s="11"/>
      <c r="C1312" s="11"/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</row>
    <row r="1313">
      <c r="A1313" s="11"/>
      <c r="B1313" s="11"/>
      <c r="C1313" s="11"/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</row>
    <row r="1314">
      <c r="A1314" s="11"/>
      <c r="B1314" s="11"/>
      <c r="C1314" s="11"/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</row>
    <row r="1315">
      <c r="A1315" s="11"/>
      <c r="B1315" s="11"/>
      <c r="C1315" s="11"/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</row>
    <row r="1316">
      <c r="A1316" s="11"/>
      <c r="B1316" s="11"/>
      <c r="C1316" s="11"/>
      <c r="D1316" s="11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</row>
    <row r="1317">
      <c r="A1317" s="11"/>
      <c r="B1317" s="11"/>
      <c r="C1317" s="11"/>
      <c r="D1317" s="11"/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</row>
    <row r="1318">
      <c r="A1318" s="11"/>
      <c r="B1318" s="11"/>
      <c r="C1318" s="11"/>
      <c r="D1318" s="11"/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</row>
    <row r="1319">
      <c r="A1319" s="11"/>
      <c r="B1319" s="11"/>
      <c r="C1319" s="11"/>
      <c r="D1319" s="11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</row>
    <row r="1320">
      <c r="A1320" s="11"/>
      <c r="B1320" s="11"/>
      <c r="C1320" s="11"/>
      <c r="D1320" s="11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</row>
    <row r="1321">
      <c r="A1321" s="11"/>
      <c r="B1321" s="11"/>
      <c r="C1321" s="11"/>
      <c r="D1321" s="11"/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</row>
    <row r="1322">
      <c r="A1322" s="11"/>
      <c r="B1322" s="11"/>
      <c r="C1322" s="11"/>
      <c r="D1322" s="11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</row>
    <row r="1323">
      <c r="A1323" s="11"/>
      <c r="B1323" s="11"/>
      <c r="C1323" s="11"/>
      <c r="D1323" s="11"/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</row>
    <row r="1324">
      <c r="A1324" s="11"/>
      <c r="B1324" s="11"/>
      <c r="C1324" s="11"/>
      <c r="D1324" s="11"/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</row>
    <row r="1325">
      <c r="A1325" s="11"/>
      <c r="B1325" s="11"/>
      <c r="C1325" s="11"/>
      <c r="D1325" s="11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</row>
    <row r="1326">
      <c r="A1326" s="11"/>
      <c r="B1326" s="11"/>
      <c r="C1326" s="11"/>
      <c r="D1326" s="11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</row>
    <row r="1327">
      <c r="A1327" s="11"/>
      <c r="B1327" s="11"/>
      <c r="C1327" s="11"/>
      <c r="D1327" s="11"/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</row>
    <row r="1328">
      <c r="A1328" s="11"/>
      <c r="B1328" s="11"/>
      <c r="C1328" s="11"/>
      <c r="D1328" s="11"/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</row>
    <row r="1329">
      <c r="A1329" s="11"/>
      <c r="B1329" s="11"/>
      <c r="C1329" s="11"/>
      <c r="D1329" s="11"/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</row>
    <row r="1330">
      <c r="A1330" s="11"/>
      <c r="B1330" s="11"/>
      <c r="C1330" s="11"/>
      <c r="D1330" s="11"/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</row>
    <row r="1331">
      <c r="A1331" s="11"/>
      <c r="B1331" s="11"/>
      <c r="C1331" s="11"/>
      <c r="D1331" s="11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</row>
    <row r="1332">
      <c r="A1332" s="11"/>
      <c r="B1332" s="11"/>
      <c r="C1332" s="11"/>
      <c r="D1332" s="11"/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</row>
    <row r="1333">
      <c r="A1333" s="11"/>
      <c r="B1333" s="11"/>
      <c r="C1333" s="11"/>
      <c r="D1333" s="11"/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</row>
    <row r="1334">
      <c r="A1334" s="11"/>
      <c r="B1334" s="11"/>
      <c r="C1334" s="11"/>
      <c r="D1334" s="11"/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</row>
    <row r="1335">
      <c r="A1335" s="11"/>
      <c r="B1335" s="11"/>
      <c r="C1335" s="11"/>
      <c r="D1335" s="11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</row>
    <row r="1336">
      <c r="A1336" s="11"/>
      <c r="B1336" s="11"/>
      <c r="C1336" s="11"/>
      <c r="D1336" s="11"/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</row>
    <row r="1337">
      <c r="A1337" s="11"/>
      <c r="B1337" s="11"/>
      <c r="C1337" s="11"/>
      <c r="D1337" s="11"/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</row>
    <row r="1338">
      <c r="A1338" s="11"/>
      <c r="B1338" s="11"/>
      <c r="C1338" s="11"/>
      <c r="D1338" s="11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</row>
    <row r="1339">
      <c r="A1339" s="11"/>
      <c r="B1339" s="11"/>
      <c r="C1339" s="11"/>
      <c r="D1339" s="11"/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</row>
    <row r="1340">
      <c r="A1340" s="11"/>
      <c r="B1340" s="11"/>
      <c r="C1340" s="11"/>
      <c r="D1340" s="11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</row>
    <row r="1341">
      <c r="A1341" s="11"/>
      <c r="B1341" s="11"/>
      <c r="C1341" s="11"/>
      <c r="D1341" s="11"/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</row>
    <row r="1342">
      <c r="A1342" s="11"/>
      <c r="B1342" s="11"/>
      <c r="C1342" s="11"/>
      <c r="D1342" s="11"/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</row>
    <row r="1343">
      <c r="A1343" s="11"/>
      <c r="B1343" s="11"/>
      <c r="C1343" s="11"/>
      <c r="D1343" s="11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</row>
    <row r="1344">
      <c r="A1344" s="11"/>
      <c r="B1344" s="11"/>
      <c r="C1344" s="11"/>
      <c r="D1344" s="11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</row>
    <row r="1345">
      <c r="A1345" s="11"/>
      <c r="B1345" s="11"/>
      <c r="C1345" s="11"/>
      <c r="D1345" s="11"/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</row>
    <row r="1346">
      <c r="A1346" s="11"/>
      <c r="B1346" s="11"/>
      <c r="C1346" s="11"/>
      <c r="D1346" s="11"/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</row>
    <row r="1347">
      <c r="A1347" s="11"/>
      <c r="B1347" s="11"/>
      <c r="C1347" s="11"/>
      <c r="D1347" s="11"/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</row>
    <row r="1348">
      <c r="A1348" s="11"/>
      <c r="B1348" s="11"/>
      <c r="C1348" s="11"/>
      <c r="D1348" s="11"/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</row>
    <row r="1349">
      <c r="A1349" s="11"/>
      <c r="B1349" s="11"/>
      <c r="C1349" s="11"/>
      <c r="D1349" s="11"/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</row>
    <row r="1350">
      <c r="A1350" s="11"/>
      <c r="B1350" s="11"/>
      <c r="C1350" s="11"/>
      <c r="D1350" s="11"/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</row>
    <row r="1351">
      <c r="A1351" s="11"/>
      <c r="B1351" s="11"/>
      <c r="C1351" s="11"/>
      <c r="D1351" s="11"/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</row>
    <row r="1352">
      <c r="A1352" s="11"/>
      <c r="B1352" s="11"/>
      <c r="C1352" s="11"/>
      <c r="D1352" s="11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</row>
    <row r="1353">
      <c r="A1353" s="11"/>
      <c r="B1353" s="11"/>
      <c r="C1353" s="11"/>
      <c r="D1353" s="11"/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</row>
    <row r="1354">
      <c r="A1354" s="11"/>
      <c r="B1354" s="11"/>
      <c r="C1354" s="11"/>
      <c r="D1354" s="11"/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</row>
    <row r="1355">
      <c r="A1355" s="11"/>
      <c r="B1355" s="11"/>
      <c r="C1355" s="11"/>
      <c r="D1355" s="11"/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</row>
    <row r="1356">
      <c r="A1356" s="11"/>
      <c r="B1356" s="11"/>
      <c r="C1356" s="11"/>
      <c r="D1356" s="11"/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</row>
    <row r="1357">
      <c r="A1357" s="11"/>
      <c r="B1357" s="11"/>
      <c r="C1357" s="11"/>
      <c r="D1357" s="11"/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</row>
    <row r="1358">
      <c r="A1358" s="11"/>
      <c r="B1358" s="11"/>
      <c r="C1358" s="11"/>
      <c r="D1358" s="11"/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</row>
    <row r="1359">
      <c r="A1359" s="11"/>
      <c r="B1359" s="11"/>
      <c r="C1359" s="11"/>
      <c r="D1359" s="11"/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</row>
    <row r="1360">
      <c r="A1360" s="11"/>
      <c r="B1360" s="11"/>
      <c r="C1360" s="11"/>
      <c r="D1360" s="11"/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</row>
    <row r="1361">
      <c r="A1361" s="11"/>
      <c r="B1361" s="11"/>
      <c r="C1361" s="11"/>
      <c r="D1361" s="11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</row>
    <row r="1362">
      <c r="A1362" s="11"/>
      <c r="B1362" s="11"/>
      <c r="C1362" s="11"/>
      <c r="D1362" s="11"/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</row>
    <row r="1363">
      <c r="A1363" s="11"/>
      <c r="B1363" s="11"/>
      <c r="C1363" s="11"/>
      <c r="D1363" s="11"/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</row>
    <row r="1364">
      <c r="A1364" s="11"/>
      <c r="B1364" s="11"/>
      <c r="C1364" s="11"/>
      <c r="D1364" s="11"/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</row>
    <row r="1365">
      <c r="A1365" s="11"/>
      <c r="B1365" s="11"/>
      <c r="C1365" s="11"/>
      <c r="D1365" s="11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</row>
    <row r="1366">
      <c r="A1366" s="11"/>
      <c r="B1366" s="11"/>
      <c r="C1366" s="11"/>
      <c r="D1366" s="11"/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</row>
    <row r="1367">
      <c r="A1367" s="11"/>
      <c r="B1367" s="11"/>
      <c r="C1367" s="11"/>
      <c r="D1367" s="11"/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</row>
    <row r="1368">
      <c r="A1368" s="11"/>
      <c r="B1368" s="11"/>
      <c r="C1368" s="11"/>
      <c r="D1368" s="11"/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</row>
    <row r="1369">
      <c r="A1369" s="11"/>
      <c r="B1369" s="11"/>
      <c r="C1369" s="11"/>
      <c r="D1369" s="11"/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</row>
    <row r="1370">
      <c r="A1370" s="11"/>
      <c r="B1370" s="11"/>
      <c r="C1370" s="11"/>
      <c r="D1370" s="11"/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</row>
    <row r="1371">
      <c r="A1371" s="11"/>
      <c r="B1371" s="11"/>
      <c r="C1371" s="11"/>
      <c r="D1371" s="11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</row>
    <row r="1372">
      <c r="A1372" s="11"/>
      <c r="B1372" s="11"/>
      <c r="C1372" s="11"/>
      <c r="D1372" s="11"/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</row>
    <row r="1373">
      <c r="A1373" s="11"/>
      <c r="B1373" s="11"/>
      <c r="C1373" s="11"/>
      <c r="D1373" s="11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</row>
    <row r="1374">
      <c r="A1374" s="11"/>
      <c r="B1374" s="11"/>
      <c r="C1374" s="11"/>
      <c r="D1374" s="11"/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</row>
    <row r="1375">
      <c r="A1375" s="11"/>
      <c r="B1375" s="11"/>
      <c r="C1375" s="11"/>
      <c r="D1375" s="11"/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</row>
    <row r="1376">
      <c r="A1376" s="11"/>
      <c r="B1376" s="11"/>
      <c r="C1376" s="11"/>
      <c r="D1376" s="11"/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</row>
    <row r="1377">
      <c r="A1377" s="11"/>
      <c r="B1377" s="11"/>
      <c r="C1377" s="11"/>
      <c r="D1377" s="11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</row>
    <row r="1378">
      <c r="A1378" s="11"/>
      <c r="B1378" s="11"/>
      <c r="C1378" s="11"/>
      <c r="D1378" s="11"/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</row>
    <row r="1379">
      <c r="A1379" s="11"/>
      <c r="B1379" s="11"/>
      <c r="C1379" s="11"/>
      <c r="D1379" s="11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</row>
    <row r="1380">
      <c r="A1380" s="11"/>
      <c r="B1380" s="11"/>
      <c r="C1380" s="11"/>
      <c r="D1380" s="11"/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</row>
    <row r="1381">
      <c r="A1381" s="11"/>
      <c r="B1381" s="11"/>
      <c r="C1381" s="11"/>
      <c r="D1381" s="11"/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</row>
    <row r="1382">
      <c r="A1382" s="11"/>
      <c r="B1382" s="11"/>
      <c r="C1382" s="11"/>
      <c r="D1382" s="11"/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</row>
    <row r="1383">
      <c r="A1383" s="11"/>
      <c r="B1383" s="11"/>
      <c r="C1383" s="11"/>
      <c r="D1383" s="11"/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</row>
    <row r="1384">
      <c r="A1384" s="11"/>
      <c r="B1384" s="11"/>
      <c r="C1384" s="11"/>
      <c r="D1384" s="11"/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</row>
    <row r="1385">
      <c r="A1385" s="11"/>
      <c r="B1385" s="11"/>
      <c r="C1385" s="11"/>
      <c r="D1385" s="11"/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</row>
    <row r="1386">
      <c r="A1386" s="11"/>
      <c r="B1386" s="11"/>
      <c r="C1386" s="11"/>
      <c r="D1386" s="11"/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</row>
    <row r="1387">
      <c r="A1387" s="11"/>
      <c r="B1387" s="11"/>
      <c r="C1387" s="11"/>
      <c r="D1387" s="11"/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</row>
    <row r="1388">
      <c r="A1388" s="11"/>
      <c r="B1388" s="11"/>
      <c r="C1388" s="11"/>
      <c r="D1388" s="11"/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</row>
    <row r="1389">
      <c r="A1389" s="11"/>
      <c r="B1389" s="11"/>
      <c r="C1389" s="11"/>
      <c r="D1389" s="11"/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</row>
    <row r="1390">
      <c r="A1390" s="11"/>
      <c r="B1390" s="11"/>
      <c r="C1390" s="11"/>
      <c r="D1390" s="11"/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</row>
    <row r="1391">
      <c r="A1391" s="11"/>
      <c r="B1391" s="11"/>
      <c r="C1391" s="11"/>
      <c r="D1391" s="11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</row>
    <row r="1392">
      <c r="A1392" s="11"/>
      <c r="B1392" s="11"/>
      <c r="C1392" s="11"/>
      <c r="D1392" s="11"/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</row>
    <row r="1393">
      <c r="A1393" s="11"/>
      <c r="B1393" s="11"/>
      <c r="C1393" s="11"/>
      <c r="D1393" s="11"/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</row>
    <row r="1394">
      <c r="A1394" s="11"/>
      <c r="B1394" s="11"/>
      <c r="C1394" s="11"/>
      <c r="D1394" s="11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</row>
    <row r="1395">
      <c r="A1395" s="11"/>
      <c r="B1395" s="11"/>
      <c r="C1395" s="11"/>
      <c r="D1395" s="11"/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</row>
    <row r="1396">
      <c r="A1396" s="11"/>
      <c r="B1396" s="11"/>
      <c r="C1396" s="11"/>
      <c r="D1396" s="11"/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</row>
    <row r="1397">
      <c r="A1397" s="11"/>
      <c r="B1397" s="11"/>
      <c r="C1397" s="11"/>
      <c r="D1397" s="11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</row>
    <row r="1398">
      <c r="A1398" s="11"/>
      <c r="B1398" s="11"/>
      <c r="C1398" s="11"/>
      <c r="D1398" s="11"/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</row>
    <row r="1399">
      <c r="A1399" s="11"/>
      <c r="B1399" s="11"/>
      <c r="C1399" s="11"/>
      <c r="D1399" s="11"/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</row>
    <row r="1400">
      <c r="A1400" s="11"/>
      <c r="B1400" s="11"/>
      <c r="C1400" s="11"/>
      <c r="D1400" s="11"/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</row>
    <row r="1401">
      <c r="A1401" s="11"/>
      <c r="B1401" s="11"/>
      <c r="C1401" s="11"/>
      <c r="D1401" s="11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</row>
    <row r="1402">
      <c r="A1402" s="11"/>
      <c r="B1402" s="11"/>
      <c r="C1402" s="11"/>
      <c r="D1402" s="11"/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</row>
    <row r="1403">
      <c r="A1403" s="11"/>
      <c r="B1403" s="11"/>
      <c r="C1403" s="11"/>
      <c r="D1403" s="11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</row>
    <row r="1404">
      <c r="A1404" s="11"/>
      <c r="B1404" s="11"/>
      <c r="C1404" s="11"/>
      <c r="D1404" s="11"/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</row>
    <row r="1405">
      <c r="A1405" s="11"/>
      <c r="B1405" s="11"/>
      <c r="C1405" s="11"/>
      <c r="D1405" s="11"/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</row>
    <row r="1406">
      <c r="A1406" s="11"/>
      <c r="B1406" s="11"/>
      <c r="C1406" s="11"/>
      <c r="D1406" s="11"/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</row>
    <row r="1407">
      <c r="A1407" s="11"/>
      <c r="B1407" s="11"/>
      <c r="C1407" s="11"/>
      <c r="D1407" s="11"/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</row>
    <row r="1408">
      <c r="A1408" s="11"/>
      <c r="B1408" s="11"/>
      <c r="C1408" s="11"/>
      <c r="D1408" s="11"/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</row>
    <row r="1409">
      <c r="A1409" s="11"/>
      <c r="B1409" s="11"/>
      <c r="C1409" s="11"/>
      <c r="D1409" s="11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</row>
    <row r="1410">
      <c r="A1410" s="11"/>
      <c r="B1410" s="11"/>
      <c r="C1410" s="11"/>
      <c r="D1410" s="11"/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</row>
    <row r="1411">
      <c r="A1411" s="11"/>
      <c r="B1411" s="11"/>
      <c r="C1411" s="11"/>
      <c r="D1411" s="11"/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</row>
    <row r="1412">
      <c r="A1412" s="11"/>
      <c r="B1412" s="11"/>
      <c r="C1412" s="11"/>
      <c r="D1412" s="11"/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</row>
    <row r="1413">
      <c r="A1413" s="11"/>
      <c r="B1413" s="11"/>
      <c r="C1413" s="11"/>
      <c r="D1413" s="11"/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</row>
    <row r="1414">
      <c r="A1414" s="11"/>
      <c r="B1414" s="11"/>
      <c r="C1414" s="11"/>
      <c r="D1414" s="11"/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</row>
    <row r="1415">
      <c r="A1415" s="11"/>
      <c r="B1415" s="11"/>
      <c r="C1415" s="11"/>
      <c r="D1415" s="11"/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</row>
    <row r="1416">
      <c r="A1416" s="11"/>
      <c r="B1416" s="11"/>
      <c r="C1416" s="11"/>
      <c r="D1416" s="11"/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</row>
    <row r="1417">
      <c r="A1417" s="11"/>
      <c r="B1417" s="11"/>
      <c r="C1417" s="11"/>
      <c r="D1417" s="11"/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</row>
    <row r="1418">
      <c r="A1418" s="11"/>
      <c r="B1418" s="11"/>
      <c r="C1418" s="11"/>
      <c r="D1418" s="11"/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</row>
    <row r="1419">
      <c r="A1419" s="11"/>
      <c r="B1419" s="11"/>
      <c r="C1419" s="11"/>
      <c r="D1419" s="11"/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</row>
    <row r="1420">
      <c r="A1420" s="11"/>
      <c r="B1420" s="11"/>
      <c r="C1420" s="11"/>
      <c r="D1420" s="11"/>
      <c r="E1420" s="11"/>
      <c r="F1420" s="11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</row>
    <row r="1421">
      <c r="A1421" s="11"/>
      <c r="B1421" s="11"/>
      <c r="C1421" s="11"/>
      <c r="D1421" s="11"/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</row>
    <row r="1422">
      <c r="A1422" s="11"/>
      <c r="B1422" s="11"/>
      <c r="C1422" s="11"/>
      <c r="D1422" s="11"/>
      <c r="E1422" s="11"/>
      <c r="F1422" s="11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</row>
    <row r="1423">
      <c r="A1423" s="11"/>
      <c r="B1423" s="11"/>
      <c r="C1423" s="11"/>
      <c r="D1423" s="11"/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</row>
    <row r="1424">
      <c r="A1424" s="11"/>
      <c r="B1424" s="11"/>
      <c r="C1424" s="11"/>
      <c r="D1424" s="11"/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</row>
    <row r="1425">
      <c r="A1425" s="11"/>
      <c r="B1425" s="11"/>
      <c r="C1425" s="11"/>
      <c r="D1425" s="11"/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</row>
    <row r="1426">
      <c r="A1426" s="11"/>
      <c r="B1426" s="11"/>
      <c r="C1426" s="11"/>
      <c r="D1426" s="11"/>
      <c r="E1426" s="11"/>
      <c r="F1426" s="11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</row>
    <row r="1427">
      <c r="A1427" s="11"/>
      <c r="B1427" s="11"/>
      <c r="C1427" s="11"/>
      <c r="D1427" s="11"/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</row>
    <row r="1428">
      <c r="A1428" s="11"/>
      <c r="B1428" s="11"/>
      <c r="C1428" s="11"/>
      <c r="D1428" s="11"/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</row>
    <row r="1429">
      <c r="A1429" s="11"/>
      <c r="B1429" s="11"/>
      <c r="C1429" s="11"/>
      <c r="D1429" s="11"/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</row>
    <row r="1430">
      <c r="A1430" s="11"/>
      <c r="B1430" s="11"/>
      <c r="C1430" s="11"/>
      <c r="D1430" s="11"/>
      <c r="E1430" s="11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</row>
    <row r="1431">
      <c r="A1431" s="11"/>
      <c r="B1431" s="11"/>
      <c r="C1431" s="11"/>
      <c r="D1431" s="11"/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</row>
    <row r="1432">
      <c r="A1432" s="11"/>
      <c r="B1432" s="11"/>
      <c r="C1432" s="11"/>
      <c r="D1432" s="11"/>
      <c r="E1432" s="11"/>
      <c r="F1432" s="11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</row>
    <row r="1433">
      <c r="A1433" s="11"/>
      <c r="B1433" s="11"/>
      <c r="C1433" s="11"/>
      <c r="D1433" s="11"/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</row>
    <row r="1434">
      <c r="A1434" s="11"/>
      <c r="B1434" s="11"/>
      <c r="C1434" s="11"/>
      <c r="D1434" s="11"/>
      <c r="E1434" s="11"/>
      <c r="F1434" s="11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</row>
    <row r="1435">
      <c r="A1435" s="11"/>
      <c r="B1435" s="11"/>
      <c r="C1435" s="11"/>
      <c r="D1435" s="11"/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</row>
    <row r="1436">
      <c r="A1436" s="11"/>
      <c r="B1436" s="11"/>
      <c r="C1436" s="11"/>
      <c r="D1436" s="11"/>
      <c r="E1436" s="11"/>
      <c r="F1436" s="11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</row>
    <row r="1437">
      <c r="A1437" s="11"/>
      <c r="B1437" s="11"/>
      <c r="C1437" s="11"/>
      <c r="D1437" s="11"/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</row>
    <row r="1438">
      <c r="A1438" s="11"/>
      <c r="B1438" s="11"/>
      <c r="C1438" s="11"/>
      <c r="D1438" s="11"/>
      <c r="E1438" s="11"/>
      <c r="F1438" s="11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</row>
    <row r="1439">
      <c r="A1439" s="11"/>
      <c r="B1439" s="11"/>
      <c r="C1439" s="11"/>
      <c r="D1439" s="11"/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</row>
    <row r="1440">
      <c r="A1440" s="11"/>
      <c r="B1440" s="11"/>
      <c r="C1440" s="11"/>
      <c r="D1440" s="11"/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</row>
    <row r="1441">
      <c r="A1441" s="11"/>
      <c r="B1441" s="11"/>
      <c r="C1441" s="11"/>
      <c r="D1441" s="11"/>
      <c r="E1441" s="11"/>
      <c r="F1441" s="11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</row>
    <row r="1442">
      <c r="A1442" s="11"/>
      <c r="B1442" s="11"/>
      <c r="C1442" s="11"/>
      <c r="D1442" s="11"/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</row>
    <row r="1443">
      <c r="A1443" s="11"/>
      <c r="B1443" s="11"/>
      <c r="C1443" s="11"/>
      <c r="D1443" s="11"/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</row>
    <row r="1444">
      <c r="A1444" s="11"/>
      <c r="B1444" s="11"/>
      <c r="C1444" s="11"/>
      <c r="D1444" s="11"/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</row>
    <row r="1445">
      <c r="A1445" s="11"/>
      <c r="B1445" s="11"/>
      <c r="C1445" s="11"/>
      <c r="D1445" s="11"/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</row>
    <row r="1446">
      <c r="A1446" s="11"/>
      <c r="B1446" s="11"/>
      <c r="C1446" s="11"/>
      <c r="D1446" s="11"/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</row>
    <row r="1447">
      <c r="A1447" s="11"/>
      <c r="B1447" s="11"/>
      <c r="C1447" s="11"/>
      <c r="D1447" s="11"/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</row>
    <row r="1448">
      <c r="A1448" s="11"/>
      <c r="B1448" s="11"/>
      <c r="C1448" s="11"/>
      <c r="D1448" s="11"/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</row>
    <row r="1449">
      <c r="A1449" s="11"/>
      <c r="B1449" s="11"/>
      <c r="C1449" s="11"/>
      <c r="D1449" s="11"/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</row>
    <row r="1450">
      <c r="A1450" s="11"/>
      <c r="B1450" s="11"/>
      <c r="C1450" s="11"/>
      <c r="D1450" s="11"/>
      <c r="E1450" s="11"/>
      <c r="F1450" s="11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</row>
    <row r="1451">
      <c r="A1451" s="11"/>
      <c r="B1451" s="11"/>
      <c r="C1451" s="11"/>
      <c r="D1451" s="11"/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</row>
    <row r="1452">
      <c r="A1452" s="11"/>
      <c r="B1452" s="11"/>
      <c r="C1452" s="11"/>
      <c r="D1452" s="11"/>
      <c r="E1452" s="11"/>
      <c r="F1452" s="11"/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</row>
    <row r="1453">
      <c r="A1453" s="11"/>
      <c r="B1453" s="11"/>
      <c r="C1453" s="11"/>
      <c r="D1453" s="11"/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</row>
    <row r="1454">
      <c r="A1454" s="11"/>
      <c r="B1454" s="11"/>
      <c r="C1454" s="11"/>
      <c r="D1454" s="11"/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</row>
    <row r="1455">
      <c r="A1455" s="11"/>
      <c r="B1455" s="11"/>
      <c r="C1455" s="11"/>
      <c r="D1455" s="11"/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</row>
    <row r="1456">
      <c r="A1456" s="11"/>
      <c r="B1456" s="11"/>
      <c r="C1456" s="11"/>
      <c r="D1456" s="11"/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</row>
    <row r="1457">
      <c r="A1457" s="11"/>
      <c r="B1457" s="11"/>
      <c r="C1457" s="11"/>
      <c r="D1457" s="11"/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</row>
    <row r="1458">
      <c r="A1458" s="11"/>
      <c r="B1458" s="11"/>
      <c r="C1458" s="11"/>
      <c r="D1458" s="11"/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</row>
    <row r="1459">
      <c r="A1459" s="11"/>
      <c r="B1459" s="11"/>
      <c r="C1459" s="11"/>
      <c r="D1459" s="11"/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</row>
    <row r="1460">
      <c r="A1460" s="11"/>
      <c r="B1460" s="11"/>
      <c r="C1460" s="11"/>
      <c r="D1460" s="11"/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</row>
    <row r="1461">
      <c r="A1461" s="11"/>
      <c r="B1461" s="11"/>
      <c r="C1461" s="11"/>
      <c r="D1461" s="11"/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</row>
    <row r="1462">
      <c r="A1462" s="11"/>
      <c r="B1462" s="11"/>
      <c r="C1462" s="11"/>
      <c r="D1462" s="11"/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</row>
    <row r="1463">
      <c r="A1463" s="11"/>
      <c r="B1463" s="11"/>
      <c r="C1463" s="11"/>
      <c r="D1463" s="11"/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</row>
    <row r="1464">
      <c r="A1464" s="11"/>
      <c r="B1464" s="11"/>
      <c r="C1464" s="11"/>
      <c r="D1464" s="11"/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</row>
    <row r="1465">
      <c r="A1465" s="11"/>
      <c r="B1465" s="11"/>
      <c r="C1465" s="11"/>
      <c r="D1465" s="11"/>
      <c r="E1465" s="11"/>
      <c r="F1465" s="11"/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</row>
    <row r="1466">
      <c r="A1466" s="11"/>
      <c r="B1466" s="11"/>
      <c r="C1466" s="11"/>
      <c r="D1466" s="11"/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</row>
    <row r="1467">
      <c r="A1467" s="11"/>
      <c r="B1467" s="11"/>
      <c r="C1467" s="11"/>
      <c r="D1467" s="11"/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</row>
    <row r="1468">
      <c r="A1468" s="11"/>
      <c r="B1468" s="11"/>
      <c r="C1468" s="11"/>
      <c r="D1468" s="11"/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</row>
    <row r="1469">
      <c r="A1469" s="11"/>
      <c r="B1469" s="11"/>
      <c r="C1469" s="11"/>
      <c r="D1469" s="11"/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</row>
    <row r="1470">
      <c r="A1470" s="11"/>
      <c r="B1470" s="11"/>
      <c r="C1470" s="11"/>
      <c r="D1470" s="11"/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</row>
    <row r="1471">
      <c r="A1471" s="11"/>
      <c r="B1471" s="11"/>
      <c r="C1471" s="11"/>
      <c r="D1471" s="11"/>
      <c r="E1471" s="11"/>
      <c r="F1471" s="11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</row>
    <row r="1472">
      <c r="A1472" s="11"/>
      <c r="B1472" s="11"/>
      <c r="C1472" s="11"/>
      <c r="D1472" s="11"/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</row>
    <row r="1473">
      <c r="A1473" s="11"/>
      <c r="B1473" s="11"/>
      <c r="C1473" s="11"/>
      <c r="D1473" s="11"/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</row>
    <row r="1474">
      <c r="A1474" s="11"/>
      <c r="B1474" s="11"/>
      <c r="C1474" s="11"/>
      <c r="D1474" s="11"/>
      <c r="E1474" s="11"/>
      <c r="F1474" s="11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</row>
    <row r="1475">
      <c r="A1475" s="11"/>
      <c r="B1475" s="11"/>
      <c r="C1475" s="11"/>
      <c r="D1475" s="11"/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</row>
    <row r="1476">
      <c r="A1476" s="11"/>
      <c r="B1476" s="11"/>
      <c r="C1476" s="11"/>
      <c r="D1476" s="11"/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</row>
    <row r="1477">
      <c r="A1477" s="11"/>
      <c r="B1477" s="11"/>
      <c r="C1477" s="11"/>
      <c r="D1477" s="11"/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</row>
    <row r="1478">
      <c r="A1478" s="11"/>
      <c r="B1478" s="11"/>
      <c r="C1478" s="11"/>
      <c r="D1478" s="11"/>
      <c r="E1478" s="11"/>
      <c r="F1478" s="11"/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</row>
    <row r="1479">
      <c r="A1479" s="11"/>
      <c r="B1479" s="11"/>
      <c r="C1479" s="11"/>
      <c r="D1479" s="11"/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</row>
    <row r="1480">
      <c r="A1480" s="11"/>
      <c r="B1480" s="11"/>
      <c r="C1480" s="11"/>
      <c r="D1480" s="11"/>
      <c r="E1480" s="11"/>
      <c r="F1480" s="11"/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</row>
    <row r="1481">
      <c r="A1481" s="11"/>
      <c r="B1481" s="11"/>
      <c r="C1481" s="11"/>
      <c r="D1481" s="11"/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</row>
    <row r="1482">
      <c r="A1482" s="11"/>
      <c r="B1482" s="11"/>
      <c r="C1482" s="11"/>
      <c r="D1482" s="11"/>
      <c r="E1482" s="11"/>
      <c r="F1482" s="11"/>
      <c r="G1482" s="11"/>
      <c r="H1482" s="11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</row>
    <row r="1483">
      <c r="A1483" s="11"/>
      <c r="B1483" s="11"/>
      <c r="C1483" s="11"/>
      <c r="D1483" s="11"/>
      <c r="E1483" s="11"/>
      <c r="F1483" s="11"/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</row>
    <row r="1484">
      <c r="A1484" s="11"/>
      <c r="B1484" s="11"/>
      <c r="C1484" s="11"/>
      <c r="D1484" s="11"/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</row>
    <row r="1485">
      <c r="A1485" s="11"/>
      <c r="B1485" s="11"/>
      <c r="C1485" s="11"/>
      <c r="D1485" s="11"/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</row>
    <row r="1486">
      <c r="A1486" s="11"/>
      <c r="B1486" s="11"/>
      <c r="C1486" s="11"/>
      <c r="D1486" s="11"/>
      <c r="E1486" s="11"/>
      <c r="F1486" s="11"/>
      <c r="G1486" s="11"/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</row>
    <row r="1487">
      <c r="A1487" s="11"/>
      <c r="B1487" s="11"/>
      <c r="C1487" s="11"/>
      <c r="D1487" s="11"/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</row>
    <row r="1488">
      <c r="A1488" s="11"/>
      <c r="B1488" s="11"/>
      <c r="C1488" s="11"/>
      <c r="D1488" s="11"/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</row>
    <row r="1489">
      <c r="A1489" s="11"/>
      <c r="B1489" s="11"/>
      <c r="C1489" s="11"/>
      <c r="D1489" s="11"/>
      <c r="E1489" s="11"/>
      <c r="F1489" s="11"/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</row>
    <row r="1490">
      <c r="A1490" s="11"/>
      <c r="B1490" s="11"/>
      <c r="C1490" s="11"/>
      <c r="D1490" s="11"/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</row>
    <row r="1491">
      <c r="A1491" s="11"/>
      <c r="B1491" s="11"/>
      <c r="C1491" s="11"/>
      <c r="D1491" s="11"/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</row>
    <row r="1492">
      <c r="A1492" s="11"/>
      <c r="B1492" s="11"/>
      <c r="C1492" s="11"/>
      <c r="D1492" s="11"/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</row>
    <row r="1493">
      <c r="A1493" s="11"/>
      <c r="B1493" s="11"/>
      <c r="C1493" s="11"/>
      <c r="D1493" s="11"/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</row>
    <row r="1494">
      <c r="A1494" s="11"/>
      <c r="B1494" s="11"/>
      <c r="C1494" s="11"/>
      <c r="D1494" s="11"/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</row>
    <row r="1495">
      <c r="A1495" s="11"/>
      <c r="B1495" s="11"/>
      <c r="C1495" s="11"/>
      <c r="D1495" s="11"/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</row>
    <row r="1496">
      <c r="A1496" s="11"/>
      <c r="B1496" s="11"/>
      <c r="C1496" s="11"/>
      <c r="D1496" s="11"/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</row>
    <row r="1497">
      <c r="A1497" s="11"/>
      <c r="B1497" s="11"/>
      <c r="C1497" s="11"/>
      <c r="D1497" s="11"/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</row>
    <row r="1498">
      <c r="A1498" s="11"/>
      <c r="B1498" s="11"/>
      <c r="C1498" s="11"/>
      <c r="D1498" s="11"/>
      <c r="E1498" s="11"/>
      <c r="F1498" s="11"/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</row>
    <row r="1499">
      <c r="A1499" s="11"/>
      <c r="B1499" s="11"/>
      <c r="C1499" s="11"/>
      <c r="D1499" s="11"/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</row>
    <row r="1500">
      <c r="A1500" s="11"/>
      <c r="B1500" s="11"/>
      <c r="C1500" s="11"/>
      <c r="D1500" s="11"/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</row>
    <row r="1501">
      <c r="A1501" s="11"/>
      <c r="B1501" s="11"/>
      <c r="C1501" s="11"/>
      <c r="D1501" s="11"/>
      <c r="E1501" s="11"/>
      <c r="F1501" s="11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</row>
    <row r="1502">
      <c r="A1502" s="11"/>
      <c r="B1502" s="11"/>
      <c r="C1502" s="11"/>
      <c r="D1502" s="11"/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</row>
    <row r="1503">
      <c r="A1503" s="11"/>
      <c r="B1503" s="11"/>
      <c r="C1503" s="11"/>
      <c r="D1503" s="11"/>
      <c r="E1503" s="11"/>
      <c r="F1503" s="11"/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</row>
    <row r="1504">
      <c r="A1504" s="11"/>
      <c r="B1504" s="11"/>
      <c r="C1504" s="11"/>
      <c r="D1504" s="11"/>
      <c r="E1504" s="11"/>
      <c r="F1504" s="11"/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</row>
    <row r="1505">
      <c r="A1505" s="11"/>
      <c r="B1505" s="11"/>
      <c r="C1505" s="11"/>
      <c r="D1505" s="11"/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</row>
    <row r="1506">
      <c r="A1506" s="11"/>
      <c r="B1506" s="11"/>
      <c r="C1506" s="11"/>
      <c r="D1506" s="11"/>
      <c r="E1506" s="11"/>
      <c r="F1506" s="11"/>
      <c r="G1506" s="11"/>
      <c r="H1506" s="11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  <c r="Z1506" s="11"/>
    </row>
    <row r="1507">
      <c r="A1507" s="11"/>
      <c r="B1507" s="11"/>
      <c r="C1507" s="11"/>
      <c r="D1507" s="11"/>
      <c r="E1507" s="11"/>
      <c r="F1507" s="11"/>
      <c r="G1507" s="11"/>
      <c r="H1507" s="11"/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</row>
    <row r="1508">
      <c r="A1508" s="11"/>
      <c r="B1508" s="11"/>
      <c r="C1508" s="11"/>
      <c r="D1508" s="11"/>
      <c r="E1508" s="11"/>
      <c r="F1508" s="11"/>
      <c r="G1508" s="11"/>
      <c r="H1508" s="11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</row>
    <row r="1509">
      <c r="A1509" s="11"/>
      <c r="B1509" s="11"/>
      <c r="C1509" s="11"/>
      <c r="D1509" s="11"/>
      <c r="E1509" s="11"/>
      <c r="F1509" s="11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</row>
    <row r="1510">
      <c r="A1510" s="11"/>
      <c r="B1510" s="11"/>
      <c r="C1510" s="11"/>
      <c r="D1510" s="11"/>
      <c r="E1510" s="11"/>
      <c r="F1510" s="11"/>
      <c r="G1510" s="11"/>
      <c r="H1510" s="11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</row>
    <row r="1511">
      <c r="A1511" s="11"/>
      <c r="B1511" s="11"/>
      <c r="C1511" s="11"/>
      <c r="D1511" s="11"/>
      <c r="E1511" s="11"/>
      <c r="F1511" s="11"/>
      <c r="G1511" s="11"/>
      <c r="H1511" s="11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</row>
    <row r="1512">
      <c r="A1512" s="11"/>
      <c r="B1512" s="11"/>
      <c r="C1512" s="11"/>
      <c r="D1512" s="11"/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  <c r="Z1512" s="11"/>
    </row>
    <row r="1513">
      <c r="A1513" s="11"/>
      <c r="B1513" s="11"/>
      <c r="C1513" s="11"/>
      <c r="D1513" s="11"/>
      <c r="E1513" s="11"/>
      <c r="F1513" s="11"/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</row>
    <row r="1514">
      <c r="A1514" s="11"/>
      <c r="B1514" s="11"/>
      <c r="C1514" s="11"/>
      <c r="D1514" s="11"/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</row>
    <row r="1515">
      <c r="A1515" s="11"/>
      <c r="B1515" s="11"/>
      <c r="C1515" s="11"/>
      <c r="D1515" s="11"/>
      <c r="E1515" s="11"/>
      <c r="F1515" s="11"/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</row>
    <row r="1516">
      <c r="A1516" s="11"/>
      <c r="B1516" s="11"/>
      <c r="C1516" s="11"/>
      <c r="D1516" s="11"/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  <c r="Z1516" s="11"/>
    </row>
    <row r="1517">
      <c r="A1517" s="11"/>
      <c r="B1517" s="11"/>
      <c r="C1517" s="11"/>
      <c r="D1517" s="11"/>
      <c r="E1517" s="11"/>
      <c r="F1517" s="11"/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</row>
    <row r="1518">
      <c r="A1518" s="11"/>
      <c r="B1518" s="11"/>
      <c r="C1518" s="11"/>
      <c r="D1518" s="11"/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</row>
    <row r="1519">
      <c r="A1519" s="11"/>
      <c r="B1519" s="11"/>
      <c r="C1519" s="11"/>
      <c r="D1519" s="11"/>
      <c r="E1519" s="11"/>
      <c r="F1519" s="11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</row>
    <row r="1520">
      <c r="A1520" s="11"/>
      <c r="B1520" s="11"/>
      <c r="C1520" s="11"/>
      <c r="D1520" s="11"/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</row>
    <row r="1521">
      <c r="A1521" s="11"/>
      <c r="B1521" s="11"/>
      <c r="C1521" s="11"/>
      <c r="D1521" s="11"/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</row>
    <row r="1522">
      <c r="A1522" s="11"/>
      <c r="B1522" s="11"/>
      <c r="C1522" s="11"/>
      <c r="D1522" s="11"/>
      <c r="E1522" s="11"/>
      <c r="F1522" s="11"/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</row>
    <row r="1523">
      <c r="A1523" s="11"/>
      <c r="B1523" s="11"/>
      <c r="C1523" s="11"/>
      <c r="D1523" s="11"/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</row>
    <row r="1524">
      <c r="A1524" s="11"/>
      <c r="B1524" s="11"/>
      <c r="C1524" s="11"/>
      <c r="D1524" s="11"/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</row>
    <row r="1525">
      <c r="A1525" s="11"/>
      <c r="B1525" s="11"/>
      <c r="C1525" s="11"/>
      <c r="D1525" s="11"/>
      <c r="E1525" s="11"/>
      <c r="F1525" s="11"/>
      <c r="G1525" s="11"/>
      <c r="H1525" s="11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</row>
    <row r="1526">
      <c r="A1526" s="11"/>
      <c r="B1526" s="11"/>
      <c r="C1526" s="11"/>
      <c r="D1526" s="11"/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</row>
    <row r="1527">
      <c r="A1527" s="11"/>
      <c r="B1527" s="11"/>
      <c r="C1527" s="11"/>
      <c r="D1527" s="11"/>
      <c r="E1527" s="11"/>
      <c r="F1527" s="11"/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</row>
    <row r="1528">
      <c r="A1528" s="11"/>
      <c r="B1528" s="11"/>
      <c r="C1528" s="11"/>
      <c r="D1528" s="11"/>
      <c r="E1528" s="11"/>
      <c r="F1528" s="11"/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</row>
    <row r="1529">
      <c r="A1529" s="11"/>
      <c r="B1529" s="11"/>
      <c r="C1529" s="11"/>
      <c r="D1529" s="11"/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</row>
    <row r="1530">
      <c r="A1530" s="11"/>
      <c r="B1530" s="11"/>
      <c r="C1530" s="11"/>
      <c r="D1530" s="11"/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</row>
    <row r="1531">
      <c r="A1531" s="11"/>
      <c r="B1531" s="11"/>
      <c r="C1531" s="11"/>
      <c r="D1531" s="11"/>
      <c r="E1531" s="11"/>
      <c r="F1531" s="11"/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  <c r="Z1531" s="11"/>
    </row>
    <row r="1532">
      <c r="A1532" s="11"/>
      <c r="B1532" s="11"/>
      <c r="C1532" s="11"/>
      <c r="D1532" s="11"/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</row>
    <row r="1533">
      <c r="A1533" s="11"/>
      <c r="B1533" s="11"/>
      <c r="C1533" s="11"/>
      <c r="D1533" s="11"/>
      <c r="E1533" s="11"/>
      <c r="F1533" s="11"/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</row>
    <row r="1534">
      <c r="A1534" s="11"/>
      <c r="B1534" s="11"/>
      <c r="C1534" s="11"/>
      <c r="D1534" s="11"/>
      <c r="E1534" s="11"/>
      <c r="F1534" s="11"/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</row>
    <row r="1535">
      <c r="A1535" s="11"/>
      <c r="B1535" s="11"/>
      <c r="C1535" s="11"/>
      <c r="D1535" s="11"/>
      <c r="E1535" s="11"/>
      <c r="F1535" s="11"/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</row>
    <row r="1536">
      <c r="A1536" s="11"/>
      <c r="B1536" s="11"/>
      <c r="C1536" s="11"/>
      <c r="D1536" s="11"/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</row>
    <row r="1537">
      <c r="A1537" s="11"/>
      <c r="B1537" s="11"/>
      <c r="C1537" s="11"/>
      <c r="D1537" s="11"/>
      <c r="E1537" s="11"/>
      <c r="F1537" s="11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</row>
    <row r="1538">
      <c r="A1538" s="11"/>
      <c r="B1538" s="11"/>
      <c r="C1538" s="11"/>
      <c r="D1538" s="11"/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</row>
    <row r="1539">
      <c r="A1539" s="11"/>
      <c r="B1539" s="11"/>
      <c r="C1539" s="11"/>
      <c r="D1539" s="11"/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</row>
    <row r="1540">
      <c r="A1540" s="11"/>
      <c r="B1540" s="11"/>
      <c r="C1540" s="11"/>
      <c r="D1540" s="11"/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  <c r="Z1540" s="11"/>
    </row>
    <row r="1541">
      <c r="A1541" s="11"/>
      <c r="B1541" s="11"/>
      <c r="C1541" s="11"/>
      <c r="D1541" s="11"/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</row>
    <row r="1542">
      <c r="A1542" s="11"/>
      <c r="B1542" s="11"/>
      <c r="C1542" s="11"/>
      <c r="D1542" s="11"/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</row>
    <row r="1543">
      <c r="A1543" s="11"/>
      <c r="B1543" s="11"/>
      <c r="C1543" s="11"/>
      <c r="D1543" s="11"/>
      <c r="E1543" s="11"/>
      <c r="F1543" s="11"/>
      <c r="G1543" s="11"/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</row>
    <row r="1544">
      <c r="A1544" s="11"/>
      <c r="B1544" s="11"/>
      <c r="C1544" s="11"/>
      <c r="D1544" s="11"/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</row>
    <row r="1545">
      <c r="A1545" s="11"/>
      <c r="B1545" s="11"/>
      <c r="C1545" s="11"/>
      <c r="D1545" s="11"/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</row>
    <row r="1546">
      <c r="A1546" s="11"/>
      <c r="B1546" s="11"/>
      <c r="C1546" s="11"/>
      <c r="D1546" s="11"/>
      <c r="E1546" s="11"/>
      <c r="F1546" s="11"/>
      <c r="G1546" s="11"/>
      <c r="H1546" s="11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</row>
    <row r="1547">
      <c r="A1547" s="11"/>
      <c r="B1547" s="11"/>
      <c r="C1547" s="11"/>
      <c r="D1547" s="11"/>
      <c r="E1547" s="11"/>
      <c r="F1547" s="11"/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</row>
    <row r="1548">
      <c r="A1548" s="11"/>
      <c r="B1548" s="11"/>
      <c r="C1548" s="11"/>
      <c r="D1548" s="11"/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</row>
    <row r="1549">
      <c r="A1549" s="11"/>
      <c r="B1549" s="11"/>
      <c r="C1549" s="11"/>
      <c r="D1549" s="11"/>
      <c r="E1549" s="11"/>
      <c r="F1549" s="11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</row>
    <row r="1550">
      <c r="A1550" s="11"/>
      <c r="B1550" s="11"/>
      <c r="C1550" s="11"/>
      <c r="D1550" s="11"/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</row>
    <row r="1551">
      <c r="A1551" s="11"/>
      <c r="B1551" s="11"/>
      <c r="C1551" s="11"/>
      <c r="D1551" s="11"/>
      <c r="E1551" s="11"/>
      <c r="F1551" s="11"/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</row>
    <row r="1552">
      <c r="A1552" s="11"/>
      <c r="B1552" s="11"/>
      <c r="C1552" s="11"/>
      <c r="D1552" s="11"/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</row>
    <row r="1553">
      <c r="A1553" s="11"/>
      <c r="B1553" s="11"/>
      <c r="C1553" s="11"/>
      <c r="D1553" s="11"/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</row>
    <row r="1554">
      <c r="A1554" s="11"/>
      <c r="B1554" s="11"/>
      <c r="C1554" s="11"/>
      <c r="D1554" s="11"/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</row>
    <row r="1555">
      <c r="A1555" s="11"/>
      <c r="B1555" s="11"/>
      <c r="C1555" s="11"/>
      <c r="D1555" s="11"/>
      <c r="E1555" s="11"/>
      <c r="F1555" s="11"/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  <c r="Z1555" s="11"/>
    </row>
    <row r="1556">
      <c r="A1556" s="11"/>
      <c r="B1556" s="11"/>
      <c r="C1556" s="11"/>
      <c r="D1556" s="11"/>
      <c r="E1556" s="11"/>
      <c r="F1556" s="11"/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</row>
    <row r="1557">
      <c r="A1557" s="11"/>
      <c r="B1557" s="11"/>
      <c r="C1557" s="11"/>
      <c r="D1557" s="11"/>
      <c r="E1557" s="11"/>
      <c r="F1557" s="11"/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</row>
    <row r="1558">
      <c r="A1558" s="11"/>
      <c r="B1558" s="11"/>
      <c r="C1558" s="11"/>
      <c r="D1558" s="11"/>
      <c r="E1558" s="11"/>
      <c r="F1558" s="11"/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</row>
    <row r="1559">
      <c r="A1559" s="11"/>
      <c r="B1559" s="11"/>
      <c r="C1559" s="11"/>
      <c r="D1559" s="11"/>
      <c r="E1559" s="11"/>
      <c r="F1559" s="11"/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</row>
    <row r="1560">
      <c r="A1560" s="11"/>
      <c r="B1560" s="11"/>
      <c r="C1560" s="11"/>
      <c r="D1560" s="11"/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</row>
    <row r="1561">
      <c r="A1561" s="11"/>
      <c r="B1561" s="11"/>
      <c r="C1561" s="11"/>
      <c r="D1561" s="11"/>
      <c r="E1561" s="11"/>
      <c r="F1561" s="11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</row>
    <row r="1562">
      <c r="A1562" s="11"/>
      <c r="B1562" s="11"/>
      <c r="C1562" s="11"/>
      <c r="D1562" s="11"/>
      <c r="E1562" s="11"/>
      <c r="F1562" s="11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</row>
    <row r="1563">
      <c r="A1563" s="11"/>
      <c r="B1563" s="11"/>
      <c r="C1563" s="11"/>
      <c r="D1563" s="11"/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</row>
    <row r="1564">
      <c r="A1564" s="11"/>
      <c r="B1564" s="11"/>
      <c r="C1564" s="11"/>
      <c r="D1564" s="11"/>
      <c r="E1564" s="11"/>
      <c r="F1564" s="11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</row>
    <row r="1565">
      <c r="A1565" s="11"/>
      <c r="B1565" s="11"/>
      <c r="C1565" s="11"/>
      <c r="D1565" s="11"/>
      <c r="E1565" s="11"/>
      <c r="F1565" s="11"/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</row>
    <row r="1566">
      <c r="A1566" s="11"/>
      <c r="B1566" s="11"/>
      <c r="C1566" s="11"/>
      <c r="D1566" s="11"/>
      <c r="E1566" s="11"/>
      <c r="F1566" s="11"/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</row>
    <row r="1567">
      <c r="A1567" s="11"/>
      <c r="B1567" s="11"/>
      <c r="C1567" s="11"/>
      <c r="D1567" s="11"/>
      <c r="E1567" s="11"/>
      <c r="F1567" s="11"/>
      <c r="G1567" s="11"/>
      <c r="H1567" s="11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</row>
    <row r="1568">
      <c r="A1568" s="11"/>
      <c r="B1568" s="11"/>
      <c r="C1568" s="11"/>
      <c r="D1568" s="11"/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</row>
    <row r="1569">
      <c r="A1569" s="11"/>
      <c r="B1569" s="11"/>
      <c r="C1569" s="11"/>
      <c r="D1569" s="11"/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</row>
    <row r="1570">
      <c r="A1570" s="11"/>
      <c r="B1570" s="11"/>
      <c r="C1570" s="11"/>
      <c r="D1570" s="11"/>
      <c r="E1570" s="11"/>
      <c r="F1570" s="11"/>
      <c r="G1570" s="11"/>
      <c r="H1570" s="11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</row>
    <row r="1571">
      <c r="A1571" s="11"/>
      <c r="B1571" s="11"/>
      <c r="C1571" s="11"/>
      <c r="D1571" s="11"/>
      <c r="E1571" s="11"/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</row>
    <row r="1572">
      <c r="A1572" s="11"/>
      <c r="B1572" s="11"/>
      <c r="C1572" s="11"/>
      <c r="D1572" s="11"/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  <c r="Z1572" s="11"/>
    </row>
    <row r="1573">
      <c r="A1573" s="11"/>
      <c r="B1573" s="11"/>
      <c r="C1573" s="11"/>
      <c r="D1573" s="11"/>
      <c r="E1573" s="11"/>
      <c r="F1573" s="11"/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</row>
    <row r="1574">
      <c r="A1574" s="11"/>
      <c r="B1574" s="11"/>
      <c r="C1574" s="11"/>
      <c r="D1574" s="11"/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</row>
    <row r="1575">
      <c r="A1575" s="11"/>
      <c r="B1575" s="11"/>
      <c r="C1575" s="11"/>
      <c r="D1575" s="11"/>
      <c r="E1575" s="11"/>
      <c r="F1575" s="11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</row>
    <row r="1576">
      <c r="A1576" s="11"/>
      <c r="B1576" s="11"/>
      <c r="C1576" s="11"/>
      <c r="D1576" s="11"/>
      <c r="E1576" s="11"/>
      <c r="F1576" s="11"/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  <c r="Z1576" s="11"/>
    </row>
    <row r="1577">
      <c r="A1577" s="11"/>
      <c r="B1577" s="11"/>
      <c r="C1577" s="11"/>
      <c r="D1577" s="11"/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</row>
    <row r="1578">
      <c r="A1578" s="11"/>
      <c r="B1578" s="11"/>
      <c r="C1578" s="11"/>
      <c r="D1578" s="11"/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</row>
    <row r="1579">
      <c r="A1579" s="11"/>
      <c r="B1579" s="11"/>
      <c r="C1579" s="11"/>
      <c r="D1579" s="11"/>
      <c r="E1579" s="11"/>
      <c r="F1579" s="11"/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</row>
    <row r="1580">
      <c r="A1580" s="11"/>
      <c r="B1580" s="11"/>
      <c r="C1580" s="11"/>
      <c r="D1580" s="11"/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</row>
    <row r="1581">
      <c r="A1581" s="11"/>
      <c r="B1581" s="11"/>
      <c r="C1581" s="11"/>
      <c r="D1581" s="11"/>
      <c r="E1581" s="11"/>
      <c r="F1581" s="11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  <c r="Z1581" s="11"/>
    </row>
    <row r="1582">
      <c r="A1582" s="11"/>
      <c r="B1582" s="11"/>
      <c r="C1582" s="11"/>
      <c r="D1582" s="11"/>
      <c r="E1582" s="11"/>
      <c r="F1582" s="11"/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</row>
    <row r="1583">
      <c r="A1583" s="11"/>
      <c r="B1583" s="11"/>
      <c r="C1583" s="11"/>
      <c r="D1583" s="11"/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</row>
    <row r="1584">
      <c r="A1584" s="11"/>
      <c r="B1584" s="11"/>
      <c r="C1584" s="11"/>
      <c r="D1584" s="11"/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</row>
    <row r="1585">
      <c r="A1585" s="11"/>
      <c r="B1585" s="11"/>
      <c r="C1585" s="11"/>
      <c r="D1585" s="11"/>
      <c r="E1585" s="11"/>
      <c r="F1585" s="11"/>
      <c r="G1585" s="11"/>
      <c r="H1585" s="11"/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</row>
    <row r="1586">
      <c r="A1586" s="11"/>
      <c r="B1586" s="11"/>
      <c r="C1586" s="11"/>
      <c r="D1586" s="11"/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</row>
    <row r="1587">
      <c r="A1587" s="11"/>
      <c r="B1587" s="11"/>
      <c r="C1587" s="11"/>
      <c r="D1587" s="11"/>
      <c r="E1587" s="11"/>
      <c r="F1587" s="11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</row>
    <row r="1588">
      <c r="A1588" s="11"/>
      <c r="B1588" s="11"/>
      <c r="C1588" s="11"/>
      <c r="D1588" s="11"/>
      <c r="E1588" s="11"/>
      <c r="F1588" s="11"/>
      <c r="G1588" s="11"/>
      <c r="H1588" s="11"/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</row>
    <row r="1589">
      <c r="A1589" s="11"/>
      <c r="B1589" s="11"/>
      <c r="C1589" s="11"/>
      <c r="D1589" s="11"/>
      <c r="E1589" s="11"/>
      <c r="F1589" s="11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</row>
    <row r="1590">
      <c r="A1590" s="11"/>
      <c r="B1590" s="11"/>
      <c r="C1590" s="11"/>
      <c r="D1590" s="11"/>
      <c r="E1590" s="11"/>
      <c r="F1590" s="11"/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</row>
    <row r="1591">
      <c r="A1591" s="11"/>
      <c r="B1591" s="11"/>
      <c r="C1591" s="11"/>
      <c r="D1591" s="11"/>
      <c r="E1591" s="11"/>
      <c r="F1591" s="11"/>
      <c r="G1591" s="11"/>
      <c r="H1591" s="11"/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  <c r="Z1591" s="11"/>
    </row>
    <row r="1592">
      <c r="A1592" s="11"/>
      <c r="B1592" s="11"/>
      <c r="C1592" s="11"/>
      <c r="D1592" s="11"/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</row>
    <row r="1593">
      <c r="A1593" s="11"/>
      <c r="B1593" s="11"/>
      <c r="C1593" s="11"/>
      <c r="D1593" s="11"/>
      <c r="E1593" s="11"/>
      <c r="F1593" s="11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</row>
    <row r="1594">
      <c r="A1594" s="11"/>
      <c r="B1594" s="11"/>
      <c r="C1594" s="11"/>
      <c r="D1594" s="11"/>
      <c r="E1594" s="11"/>
      <c r="F1594" s="11"/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</row>
    <row r="1595">
      <c r="A1595" s="11"/>
      <c r="B1595" s="11"/>
      <c r="C1595" s="11"/>
      <c r="D1595" s="11"/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</row>
    <row r="1596">
      <c r="A1596" s="11"/>
      <c r="B1596" s="11"/>
      <c r="C1596" s="11"/>
      <c r="D1596" s="11"/>
      <c r="E1596" s="11"/>
      <c r="F1596" s="11"/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  <c r="Z1596" s="11"/>
    </row>
    <row r="1597">
      <c r="A1597" s="11"/>
      <c r="B1597" s="11"/>
      <c r="C1597" s="11"/>
      <c r="D1597" s="11"/>
      <c r="E1597" s="11"/>
      <c r="F1597" s="11"/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  <c r="Z1597" s="11"/>
    </row>
    <row r="1598">
      <c r="A1598" s="11"/>
      <c r="B1598" s="11"/>
      <c r="C1598" s="11"/>
      <c r="D1598" s="11"/>
      <c r="E1598" s="11"/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</row>
    <row r="1599">
      <c r="A1599" s="11"/>
      <c r="B1599" s="11"/>
      <c r="C1599" s="11"/>
      <c r="D1599" s="11"/>
      <c r="E1599" s="11"/>
      <c r="F1599" s="11"/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</row>
    <row r="1600">
      <c r="A1600" s="11"/>
      <c r="B1600" s="11"/>
      <c r="C1600" s="11"/>
      <c r="D1600" s="11"/>
      <c r="E1600" s="11"/>
      <c r="F1600" s="11"/>
      <c r="G1600" s="11"/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</row>
    <row r="1601">
      <c r="A1601" s="11"/>
      <c r="B1601" s="11"/>
      <c r="C1601" s="11"/>
      <c r="D1601" s="11"/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</row>
    <row r="1602">
      <c r="A1602" s="11"/>
      <c r="B1602" s="11"/>
      <c r="C1602" s="11"/>
      <c r="D1602" s="11"/>
      <c r="E1602" s="11"/>
      <c r="F1602" s="11"/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</row>
    <row r="1603">
      <c r="A1603" s="11"/>
      <c r="B1603" s="11"/>
      <c r="C1603" s="11"/>
      <c r="D1603" s="11"/>
      <c r="E1603" s="11"/>
      <c r="F1603" s="11"/>
      <c r="G1603" s="11"/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</row>
    <row r="1604">
      <c r="A1604" s="11"/>
      <c r="B1604" s="11"/>
      <c r="C1604" s="11"/>
      <c r="D1604" s="11"/>
      <c r="E1604" s="11"/>
      <c r="F1604" s="11"/>
      <c r="G1604" s="11"/>
      <c r="H1604" s="11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</row>
    <row r="1605">
      <c r="A1605" s="11"/>
      <c r="B1605" s="11"/>
      <c r="C1605" s="11"/>
      <c r="D1605" s="11"/>
      <c r="E1605" s="11"/>
      <c r="F1605" s="11"/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</row>
    <row r="1606">
      <c r="A1606" s="11"/>
      <c r="B1606" s="11"/>
      <c r="C1606" s="11"/>
      <c r="D1606" s="11"/>
      <c r="E1606" s="11"/>
      <c r="F1606" s="11"/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</row>
    <row r="1607">
      <c r="A1607" s="11"/>
      <c r="B1607" s="11"/>
      <c r="C1607" s="11"/>
      <c r="D1607" s="11"/>
      <c r="E1607" s="11"/>
      <c r="F1607" s="11"/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</row>
    <row r="1608">
      <c r="A1608" s="11"/>
      <c r="B1608" s="11"/>
      <c r="C1608" s="11"/>
      <c r="D1608" s="11"/>
      <c r="E1608" s="11"/>
      <c r="F1608" s="11"/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</row>
    <row r="1609">
      <c r="A1609" s="11"/>
      <c r="B1609" s="11"/>
      <c r="C1609" s="11"/>
      <c r="D1609" s="11"/>
      <c r="E1609" s="11"/>
      <c r="F1609" s="11"/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</row>
    <row r="1610">
      <c r="A1610" s="11"/>
      <c r="B1610" s="11"/>
      <c r="C1610" s="11"/>
      <c r="D1610" s="11"/>
      <c r="E1610" s="11"/>
      <c r="F1610" s="11"/>
      <c r="G1610" s="11"/>
      <c r="H1610" s="1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</row>
    <row r="1611">
      <c r="A1611" s="11"/>
      <c r="B1611" s="11"/>
      <c r="C1611" s="11"/>
      <c r="D1611" s="11"/>
      <c r="E1611" s="11"/>
      <c r="F1611" s="11"/>
      <c r="G1611" s="11"/>
      <c r="H1611" s="1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</row>
    <row r="1612">
      <c r="A1612" s="11"/>
      <c r="B1612" s="11"/>
      <c r="C1612" s="11"/>
      <c r="D1612" s="11"/>
      <c r="E1612" s="11"/>
      <c r="F1612" s="11"/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  <c r="Z1612" s="11"/>
    </row>
    <row r="1613">
      <c r="A1613" s="11"/>
      <c r="B1613" s="11"/>
      <c r="C1613" s="11"/>
      <c r="D1613" s="11"/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</row>
    <row r="1614">
      <c r="A1614" s="11"/>
      <c r="B1614" s="11"/>
      <c r="C1614" s="11"/>
      <c r="D1614" s="11"/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</row>
    <row r="1615">
      <c r="A1615" s="11"/>
      <c r="B1615" s="11"/>
      <c r="C1615" s="11"/>
      <c r="D1615" s="11"/>
      <c r="E1615" s="11"/>
      <c r="F1615" s="11"/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</row>
    <row r="1616">
      <c r="A1616" s="11"/>
      <c r="B1616" s="11"/>
      <c r="C1616" s="11"/>
      <c r="D1616" s="11"/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</row>
    <row r="1617">
      <c r="A1617" s="11"/>
      <c r="B1617" s="11"/>
      <c r="C1617" s="11"/>
      <c r="D1617" s="11"/>
      <c r="E1617" s="11"/>
      <c r="F1617" s="11"/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</row>
    <row r="1618">
      <c r="A1618" s="11"/>
      <c r="B1618" s="11"/>
      <c r="C1618" s="11"/>
      <c r="D1618" s="11"/>
      <c r="E1618" s="11"/>
      <c r="F1618" s="11"/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</row>
    <row r="1619">
      <c r="A1619" s="11"/>
      <c r="B1619" s="11"/>
      <c r="C1619" s="11"/>
      <c r="D1619" s="11"/>
      <c r="E1619" s="11"/>
      <c r="F1619" s="11"/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</row>
    <row r="1620">
      <c r="A1620" s="11"/>
      <c r="B1620" s="11"/>
      <c r="C1620" s="11"/>
      <c r="D1620" s="11"/>
      <c r="E1620" s="11"/>
      <c r="F1620" s="11"/>
      <c r="G1620" s="11"/>
      <c r="H1620" s="11"/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</row>
    <row r="1621">
      <c r="A1621" s="11"/>
      <c r="B1621" s="11"/>
      <c r="C1621" s="11"/>
      <c r="D1621" s="11"/>
      <c r="E1621" s="11"/>
      <c r="F1621" s="11"/>
      <c r="G1621" s="11"/>
      <c r="H1621" s="1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  <c r="Z1621" s="11"/>
    </row>
    <row r="1622">
      <c r="A1622" s="11"/>
      <c r="B1622" s="11"/>
      <c r="C1622" s="11"/>
      <c r="D1622" s="11"/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</row>
    <row r="1623">
      <c r="A1623" s="11"/>
      <c r="B1623" s="11"/>
      <c r="C1623" s="11"/>
      <c r="D1623" s="11"/>
      <c r="E1623" s="11"/>
      <c r="F1623" s="11"/>
      <c r="G1623" s="11"/>
      <c r="H1623" s="11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</row>
    <row r="1624">
      <c r="A1624" s="11"/>
      <c r="B1624" s="11"/>
      <c r="C1624" s="11"/>
      <c r="D1624" s="11"/>
      <c r="E1624" s="11"/>
      <c r="F1624" s="11"/>
      <c r="G1624" s="11"/>
      <c r="H1624" s="11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</row>
    <row r="1625">
      <c r="A1625" s="11"/>
      <c r="B1625" s="11"/>
      <c r="C1625" s="11"/>
      <c r="D1625" s="11"/>
      <c r="E1625" s="11"/>
      <c r="F1625" s="11"/>
      <c r="G1625" s="11"/>
      <c r="H1625" s="1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  <c r="Z1625" s="11"/>
    </row>
    <row r="1626">
      <c r="A1626" s="11"/>
      <c r="B1626" s="11"/>
      <c r="C1626" s="11"/>
      <c r="D1626" s="11"/>
      <c r="E1626" s="11"/>
      <c r="F1626" s="11"/>
      <c r="G1626" s="11"/>
      <c r="H1626" s="11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</row>
    <row r="1627">
      <c r="A1627" s="11"/>
      <c r="B1627" s="11"/>
      <c r="C1627" s="11"/>
      <c r="D1627" s="11"/>
      <c r="E1627" s="11"/>
      <c r="F1627" s="11"/>
      <c r="G1627" s="11"/>
      <c r="H1627" s="1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  <c r="Z1627" s="11"/>
    </row>
    <row r="1628">
      <c r="A1628" s="11"/>
      <c r="B1628" s="11"/>
      <c r="C1628" s="11"/>
      <c r="D1628" s="11"/>
      <c r="E1628" s="11"/>
      <c r="F1628" s="11"/>
      <c r="G1628" s="11"/>
      <c r="H1628" s="11"/>
      <c r="I1628" s="11"/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</row>
    <row r="1629">
      <c r="A1629" s="11"/>
      <c r="B1629" s="11"/>
      <c r="C1629" s="11"/>
      <c r="D1629" s="11"/>
      <c r="E1629" s="11"/>
      <c r="F1629" s="11"/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</row>
    <row r="1630">
      <c r="A1630" s="11"/>
      <c r="B1630" s="11"/>
      <c r="C1630" s="11"/>
      <c r="D1630" s="11"/>
      <c r="E1630" s="11"/>
      <c r="F1630" s="11"/>
      <c r="G1630" s="11"/>
      <c r="H1630" s="11"/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</row>
    <row r="1631">
      <c r="A1631" s="11"/>
      <c r="B1631" s="11"/>
      <c r="C1631" s="11"/>
      <c r="D1631" s="11"/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</row>
    <row r="1632">
      <c r="A1632" s="11"/>
      <c r="B1632" s="11"/>
      <c r="C1632" s="11"/>
      <c r="D1632" s="11"/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</row>
    <row r="1633">
      <c r="A1633" s="11"/>
      <c r="B1633" s="11"/>
      <c r="C1633" s="11"/>
      <c r="D1633" s="11"/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</row>
    <row r="1634">
      <c r="A1634" s="11"/>
      <c r="B1634" s="11"/>
      <c r="C1634" s="11"/>
      <c r="D1634" s="11"/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</row>
    <row r="1635">
      <c r="A1635" s="11"/>
      <c r="B1635" s="11"/>
      <c r="C1635" s="11"/>
      <c r="D1635" s="11"/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  <c r="Z1635" s="11"/>
    </row>
    <row r="1636">
      <c r="A1636" s="11"/>
      <c r="B1636" s="11"/>
      <c r="C1636" s="11"/>
      <c r="D1636" s="11"/>
      <c r="E1636" s="11"/>
      <c r="F1636" s="11"/>
      <c r="G1636" s="11"/>
      <c r="H1636" s="11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</row>
    <row r="1637">
      <c r="A1637" s="11"/>
      <c r="B1637" s="11"/>
      <c r="C1637" s="11"/>
      <c r="D1637" s="11"/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</row>
    <row r="1638">
      <c r="A1638" s="11"/>
      <c r="B1638" s="11"/>
      <c r="C1638" s="11"/>
      <c r="D1638" s="11"/>
      <c r="E1638" s="11"/>
      <c r="F1638" s="11"/>
      <c r="G1638" s="11"/>
      <c r="H1638" s="11"/>
      <c r="I1638" s="11"/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</row>
    <row r="1639">
      <c r="A1639" s="11"/>
      <c r="B1639" s="11"/>
      <c r="C1639" s="11"/>
      <c r="D1639" s="11"/>
      <c r="E1639" s="11"/>
      <c r="F1639" s="11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</row>
    <row r="1640">
      <c r="A1640" s="11"/>
      <c r="B1640" s="11"/>
      <c r="C1640" s="11"/>
      <c r="D1640" s="11"/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</row>
    <row r="1641">
      <c r="A1641" s="11"/>
      <c r="B1641" s="11"/>
      <c r="C1641" s="11"/>
      <c r="D1641" s="11"/>
      <c r="E1641" s="11"/>
      <c r="F1641" s="11"/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</row>
    <row r="1642">
      <c r="A1642" s="11"/>
      <c r="B1642" s="11"/>
      <c r="C1642" s="11"/>
      <c r="D1642" s="11"/>
      <c r="E1642" s="11"/>
      <c r="F1642" s="11"/>
      <c r="G1642" s="11"/>
      <c r="H1642" s="11"/>
      <c r="I1642" s="11"/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</row>
    <row r="1643">
      <c r="A1643" s="11"/>
      <c r="B1643" s="11"/>
      <c r="C1643" s="11"/>
      <c r="D1643" s="11"/>
      <c r="E1643" s="11"/>
      <c r="F1643" s="11"/>
      <c r="G1643" s="11"/>
      <c r="H1643" s="1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</row>
    <row r="1644">
      <c r="A1644" s="11"/>
      <c r="B1644" s="11"/>
      <c r="C1644" s="11"/>
      <c r="D1644" s="11"/>
      <c r="E1644" s="11"/>
      <c r="F1644" s="11"/>
      <c r="G1644" s="11"/>
      <c r="H1644" s="11"/>
      <c r="I1644" s="11"/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</row>
    <row r="1645">
      <c r="A1645" s="11"/>
      <c r="B1645" s="11"/>
      <c r="C1645" s="11"/>
      <c r="D1645" s="11"/>
      <c r="E1645" s="11"/>
      <c r="F1645" s="11"/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</row>
    <row r="1646">
      <c r="A1646" s="11"/>
      <c r="B1646" s="11"/>
      <c r="C1646" s="11"/>
      <c r="D1646" s="11"/>
      <c r="E1646" s="11"/>
      <c r="F1646" s="11"/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</row>
    <row r="1647">
      <c r="A1647" s="11"/>
      <c r="B1647" s="11"/>
      <c r="C1647" s="11"/>
      <c r="D1647" s="11"/>
      <c r="E1647" s="11"/>
      <c r="F1647" s="11"/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</row>
    <row r="1648">
      <c r="A1648" s="11"/>
      <c r="B1648" s="11"/>
      <c r="C1648" s="11"/>
      <c r="D1648" s="11"/>
      <c r="E1648" s="11"/>
      <c r="F1648" s="11"/>
      <c r="G1648" s="11"/>
      <c r="H1648" s="11"/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</row>
    <row r="1649">
      <c r="A1649" s="11"/>
      <c r="B1649" s="11"/>
      <c r="C1649" s="11"/>
      <c r="D1649" s="11"/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</row>
    <row r="1650">
      <c r="A1650" s="11"/>
      <c r="B1650" s="11"/>
      <c r="C1650" s="11"/>
      <c r="D1650" s="11"/>
      <c r="E1650" s="11"/>
      <c r="F1650" s="11"/>
      <c r="G1650" s="11"/>
      <c r="H1650" s="1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  <c r="Z1650" s="11"/>
    </row>
    <row r="1651">
      <c r="A1651" s="11"/>
      <c r="B1651" s="11"/>
      <c r="C1651" s="11"/>
      <c r="D1651" s="11"/>
      <c r="E1651" s="11"/>
      <c r="F1651" s="11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  <c r="Z1651" s="11"/>
    </row>
    <row r="1652">
      <c r="A1652" s="11"/>
      <c r="B1652" s="11"/>
      <c r="C1652" s="11"/>
      <c r="D1652" s="11"/>
      <c r="E1652" s="11"/>
      <c r="F1652" s="11"/>
      <c r="G1652" s="11"/>
      <c r="H1652" s="1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</row>
    <row r="1653">
      <c r="A1653" s="11"/>
      <c r="B1653" s="11"/>
      <c r="C1653" s="11"/>
      <c r="D1653" s="11"/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</row>
    <row r="1654">
      <c r="A1654" s="11"/>
      <c r="B1654" s="11"/>
      <c r="C1654" s="11"/>
      <c r="D1654" s="11"/>
      <c r="E1654" s="11"/>
      <c r="F1654" s="11"/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</row>
    <row r="1655">
      <c r="A1655" s="11"/>
      <c r="B1655" s="11"/>
      <c r="C1655" s="11"/>
      <c r="D1655" s="11"/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</row>
    <row r="1656">
      <c r="A1656" s="11"/>
      <c r="B1656" s="11"/>
      <c r="C1656" s="11"/>
      <c r="D1656" s="11"/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  <c r="Z1656" s="11"/>
    </row>
    <row r="1657">
      <c r="A1657" s="11"/>
      <c r="B1657" s="11"/>
      <c r="C1657" s="11"/>
      <c r="D1657" s="11"/>
      <c r="E1657" s="11"/>
      <c r="F1657" s="11"/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  <c r="Z1657" s="11"/>
    </row>
    <row r="1658">
      <c r="A1658" s="11"/>
      <c r="B1658" s="11"/>
      <c r="C1658" s="11"/>
      <c r="D1658" s="11"/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</row>
    <row r="1659">
      <c r="A1659" s="11"/>
      <c r="B1659" s="11"/>
      <c r="C1659" s="11"/>
      <c r="D1659" s="11"/>
      <c r="E1659" s="11"/>
      <c r="F1659" s="11"/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</row>
    <row r="1660">
      <c r="A1660" s="11"/>
      <c r="B1660" s="11"/>
      <c r="C1660" s="11"/>
      <c r="D1660" s="11"/>
      <c r="E1660" s="11"/>
      <c r="F1660" s="11"/>
      <c r="G1660" s="11"/>
      <c r="H1660" s="11"/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  <c r="Z1660" s="11"/>
    </row>
    <row r="1661">
      <c r="A1661" s="11"/>
      <c r="B1661" s="11"/>
      <c r="C1661" s="11"/>
      <c r="D1661" s="11"/>
      <c r="E1661" s="11"/>
      <c r="F1661" s="11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</row>
    <row r="1662">
      <c r="A1662" s="11"/>
      <c r="B1662" s="11"/>
      <c r="C1662" s="11"/>
      <c r="D1662" s="11"/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</row>
    <row r="1663">
      <c r="A1663" s="11"/>
      <c r="B1663" s="11"/>
      <c r="C1663" s="11"/>
      <c r="D1663" s="11"/>
      <c r="E1663" s="11"/>
      <c r="F1663" s="11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</row>
    <row r="1664">
      <c r="A1664" s="11"/>
      <c r="B1664" s="11"/>
      <c r="C1664" s="11"/>
      <c r="D1664" s="11"/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</row>
    <row r="1665">
      <c r="A1665" s="11"/>
      <c r="B1665" s="11"/>
      <c r="C1665" s="11"/>
      <c r="D1665" s="11"/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</row>
    <row r="1666">
      <c r="A1666" s="11"/>
      <c r="B1666" s="11"/>
      <c r="C1666" s="11"/>
      <c r="D1666" s="11"/>
      <c r="E1666" s="11"/>
      <c r="F1666" s="11"/>
      <c r="G1666" s="11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</row>
    <row r="1667">
      <c r="A1667" s="11"/>
      <c r="B1667" s="11"/>
      <c r="C1667" s="11"/>
      <c r="D1667" s="11"/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</row>
    <row r="1668">
      <c r="A1668" s="11"/>
      <c r="B1668" s="11"/>
      <c r="C1668" s="11"/>
      <c r="D1668" s="11"/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</row>
    <row r="1669">
      <c r="A1669" s="11"/>
      <c r="B1669" s="11"/>
      <c r="C1669" s="11"/>
      <c r="D1669" s="11"/>
      <c r="E1669" s="11"/>
      <c r="F1669" s="11"/>
      <c r="G1669" s="11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  <c r="Z1669" s="11"/>
    </row>
    <row r="1670">
      <c r="A1670" s="11"/>
      <c r="B1670" s="11"/>
      <c r="C1670" s="11"/>
      <c r="D1670" s="11"/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</row>
    <row r="1671">
      <c r="A1671" s="11"/>
      <c r="B1671" s="11"/>
      <c r="C1671" s="11"/>
      <c r="D1671" s="11"/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</row>
    <row r="1672">
      <c r="A1672" s="11"/>
      <c r="B1672" s="11"/>
      <c r="C1672" s="11"/>
      <c r="D1672" s="11"/>
      <c r="E1672" s="11"/>
      <c r="F1672" s="11"/>
      <c r="G1672" s="11"/>
      <c r="H1672" s="11"/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  <c r="Z1672" s="11"/>
    </row>
    <row r="1673">
      <c r="A1673" s="11"/>
      <c r="B1673" s="11"/>
      <c r="C1673" s="11"/>
      <c r="D1673" s="11"/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</row>
    <row r="1674">
      <c r="A1674" s="11"/>
      <c r="B1674" s="11"/>
      <c r="C1674" s="11"/>
      <c r="D1674" s="11"/>
      <c r="E1674" s="11"/>
      <c r="F1674" s="11"/>
      <c r="G1674" s="11"/>
      <c r="H1674" s="11"/>
      <c r="I1674" s="11"/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</row>
    <row r="1675">
      <c r="A1675" s="11"/>
      <c r="B1675" s="11"/>
      <c r="C1675" s="11"/>
      <c r="D1675" s="11"/>
      <c r="E1675" s="11"/>
      <c r="F1675" s="11"/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</row>
    <row r="1676">
      <c r="A1676" s="11"/>
      <c r="B1676" s="11"/>
      <c r="C1676" s="11"/>
      <c r="D1676" s="11"/>
      <c r="E1676" s="11"/>
      <c r="F1676" s="11"/>
      <c r="G1676" s="11"/>
      <c r="H1676" s="1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</row>
    <row r="1677">
      <c r="A1677" s="11"/>
      <c r="B1677" s="11"/>
      <c r="C1677" s="11"/>
      <c r="D1677" s="11"/>
      <c r="E1677" s="11"/>
      <c r="F1677" s="11"/>
      <c r="G1677" s="11"/>
      <c r="H1677" s="1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  <c r="Z1677" s="11"/>
    </row>
    <row r="1678">
      <c r="A1678" s="11"/>
      <c r="B1678" s="11"/>
      <c r="C1678" s="11"/>
      <c r="D1678" s="11"/>
      <c r="E1678" s="11"/>
      <c r="F1678" s="11"/>
      <c r="G1678" s="11"/>
      <c r="H1678" s="11"/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  <c r="Z1678" s="11"/>
    </row>
    <row r="1679">
      <c r="A1679" s="11"/>
      <c r="B1679" s="11"/>
      <c r="C1679" s="11"/>
      <c r="D1679" s="11"/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</row>
    <row r="1680">
      <c r="A1680" s="11"/>
      <c r="B1680" s="11"/>
      <c r="C1680" s="11"/>
      <c r="D1680" s="11"/>
      <c r="E1680" s="11"/>
      <c r="F1680" s="11"/>
      <c r="G1680" s="11"/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  <c r="Z1680" s="11"/>
    </row>
    <row r="1681">
      <c r="A1681" s="11"/>
      <c r="B1681" s="11"/>
      <c r="C1681" s="11"/>
      <c r="D1681" s="11"/>
      <c r="E1681" s="11"/>
      <c r="F1681" s="11"/>
      <c r="G1681" s="11"/>
      <c r="H1681" s="11"/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  <c r="Z1681" s="11"/>
    </row>
    <row r="1682">
      <c r="A1682" s="11"/>
      <c r="B1682" s="11"/>
      <c r="C1682" s="11"/>
      <c r="D1682" s="11"/>
      <c r="E1682" s="11"/>
      <c r="F1682" s="11"/>
      <c r="G1682" s="11"/>
      <c r="H1682" s="1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  <c r="Z1682" s="11"/>
    </row>
    <row r="1683">
      <c r="A1683" s="11"/>
      <c r="B1683" s="11"/>
      <c r="C1683" s="11"/>
      <c r="D1683" s="11"/>
      <c r="E1683" s="11"/>
      <c r="F1683" s="11"/>
      <c r="G1683" s="11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</row>
    <row r="1684">
      <c r="A1684" s="11"/>
      <c r="B1684" s="11"/>
      <c r="C1684" s="11"/>
      <c r="D1684" s="11"/>
      <c r="E1684" s="11"/>
      <c r="F1684" s="11"/>
      <c r="G1684" s="11"/>
      <c r="H1684" s="1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</row>
    <row r="1685">
      <c r="A1685" s="11"/>
      <c r="B1685" s="11"/>
      <c r="C1685" s="11"/>
      <c r="D1685" s="11"/>
      <c r="E1685" s="11"/>
      <c r="F1685" s="11"/>
      <c r="G1685" s="11"/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</row>
    <row r="1686">
      <c r="A1686" s="11"/>
      <c r="B1686" s="11"/>
      <c r="C1686" s="11"/>
      <c r="D1686" s="11"/>
      <c r="E1686" s="11"/>
      <c r="F1686" s="11"/>
      <c r="G1686" s="11"/>
      <c r="H1686" s="11"/>
      <c r="I1686" s="11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  <c r="Z1686" s="11"/>
    </row>
    <row r="1687">
      <c r="A1687" s="11"/>
      <c r="B1687" s="11"/>
      <c r="C1687" s="11"/>
      <c r="D1687" s="11"/>
      <c r="E1687" s="11"/>
      <c r="F1687" s="11"/>
      <c r="G1687" s="11"/>
      <c r="H1687" s="11"/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  <c r="Z1687" s="11"/>
    </row>
    <row r="1688">
      <c r="A1688" s="11"/>
      <c r="B1688" s="11"/>
      <c r="C1688" s="11"/>
      <c r="D1688" s="11"/>
      <c r="E1688" s="11"/>
      <c r="F1688" s="11"/>
      <c r="G1688" s="11"/>
      <c r="H1688" s="11"/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</row>
    <row r="1689">
      <c r="A1689" s="11"/>
      <c r="B1689" s="11"/>
      <c r="C1689" s="11"/>
      <c r="D1689" s="11"/>
      <c r="E1689" s="11"/>
      <c r="F1689" s="11"/>
      <c r="G1689" s="11"/>
      <c r="H1689" s="1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</row>
    <row r="1690">
      <c r="A1690" s="11"/>
      <c r="B1690" s="11"/>
      <c r="C1690" s="11"/>
      <c r="D1690" s="11"/>
      <c r="E1690" s="11"/>
      <c r="F1690" s="11"/>
      <c r="G1690" s="11"/>
      <c r="H1690" s="11"/>
      <c r="I1690" s="11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  <c r="Z1690" s="11"/>
    </row>
    <row r="1691">
      <c r="A1691" s="11"/>
      <c r="B1691" s="11"/>
      <c r="C1691" s="11"/>
      <c r="D1691" s="11"/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  <c r="Z1691" s="11"/>
    </row>
    <row r="1692">
      <c r="A1692" s="11"/>
      <c r="B1692" s="11"/>
      <c r="C1692" s="11"/>
      <c r="D1692" s="11"/>
      <c r="E1692" s="11"/>
      <c r="F1692" s="11"/>
      <c r="G1692" s="11"/>
      <c r="H1692" s="11"/>
      <c r="I1692" s="11"/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  <c r="Z1692" s="11"/>
    </row>
    <row r="1693">
      <c r="A1693" s="11"/>
      <c r="B1693" s="11"/>
      <c r="C1693" s="11"/>
      <c r="D1693" s="11"/>
      <c r="E1693" s="11"/>
      <c r="F1693" s="11"/>
      <c r="G1693" s="11"/>
      <c r="H1693" s="11"/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  <c r="Z1693" s="11"/>
    </row>
    <row r="1694">
      <c r="A1694" s="11"/>
      <c r="B1694" s="11"/>
      <c r="C1694" s="11"/>
      <c r="D1694" s="11"/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</row>
    <row r="1695">
      <c r="A1695" s="11"/>
      <c r="B1695" s="11"/>
      <c r="C1695" s="11"/>
      <c r="D1695" s="11"/>
      <c r="E1695" s="11"/>
      <c r="F1695" s="11"/>
      <c r="G1695" s="11"/>
      <c r="H1695" s="1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  <c r="Z1695" s="11"/>
    </row>
    <row r="1696">
      <c r="A1696" s="11"/>
      <c r="B1696" s="11"/>
      <c r="C1696" s="11"/>
      <c r="D1696" s="11"/>
      <c r="E1696" s="11"/>
      <c r="F1696" s="11"/>
      <c r="G1696" s="11"/>
      <c r="H1696" s="11"/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  <c r="Z1696" s="11"/>
    </row>
    <row r="1697">
      <c r="A1697" s="11"/>
      <c r="B1697" s="11"/>
      <c r="C1697" s="11"/>
      <c r="D1697" s="11"/>
      <c r="E1697" s="11"/>
      <c r="F1697" s="11"/>
      <c r="G1697" s="11"/>
      <c r="H1697" s="1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  <c r="Z1697" s="11"/>
    </row>
    <row r="1698">
      <c r="A1698" s="11"/>
      <c r="B1698" s="11"/>
      <c r="C1698" s="11"/>
      <c r="D1698" s="11"/>
      <c r="E1698" s="11"/>
      <c r="F1698" s="11"/>
      <c r="G1698" s="11"/>
      <c r="H1698" s="11"/>
      <c r="I1698" s="11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</row>
    <row r="1699">
      <c r="A1699" s="11"/>
      <c r="B1699" s="11"/>
      <c r="C1699" s="11"/>
      <c r="D1699" s="11"/>
      <c r="E1699" s="11"/>
      <c r="F1699" s="11"/>
      <c r="G1699" s="11"/>
      <c r="H1699" s="11"/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</row>
    <row r="1700">
      <c r="A1700" s="11"/>
      <c r="B1700" s="11"/>
      <c r="C1700" s="11"/>
      <c r="D1700" s="11"/>
      <c r="E1700" s="11"/>
      <c r="F1700" s="11"/>
      <c r="G1700" s="11"/>
      <c r="H1700" s="11"/>
      <c r="I1700" s="11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  <c r="Z1700" s="11"/>
    </row>
    <row r="1701">
      <c r="A1701" s="11"/>
      <c r="B1701" s="11"/>
      <c r="C1701" s="11"/>
      <c r="D1701" s="11"/>
      <c r="E1701" s="11"/>
      <c r="F1701" s="11"/>
      <c r="G1701" s="11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  <c r="Z1701" s="11"/>
    </row>
    <row r="1702">
      <c r="A1702" s="11"/>
      <c r="B1702" s="11"/>
      <c r="C1702" s="11"/>
      <c r="D1702" s="11"/>
      <c r="E1702" s="11"/>
      <c r="F1702" s="11"/>
      <c r="G1702" s="11"/>
      <c r="H1702" s="1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</row>
    <row r="1703">
      <c r="A1703" s="11"/>
      <c r="B1703" s="11"/>
      <c r="C1703" s="11"/>
      <c r="D1703" s="11"/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</row>
    <row r="1704">
      <c r="A1704" s="11"/>
      <c r="B1704" s="11"/>
      <c r="C1704" s="11"/>
      <c r="D1704" s="11"/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</row>
    <row r="1705">
      <c r="A1705" s="11"/>
      <c r="B1705" s="11"/>
      <c r="C1705" s="11"/>
      <c r="D1705" s="11"/>
      <c r="E1705" s="11"/>
      <c r="F1705" s="11"/>
      <c r="G1705" s="11"/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</row>
    <row r="1706">
      <c r="A1706" s="11"/>
      <c r="B1706" s="11"/>
      <c r="C1706" s="11"/>
      <c r="D1706" s="11"/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</row>
    <row r="1707">
      <c r="A1707" s="11"/>
      <c r="B1707" s="11"/>
      <c r="C1707" s="11"/>
      <c r="D1707" s="11"/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</row>
    <row r="1708">
      <c r="A1708" s="11"/>
      <c r="B1708" s="11"/>
      <c r="C1708" s="11"/>
      <c r="D1708" s="11"/>
      <c r="E1708" s="11"/>
      <c r="F1708" s="11"/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</row>
    <row r="1709">
      <c r="A1709" s="11"/>
      <c r="B1709" s="11"/>
      <c r="C1709" s="11"/>
      <c r="D1709" s="11"/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</row>
    <row r="1710">
      <c r="A1710" s="11"/>
      <c r="B1710" s="11"/>
      <c r="C1710" s="11"/>
      <c r="D1710" s="11"/>
      <c r="E1710" s="11"/>
      <c r="F1710" s="11"/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</row>
    <row r="1711">
      <c r="A1711" s="11"/>
      <c r="B1711" s="11"/>
      <c r="C1711" s="11"/>
      <c r="D1711" s="11"/>
      <c r="E1711" s="11"/>
      <c r="F1711" s="11"/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  <c r="Z1711" s="11"/>
    </row>
    <row r="1712">
      <c r="A1712" s="11"/>
      <c r="B1712" s="11"/>
      <c r="C1712" s="11"/>
      <c r="D1712" s="11"/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</row>
    <row r="1713">
      <c r="A1713" s="11"/>
      <c r="B1713" s="11"/>
      <c r="C1713" s="11"/>
      <c r="D1713" s="11"/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</row>
    <row r="1714">
      <c r="A1714" s="11"/>
      <c r="B1714" s="11"/>
      <c r="C1714" s="11"/>
      <c r="D1714" s="11"/>
      <c r="E1714" s="11"/>
      <c r="F1714" s="11"/>
      <c r="G1714" s="11"/>
      <c r="H1714" s="11"/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</row>
    <row r="1715">
      <c r="A1715" s="11"/>
      <c r="B1715" s="11"/>
      <c r="C1715" s="11"/>
      <c r="D1715" s="11"/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</row>
    <row r="1716">
      <c r="A1716" s="11"/>
      <c r="B1716" s="11"/>
      <c r="C1716" s="11"/>
      <c r="D1716" s="11"/>
      <c r="E1716" s="11"/>
      <c r="F1716" s="11"/>
      <c r="G1716" s="11"/>
      <c r="H1716" s="11"/>
      <c r="I1716" s="11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  <c r="Z1716" s="11"/>
    </row>
    <row r="1717">
      <c r="A1717" s="11"/>
      <c r="B1717" s="11"/>
      <c r="C1717" s="11"/>
      <c r="D1717" s="11"/>
      <c r="E1717" s="11"/>
      <c r="F1717" s="11"/>
      <c r="G1717" s="11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  <c r="Z1717" s="11"/>
    </row>
    <row r="1718">
      <c r="A1718" s="11"/>
      <c r="B1718" s="11"/>
      <c r="C1718" s="11"/>
      <c r="D1718" s="11"/>
      <c r="E1718" s="11"/>
      <c r="F1718" s="11"/>
      <c r="G1718" s="11"/>
      <c r="H1718" s="11"/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</row>
    <row r="1719">
      <c r="A1719" s="11"/>
      <c r="B1719" s="11"/>
      <c r="C1719" s="11"/>
      <c r="D1719" s="11"/>
      <c r="E1719" s="11"/>
      <c r="F1719" s="11"/>
      <c r="G1719" s="11"/>
      <c r="H1719" s="1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</row>
    <row r="1720">
      <c r="A1720" s="11"/>
      <c r="B1720" s="11"/>
      <c r="C1720" s="11"/>
      <c r="D1720" s="11"/>
      <c r="E1720" s="11"/>
      <c r="F1720" s="11"/>
      <c r="G1720" s="11"/>
      <c r="H1720" s="11"/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</row>
    <row r="1721">
      <c r="A1721" s="11"/>
      <c r="B1721" s="11"/>
      <c r="C1721" s="11"/>
      <c r="D1721" s="11"/>
      <c r="E1721" s="11"/>
      <c r="F1721" s="11"/>
      <c r="G1721" s="11"/>
      <c r="H1721" s="1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  <c r="Z1721" s="11"/>
    </row>
    <row r="1722">
      <c r="A1722" s="11"/>
      <c r="B1722" s="11"/>
      <c r="C1722" s="11"/>
      <c r="D1722" s="11"/>
      <c r="E1722" s="11"/>
      <c r="F1722" s="11"/>
      <c r="G1722" s="11"/>
      <c r="H1722" s="11"/>
      <c r="I1722" s="11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  <c r="Z1722" s="11"/>
    </row>
    <row r="1723">
      <c r="A1723" s="11"/>
      <c r="B1723" s="11"/>
      <c r="C1723" s="11"/>
      <c r="D1723" s="11"/>
      <c r="E1723" s="11"/>
      <c r="F1723" s="11"/>
      <c r="G1723" s="11"/>
      <c r="H1723" s="1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</row>
    <row r="1724">
      <c r="A1724" s="11"/>
      <c r="B1724" s="11"/>
      <c r="C1724" s="11"/>
      <c r="D1724" s="11"/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</row>
    <row r="1725">
      <c r="A1725" s="11"/>
      <c r="B1725" s="11"/>
      <c r="C1725" s="11"/>
      <c r="D1725" s="11"/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</row>
    <row r="1726">
      <c r="A1726" s="11"/>
      <c r="B1726" s="11"/>
      <c r="C1726" s="11"/>
      <c r="D1726" s="11"/>
      <c r="E1726" s="11"/>
      <c r="F1726" s="11"/>
      <c r="G1726" s="11"/>
      <c r="H1726" s="11"/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  <c r="Z1726" s="11"/>
    </row>
    <row r="1727">
      <c r="A1727" s="11"/>
      <c r="B1727" s="11"/>
      <c r="C1727" s="11"/>
      <c r="D1727" s="11"/>
      <c r="E1727" s="11"/>
      <c r="F1727" s="11"/>
      <c r="G1727" s="11"/>
      <c r="H1727" s="1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  <c r="Z1727" s="11"/>
    </row>
    <row r="1728">
      <c r="A1728" s="11"/>
      <c r="B1728" s="11"/>
      <c r="C1728" s="11"/>
      <c r="D1728" s="11"/>
      <c r="E1728" s="11"/>
      <c r="F1728" s="11"/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</row>
    <row r="1729">
      <c r="A1729" s="11"/>
      <c r="B1729" s="11"/>
      <c r="C1729" s="11"/>
      <c r="D1729" s="11"/>
      <c r="E1729" s="11"/>
      <c r="F1729" s="11"/>
      <c r="G1729" s="11"/>
      <c r="H1729" s="1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</row>
    <row r="1730">
      <c r="A1730" s="11"/>
      <c r="B1730" s="11"/>
      <c r="C1730" s="11"/>
      <c r="D1730" s="11"/>
      <c r="E1730" s="11"/>
      <c r="F1730" s="11"/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</row>
    <row r="1731">
      <c r="A1731" s="11"/>
      <c r="B1731" s="11"/>
      <c r="C1731" s="11"/>
      <c r="D1731" s="11"/>
      <c r="E1731" s="11"/>
      <c r="F1731" s="11"/>
      <c r="G1731" s="11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  <c r="Z1731" s="11"/>
    </row>
    <row r="1732">
      <c r="A1732" s="11"/>
      <c r="B1732" s="11"/>
      <c r="C1732" s="11"/>
      <c r="D1732" s="11"/>
      <c r="E1732" s="11"/>
      <c r="F1732" s="11"/>
      <c r="G1732" s="11"/>
      <c r="H1732" s="11"/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  <c r="Z1732" s="11"/>
    </row>
    <row r="1733">
      <c r="A1733" s="11"/>
      <c r="B1733" s="11"/>
      <c r="C1733" s="11"/>
      <c r="D1733" s="11"/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</row>
    <row r="1734">
      <c r="A1734" s="11"/>
      <c r="B1734" s="11"/>
      <c r="C1734" s="11"/>
      <c r="D1734" s="11"/>
      <c r="E1734" s="11"/>
      <c r="F1734" s="11"/>
      <c r="G1734" s="11"/>
      <c r="H1734" s="11"/>
      <c r="I1734" s="11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</row>
    <row r="1735">
      <c r="A1735" s="11"/>
      <c r="B1735" s="11"/>
      <c r="C1735" s="11"/>
      <c r="D1735" s="11"/>
      <c r="E1735" s="11"/>
      <c r="F1735" s="11"/>
      <c r="G1735" s="11"/>
      <c r="H1735" s="11"/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  <c r="Z1735" s="11"/>
    </row>
    <row r="1736">
      <c r="A1736" s="11"/>
      <c r="B1736" s="11"/>
      <c r="C1736" s="11"/>
      <c r="D1736" s="11"/>
      <c r="E1736" s="11"/>
      <c r="F1736" s="11"/>
      <c r="G1736" s="11"/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</row>
    <row r="1737">
      <c r="A1737" s="11"/>
      <c r="B1737" s="11"/>
      <c r="C1737" s="11"/>
      <c r="D1737" s="11"/>
      <c r="E1737" s="11"/>
      <c r="F1737" s="11"/>
      <c r="G1737" s="11"/>
      <c r="H1737" s="1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  <c r="Z1737" s="11"/>
    </row>
    <row r="1738">
      <c r="A1738" s="11"/>
      <c r="B1738" s="11"/>
      <c r="C1738" s="11"/>
      <c r="D1738" s="11"/>
      <c r="E1738" s="11"/>
      <c r="F1738" s="11"/>
      <c r="G1738" s="11"/>
      <c r="H1738" s="1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</row>
    <row r="1739">
      <c r="A1739" s="11"/>
      <c r="B1739" s="11"/>
      <c r="C1739" s="11"/>
      <c r="D1739" s="11"/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</row>
    <row r="1740">
      <c r="A1740" s="11"/>
      <c r="B1740" s="11"/>
      <c r="C1740" s="11"/>
      <c r="D1740" s="11"/>
      <c r="E1740" s="11"/>
      <c r="F1740" s="11"/>
      <c r="G1740" s="11"/>
      <c r="H1740" s="11"/>
      <c r="I1740" s="11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</row>
    <row r="1741">
      <c r="A1741" s="11"/>
      <c r="B1741" s="11"/>
      <c r="C1741" s="11"/>
      <c r="D1741" s="11"/>
      <c r="E1741" s="11"/>
      <c r="F1741" s="11"/>
      <c r="G1741" s="11"/>
      <c r="H1741" s="1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  <c r="Z1741" s="11"/>
    </row>
    <row r="1742">
      <c r="A1742" s="11"/>
      <c r="B1742" s="11"/>
      <c r="C1742" s="11"/>
      <c r="D1742" s="11"/>
      <c r="E1742" s="11"/>
      <c r="F1742" s="11"/>
      <c r="G1742" s="11"/>
      <c r="H1742" s="1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</row>
    <row r="1743">
      <c r="A1743" s="11"/>
      <c r="B1743" s="11"/>
      <c r="C1743" s="11"/>
      <c r="D1743" s="11"/>
      <c r="E1743" s="11"/>
      <c r="F1743" s="11"/>
      <c r="G1743" s="11"/>
      <c r="H1743" s="1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</row>
    <row r="1744">
      <c r="A1744" s="11"/>
      <c r="B1744" s="11"/>
      <c r="C1744" s="11"/>
      <c r="D1744" s="11"/>
      <c r="E1744" s="11"/>
      <c r="F1744" s="11"/>
      <c r="G1744" s="11"/>
      <c r="H1744" s="11"/>
      <c r="I1744" s="11"/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</row>
    <row r="1745">
      <c r="A1745" s="11"/>
      <c r="B1745" s="11"/>
      <c r="C1745" s="11"/>
      <c r="D1745" s="11"/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</row>
    <row r="1746">
      <c r="A1746" s="11"/>
      <c r="B1746" s="11"/>
      <c r="C1746" s="11"/>
      <c r="D1746" s="11"/>
      <c r="E1746" s="11"/>
      <c r="F1746" s="11"/>
      <c r="G1746" s="11"/>
      <c r="H1746" s="11"/>
      <c r="I1746" s="11"/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  <c r="Z1746" s="11"/>
    </row>
    <row r="1747">
      <c r="A1747" s="11"/>
      <c r="B1747" s="11"/>
      <c r="C1747" s="11"/>
      <c r="D1747" s="11"/>
      <c r="E1747" s="11"/>
      <c r="F1747" s="11"/>
      <c r="G1747" s="11"/>
      <c r="H1747" s="11"/>
      <c r="I1747" s="11"/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  <c r="Z1747" s="11"/>
    </row>
    <row r="1748">
      <c r="A1748" s="11"/>
      <c r="B1748" s="11"/>
      <c r="C1748" s="11"/>
      <c r="D1748" s="11"/>
      <c r="E1748" s="11"/>
      <c r="F1748" s="11"/>
      <c r="G1748" s="11"/>
      <c r="H1748" s="11"/>
      <c r="I1748" s="11"/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</row>
    <row r="1749">
      <c r="A1749" s="11"/>
      <c r="B1749" s="11"/>
      <c r="C1749" s="11"/>
      <c r="D1749" s="11"/>
      <c r="E1749" s="11"/>
      <c r="F1749" s="11"/>
      <c r="G1749" s="11"/>
      <c r="H1749" s="11"/>
      <c r="I1749" s="11"/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</row>
    <row r="1750">
      <c r="A1750" s="11"/>
      <c r="B1750" s="11"/>
      <c r="C1750" s="11"/>
      <c r="D1750" s="11"/>
      <c r="E1750" s="11"/>
      <c r="F1750" s="11"/>
      <c r="G1750" s="11"/>
      <c r="H1750" s="11"/>
      <c r="I1750" s="11"/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  <c r="Z1750" s="11"/>
    </row>
    <row r="1751">
      <c r="A1751" s="11"/>
      <c r="B1751" s="11"/>
      <c r="C1751" s="11"/>
      <c r="D1751" s="11"/>
      <c r="E1751" s="11"/>
      <c r="F1751" s="11"/>
      <c r="G1751" s="11"/>
      <c r="H1751" s="1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</row>
    <row r="1752">
      <c r="A1752" s="11"/>
      <c r="B1752" s="11"/>
      <c r="C1752" s="11"/>
      <c r="D1752" s="11"/>
      <c r="E1752" s="11"/>
      <c r="F1752" s="11"/>
      <c r="G1752" s="11"/>
      <c r="H1752" s="11"/>
      <c r="I1752" s="11"/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  <c r="Z1752" s="11"/>
    </row>
    <row r="1753">
      <c r="A1753" s="11"/>
      <c r="B1753" s="11"/>
      <c r="C1753" s="11"/>
      <c r="D1753" s="11"/>
      <c r="E1753" s="11"/>
      <c r="F1753" s="11"/>
      <c r="G1753" s="11"/>
      <c r="H1753" s="11"/>
      <c r="I1753" s="11"/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  <c r="Z1753" s="11"/>
    </row>
    <row r="1754">
      <c r="A1754" s="11"/>
      <c r="B1754" s="11"/>
      <c r="C1754" s="11"/>
      <c r="D1754" s="11"/>
      <c r="E1754" s="11"/>
      <c r="F1754" s="11"/>
      <c r="G1754" s="11"/>
      <c r="H1754" s="11"/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</row>
    <row r="1755">
      <c r="A1755" s="11"/>
      <c r="B1755" s="11"/>
      <c r="C1755" s="11"/>
      <c r="D1755" s="11"/>
      <c r="E1755" s="11"/>
      <c r="F1755" s="11"/>
      <c r="G1755" s="11"/>
      <c r="H1755" s="11"/>
      <c r="I1755" s="11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</row>
    <row r="1756">
      <c r="A1756" s="11"/>
      <c r="B1756" s="11"/>
      <c r="C1756" s="11"/>
      <c r="D1756" s="11"/>
      <c r="E1756" s="11"/>
      <c r="F1756" s="11"/>
      <c r="G1756" s="11"/>
      <c r="H1756" s="11"/>
      <c r="I1756" s="11"/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  <c r="Z1756" s="11"/>
    </row>
    <row r="1757">
      <c r="A1757" s="11"/>
      <c r="B1757" s="11"/>
      <c r="C1757" s="11"/>
      <c r="D1757" s="11"/>
      <c r="E1757" s="11"/>
      <c r="F1757" s="11"/>
      <c r="G1757" s="11"/>
      <c r="H1757" s="11"/>
      <c r="I1757" s="11"/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</row>
    <row r="1758">
      <c r="A1758" s="11"/>
      <c r="B1758" s="11"/>
      <c r="C1758" s="11"/>
      <c r="D1758" s="11"/>
      <c r="E1758" s="11"/>
      <c r="F1758" s="11"/>
      <c r="G1758" s="11"/>
      <c r="H1758" s="11"/>
      <c r="I1758" s="11"/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</row>
    <row r="1759">
      <c r="A1759" s="11"/>
      <c r="B1759" s="11"/>
      <c r="C1759" s="11"/>
      <c r="D1759" s="11"/>
      <c r="E1759" s="11"/>
      <c r="F1759" s="11"/>
      <c r="G1759" s="11"/>
      <c r="H1759" s="1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  <c r="Z1759" s="11"/>
    </row>
    <row r="1760">
      <c r="A1760" s="11"/>
      <c r="B1760" s="11"/>
      <c r="C1760" s="11"/>
      <c r="D1760" s="11"/>
      <c r="E1760" s="11"/>
      <c r="F1760" s="11"/>
      <c r="G1760" s="11"/>
      <c r="H1760" s="11"/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</row>
    <row r="1761">
      <c r="A1761" s="11"/>
      <c r="B1761" s="11"/>
      <c r="C1761" s="11"/>
      <c r="D1761" s="11"/>
      <c r="E1761" s="11"/>
      <c r="F1761" s="11"/>
      <c r="G1761" s="11"/>
      <c r="H1761" s="11"/>
      <c r="I1761" s="11"/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  <c r="Z1761" s="11"/>
    </row>
    <row r="1762">
      <c r="A1762" s="11"/>
      <c r="B1762" s="11"/>
      <c r="C1762" s="11"/>
      <c r="D1762" s="11"/>
      <c r="E1762" s="11"/>
      <c r="F1762" s="11"/>
      <c r="G1762" s="11"/>
      <c r="H1762" s="11"/>
      <c r="I1762" s="11"/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  <c r="Z1762" s="11"/>
    </row>
    <row r="1763">
      <c r="A1763" s="11"/>
      <c r="B1763" s="11"/>
      <c r="C1763" s="11"/>
      <c r="D1763" s="11"/>
      <c r="E1763" s="11"/>
      <c r="F1763" s="11"/>
      <c r="G1763" s="11"/>
      <c r="H1763" s="11"/>
      <c r="I1763" s="11"/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  <c r="Z1763" s="11"/>
    </row>
    <row r="1764">
      <c r="A1764" s="11"/>
      <c r="B1764" s="11"/>
      <c r="C1764" s="11"/>
      <c r="D1764" s="11"/>
      <c r="E1764" s="11"/>
      <c r="F1764" s="11"/>
      <c r="G1764" s="11"/>
      <c r="H1764" s="11"/>
      <c r="I1764" s="11"/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  <c r="Z1764" s="11"/>
    </row>
    <row r="1765">
      <c r="A1765" s="11"/>
      <c r="B1765" s="11"/>
      <c r="C1765" s="11"/>
      <c r="D1765" s="11"/>
      <c r="E1765" s="11"/>
      <c r="F1765" s="11"/>
      <c r="G1765" s="11"/>
      <c r="H1765" s="11"/>
      <c r="I1765" s="11"/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  <c r="Z1765" s="11"/>
    </row>
    <row r="1766">
      <c r="A1766" s="11"/>
      <c r="B1766" s="11"/>
      <c r="C1766" s="11"/>
      <c r="D1766" s="11"/>
      <c r="E1766" s="11"/>
      <c r="F1766" s="11"/>
      <c r="G1766" s="11"/>
      <c r="H1766" s="11"/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</row>
    <row r="1767">
      <c r="A1767" s="11"/>
      <c r="B1767" s="11"/>
      <c r="C1767" s="11"/>
      <c r="D1767" s="11"/>
      <c r="E1767" s="11"/>
      <c r="F1767" s="11"/>
      <c r="G1767" s="11"/>
      <c r="H1767" s="11"/>
      <c r="I1767" s="11"/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  <c r="Z1767" s="11"/>
    </row>
    <row r="1768">
      <c r="A1768" s="11"/>
      <c r="B1768" s="11"/>
      <c r="C1768" s="11"/>
      <c r="D1768" s="11"/>
      <c r="E1768" s="11"/>
      <c r="F1768" s="11"/>
      <c r="G1768" s="11"/>
      <c r="H1768" s="11"/>
      <c r="I1768" s="11"/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</row>
    <row r="1769">
      <c r="A1769" s="11"/>
      <c r="B1769" s="11"/>
      <c r="C1769" s="11"/>
      <c r="D1769" s="11"/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</row>
    <row r="1770">
      <c r="A1770" s="11"/>
      <c r="B1770" s="11"/>
      <c r="C1770" s="11"/>
      <c r="D1770" s="11"/>
      <c r="E1770" s="11"/>
      <c r="F1770" s="11"/>
      <c r="G1770" s="11"/>
      <c r="H1770" s="11"/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  <c r="Z1770" s="11"/>
    </row>
    <row r="1771">
      <c r="A1771" s="11"/>
      <c r="B1771" s="11"/>
      <c r="C1771" s="11"/>
      <c r="D1771" s="11"/>
      <c r="E1771" s="11"/>
      <c r="F1771" s="11"/>
      <c r="G1771" s="11"/>
      <c r="H1771" s="11"/>
      <c r="I1771" s="11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  <c r="Z1771" s="11"/>
    </row>
    <row r="1772">
      <c r="A1772" s="11"/>
      <c r="B1772" s="11"/>
      <c r="C1772" s="11"/>
      <c r="D1772" s="11"/>
      <c r="E1772" s="11"/>
      <c r="F1772" s="11"/>
      <c r="G1772" s="11"/>
      <c r="H1772" s="1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  <c r="Z1772" s="11"/>
    </row>
    <row r="1773">
      <c r="A1773" s="11"/>
      <c r="B1773" s="11"/>
      <c r="C1773" s="11"/>
      <c r="D1773" s="11"/>
      <c r="E1773" s="11"/>
      <c r="F1773" s="11"/>
      <c r="G1773" s="11"/>
      <c r="H1773" s="11"/>
      <c r="I1773" s="11"/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  <c r="Z1773" s="11"/>
    </row>
    <row r="1774">
      <c r="A1774" s="11"/>
      <c r="B1774" s="11"/>
      <c r="C1774" s="11"/>
      <c r="D1774" s="11"/>
      <c r="E1774" s="11"/>
      <c r="F1774" s="11"/>
      <c r="G1774" s="11"/>
      <c r="H1774" s="11"/>
      <c r="I1774" s="11"/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  <c r="Z1774" s="11"/>
    </row>
    <row r="1775">
      <c r="A1775" s="11"/>
      <c r="B1775" s="11"/>
      <c r="C1775" s="11"/>
      <c r="D1775" s="11"/>
      <c r="E1775" s="11"/>
      <c r="F1775" s="11"/>
      <c r="G1775" s="11"/>
      <c r="H1775" s="11"/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</row>
    <row r="1776">
      <c r="A1776" s="11"/>
      <c r="B1776" s="11"/>
      <c r="C1776" s="11"/>
      <c r="D1776" s="11"/>
      <c r="E1776" s="11"/>
      <c r="F1776" s="11"/>
      <c r="G1776" s="11"/>
      <c r="H1776" s="11"/>
      <c r="I1776" s="11"/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  <c r="Z1776" s="11"/>
    </row>
    <row r="1777">
      <c r="A1777" s="11"/>
      <c r="B1777" s="11"/>
      <c r="C1777" s="11"/>
      <c r="D1777" s="11"/>
      <c r="E1777" s="11"/>
      <c r="F1777" s="11"/>
      <c r="G1777" s="11"/>
      <c r="H1777" s="11"/>
      <c r="I1777" s="11"/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  <c r="Z1777" s="11"/>
    </row>
    <row r="1778">
      <c r="A1778" s="11"/>
      <c r="B1778" s="11"/>
      <c r="C1778" s="11"/>
      <c r="D1778" s="11"/>
      <c r="E1778" s="11"/>
      <c r="F1778" s="11"/>
      <c r="G1778" s="11"/>
      <c r="H1778" s="11"/>
      <c r="I1778" s="11"/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  <c r="Z1778" s="11"/>
    </row>
    <row r="1779">
      <c r="A1779" s="11"/>
      <c r="B1779" s="11"/>
      <c r="C1779" s="11"/>
      <c r="D1779" s="11"/>
      <c r="E1779" s="11"/>
      <c r="F1779" s="11"/>
      <c r="G1779" s="11"/>
      <c r="H1779" s="11"/>
      <c r="I1779" s="11"/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  <c r="Z1779" s="11"/>
    </row>
    <row r="1780">
      <c r="A1780" s="11"/>
      <c r="B1780" s="11"/>
      <c r="C1780" s="11"/>
      <c r="D1780" s="11"/>
      <c r="E1780" s="11"/>
      <c r="F1780" s="11"/>
      <c r="G1780" s="11"/>
      <c r="H1780" s="11"/>
      <c r="I1780" s="11"/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  <c r="Z1780" s="11"/>
    </row>
    <row r="1781">
      <c r="A1781" s="11"/>
      <c r="B1781" s="11"/>
      <c r="C1781" s="11"/>
      <c r="D1781" s="11"/>
      <c r="E1781" s="11"/>
      <c r="F1781" s="11"/>
      <c r="G1781" s="11"/>
      <c r="H1781" s="11"/>
      <c r="I1781" s="11"/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  <c r="Z1781" s="11"/>
    </row>
    <row r="1782">
      <c r="A1782" s="11"/>
      <c r="B1782" s="11"/>
      <c r="C1782" s="11"/>
      <c r="D1782" s="11"/>
      <c r="E1782" s="11"/>
      <c r="F1782" s="11"/>
      <c r="G1782" s="11"/>
      <c r="H1782" s="11"/>
      <c r="I1782" s="11"/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  <c r="Z1782" s="11"/>
    </row>
    <row r="1783">
      <c r="A1783" s="11"/>
      <c r="B1783" s="11"/>
      <c r="C1783" s="11"/>
      <c r="D1783" s="11"/>
      <c r="E1783" s="11"/>
      <c r="F1783" s="11"/>
      <c r="G1783" s="11"/>
      <c r="H1783" s="11"/>
      <c r="I1783" s="11"/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  <c r="Z1783" s="11"/>
    </row>
    <row r="1784">
      <c r="A1784" s="11"/>
      <c r="B1784" s="11"/>
      <c r="C1784" s="11"/>
      <c r="D1784" s="11"/>
      <c r="E1784" s="11"/>
      <c r="F1784" s="11"/>
      <c r="G1784" s="11"/>
      <c r="H1784" s="11"/>
      <c r="I1784" s="11"/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</row>
    <row r="1785">
      <c r="A1785" s="11"/>
      <c r="B1785" s="11"/>
      <c r="C1785" s="11"/>
      <c r="D1785" s="11"/>
      <c r="E1785" s="11"/>
      <c r="F1785" s="11"/>
      <c r="G1785" s="11"/>
      <c r="H1785" s="11"/>
      <c r="I1785" s="11"/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  <c r="Z1785" s="11"/>
    </row>
    <row r="1786">
      <c r="A1786" s="11"/>
      <c r="B1786" s="11"/>
      <c r="C1786" s="11"/>
      <c r="D1786" s="11"/>
      <c r="E1786" s="11"/>
      <c r="F1786" s="11"/>
      <c r="G1786" s="11"/>
      <c r="H1786" s="11"/>
      <c r="I1786" s="11"/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  <c r="Z1786" s="11"/>
    </row>
    <row r="1787">
      <c r="A1787" s="11"/>
      <c r="B1787" s="11"/>
      <c r="C1787" s="11"/>
      <c r="D1787" s="11"/>
      <c r="E1787" s="11"/>
      <c r="F1787" s="11"/>
      <c r="G1787" s="11"/>
      <c r="H1787" s="11"/>
      <c r="I1787" s="11"/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  <c r="Z1787" s="11"/>
    </row>
    <row r="1788">
      <c r="A1788" s="11"/>
      <c r="B1788" s="11"/>
      <c r="C1788" s="11"/>
      <c r="D1788" s="11"/>
      <c r="E1788" s="11"/>
      <c r="F1788" s="11"/>
      <c r="G1788" s="11"/>
      <c r="H1788" s="11"/>
      <c r="I1788" s="11"/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</row>
    <row r="1789">
      <c r="A1789" s="11"/>
      <c r="B1789" s="11"/>
      <c r="C1789" s="11"/>
      <c r="D1789" s="11"/>
      <c r="E1789" s="11"/>
      <c r="F1789" s="11"/>
      <c r="G1789" s="11"/>
      <c r="H1789" s="11"/>
      <c r="I1789" s="11"/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</row>
    <row r="1790">
      <c r="A1790" s="11"/>
      <c r="B1790" s="11"/>
      <c r="C1790" s="11"/>
      <c r="D1790" s="11"/>
      <c r="E1790" s="11"/>
      <c r="F1790" s="11"/>
      <c r="G1790" s="11"/>
      <c r="H1790" s="11"/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</row>
    <row r="1791">
      <c r="A1791" s="11"/>
      <c r="B1791" s="11"/>
      <c r="C1791" s="11"/>
      <c r="D1791" s="11"/>
      <c r="E1791" s="11"/>
      <c r="F1791" s="11"/>
      <c r="G1791" s="11"/>
      <c r="H1791" s="11"/>
      <c r="I1791" s="11"/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  <c r="Z1791" s="11"/>
    </row>
    <row r="1792">
      <c r="A1792" s="11"/>
      <c r="B1792" s="11"/>
      <c r="C1792" s="11"/>
      <c r="D1792" s="11"/>
      <c r="E1792" s="11"/>
      <c r="F1792" s="11"/>
      <c r="G1792" s="11"/>
      <c r="H1792" s="11"/>
      <c r="I1792" s="11"/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  <c r="Z1792" s="11"/>
    </row>
    <row r="1793">
      <c r="A1793" s="11"/>
      <c r="B1793" s="11"/>
      <c r="C1793" s="11"/>
      <c r="D1793" s="11"/>
      <c r="E1793" s="11"/>
      <c r="F1793" s="11"/>
      <c r="G1793" s="11"/>
      <c r="H1793" s="11"/>
      <c r="I1793" s="11"/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</row>
    <row r="1794">
      <c r="A1794" s="11"/>
      <c r="B1794" s="11"/>
      <c r="C1794" s="11"/>
      <c r="D1794" s="11"/>
      <c r="E1794" s="11"/>
      <c r="F1794" s="11"/>
      <c r="G1794" s="11"/>
      <c r="H1794" s="11"/>
      <c r="I1794" s="11"/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</row>
    <row r="1795">
      <c r="A1795" s="11"/>
      <c r="B1795" s="11"/>
      <c r="C1795" s="11"/>
      <c r="D1795" s="11"/>
      <c r="E1795" s="11"/>
      <c r="F1795" s="11"/>
      <c r="G1795" s="11"/>
      <c r="H1795" s="11"/>
      <c r="I1795" s="11"/>
      <c r="J1795" s="11"/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  <c r="Z1795" s="11"/>
    </row>
    <row r="1796">
      <c r="A1796" s="11"/>
      <c r="B1796" s="11"/>
      <c r="C1796" s="11"/>
      <c r="D1796" s="11"/>
      <c r="E1796" s="11"/>
      <c r="F1796" s="11"/>
      <c r="G1796" s="11"/>
      <c r="H1796" s="11"/>
      <c r="I1796" s="11"/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  <c r="Z1796" s="11"/>
    </row>
    <row r="1797">
      <c r="A1797" s="11"/>
      <c r="B1797" s="11"/>
      <c r="C1797" s="11"/>
      <c r="D1797" s="11"/>
      <c r="E1797" s="11"/>
      <c r="F1797" s="11"/>
      <c r="G1797" s="11"/>
      <c r="H1797" s="11"/>
      <c r="I1797" s="11"/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  <c r="Z1797" s="11"/>
    </row>
    <row r="1798">
      <c r="A1798" s="11"/>
      <c r="B1798" s="11"/>
      <c r="C1798" s="11"/>
      <c r="D1798" s="11"/>
      <c r="E1798" s="11"/>
      <c r="F1798" s="11"/>
      <c r="G1798" s="11"/>
      <c r="H1798" s="11"/>
      <c r="I1798" s="11"/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  <c r="Z1798" s="11"/>
    </row>
    <row r="1799">
      <c r="A1799" s="11"/>
      <c r="B1799" s="11"/>
      <c r="C1799" s="11"/>
      <c r="D1799" s="11"/>
      <c r="E1799" s="11"/>
      <c r="F1799" s="11"/>
      <c r="G1799" s="11"/>
      <c r="H1799" s="11"/>
      <c r="I1799" s="11"/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</row>
    <row r="1800">
      <c r="A1800" s="11"/>
      <c r="B1800" s="11"/>
      <c r="C1800" s="11"/>
      <c r="D1800" s="11"/>
      <c r="E1800" s="11"/>
      <c r="F1800" s="11"/>
      <c r="G1800" s="11"/>
      <c r="H1800" s="11"/>
      <c r="I1800" s="11"/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  <c r="Z1800" s="11"/>
    </row>
    <row r="1801">
      <c r="A1801" s="11"/>
      <c r="B1801" s="11"/>
      <c r="C1801" s="11"/>
      <c r="D1801" s="11"/>
      <c r="E1801" s="11"/>
      <c r="F1801" s="11"/>
      <c r="G1801" s="11"/>
      <c r="H1801" s="11"/>
      <c r="I1801" s="11"/>
      <c r="J1801" s="11"/>
      <c r="K1801" s="11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  <c r="Z1801" s="11"/>
    </row>
    <row r="1802">
      <c r="A1802" s="11"/>
      <c r="B1802" s="11"/>
      <c r="C1802" s="11"/>
      <c r="D1802" s="11"/>
      <c r="E1802" s="11"/>
      <c r="F1802" s="11"/>
      <c r="G1802" s="11"/>
      <c r="H1802" s="11"/>
      <c r="I1802" s="11"/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  <c r="Z1802" s="11"/>
    </row>
    <row r="1803">
      <c r="A1803" s="11"/>
      <c r="B1803" s="11"/>
      <c r="C1803" s="11"/>
      <c r="D1803" s="11"/>
      <c r="E1803" s="11"/>
      <c r="F1803" s="11"/>
      <c r="G1803" s="11"/>
      <c r="H1803" s="11"/>
      <c r="I1803" s="11"/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  <c r="Z1803" s="11"/>
    </row>
    <row r="1804">
      <c r="A1804" s="11"/>
      <c r="B1804" s="11"/>
      <c r="C1804" s="11"/>
      <c r="D1804" s="11"/>
      <c r="E1804" s="11"/>
      <c r="F1804" s="11"/>
      <c r="G1804" s="11"/>
      <c r="H1804" s="11"/>
      <c r="I1804" s="11"/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  <c r="Z1804" s="11"/>
    </row>
    <row r="1805">
      <c r="A1805" s="11"/>
      <c r="B1805" s="11"/>
      <c r="C1805" s="11"/>
      <c r="D1805" s="11"/>
      <c r="E1805" s="11"/>
      <c r="F1805" s="11"/>
      <c r="G1805" s="11"/>
      <c r="H1805" s="11"/>
      <c r="I1805" s="11"/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</row>
    <row r="1806">
      <c r="A1806" s="11"/>
      <c r="B1806" s="11"/>
      <c r="C1806" s="11"/>
      <c r="D1806" s="11"/>
      <c r="E1806" s="11"/>
      <c r="F1806" s="11"/>
      <c r="G1806" s="11"/>
      <c r="H1806" s="11"/>
      <c r="I1806" s="11"/>
      <c r="J1806" s="11"/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  <c r="Z1806" s="11"/>
    </row>
    <row r="1807">
      <c r="A1807" s="11"/>
      <c r="B1807" s="11"/>
      <c r="C1807" s="11"/>
      <c r="D1807" s="11"/>
      <c r="E1807" s="11"/>
      <c r="F1807" s="11"/>
      <c r="G1807" s="11"/>
      <c r="H1807" s="11"/>
      <c r="I1807" s="11"/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  <c r="Z1807" s="11"/>
    </row>
    <row r="1808">
      <c r="A1808" s="11"/>
      <c r="B1808" s="11"/>
      <c r="C1808" s="11"/>
      <c r="D1808" s="11"/>
      <c r="E1808" s="11"/>
      <c r="F1808" s="11"/>
      <c r="G1808" s="11"/>
      <c r="H1808" s="11"/>
      <c r="I1808" s="11"/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</row>
    <row r="1809">
      <c r="A1809" s="11"/>
      <c r="B1809" s="11"/>
      <c r="C1809" s="11"/>
      <c r="D1809" s="11"/>
      <c r="E1809" s="11"/>
      <c r="F1809" s="11"/>
      <c r="G1809" s="11"/>
      <c r="H1809" s="11"/>
      <c r="I1809" s="11"/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</row>
    <row r="1810">
      <c r="A1810" s="11"/>
      <c r="B1810" s="11"/>
      <c r="C1810" s="11"/>
      <c r="D1810" s="11"/>
      <c r="E1810" s="11"/>
      <c r="F1810" s="11"/>
      <c r="G1810" s="11"/>
      <c r="H1810" s="11"/>
      <c r="I1810" s="11"/>
      <c r="J1810" s="11"/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  <c r="Z1810" s="11"/>
    </row>
    <row r="1811">
      <c r="A1811" s="11"/>
      <c r="B1811" s="11"/>
      <c r="C1811" s="11"/>
      <c r="D1811" s="11"/>
      <c r="E1811" s="11"/>
      <c r="F1811" s="11"/>
      <c r="G1811" s="11"/>
      <c r="H1811" s="11"/>
      <c r="I1811" s="11"/>
      <c r="J1811" s="11"/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  <c r="Z1811" s="11"/>
    </row>
    <row r="1812">
      <c r="A1812" s="11"/>
      <c r="B1812" s="11"/>
      <c r="C1812" s="11"/>
      <c r="D1812" s="11"/>
      <c r="E1812" s="11"/>
      <c r="F1812" s="11"/>
      <c r="G1812" s="11"/>
      <c r="H1812" s="11"/>
      <c r="I1812" s="11"/>
      <c r="J1812" s="11"/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  <c r="Z1812" s="11"/>
    </row>
    <row r="1813">
      <c r="A1813" s="11"/>
      <c r="B1813" s="11"/>
      <c r="C1813" s="11"/>
      <c r="D1813" s="11"/>
      <c r="E1813" s="11"/>
      <c r="F1813" s="11"/>
      <c r="G1813" s="11"/>
      <c r="H1813" s="11"/>
      <c r="I1813" s="11"/>
      <c r="J1813" s="11"/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  <c r="Z1813" s="11"/>
    </row>
    <row r="1814">
      <c r="A1814" s="11"/>
      <c r="B1814" s="11"/>
      <c r="C1814" s="11"/>
      <c r="D1814" s="11"/>
      <c r="E1814" s="11"/>
      <c r="F1814" s="11"/>
      <c r="G1814" s="11"/>
      <c r="H1814" s="11"/>
      <c r="I1814" s="11"/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</row>
    <row r="1815">
      <c r="A1815" s="11"/>
      <c r="B1815" s="11"/>
      <c r="C1815" s="11"/>
      <c r="D1815" s="11"/>
      <c r="E1815" s="11"/>
      <c r="F1815" s="11"/>
      <c r="G1815" s="11"/>
      <c r="H1815" s="11"/>
      <c r="I1815" s="11"/>
      <c r="J1815" s="11"/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  <c r="Z1815" s="11"/>
    </row>
    <row r="1816">
      <c r="A1816" s="11"/>
      <c r="B1816" s="11"/>
      <c r="C1816" s="11"/>
      <c r="D1816" s="11"/>
      <c r="E1816" s="11"/>
      <c r="F1816" s="11"/>
      <c r="G1816" s="11"/>
      <c r="H1816" s="11"/>
      <c r="I1816" s="11"/>
      <c r="J1816" s="11"/>
      <c r="K1816" s="11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  <c r="Z1816" s="11"/>
    </row>
    <row r="1817">
      <c r="A1817" s="11"/>
      <c r="B1817" s="11"/>
      <c r="C1817" s="11"/>
      <c r="D1817" s="11"/>
      <c r="E1817" s="11"/>
      <c r="F1817" s="11"/>
      <c r="G1817" s="11"/>
      <c r="H1817" s="11"/>
      <c r="I1817" s="11"/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</row>
    <row r="1818">
      <c r="A1818" s="11"/>
      <c r="B1818" s="11"/>
      <c r="C1818" s="11"/>
      <c r="D1818" s="11"/>
      <c r="E1818" s="11"/>
      <c r="F1818" s="11"/>
      <c r="G1818" s="11"/>
      <c r="H1818" s="11"/>
      <c r="I1818" s="11"/>
      <c r="J1818" s="11"/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  <c r="Z1818" s="11"/>
    </row>
    <row r="1819">
      <c r="A1819" s="11"/>
      <c r="B1819" s="11"/>
      <c r="C1819" s="11"/>
      <c r="D1819" s="11"/>
      <c r="E1819" s="11"/>
      <c r="F1819" s="11"/>
      <c r="G1819" s="11"/>
      <c r="H1819" s="11"/>
      <c r="I1819" s="11"/>
      <c r="J1819" s="11"/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</row>
    <row r="1820">
      <c r="A1820" s="11"/>
      <c r="B1820" s="11"/>
      <c r="C1820" s="11"/>
      <c r="D1820" s="11"/>
      <c r="E1820" s="11"/>
      <c r="F1820" s="11"/>
      <c r="G1820" s="11"/>
      <c r="H1820" s="11"/>
      <c r="I1820" s="11"/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</row>
    <row r="1821">
      <c r="A1821" s="11"/>
      <c r="B1821" s="11"/>
      <c r="C1821" s="11"/>
      <c r="D1821" s="11"/>
      <c r="E1821" s="11"/>
      <c r="F1821" s="11"/>
      <c r="G1821" s="11"/>
      <c r="H1821" s="11"/>
      <c r="I1821" s="11"/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  <c r="Z1821" s="11"/>
    </row>
    <row r="1822">
      <c r="A1822" s="11"/>
      <c r="B1822" s="11"/>
      <c r="C1822" s="11"/>
      <c r="D1822" s="11"/>
      <c r="E1822" s="11"/>
      <c r="F1822" s="11"/>
      <c r="G1822" s="11"/>
      <c r="H1822" s="11"/>
      <c r="I1822" s="11"/>
      <c r="J1822" s="11"/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  <c r="Z1822" s="11"/>
    </row>
    <row r="1823">
      <c r="A1823" s="11"/>
      <c r="B1823" s="11"/>
      <c r="C1823" s="11"/>
      <c r="D1823" s="11"/>
      <c r="E1823" s="11"/>
      <c r="F1823" s="11"/>
      <c r="G1823" s="11"/>
      <c r="H1823" s="11"/>
      <c r="I1823" s="11"/>
      <c r="J1823" s="11"/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  <c r="Z1823" s="11"/>
    </row>
    <row r="1824">
      <c r="A1824" s="11"/>
      <c r="B1824" s="11"/>
      <c r="C1824" s="11"/>
      <c r="D1824" s="11"/>
      <c r="E1824" s="11"/>
      <c r="F1824" s="11"/>
      <c r="G1824" s="11"/>
      <c r="H1824" s="11"/>
      <c r="I1824" s="11"/>
      <c r="J1824" s="11"/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  <c r="Z1824" s="11"/>
    </row>
    <row r="1825">
      <c r="A1825" s="11"/>
      <c r="B1825" s="11"/>
      <c r="C1825" s="11"/>
      <c r="D1825" s="11"/>
      <c r="E1825" s="11"/>
      <c r="F1825" s="11"/>
      <c r="G1825" s="11"/>
      <c r="H1825" s="11"/>
      <c r="I1825" s="11"/>
      <c r="J1825" s="11"/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  <c r="Z1825" s="11"/>
    </row>
    <row r="1826">
      <c r="A1826" s="11"/>
      <c r="B1826" s="11"/>
      <c r="C1826" s="11"/>
      <c r="D1826" s="11"/>
      <c r="E1826" s="11"/>
      <c r="F1826" s="11"/>
      <c r="G1826" s="11"/>
      <c r="H1826" s="11"/>
      <c r="I1826" s="11"/>
      <c r="J1826" s="11"/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  <c r="Z1826" s="11"/>
    </row>
    <row r="1827">
      <c r="A1827" s="11"/>
      <c r="B1827" s="11"/>
      <c r="C1827" s="11"/>
      <c r="D1827" s="11"/>
      <c r="E1827" s="11"/>
      <c r="F1827" s="11"/>
      <c r="G1827" s="11"/>
      <c r="H1827" s="11"/>
      <c r="I1827" s="11"/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  <c r="Z1827" s="11"/>
    </row>
    <row r="1828">
      <c r="A1828" s="11"/>
      <c r="B1828" s="11"/>
      <c r="C1828" s="11"/>
      <c r="D1828" s="11"/>
      <c r="E1828" s="11"/>
      <c r="F1828" s="11"/>
      <c r="G1828" s="11"/>
      <c r="H1828" s="11"/>
      <c r="I1828" s="11"/>
      <c r="J1828" s="11"/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  <c r="Z1828" s="11"/>
    </row>
    <row r="1829">
      <c r="A1829" s="11"/>
      <c r="B1829" s="11"/>
      <c r="C1829" s="11"/>
      <c r="D1829" s="11"/>
      <c r="E1829" s="11"/>
      <c r="F1829" s="11"/>
      <c r="G1829" s="11"/>
      <c r="H1829" s="11"/>
      <c r="I1829" s="11"/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</row>
    <row r="1830">
      <c r="A1830" s="11"/>
      <c r="B1830" s="11"/>
      <c r="C1830" s="11"/>
      <c r="D1830" s="11"/>
      <c r="E1830" s="11"/>
      <c r="F1830" s="11"/>
      <c r="G1830" s="11"/>
      <c r="H1830" s="11"/>
      <c r="I1830" s="11"/>
      <c r="J1830" s="11"/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  <c r="Z1830" s="11"/>
    </row>
    <row r="1831">
      <c r="A1831" s="11"/>
      <c r="B1831" s="11"/>
      <c r="C1831" s="11"/>
      <c r="D1831" s="11"/>
      <c r="E1831" s="11"/>
      <c r="F1831" s="11"/>
      <c r="G1831" s="11"/>
      <c r="H1831" s="11"/>
      <c r="I1831" s="11"/>
      <c r="J1831" s="11"/>
      <c r="K1831" s="11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  <c r="Z1831" s="11"/>
    </row>
    <row r="1832">
      <c r="A1832" s="11"/>
      <c r="B1832" s="11"/>
      <c r="C1832" s="11"/>
      <c r="D1832" s="11"/>
      <c r="E1832" s="11"/>
      <c r="F1832" s="11"/>
      <c r="G1832" s="11"/>
      <c r="H1832" s="11"/>
      <c r="I1832" s="11"/>
      <c r="J1832" s="11"/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  <c r="Z1832" s="11"/>
    </row>
    <row r="1833">
      <c r="A1833" s="11"/>
      <c r="B1833" s="11"/>
      <c r="C1833" s="11"/>
      <c r="D1833" s="11"/>
      <c r="E1833" s="11"/>
      <c r="F1833" s="11"/>
      <c r="G1833" s="11"/>
      <c r="H1833" s="11"/>
      <c r="I1833" s="11"/>
      <c r="J1833" s="11"/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</row>
    <row r="1834">
      <c r="A1834" s="11"/>
      <c r="B1834" s="11"/>
      <c r="C1834" s="11"/>
      <c r="D1834" s="11"/>
      <c r="E1834" s="11"/>
      <c r="F1834" s="11"/>
      <c r="G1834" s="11"/>
      <c r="H1834" s="11"/>
      <c r="I1834" s="11"/>
      <c r="J1834" s="11"/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</row>
    <row r="1835">
      <c r="A1835" s="11"/>
      <c r="B1835" s="11"/>
      <c r="C1835" s="11"/>
      <c r="D1835" s="11"/>
      <c r="E1835" s="11"/>
      <c r="F1835" s="11"/>
      <c r="G1835" s="11"/>
      <c r="H1835" s="11"/>
      <c r="I1835" s="11"/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</row>
    <row r="1836">
      <c r="A1836" s="11"/>
      <c r="B1836" s="11"/>
      <c r="C1836" s="11"/>
      <c r="D1836" s="11"/>
      <c r="E1836" s="11"/>
      <c r="F1836" s="11"/>
      <c r="G1836" s="11"/>
      <c r="H1836" s="11"/>
      <c r="I1836" s="11"/>
      <c r="J1836" s="11"/>
      <c r="K1836" s="11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  <c r="Z1836" s="11"/>
    </row>
    <row r="1837">
      <c r="A1837" s="11"/>
      <c r="B1837" s="11"/>
      <c r="C1837" s="11"/>
      <c r="D1837" s="11"/>
      <c r="E1837" s="11"/>
      <c r="F1837" s="11"/>
      <c r="G1837" s="11"/>
      <c r="H1837" s="11"/>
      <c r="I1837" s="11"/>
      <c r="J1837" s="11"/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  <c r="Z1837" s="11"/>
    </row>
    <row r="1838">
      <c r="A1838" s="11"/>
      <c r="B1838" s="11"/>
      <c r="C1838" s="11"/>
      <c r="D1838" s="11"/>
      <c r="E1838" s="11"/>
      <c r="F1838" s="11"/>
      <c r="G1838" s="11"/>
      <c r="H1838" s="11"/>
      <c r="I1838" s="11"/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</row>
    <row r="1839">
      <c r="A1839" s="11"/>
      <c r="B1839" s="11"/>
      <c r="C1839" s="11"/>
      <c r="D1839" s="11"/>
      <c r="E1839" s="11"/>
      <c r="F1839" s="11"/>
      <c r="G1839" s="11"/>
      <c r="H1839" s="11"/>
      <c r="I1839" s="11"/>
      <c r="J1839" s="11"/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</row>
    <row r="1840">
      <c r="A1840" s="11"/>
      <c r="B1840" s="11"/>
      <c r="C1840" s="11"/>
      <c r="D1840" s="11"/>
      <c r="E1840" s="11"/>
      <c r="F1840" s="11"/>
      <c r="G1840" s="11"/>
      <c r="H1840" s="11"/>
      <c r="I1840" s="11"/>
      <c r="J1840" s="11"/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  <c r="Z1840" s="11"/>
    </row>
    <row r="1841">
      <c r="A1841" s="11"/>
      <c r="B1841" s="11"/>
      <c r="C1841" s="11"/>
      <c r="D1841" s="11"/>
      <c r="E1841" s="11"/>
      <c r="F1841" s="11"/>
      <c r="G1841" s="11"/>
      <c r="H1841" s="11"/>
      <c r="I1841" s="11"/>
      <c r="J1841" s="11"/>
      <c r="K1841" s="11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</row>
    <row r="1842">
      <c r="A1842" s="11"/>
      <c r="B1842" s="11"/>
      <c r="C1842" s="11"/>
      <c r="D1842" s="11"/>
      <c r="E1842" s="11"/>
      <c r="F1842" s="11"/>
      <c r="G1842" s="11"/>
      <c r="H1842" s="11"/>
      <c r="I1842" s="11"/>
      <c r="J1842" s="11"/>
      <c r="K1842" s="11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  <c r="Z1842" s="11"/>
    </row>
    <row r="1843">
      <c r="A1843" s="11"/>
      <c r="B1843" s="11"/>
      <c r="C1843" s="11"/>
      <c r="D1843" s="11"/>
      <c r="E1843" s="11"/>
      <c r="F1843" s="11"/>
      <c r="G1843" s="11"/>
      <c r="H1843" s="11"/>
      <c r="I1843" s="11"/>
      <c r="J1843" s="11"/>
      <c r="K1843" s="11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  <c r="Z1843" s="11"/>
    </row>
    <row r="1844">
      <c r="A1844" s="11"/>
      <c r="B1844" s="11"/>
      <c r="C1844" s="11"/>
      <c r="D1844" s="11"/>
      <c r="E1844" s="11"/>
      <c r="F1844" s="11"/>
      <c r="G1844" s="11"/>
      <c r="H1844" s="11"/>
      <c r="I1844" s="11"/>
      <c r="J1844" s="11"/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</row>
    <row r="1845">
      <c r="A1845" s="11"/>
      <c r="B1845" s="11"/>
      <c r="C1845" s="11"/>
      <c r="D1845" s="11"/>
      <c r="E1845" s="11"/>
      <c r="F1845" s="11"/>
      <c r="G1845" s="11"/>
      <c r="H1845" s="11"/>
      <c r="I1845" s="11"/>
      <c r="J1845" s="11"/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  <c r="Z1845" s="11"/>
    </row>
    <row r="1846">
      <c r="A1846" s="11"/>
      <c r="B1846" s="11"/>
      <c r="C1846" s="11"/>
      <c r="D1846" s="11"/>
      <c r="E1846" s="11"/>
      <c r="F1846" s="11"/>
      <c r="G1846" s="11"/>
      <c r="H1846" s="11"/>
      <c r="I1846" s="11"/>
      <c r="J1846" s="11"/>
      <c r="K1846" s="11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  <c r="Z1846" s="11"/>
    </row>
    <row r="1847">
      <c r="A1847" s="11"/>
      <c r="B1847" s="11"/>
      <c r="C1847" s="11"/>
      <c r="D1847" s="11"/>
      <c r="E1847" s="11"/>
      <c r="F1847" s="11"/>
      <c r="G1847" s="11"/>
      <c r="H1847" s="11"/>
      <c r="I1847" s="11"/>
      <c r="J1847" s="11"/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  <c r="Z1847" s="11"/>
    </row>
    <row r="1848">
      <c r="A1848" s="11"/>
      <c r="B1848" s="11"/>
      <c r="C1848" s="11"/>
      <c r="D1848" s="11"/>
      <c r="E1848" s="11"/>
      <c r="F1848" s="11"/>
      <c r="G1848" s="11"/>
      <c r="H1848" s="11"/>
      <c r="I1848" s="11"/>
      <c r="J1848" s="11"/>
      <c r="K1848" s="11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  <c r="Z1848" s="11"/>
    </row>
    <row r="1849">
      <c r="A1849" s="11"/>
      <c r="B1849" s="11"/>
      <c r="C1849" s="11"/>
      <c r="D1849" s="11"/>
      <c r="E1849" s="11"/>
      <c r="F1849" s="11"/>
      <c r="G1849" s="11"/>
      <c r="H1849" s="11"/>
      <c r="I1849" s="11"/>
      <c r="J1849" s="11"/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  <c r="Z1849" s="11"/>
    </row>
    <row r="1850">
      <c r="A1850" s="11"/>
      <c r="B1850" s="11"/>
      <c r="C1850" s="11"/>
      <c r="D1850" s="11"/>
      <c r="E1850" s="11"/>
      <c r="F1850" s="11"/>
      <c r="G1850" s="11"/>
      <c r="H1850" s="11"/>
      <c r="I1850" s="11"/>
      <c r="J1850" s="11"/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</row>
    <row r="1851">
      <c r="A1851" s="11"/>
      <c r="B1851" s="11"/>
      <c r="C1851" s="11"/>
      <c r="D1851" s="11"/>
      <c r="E1851" s="11"/>
      <c r="F1851" s="11"/>
      <c r="G1851" s="11"/>
      <c r="H1851" s="11"/>
      <c r="I1851" s="11"/>
      <c r="J1851" s="11"/>
      <c r="K1851" s="11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  <c r="Z1851" s="11"/>
    </row>
    <row r="1852">
      <c r="A1852" s="11"/>
      <c r="B1852" s="11"/>
      <c r="C1852" s="11"/>
      <c r="D1852" s="11"/>
      <c r="E1852" s="11"/>
      <c r="F1852" s="11"/>
      <c r="G1852" s="11"/>
      <c r="H1852" s="11"/>
      <c r="I1852" s="11"/>
      <c r="J1852" s="11"/>
      <c r="K1852" s="11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  <c r="Z1852" s="11"/>
    </row>
    <row r="1853">
      <c r="A1853" s="11"/>
      <c r="B1853" s="11"/>
      <c r="C1853" s="11"/>
      <c r="D1853" s="11"/>
      <c r="E1853" s="11"/>
      <c r="F1853" s="11"/>
      <c r="G1853" s="11"/>
      <c r="H1853" s="11"/>
      <c r="I1853" s="11"/>
      <c r="J1853" s="11"/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</row>
    <row r="1854">
      <c r="A1854" s="11"/>
      <c r="B1854" s="11"/>
      <c r="C1854" s="11"/>
      <c r="D1854" s="11"/>
      <c r="E1854" s="11"/>
      <c r="F1854" s="11"/>
      <c r="G1854" s="11"/>
      <c r="H1854" s="11"/>
      <c r="I1854" s="11"/>
      <c r="J1854" s="11"/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</row>
    <row r="1855">
      <c r="A1855" s="11"/>
      <c r="B1855" s="11"/>
      <c r="C1855" s="11"/>
      <c r="D1855" s="11"/>
      <c r="E1855" s="11"/>
      <c r="F1855" s="11"/>
      <c r="G1855" s="11"/>
      <c r="H1855" s="11"/>
      <c r="I1855" s="11"/>
      <c r="J1855" s="11"/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  <c r="Z1855" s="11"/>
    </row>
    <row r="1856">
      <c r="A1856" s="11"/>
      <c r="B1856" s="11"/>
      <c r="C1856" s="11"/>
      <c r="D1856" s="11"/>
      <c r="E1856" s="11"/>
      <c r="F1856" s="11"/>
      <c r="G1856" s="11"/>
      <c r="H1856" s="11"/>
      <c r="I1856" s="11"/>
      <c r="J1856" s="11"/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</row>
    <row r="1857">
      <c r="A1857" s="11"/>
      <c r="B1857" s="11"/>
      <c r="C1857" s="11"/>
      <c r="D1857" s="11"/>
      <c r="E1857" s="11"/>
      <c r="F1857" s="11"/>
      <c r="G1857" s="11"/>
      <c r="H1857" s="11"/>
      <c r="I1857" s="11"/>
      <c r="J1857" s="11"/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  <c r="Z1857" s="11"/>
    </row>
    <row r="1858">
      <c r="A1858" s="11"/>
      <c r="B1858" s="11"/>
      <c r="C1858" s="11"/>
      <c r="D1858" s="11"/>
      <c r="E1858" s="11"/>
      <c r="F1858" s="11"/>
      <c r="G1858" s="11"/>
      <c r="H1858" s="11"/>
      <c r="I1858" s="11"/>
      <c r="J1858" s="11"/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</row>
    <row r="1859">
      <c r="A1859" s="11"/>
      <c r="B1859" s="11"/>
      <c r="C1859" s="11"/>
      <c r="D1859" s="11"/>
      <c r="E1859" s="11"/>
      <c r="F1859" s="11"/>
      <c r="G1859" s="11"/>
      <c r="H1859" s="11"/>
      <c r="I1859" s="11"/>
      <c r="J1859" s="11"/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</row>
    <row r="1860">
      <c r="A1860" s="11"/>
      <c r="B1860" s="11"/>
      <c r="C1860" s="11"/>
      <c r="D1860" s="11"/>
      <c r="E1860" s="11"/>
      <c r="F1860" s="11"/>
      <c r="G1860" s="11"/>
      <c r="H1860" s="11"/>
      <c r="I1860" s="11"/>
      <c r="J1860" s="11"/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  <c r="Z1860" s="11"/>
    </row>
    <row r="1861">
      <c r="A1861" s="11"/>
      <c r="B1861" s="11"/>
      <c r="C1861" s="11"/>
      <c r="D1861" s="11"/>
      <c r="E1861" s="11"/>
      <c r="F1861" s="11"/>
      <c r="G1861" s="11"/>
      <c r="H1861" s="11"/>
      <c r="I1861" s="11"/>
      <c r="J1861" s="11"/>
      <c r="K1861" s="11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  <c r="Z1861" s="11"/>
    </row>
    <row r="1862">
      <c r="A1862" s="11"/>
      <c r="B1862" s="11"/>
      <c r="C1862" s="11"/>
      <c r="D1862" s="11"/>
      <c r="E1862" s="11"/>
      <c r="F1862" s="11"/>
      <c r="G1862" s="11"/>
      <c r="H1862" s="11"/>
      <c r="I1862" s="11"/>
      <c r="J1862" s="11"/>
      <c r="K1862" s="11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  <c r="Z1862" s="11"/>
    </row>
    <row r="1863">
      <c r="A1863" s="11"/>
      <c r="B1863" s="11"/>
      <c r="C1863" s="11"/>
      <c r="D1863" s="11"/>
      <c r="E1863" s="11"/>
      <c r="F1863" s="11"/>
      <c r="G1863" s="11"/>
      <c r="H1863" s="11"/>
      <c r="I1863" s="11"/>
      <c r="J1863" s="11"/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  <c r="Z1863" s="11"/>
    </row>
    <row r="1864">
      <c r="A1864" s="11"/>
      <c r="B1864" s="11"/>
      <c r="C1864" s="11"/>
      <c r="D1864" s="11"/>
      <c r="E1864" s="11"/>
      <c r="F1864" s="11"/>
      <c r="G1864" s="11"/>
      <c r="H1864" s="11"/>
      <c r="I1864" s="11"/>
      <c r="J1864" s="11"/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</row>
    <row r="1865">
      <c r="A1865" s="11"/>
      <c r="B1865" s="11"/>
      <c r="C1865" s="11"/>
      <c r="D1865" s="11"/>
      <c r="E1865" s="11"/>
      <c r="F1865" s="11"/>
      <c r="G1865" s="11"/>
      <c r="H1865" s="11"/>
      <c r="I1865" s="11"/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</row>
    <row r="1866">
      <c r="A1866" s="11"/>
      <c r="B1866" s="11"/>
      <c r="C1866" s="11"/>
      <c r="D1866" s="11"/>
      <c r="E1866" s="11"/>
      <c r="F1866" s="11"/>
      <c r="G1866" s="11"/>
      <c r="H1866" s="11"/>
      <c r="I1866" s="11"/>
      <c r="J1866" s="11"/>
      <c r="K1866" s="11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  <c r="Z1866" s="11"/>
    </row>
    <row r="1867">
      <c r="A1867" s="11"/>
      <c r="B1867" s="11"/>
      <c r="C1867" s="11"/>
      <c r="D1867" s="11"/>
      <c r="E1867" s="11"/>
      <c r="F1867" s="11"/>
      <c r="G1867" s="11"/>
      <c r="H1867" s="11"/>
      <c r="I1867" s="11"/>
      <c r="J1867" s="11"/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  <c r="Z1867" s="11"/>
    </row>
    <row r="1868">
      <c r="A1868" s="11"/>
      <c r="B1868" s="11"/>
      <c r="C1868" s="11"/>
      <c r="D1868" s="11"/>
      <c r="E1868" s="11"/>
      <c r="F1868" s="11"/>
      <c r="G1868" s="11"/>
      <c r="H1868" s="11"/>
      <c r="I1868" s="11"/>
      <c r="J1868" s="11"/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</row>
    <row r="1869">
      <c r="A1869" s="11"/>
      <c r="B1869" s="11"/>
      <c r="C1869" s="11"/>
      <c r="D1869" s="11"/>
      <c r="E1869" s="11"/>
      <c r="F1869" s="11"/>
      <c r="G1869" s="11"/>
      <c r="H1869" s="11"/>
      <c r="I1869" s="11"/>
      <c r="J1869" s="11"/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</row>
    <row r="1870">
      <c r="A1870" s="11"/>
      <c r="B1870" s="11"/>
      <c r="C1870" s="11"/>
      <c r="D1870" s="11"/>
      <c r="E1870" s="11"/>
      <c r="F1870" s="11"/>
      <c r="G1870" s="11"/>
      <c r="H1870" s="11"/>
      <c r="I1870" s="11"/>
      <c r="J1870" s="11"/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</row>
    <row r="1871">
      <c r="A1871" s="11"/>
      <c r="B1871" s="11"/>
      <c r="C1871" s="11"/>
      <c r="D1871" s="11"/>
      <c r="E1871" s="11"/>
      <c r="F1871" s="11"/>
      <c r="G1871" s="11"/>
      <c r="H1871" s="11"/>
      <c r="I1871" s="11"/>
      <c r="J1871" s="11"/>
      <c r="K1871" s="11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  <c r="Z1871" s="11"/>
    </row>
    <row r="1872">
      <c r="A1872" s="11"/>
      <c r="B1872" s="11"/>
      <c r="C1872" s="11"/>
      <c r="D1872" s="11"/>
      <c r="E1872" s="11"/>
      <c r="F1872" s="11"/>
      <c r="G1872" s="11"/>
      <c r="H1872" s="11"/>
      <c r="I1872" s="11"/>
      <c r="J1872" s="11"/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  <c r="Z1872" s="11"/>
    </row>
    <row r="1873">
      <c r="A1873" s="11"/>
      <c r="B1873" s="11"/>
      <c r="C1873" s="11"/>
      <c r="D1873" s="11"/>
      <c r="E1873" s="11"/>
      <c r="F1873" s="11"/>
      <c r="G1873" s="11"/>
      <c r="H1873" s="11"/>
      <c r="I1873" s="11"/>
      <c r="J1873" s="11"/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  <c r="Z1873" s="11"/>
    </row>
    <row r="1874">
      <c r="A1874" s="11"/>
      <c r="B1874" s="11"/>
      <c r="C1874" s="11"/>
      <c r="D1874" s="11"/>
      <c r="E1874" s="11"/>
      <c r="F1874" s="11"/>
      <c r="G1874" s="11"/>
      <c r="H1874" s="11"/>
      <c r="I1874" s="11"/>
      <c r="J1874" s="11"/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</row>
    <row r="1875">
      <c r="A1875" s="11"/>
      <c r="B1875" s="11"/>
      <c r="C1875" s="11"/>
      <c r="D1875" s="11"/>
      <c r="E1875" s="11"/>
      <c r="F1875" s="11"/>
      <c r="G1875" s="11"/>
      <c r="H1875" s="11"/>
      <c r="I1875" s="11"/>
      <c r="J1875" s="11"/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  <c r="Z1875" s="11"/>
    </row>
    <row r="1876">
      <c r="A1876" s="11"/>
      <c r="B1876" s="11"/>
      <c r="C1876" s="11"/>
      <c r="D1876" s="11"/>
      <c r="E1876" s="11"/>
      <c r="F1876" s="11"/>
      <c r="G1876" s="11"/>
      <c r="H1876" s="11"/>
      <c r="I1876" s="11"/>
      <c r="J1876" s="11"/>
      <c r="K1876" s="11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  <c r="Z1876" s="11"/>
    </row>
    <row r="1877">
      <c r="A1877" s="11"/>
      <c r="B1877" s="11"/>
      <c r="C1877" s="11"/>
      <c r="D1877" s="11"/>
      <c r="E1877" s="11"/>
      <c r="F1877" s="11"/>
      <c r="G1877" s="11"/>
      <c r="H1877" s="11"/>
      <c r="I1877" s="11"/>
      <c r="J1877" s="11"/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  <c r="Z1877" s="11"/>
    </row>
    <row r="1878">
      <c r="A1878" s="11"/>
      <c r="B1878" s="11"/>
      <c r="C1878" s="11"/>
      <c r="D1878" s="11"/>
      <c r="E1878" s="11"/>
      <c r="F1878" s="11"/>
      <c r="G1878" s="11"/>
      <c r="H1878" s="11"/>
      <c r="I1878" s="11"/>
      <c r="J1878" s="11"/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</row>
    <row r="1879">
      <c r="A1879" s="11"/>
      <c r="B1879" s="11"/>
      <c r="C1879" s="11"/>
      <c r="D1879" s="11"/>
      <c r="E1879" s="11"/>
      <c r="F1879" s="11"/>
      <c r="G1879" s="11"/>
      <c r="H1879" s="11"/>
      <c r="I1879" s="11"/>
      <c r="J1879" s="11"/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  <c r="Z1879" s="11"/>
    </row>
    <row r="1880">
      <c r="A1880" s="11"/>
      <c r="B1880" s="11"/>
      <c r="C1880" s="11"/>
      <c r="D1880" s="11"/>
      <c r="E1880" s="11"/>
      <c r="F1880" s="11"/>
      <c r="G1880" s="11"/>
      <c r="H1880" s="11"/>
      <c r="I1880" s="11"/>
      <c r="J1880" s="11"/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  <c r="Z1880" s="11"/>
    </row>
    <row r="1881">
      <c r="A1881" s="11"/>
      <c r="B1881" s="11"/>
      <c r="C1881" s="11"/>
      <c r="D1881" s="11"/>
      <c r="E1881" s="11"/>
      <c r="F1881" s="11"/>
      <c r="G1881" s="11"/>
      <c r="H1881" s="11"/>
      <c r="I1881" s="11"/>
      <c r="J1881" s="11"/>
      <c r="K1881" s="11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  <c r="Z1881" s="11"/>
    </row>
    <row r="1882">
      <c r="A1882" s="11"/>
      <c r="B1882" s="11"/>
      <c r="C1882" s="11"/>
      <c r="D1882" s="11"/>
      <c r="E1882" s="11"/>
      <c r="F1882" s="11"/>
      <c r="G1882" s="11"/>
      <c r="H1882" s="11"/>
      <c r="I1882" s="11"/>
      <c r="J1882" s="11"/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  <c r="Z1882" s="11"/>
    </row>
    <row r="1883">
      <c r="A1883" s="11"/>
      <c r="B1883" s="11"/>
      <c r="C1883" s="11"/>
      <c r="D1883" s="11"/>
      <c r="E1883" s="11"/>
      <c r="F1883" s="11"/>
      <c r="G1883" s="11"/>
      <c r="H1883" s="11"/>
      <c r="I1883" s="11"/>
      <c r="J1883" s="11"/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  <c r="Z1883" s="11"/>
    </row>
    <row r="1884">
      <c r="A1884" s="11"/>
      <c r="B1884" s="11"/>
      <c r="C1884" s="11"/>
      <c r="D1884" s="11"/>
      <c r="E1884" s="11"/>
      <c r="F1884" s="11"/>
      <c r="G1884" s="11"/>
      <c r="H1884" s="11"/>
      <c r="I1884" s="11"/>
      <c r="J1884" s="11"/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</row>
    <row r="1885">
      <c r="A1885" s="11"/>
      <c r="B1885" s="11"/>
      <c r="C1885" s="11"/>
      <c r="D1885" s="11"/>
      <c r="E1885" s="11"/>
      <c r="F1885" s="11"/>
      <c r="G1885" s="11"/>
      <c r="H1885" s="11"/>
      <c r="I1885" s="11"/>
      <c r="J1885" s="11"/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  <c r="Z1885" s="11"/>
    </row>
    <row r="1886">
      <c r="A1886" s="11"/>
      <c r="B1886" s="11"/>
      <c r="C1886" s="11"/>
      <c r="D1886" s="11"/>
      <c r="E1886" s="11"/>
      <c r="F1886" s="11"/>
      <c r="G1886" s="11"/>
      <c r="H1886" s="11"/>
      <c r="I1886" s="11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</row>
    <row r="1887">
      <c r="A1887" s="11"/>
      <c r="B1887" s="11"/>
      <c r="C1887" s="11"/>
      <c r="D1887" s="11"/>
      <c r="E1887" s="11"/>
      <c r="F1887" s="11"/>
      <c r="G1887" s="11"/>
      <c r="H1887" s="11"/>
      <c r="I1887" s="11"/>
      <c r="J1887" s="11"/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  <c r="Z1887" s="11"/>
    </row>
    <row r="1888">
      <c r="A1888" s="11"/>
      <c r="B1888" s="11"/>
      <c r="C1888" s="11"/>
      <c r="D1888" s="11"/>
      <c r="E1888" s="11"/>
      <c r="F1888" s="11"/>
      <c r="G1888" s="11"/>
      <c r="H1888" s="11"/>
      <c r="I1888" s="11"/>
      <c r="J1888" s="11"/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  <c r="Z1888" s="11"/>
    </row>
    <row r="1889">
      <c r="A1889" s="11"/>
      <c r="B1889" s="11"/>
      <c r="C1889" s="11"/>
      <c r="D1889" s="11"/>
      <c r="E1889" s="11"/>
      <c r="F1889" s="11"/>
      <c r="G1889" s="11"/>
      <c r="H1889" s="11"/>
      <c r="I1889" s="11"/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</row>
    <row r="1890">
      <c r="A1890" s="11"/>
      <c r="B1890" s="11"/>
      <c r="C1890" s="11"/>
      <c r="D1890" s="11"/>
      <c r="E1890" s="11"/>
      <c r="F1890" s="11"/>
      <c r="G1890" s="11"/>
      <c r="H1890" s="11"/>
      <c r="I1890" s="11"/>
      <c r="J1890" s="11"/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  <c r="Z1890" s="11"/>
    </row>
    <row r="1891">
      <c r="A1891" s="11"/>
      <c r="B1891" s="11"/>
      <c r="C1891" s="11"/>
      <c r="D1891" s="11"/>
      <c r="E1891" s="11"/>
      <c r="F1891" s="11"/>
      <c r="G1891" s="11"/>
      <c r="H1891" s="11"/>
      <c r="I1891" s="11"/>
      <c r="J1891" s="11"/>
      <c r="K1891" s="11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  <c r="Z1891" s="11"/>
    </row>
    <row r="1892">
      <c r="A1892" s="11"/>
      <c r="B1892" s="11"/>
      <c r="C1892" s="11"/>
      <c r="D1892" s="11"/>
      <c r="E1892" s="11"/>
      <c r="F1892" s="11"/>
      <c r="G1892" s="11"/>
      <c r="H1892" s="11"/>
      <c r="I1892" s="11"/>
      <c r="J1892" s="11"/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  <c r="Z1892" s="11"/>
    </row>
    <row r="1893">
      <c r="A1893" s="11"/>
      <c r="B1893" s="11"/>
      <c r="C1893" s="11"/>
      <c r="D1893" s="11"/>
      <c r="E1893" s="11"/>
      <c r="F1893" s="11"/>
      <c r="G1893" s="11"/>
      <c r="H1893" s="11"/>
      <c r="I1893" s="11"/>
      <c r="J1893" s="11"/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</row>
    <row r="1894">
      <c r="A1894" s="11"/>
      <c r="B1894" s="11"/>
      <c r="C1894" s="11"/>
      <c r="D1894" s="11"/>
      <c r="E1894" s="11"/>
      <c r="F1894" s="11"/>
      <c r="G1894" s="11"/>
      <c r="H1894" s="11"/>
      <c r="I1894" s="11"/>
      <c r="J1894" s="11"/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  <c r="Z1894" s="11"/>
    </row>
    <row r="1895">
      <c r="A1895" s="11"/>
      <c r="B1895" s="11"/>
      <c r="C1895" s="11"/>
      <c r="D1895" s="11"/>
      <c r="E1895" s="11"/>
      <c r="F1895" s="11"/>
      <c r="G1895" s="11"/>
      <c r="H1895" s="11"/>
      <c r="I1895" s="11"/>
      <c r="J1895" s="11"/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</row>
    <row r="1896">
      <c r="A1896" s="11"/>
      <c r="B1896" s="11"/>
      <c r="C1896" s="11"/>
      <c r="D1896" s="11"/>
      <c r="E1896" s="11"/>
      <c r="F1896" s="11"/>
      <c r="G1896" s="11"/>
      <c r="H1896" s="11"/>
      <c r="I1896" s="11"/>
      <c r="J1896" s="11"/>
      <c r="K1896" s="11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  <c r="Z1896" s="11"/>
    </row>
    <row r="1897">
      <c r="A1897" s="11"/>
      <c r="B1897" s="11"/>
      <c r="C1897" s="11"/>
      <c r="D1897" s="11"/>
      <c r="E1897" s="11"/>
      <c r="F1897" s="11"/>
      <c r="G1897" s="11"/>
      <c r="H1897" s="11"/>
      <c r="I1897" s="11"/>
      <c r="J1897" s="11"/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  <c r="Z1897" s="11"/>
    </row>
    <row r="1898">
      <c r="A1898" s="11"/>
      <c r="B1898" s="11"/>
      <c r="C1898" s="11"/>
      <c r="D1898" s="11"/>
      <c r="E1898" s="11"/>
      <c r="F1898" s="11"/>
      <c r="G1898" s="11"/>
      <c r="H1898" s="11"/>
      <c r="I1898" s="11"/>
      <c r="J1898" s="11"/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</row>
    <row r="1899">
      <c r="A1899" s="11"/>
      <c r="B1899" s="11"/>
      <c r="C1899" s="11"/>
      <c r="D1899" s="11"/>
      <c r="E1899" s="11"/>
      <c r="F1899" s="11"/>
      <c r="G1899" s="11"/>
      <c r="H1899" s="11"/>
      <c r="I1899" s="11"/>
      <c r="J1899" s="11"/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  <c r="Z1899" s="11"/>
    </row>
    <row r="1900">
      <c r="A1900" s="11"/>
      <c r="B1900" s="11"/>
      <c r="C1900" s="11"/>
      <c r="D1900" s="11"/>
      <c r="E1900" s="11"/>
      <c r="F1900" s="11"/>
      <c r="G1900" s="11"/>
      <c r="H1900" s="11"/>
      <c r="I1900" s="11"/>
      <c r="J1900" s="11"/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  <c r="Z1900" s="11"/>
    </row>
    <row r="1901">
      <c r="A1901" s="11"/>
      <c r="B1901" s="11"/>
      <c r="C1901" s="11"/>
      <c r="D1901" s="11"/>
      <c r="E1901" s="11"/>
      <c r="F1901" s="11"/>
      <c r="G1901" s="11"/>
      <c r="H1901" s="11"/>
      <c r="I1901" s="11"/>
      <c r="J1901" s="11"/>
      <c r="K1901" s="11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  <c r="Z1901" s="11"/>
    </row>
    <row r="1902">
      <c r="A1902" s="11"/>
      <c r="B1902" s="11"/>
      <c r="C1902" s="11"/>
      <c r="D1902" s="11"/>
      <c r="E1902" s="11"/>
      <c r="F1902" s="11"/>
      <c r="G1902" s="11"/>
      <c r="H1902" s="11"/>
      <c r="I1902" s="11"/>
      <c r="J1902" s="11"/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  <c r="Z1902" s="11"/>
    </row>
    <row r="1903">
      <c r="A1903" s="11"/>
      <c r="B1903" s="11"/>
      <c r="C1903" s="11"/>
      <c r="D1903" s="11"/>
      <c r="E1903" s="11"/>
      <c r="F1903" s="11"/>
      <c r="G1903" s="11"/>
      <c r="H1903" s="11"/>
      <c r="I1903" s="11"/>
      <c r="J1903" s="11"/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  <c r="Z1903" s="11"/>
    </row>
    <row r="1904">
      <c r="A1904" s="11"/>
      <c r="B1904" s="11"/>
      <c r="C1904" s="11"/>
      <c r="D1904" s="11"/>
      <c r="E1904" s="11"/>
      <c r="F1904" s="11"/>
      <c r="G1904" s="11"/>
      <c r="H1904" s="11"/>
      <c r="I1904" s="11"/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</row>
    <row r="1905">
      <c r="A1905" s="11"/>
      <c r="B1905" s="11"/>
      <c r="C1905" s="11"/>
      <c r="D1905" s="11"/>
      <c r="E1905" s="11"/>
      <c r="F1905" s="11"/>
      <c r="G1905" s="11"/>
      <c r="H1905" s="11"/>
      <c r="I1905" s="11"/>
      <c r="J1905" s="11"/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  <c r="Z1905" s="11"/>
    </row>
    <row r="1906">
      <c r="A1906" s="11"/>
      <c r="B1906" s="11"/>
      <c r="C1906" s="11"/>
      <c r="D1906" s="11"/>
      <c r="E1906" s="11"/>
      <c r="F1906" s="11"/>
      <c r="G1906" s="11"/>
      <c r="H1906" s="11"/>
      <c r="I1906" s="11"/>
      <c r="J1906" s="11"/>
      <c r="K1906" s="11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  <c r="Z1906" s="11"/>
    </row>
    <row r="1907">
      <c r="A1907" s="11"/>
      <c r="B1907" s="11"/>
      <c r="C1907" s="11"/>
      <c r="D1907" s="11"/>
      <c r="E1907" s="11"/>
      <c r="F1907" s="11"/>
      <c r="G1907" s="11"/>
      <c r="H1907" s="11"/>
      <c r="I1907" s="11"/>
      <c r="J1907" s="11"/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  <c r="Z1907" s="11"/>
    </row>
    <row r="1908">
      <c r="A1908" s="11"/>
      <c r="B1908" s="11"/>
      <c r="C1908" s="11"/>
      <c r="D1908" s="11"/>
      <c r="E1908" s="11"/>
      <c r="F1908" s="11"/>
      <c r="G1908" s="11"/>
      <c r="H1908" s="11"/>
      <c r="I1908" s="11"/>
      <c r="J1908" s="11"/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  <c r="Z1908" s="11"/>
    </row>
    <row r="1909">
      <c r="A1909" s="11"/>
      <c r="B1909" s="11"/>
      <c r="C1909" s="11"/>
      <c r="D1909" s="11"/>
      <c r="E1909" s="11"/>
      <c r="F1909" s="11"/>
      <c r="G1909" s="11"/>
      <c r="H1909" s="11"/>
      <c r="I1909" s="11"/>
      <c r="J1909" s="11"/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  <c r="Z1909" s="11"/>
    </row>
    <row r="1910">
      <c r="A1910" s="11"/>
      <c r="B1910" s="11"/>
      <c r="C1910" s="11"/>
      <c r="D1910" s="11"/>
      <c r="E1910" s="11"/>
      <c r="F1910" s="11"/>
      <c r="G1910" s="11"/>
      <c r="H1910" s="11"/>
      <c r="I1910" s="11"/>
      <c r="J1910" s="11"/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</row>
    <row r="1911">
      <c r="A1911" s="11"/>
      <c r="B1911" s="11"/>
      <c r="C1911" s="11"/>
      <c r="D1911" s="11"/>
      <c r="E1911" s="11"/>
      <c r="F1911" s="11"/>
      <c r="G1911" s="11"/>
      <c r="H1911" s="11"/>
      <c r="I1911" s="11"/>
      <c r="J1911" s="11"/>
      <c r="K1911" s="11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  <c r="Z1911" s="11"/>
    </row>
    <row r="1912">
      <c r="A1912" s="11"/>
      <c r="B1912" s="11"/>
      <c r="C1912" s="11"/>
      <c r="D1912" s="11"/>
      <c r="E1912" s="11"/>
      <c r="F1912" s="11"/>
      <c r="G1912" s="11"/>
      <c r="H1912" s="11"/>
      <c r="I1912" s="11"/>
      <c r="J1912" s="11"/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  <c r="Z1912" s="11"/>
    </row>
    <row r="1913">
      <c r="A1913" s="11"/>
      <c r="B1913" s="11"/>
      <c r="C1913" s="11"/>
      <c r="D1913" s="11"/>
      <c r="E1913" s="11"/>
      <c r="F1913" s="11"/>
      <c r="G1913" s="11"/>
      <c r="H1913" s="11"/>
      <c r="I1913" s="11"/>
      <c r="J1913" s="11"/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</row>
    <row r="1914">
      <c r="A1914" s="11"/>
      <c r="B1914" s="11"/>
      <c r="C1914" s="11"/>
      <c r="D1914" s="11"/>
      <c r="E1914" s="11"/>
      <c r="F1914" s="11"/>
      <c r="G1914" s="11"/>
      <c r="H1914" s="11"/>
      <c r="I1914" s="11"/>
      <c r="J1914" s="11"/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</row>
    <row r="1915">
      <c r="A1915" s="11"/>
      <c r="B1915" s="11"/>
      <c r="C1915" s="11"/>
      <c r="D1915" s="11"/>
      <c r="E1915" s="11"/>
      <c r="F1915" s="11"/>
      <c r="G1915" s="11"/>
      <c r="H1915" s="11"/>
      <c r="I1915" s="11"/>
      <c r="J1915" s="11"/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  <c r="Z1915" s="11"/>
    </row>
    <row r="1916">
      <c r="A1916" s="11"/>
      <c r="B1916" s="11"/>
      <c r="C1916" s="11"/>
      <c r="D1916" s="11"/>
      <c r="E1916" s="11"/>
      <c r="F1916" s="11"/>
      <c r="G1916" s="11"/>
      <c r="H1916" s="11"/>
      <c r="I1916" s="11"/>
      <c r="J1916" s="11"/>
      <c r="K1916" s="11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</row>
    <row r="1917">
      <c r="A1917" s="11"/>
      <c r="B1917" s="11"/>
      <c r="C1917" s="11"/>
      <c r="D1917" s="11"/>
      <c r="E1917" s="11"/>
      <c r="F1917" s="11"/>
      <c r="G1917" s="11"/>
      <c r="H1917" s="11"/>
      <c r="I1917" s="11"/>
      <c r="J1917" s="11"/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  <c r="Z1917" s="11"/>
    </row>
    <row r="1918">
      <c r="A1918" s="11"/>
      <c r="B1918" s="11"/>
      <c r="C1918" s="11"/>
      <c r="D1918" s="11"/>
      <c r="E1918" s="11"/>
      <c r="F1918" s="11"/>
      <c r="G1918" s="11"/>
      <c r="H1918" s="11"/>
      <c r="I1918" s="11"/>
      <c r="J1918" s="11"/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</row>
    <row r="1919">
      <c r="A1919" s="11"/>
      <c r="B1919" s="11"/>
      <c r="C1919" s="11"/>
      <c r="D1919" s="11"/>
      <c r="E1919" s="11"/>
      <c r="F1919" s="11"/>
      <c r="G1919" s="11"/>
      <c r="H1919" s="11"/>
      <c r="I1919" s="11"/>
      <c r="J1919" s="11"/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</row>
    <row r="1920">
      <c r="A1920" s="11"/>
      <c r="B1920" s="11"/>
      <c r="C1920" s="11"/>
      <c r="D1920" s="11"/>
      <c r="E1920" s="11"/>
      <c r="F1920" s="11"/>
      <c r="G1920" s="11"/>
      <c r="H1920" s="11"/>
      <c r="I1920" s="11"/>
      <c r="J1920" s="11"/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  <c r="Z1920" s="11"/>
    </row>
    <row r="1921">
      <c r="A1921" s="11"/>
      <c r="B1921" s="11"/>
      <c r="C1921" s="11"/>
      <c r="D1921" s="11"/>
      <c r="E1921" s="11"/>
      <c r="F1921" s="11"/>
      <c r="G1921" s="11"/>
      <c r="H1921" s="11"/>
      <c r="I1921" s="11"/>
      <c r="J1921" s="11"/>
      <c r="K1921" s="11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  <c r="Z1921" s="11"/>
    </row>
    <row r="1922">
      <c r="A1922" s="11"/>
      <c r="B1922" s="11"/>
      <c r="C1922" s="11"/>
      <c r="D1922" s="11"/>
      <c r="E1922" s="11"/>
      <c r="F1922" s="11"/>
      <c r="G1922" s="11"/>
      <c r="H1922" s="11"/>
      <c r="I1922" s="11"/>
      <c r="J1922" s="11"/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</row>
    <row r="1923">
      <c r="A1923" s="11"/>
      <c r="B1923" s="11"/>
      <c r="C1923" s="11"/>
      <c r="D1923" s="11"/>
      <c r="E1923" s="11"/>
      <c r="F1923" s="11"/>
      <c r="G1923" s="11"/>
      <c r="H1923" s="11"/>
      <c r="I1923" s="11"/>
      <c r="J1923" s="11"/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</row>
    <row r="1924">
      <c r="A1924" s="11"/>
      <c r="B1924" s="11"/>
      <c r="C1924" s="11"/>
      <c r="D1924" s="11"/>
      <c r="E1924" s="11"/>
      <c r="F1924" s="11"/>
      <c r="G1924" s="11"/>
      <c r="H1924" s="11"/>
      <c r="I1924" s="11"/>
      <c r="J1924" s="11"/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</row>
    <row r="1925">
      <c r="A1925" s="11"/>
      <c r="B1925" s="11"/>
      <c r="C1925" s="11"/>
      <c r="D1925" s="11"/>
      <c r="E1925" s="11"/>
      <c r="F1925" s="11"/>
      <c r="G1925" s="11"/>
      <c r="H1925" s="11"/>
      <c r="I1925" s="11"/>
      <c r="J1925" s="11"/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  <c r="Z1925" s="11"/>
    </row>
    <row r="1926">
      <c r="A1926" s="11"/>
      <c r="B1926" s="11"/>
      <c r="C1926" s="11"/>
      <c r="D1926" s="11"/>
      <c r="E1926" s="11"/>
      <c r="F1926" s="11"/>
      <c r="G1926" s="11"/>
      <c r="H1926" s="11"/>
      <c r="I1926" s="11"/>
      <c r="J1926" s="11"/>
      <c r="K1926" s="11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  <c r="Z1926" s="11"/>
    </row>
    <row r="1927">
      <c r="A1927" s="11"/>
      <c r="B1927" s="11"/>
      <c r="C1927" s="11"/>
      <c r="D1927" s="11"/>
      <c r="E1927" s="11"/>
      <c r="F1927" s="11"/>
      <c r="G1927" s="11"/>
      <c r="H1927" s="11"/>
      <c r="I1927" s="11"/>
      <c r="J1927" s="11"/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  <c r="Z1927" s="11"/>
    </row>
    <row r="1928">
      <c r="A1928" s="11"/>
      <c r="B1928" s="11"/>
      <c r="C1928" s="11"/>
      <c r="D1928" s="11"/>
      <c r="E1928" s="11"/>
      <c r="F1928" s="11"/>
      <c r="G1928" s="11"/>
      <c r="H1928" s="11"/>
      <c r="I1928" s="11"/>
      <c r="J1928" s="11"/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</row>
    <row r="1929">
      <c r="A1929" s="11"/>
      <c r="B1929" s="11"/>
      <c r="C1929" s="11"/>
      <c r="D1929" s="11"/>
      <c r="E1929" s="11"/>
      <c r="F1929" s="11"/>
      <c r="G1929" s="11"/>
      <c r="H1929" s="11"/>
      <c r="I1929" s="11"/>
      <c r="J1929" s="11"/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  <c r="Z1929" s="11"/>
    </row>
    <row r="1930">
      <c r="A1930" s="11"/>
      <c r="B1930" s="11"/>
      <c r="C1930" s="11"/>
      <c r="D1930" s="11"/>
      <c r="E1930" s="11"/>
      <c r="F1930" s="11"/>
      <c r="G1930" s="11"/>
      <c r="H1930" s="11"/>
      <c r="I1930" s="11"/>
      <c r="J1930" s="11"/>
      <c r="K1930" s="11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  <c r="Z1930" s="11"/>
    </row>
    <row r="1931">
      <c r="A1931" s="11"/>
      <c r="B1931" s="11"/>
      <c r="C1931" s="11"/>
      <c r="D1931" s="11"/>
      <c r="E1931" s="11"/>
      <c r="F1931" s="11"/>
      <c r="G1931" s="11"/>
      <c r="H1931" s="11"/>
      <c r="I1931" s="11"/>
      <c r="J1931" s="11"/>
      <c r="K1931" s="11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  <c r="Z1931" s="11"/>
    </row>
    <row r="1932">
      <c r="A1932" s="11"/>
      <c r="B1932" s="11"/>
      <c r="C1932" s="11"/>
      <c r="D1932" s="11"/>
      <c r="E1932" s="11"/>
      <c r="F1932" s="11"/>
      <c r="G1932" s="11"/>
      <c r="H1932" s="11"/>
      <c r="I1932" s="11"/>
      <c r="J1932" s="11"/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  <c r="Z1932" s="11"/>
    </row>
    <row r="1933">
      <c r="A1933" s="11"/>
      <c r="B1933" s="11"/>
      <c r="C1933" s="11"/>
      <c r="D1933" s="11"/>
      <c r="E1933" s="11"/>
      <c r="F1933" s="11"/>
      <c r="G1933" s="11"/>
      <c r="H1933" s="11"/>
      <c r="I1933" s="11"/>
      <c r="J1933" s="11"/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  <c r="Z1933" s="11"/>
    </row>
    <row r="1934">
      <c r="A1934" s="11"/>
      <c r="B1934" s="11"/>
      <c r="C1934" s="11"/>
      <c r="D1934" s="11"/>
      <c r="E1934" s="11"/>
      <c r="F1934" s="11"/>
      <c r="G1934" s="11"/>
      <c r="H1934" s="11"/>
      <c r="I1934" s="11"/>
      <c r="J1934" s="11"/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</row>
    <row r="1935">
      <c r="A1935" s="11"/>
      <c r="B1935" s="11"/>
      <c r="C1935" s="11"/>
      <c r="D1935" s="11"/>
      <c r="E1935" s="11"/>
      <c r="F1935" s="11"/>
      <c r="G1935" s="11"/>
      <c r="H1935" s="11"/>
      <c r="I1935" s="11"/>
      <c r="J1935" s="11"/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</row>
    <row r="1936">
      <c r="A1936" s="11"/>
      <c r="B1936" s="11"/>
      <c r="C1936" s="11"/>
      <c r="D1936" s="11"/>
      <c r="E1936" s="11"/>
      <c r="F1936" s="11"/>
      <c r="G1936" s="11"/>
      <c r="H1936" s="11"/>
      <c r="I1936" s="11"/>
      <c r="J1936" s="11"/>
      <c r="K1936" s="11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  <c r="Z1936" s="11"/>
    </row>
    <row r="1937">
      <c r="A1937" s="11"/>
      <c r="B1937" s="11"/>
      <c r="C1937" s="11"/>
      <c r="D1937" s="11"/>
      <c r="E1937" s="11"/>
      <c r="F1937" s="11"/>
      <c r="G1937" s="11"/>
      <c r="H1937" s="11"/>
      <c r="I1937" s="11"/>
      <c r="J1937" s="11"/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  <c r="Z1937" s="11"/>
    </row>
    <row r="1938">
      <c r="A1938" s="11"/>
      <c r="B1938" s="11"/>
      <c r="C1938" s="11"/>
      <c r="D1938" s="11"/>
      <c r="E1938" s="11"/>
      <c r="F1938" s="11"/>
      <c r="G1938" s="11"/>
      <c r="H1938" s="11"/>
      <c r="I1938" s="11"/>
      <c r="J1938" s="11"/>
      <c r="K1938" s="11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  <c r="Z1938" s="11"/>
    </row>
    <row r="1939">
      <c r="A1939" s="11"/>
      <c r="B1939" s="11"/>
      <c r="C1939" s="11"/>
      <c r="D1939" s="11"/>
      <c r="E1939" s="11"/>
      <c r="F1939" s="11"/>
      <c r="G1939" s="11"/>
      <c r="H1939" s="11"/>
      <c r="I1939" s="11"/>
      <c r="J1939" s="11"/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  <c r="Z1939" s="11"/>
    </row>
    <row r="1940">
      <c r="A1940" s="11"/>
      <c r="B1940" s="11"/>
      <c r="C1940" s="11"/>
      <c r="D1940" s="11"/>
      <c r="E1940" s="11"/>
      <c r="F1940" s="11"/>
      <c r="G1940" s="11"/>
      <c r="H1940" s="11"/>
      <c r="I1940" s="11"/>
      <c r="J1940" s="11"/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</row>
    <row r="1941">
      <c r="A1941" s="11"/>
      <c r="B1941" s="11"/>
      <c r="C1941" s="11"/>
      <c r="D1941" s="11"/>
      <c r="E1941" s="11"/>
      <c r="F1941" s="11"/>
      <c r="G1941" s="11"/>
      <c r="H1941" s="11"/>
      <c r="I1941" s="11"/>
      <c r="J1941" s="11"/>
      <c r="K1941" s="11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  <c r="Z1941" s="11"/>
    </row>
    <row r="1942">
      <c r="A1942" s="11"/>
      <c r="B1942" s="11"/>
      <c r="C1942" s="11"/>
      <c r="D1942" s="11"/>
      <c r="E1942" s="11"/>
      <c r="F1942" s="11"/>
      <c r="G1942" s="11"/>
      <c r="H1942" s="11"/>
      <c r="I1942" s="11"/>
      <c r="J1942" s="11"/>
      <c r="K1942" s="11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  <c r="Z1942" s="11"/>
    </row>
    <row r="1943">
      <c r="A1943" s="11"/>
      <c r="B1943" s="11"/>
      <c r="C1943" s="11"/>
      <c r="D1943" s="11"/>
      <c r="E1943" s="11"/>
      <c r="F1943" s="11"/>
      <c r="G1943" s="11"/>
      <c r="H1943" s="11"/>
      <c r="I1943" s="11"/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</row>
    <row r="1944">
      <c r="A1944" s="11"/>
      <c r="B1944" s="11"/>
      <c r="C1944" s="11"/>
      <c r="D1944" s="11"/>
      <c r="E1944" s="11"/>
      <c r="F1944" s="11"/>
      <c r="G1944" s="11"/>
      <c r="H1944" s="11"/>
      <c r="I1944" s="11"/>
      <c r="J1944" s="11"/>
      <c r="K1944" s="11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  <c r="Z1944" s="11"/>
    </row>
    <row r="1945">
      <c r="A1945" s="11"/>
      <c r="B1945" s="11"/>
      <c r="C1945" s="11"/>
      <c r="D1945" s="11"/>
      <c r="E1945" s="11"/>
      <c r="F1945" s="11"/>
      <c r="G1945" s="11"/>
      <c r="H1945" s="11"/>
      <c r="I1945" s="11"/>
      <c r="J1945" s="11"/>
      <c r="K1945" s="11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  <c r="Z1945" s="11"/>
    </row>
    <row r="1946">
      <c r="A1946" s="11"/>
      <c r="B1946" s="11"/>
      <c r="C1946" s="11"/>
      <c r="D1946" s="11"/>
      <c r="E1946" s="11"/>
      <c r="F1946" s="11"/>
      <c r="G1946" s="11"/>
      <c r="H1946" s="11"/>
      <c r="I1946" s="11"/>
      <c r="J1946" s="11"/>
      <c r="K1946" s="11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  <c r="Z1946" s="11"/>
    </row>
    <row r="1947">
      <c r="A1947" s="11"/>
      <c r="B1947" s="11"/>
      <c r="C1947" s="11"/>
      <c r="D1947" s="11"/>
      <c r="E1947" s="11"/>
      <c r="F1947" s="11"/>
      <c r="G1947" s="11"/>
      <c r="H1947" s="11"/>
      <c r="I1947" s="11"/>
      <c r="J1947" s="11"/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  <c r="Z1947" s="11"/>
    </row>
    <row r="1948">
      <c r="A1948" s="11"/>
      <c r="B1948" s="11"/>
      <c r="C1948" s="11"/>
      <c r="D1948" s="11"/>
      <c r="E1948" s="11"/>
      <c r="F1948" s="11"/>
      <c r="G1948" s="11"/>
      <c r="H1948" s="11"/>
      <c r="I1948" s="11"/>
      <c r="J1948" s="11"/>
      <c r="K1948" s="11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  <c r="Z1948" s="11"/>
    </row>
    <row r="1949">
      <c r="A1949" s="11"/>
      <c r="B1949" s="11"/>
      <c r="C1949" s="11"/>
      <c r="D1949" s="11"/>
      <c r="E1949" s="11"/>
      <c r="F1949" s="11"/>
      <c r="G1949" s="11"/>
      <c r="H1949" s="11"/>
      <c r="I1949" s="11"/>
      <c r="J1949" s="11"/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  <c r="Z1949" s="11"/>
    </row>
    <row r="1950">
      <c r="A1950" s="11"/>
      <c r="B1950" s="11"/>
      <c r="C1950" s="11"/>
      <c r="D1950" s="11"/>
      <c r="E1950" s="11"/>
      <c r="F1950" s="11"/>
      <c r="G1950" s="11"/>
      <c r="H1950" s="11"/>
      <c r="I1950" s="11"/>
      <c r="J1950" s="11"/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  <c r="Z1950" s="11"/>
    </row>
    <row r="1951">
      <c r="A1951" s="11"/>
      <c r="B1951" s="11"/>
      <c r="C1951" s="11"/>
      <c r="D1951" s="11"/>
      <c r="E1951" s="11"/>
      <c r="F1951" s="11"/>
      <c r="G1951" s="11"/>
      <c r="H1951" s="11"/>
      <c r="I1951" s="11"/>
      <c r="J1951" s="11"/>
      <c r="K1951" s="11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  <c r="Z1951" s="11"/>
    </row>
    <row r="1952">
      <c r="A1952" s="11"/>
      <c r="B1952" s="11"/>
      <c r="C1952" s="11"/>
      <c r="D1952" s="11"/>
      <c r="E1952" s="11"/>
      <c r="F1952" s="11"/>
      <c r="G1952" s="11"/>
      <c r="H1952" s="11"/>
      <c r="I1952" s="11"/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</row>
    <row r="1953">
      <c r="A1953" s="11"/>
      <c r="B1953" s="11"/>
      <c r="C1953" s="11"/>
      <c r="D1953" s="11"/>
      <c r="E1953" s="11"/>
      <c r="F1953" s="11"/>
      <c r="G1953" s="11"/>
      <c r="H1953" s="11"/>
      <c r="I1953" s="11"/>
      <c r="J1953" s="11"/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  <c r="Z1953" s="11"/>
    </row>
    <row r="1954">
      <c r="A1954" s="11"/>
      <c r="B1954" s="11"/>
      <c r="C1954" s="11"/>
      <c r="D1954" s="11"/>
      <c r="E1954" s="11"/>
      <c r="F1954" s="11"/>
      <c r="G1954" s="11"/>
      <c r="H1954" s="11"/>
      <c r="I1954" s="11"/>
      <c r="J1954" s="11"/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  <c r="Z1954" s="11"/>
    </row>
    <row r="1955">
      <c r="A1955" s="11"/>
      <c r="B1955" s="11"/>
      <c r="C1955" s="11"/>
      <c r="D1955" s="11"/>
      <c r="E1955" s="11"/>
      <c r="F1955" s="11"/>
      <c r="G1955" s="11"/>
      <c r="H1955" s="11"/>
      <c r="I1955" s="11"/>
      <c r="J1955" s="11"/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  <c r="Z1955" s="11"/>
    </row>
    <row r="1956">
      <c r="A1956" s="11"/>
      <c r="B1956" s="11"/>
      <c r="C1956" s="11"/>
      <c r="D1956" s="11"/>
      <c r="E1956" s="11"/>
      <c r="F1956" s="11"/>
      <c r="G1956" s="11"/>
      <c r="H1956" s="11"/>
      <c r="I1956" s="11"/>
      <c r="J1956" s="11"/>
      <c r="K1956" s="11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  <c r="Z1956" s="11"/>
    </row>
    <row r="1957">
      <c r="A1957" s="11"/>
      <c r="B1957" s="11"/>
      <c r="C1957" s="11"/>
      <c r="D1957" s="11"/>
      <c r="E1957" s="11"/>
      <c r="F1957" s="11"/>
      <c r="G1957" s="11"/>
      <c r="H1957" s="11"/>
      <c r="I1957" s="11"/>
      <c r="J1957" s="11"/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  <c r="Z1957" s="11"/>
    </row>
    <row r="1958">
      <c r="A1958" s="11"/>
      <c r="B1958" s="11"/>
      <c r="C1958" s="11"/>
      <c r="D1958" s="11"/>
      <c r="E1958" s="11"/>
      <c r="F1958" s="11"/>
      <c r="G1958" s="11"/>
      <c r="H1958" s="11"/>
      <c r="I1958" s="11"/>
      <c r="J1958" s="11"/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  <c r="Z1958" s="11"/>
    </row>
    <row r="1959">
      <c r="A1959" s="11"/>
      <c r="B1959" s="11"/>
      <c r="C1959" s="11"/>
      <c r="D1959" s="11"/>
      <c r="E1959" s="11"/>
      <c r="F1959" s="11"/>
      <c r="G1959" s="11"/>
      <c r="H1959" s="11"/>
      <c r="I1959" s="11"/>
      <c r="J1959" s="11"/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  <c r="Z1959" s="11"/>
    </row>
    <row r="1960">
      <c r="A1960" s="11"/>
      <c r="B1960" s="11"/>
      <c r="C1960" s="11"/>
      <c r="D1960" s="11"/>
      <c r="E1960" s="11"/>
      <c r="F1960" s="11"/>
      <c r="G1960" s="11"/>
      <c r="H1960" s="11"/>
      <c r="I1960" s="11"/>
      <c r="J1960" s="11"/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  <c r="Z1960" s="11"/>
    </row>
    <row r="1961">
      <c r="A1961" s="11"/>
      <c r="B1961" s="11"/>
      <c r="C1961" s="11"/>
      <c r="D1961" s="11"/>
      <c r="E1961" s="11"/>
      <c r="F1961" s="11"/>
      <c r="G1961" s="11"/>
      <c r="H1961" s="11"/>
      <c r="I1961" s="11"/>
      <c r="J1961" s="11"/>
      <c r="K1961" s="11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  <c r="Z1961" s="11"/>
    </row>
    <row r="1962">
      <c r="A1962" s="11"/>
      <c r="B1962" s="11"/>
      <c r="C1962" s="11"/>
      <c r="D1962" s="11"/>
      <c r="E1962" s="11"/>
      <c r="F1962" s="11"/>
      <c r="G1962" s="11"/>
      <c r="H1962" s="11"/>
      <c r="I1962" s="11"/>
      <c r="J1962" s="11"/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  <c r="Z1962" s="11"/>
    </row>
    <row r="1963">
      <c r="A1963" s="11"/>
      <c r="B1963" s="11"/>
      <c r="C1963" s="11"/>
      <c r="D1963" s="11"/>
      <c r="E1963" s="11"/>
      <c r="F1963" s="11"/>
      <c r="G1963" s="11"/>
      <c r="H1963" s="11"/>
      <c r="I1963" s="11"/>
      <c r="J1963" s="11"/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  <c r="Z1963" s="11"/>
    </row>
    <row r="1964">
      <c r="A1964" s="11"/>
      <c r="B1964" s="11"/>
      <c r="C1964" s="11"/>
      <c r="D1964" s="11"/>
      <c r="E1964" s="11"/>
      <c r="F1964" s="11"/>
      <c r="G1964" s="11"/>
      <c r="H1964" s="11"/>
      <c r="I1964" s="11"/>
      <c r="J1964" s="11"/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</row>
    <row r="1965">
      <c r="A1965" s="11"/>
      <c r="B1965" s="11"/>
      <c r="C1965" s="11"/>
      <c r="D1965" s="11"/>
      <c r="E1965" s="11"/>
      <c r="F1965" s="11"/>
      <c r="G1965" s="11"/>
      <c r="H1965" s="11"/>
      <c r="I1965" s="11"/>
      <c r="J1965" s="11"/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  <c r="Z1965" s="11"/>
    </row>
    <row r="1966">
      <c r="A1966" s="11"/>
      <c r="B1966" s="11"/>
      <c r="C1966" s="11"/>
      <c r="D1966" s="11"/>
      <c r="E1966" s="11"/>
      <c r="F1966" s="11"/>
      <c r="G1966" s="11"/>
      <c r="H1966" s="11"/>
      <c r="I1966" s="11"/>
      <c r="J1966" s="11"/>
      <c r="K1966" s="11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  <c r="Z1966" s="11"/>
    </row>
    <row r="1967">
      <c r="A1967" s="11"/>
      <c r="B1967" s="11"/>
      <c r="C1967" s="11"/>
      <c r="D1967" s="11"/>
      <c r="E1967" s="11"/>
      <c r="F1967" s="11"/>
      <c r="G1967" s="11"/>
      <c r="H1967" s="11"/>
      <c r="I1967" s="11"/>
      <c r="J1967" s="11"/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  <c r="Z1967" s="11"/>
    </row>
    <row r="1968">
      <c r="A1968" s="11"/>
      <c r="B1968" s="11"/>
      <c r="C1968" s="11"/>
      <c r="D1968" s="11"/>
      <c r="E1968" s="11"/>
      <c r="F1968" s="11"/>
      <c r="G1968" s="11"/>
      <c r="H1968" s="11"/>
      <c r="I1968" s="11"/>
      <c r="J1968" s="11"/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  <c r="Z1968" s="11"/>
    </row>
    <row r="1969">
      <c r="A1969" s="11"/>
      <c r="B1969" s="11"/>
      <c r="C1969" s="11"/>
      <c r="D1969" s="11"/>
      <c r="E1969" s="11"/>
      <c r="F1969" s="11"/>
      <c r="G1969" s="11"/>
      <c r="H1969" s="11"/>
      <c r="I1969" s="11"/>
      <c r="J1969" s="11"/>
      <c r="K1969" s="11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  <c r="Z1969" s="11"/>
    </row>
    <row r="1970">
      <c r="A1970" s="11"/>
      <c r="B1970" s="11"/>
      <c r="C1970" s="11"/>
      <c r="D1970" s="11"/>
      <c r="E1970" s="11"/>
      <c r="F1970" s="11"/>
      <c r="G1970" s="11"/>
      <c r="H1970" s="11"/>
      <c r="I1970" s="11"/>
      <c r="J1970" s="11"/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</row>
    <row r="1971">
      <c r="A1971" s="11"/>
      <c r="B1971" s="11"/>
      <c r="C1971" s="11"/>
      <c r="D1971" s="11"/>
      <c r="E1971" s="11"/>
      <c r="F1971" s="11"/>
      <c r="G1971" s="11"/>
      <c r="H1971" s="11"/>
      <c r="I1971" s="11"/>
      <c r="J1971" s="11"/>
      <c r="K1971" s="11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  <c r="Z1971" s="11"/>
    </row>
    <row r="1972">
      <c r="A1972" s="11"/>
      <c r="B1972" s="11"/>
      <c r="C1972" s="11"/>
      <c r="D1972" s="11"/>
      <c r="E1972" s="11"/>
      <c r="F1972" s="11"/>
      <c r="G1972" s="11"/>
      <c r="H1972" s="11"/>
      <c r="I1972" s="11"/>
      <c r="J1972" s="11"/>
      <c r="K1972" s="11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  <c r="Z1972" s="11"/>
    </row>
    <row r="1973">
      <c r="A1973" s="11"/>
      <c r="B1973" s="11"/>
      <c r="C1973" s="11"/>
      <c r="D1973" s="11"/>
      <c r="E1973" s="11"/>
      <c r="F1973" s="11"/>
      <c r="G1973" s="11"/>
      <c r="H1973" s="11"/>
      <c r="I1973" s="11"/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</row>
    <row r="1974">
      <c r="A1974" s="11"/>
      <c r="B1974" s="11"/>
      <c r="C1974" s="11"/>
      <c r="D1974" s="11"/>
      <c r="E1974" s="11"/>
      <c r="F1974" s="11"/>
      <c r="G1974" s="11"/>
      <c r="H1974" s="11"/>
      <c r="I1974" s="11"/>
      <c r="J1974" s="11"/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  <c r="Z1974" s="11"/>
    </row>
    <row r="1975">
      <c r="A1975" s="11"/>
      <c r="B1975" s="11"/>
      <c r="C1975" s="11"/>
      <c r="D1975" s="11"/>
      <c r="E1975" s="11"/>
      <c r="F1975" s="11"/>
      <c r="G1975" s="11"/>
      <c r="H1975" s="11"/>
      <c r="I1975" s="11"/>
      <c r="J1975" s="11"/>
      <c r="K1975" s="11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  <c r="Z1975" s="11"/>
    </row>
    <row r="1976">
      <c r="A1976" s="11"/>
      <c r="B1976" s="11"/>
      <c r="C1976" s="11"/>
      <c r="D1976" s="11"/>
      <c r="E1976" s="11"/>
      <c r="F1976" s="11"/>
      <c r="G1976" s="11"/>
      <c r="H1976" s="11"/>
      <c r="I1976" s="11"/>
      <c r="J1976" s="11"/>
      <c r="K1976" s="11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  <c r="Z1976" s="11"/>
    </row>
    <row r="1977">
      <c r="A1977" s="11"/>
      <c r="B1977" s="11"/>
      <c r="C1977" s="11"/>
      <c r="D1977" s="11"/>
      <c r="E1977" s="11"/>
      <c r="F1977" s="11"/>
      <c r="G1977" s="11"/>
      <c r="H1977" s="11"/>
      <c r="I1977" s="11"/>
      <c r="J1977" s="11"/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  <c r="Z1977" s="11"/>
    </row>
    <row r="1978">
      <c r="A1978" s="11"/>
      <c r="B1978" s="11"/>
      <c r="C1978" s="11"/>
      <c r="D1978" s="11"/>
      <c r="E1978" s="11"/>
      <c r="F1978" s="11"/>
      <c r="G1978" s="11"/>
      <c r="H1978" s="11"/>
      <c r="I1978" s="11"/>
      <c r="J1978" s="11"/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  <c r="Z1978" s="11"/>
    </row>
    <row r="1979">
      <c r="A1979" s="11"/>
      <c r="B1979" s="11"/>
      <c r="C1979" s="11"/>
      <c r="D1979" s="11"/>
      <c r="E1979" s="11"/>
      <c r="F1979" s="11"/>
      <c r="G1979" s="11"/>
      <c r="H1979" s="11"/>
      <c r="I1979" s="11"/>
      <c r="J1979" s="11"/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  <c r="Z1979" s="11"/>
    </row>
    <row r="1980">
      <c r="A1980" s="11"/>
      <c r="B1980" s="11"/>
      <c r="C1980" s="11"/>
      <c r="D1980" s="11"/>
      <c r="E1980" s="11"/>
      <c r="F1980" s="11"/>
      <c r="G1980" s="11"/>
      <c r="H1980" s="11"/>
      <c r="I1980" s="11"/>
      <c r="J1980" s="11"/>
      <c r="K1980" s="11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  <c r="Z1980" s="11"/>
    </row>
    <row r="1981">
      <c r="A1981" s="11"/>
      <c r="B1981" s="11"/>
      <c r="C1981" s="11"/>
      <c r="D1981" s="11"/>
      <c r="E1981" s="11"/>
      <c r="F1981" s="11"/>
      <c r="G1981" s="11"/>
      <c r="H1981" s="11"/>
      <c r="I1981" s="11"/>
      <c r="J1981" s="11"/>
      <c r="K1981" s="11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  <c r="Z1981" s="11"/>
    </row>
    <row r="1982">
      <c r="A1982" s="11"/>
      <c r="B1982" s="11"/>
      <c r="C1982" s="11"/>
      <c r="D1982" s="11"/>
      <c r="E1982" s="11"/>
      <c r="F1982" s="11"/>
      <c r="G1982" s="11"/>
      <c r="H1982" s="11"/>
      <c r="I1982" s="11"/>
      <c r="J1982" s="11"/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  <c r="Z1982" s="11"/>
    </row>
    <row r="1983">
      <c r="A1983" s="11"/>
      <c r="B1983" s="11"/>
      <c r="C1983" s="11"/>
      <c r="D1983" s="11"/>
      <c r="E1983" s="11"/>
      <c r="F1983" s="11"/>
      <c r="G1983" s="11"/>
      <c r="H1983" s="11"/>
      <c r="I1983" s="11"/>
      <c r="J1983" s="11"/>
      <c r="K1983" s="11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  <c r="Z1983" s="11"/>
    </row>
    <row r="1984">
      <c r="A1984" s="11"/>
      <c r="B1984" s="11"/>
      <c r="C1984" s="11"/>
      <c r="D1984" s="11"/>
      <c r="E1984" s="11"/>
      <c r="F1984" s="11"/>
      <c r="G1984" s="11"/>
      <c r="H1984" s="11"/>
      <c r="I1984" s="11"/>
      <c r="J1984" s="11"/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  <c r="Z1984" s="11"/>
    </row>
    <row r="1985">
      <c r="A1985" s="11"/>
      <c r="B1985" s="11"/>
      <c r="C1985" s="11"/>
      <c r="D1985" s="11"/>
      <c r="E1985" s="11"/>
      <c r="F1985" s="11"/>
      <c r="G1985" s="11"/>
      <c r="H1985" s="11"/>
      <c r="I1985" s="11"/>
      <c r="J1985" s="11"/>
      <c r="K1985" s="11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  <c r="Z1985" s="11"/>
    </row>
    <row r="1986">
      <c r="A1986" s="11"/>
      <c r="B1986" s="11"/>
      <c r="C1986" s="11"/>
      <c r="D1986" s="11"/>
      <c r="E1986" s="11"/>
      <c r="F1986" s="11"/>
      <c r="G1986" s="11"/>
      <c r="H1986" s="11"/>
      <c r="I1986" s="11"/>
      <c r="J1986" s="11"/>
      <c r="K1986" s="11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  <c r="Z1986" s="11"/>
    </row>
    <row r="1987">
      <c r="A1987" s="11"/>
      <c r="B1987" s="11"/>
      <c r="C1987" s="11"/>
      <c r="D1987" s="11"/>
      <c r="E1987" s="11"/>
      <c r="F1987" s="11"/>
      <c r="G1987" s="11"/>
      <c r="H1987" s="11"/>
      <c r="I1987" s="11"/>
      <c r="J1987" s="11"/>
      <c r="K1987" s="11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  <c r="Z1987" s="11"/>
    </row>
    <row r="1988">
      <c r="A1988" s="11"/>
      <c r="B1988" s="11"/>
      <c r="C1988" s="11"/>
      <c r="D1988" s="11"/>
      <c r="E1988" s="11"/>
      <c r="F1988" s="11"/>
      <c r="G1988" s="11"/>
      <c r="H1988" s="11"/>
      <c r="I1988" s="11"/>
      <c r="J1988" s="11"/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  <c r="Z1988" s="11"/>
    </row>
    <row r="1989">
      <c r="A1989" s="11"/>
      <c r="B1989" s="11"/>
      <c r="C1989" s="11"/>
      <c r="D1989" s="11"/>
      <c r="E1989" s="11"/>
      <c r="F1989" s="11"/>
      <c r="G1989" s="11"/>
      <c r="H1989" s="11"/>
      <c r="I1989" s="11"/>
      <c r="J1989" s="11"/>
      <c r="K1989" s="11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  <c r="Z1989" s="11"/>
    </row>
    <row r="1990">
      <c r="A1990" s="11"/>
      <c r="B1990" s="11"/>
      <c r="C1990" s="11"/>
      <c r="D1990" s="11"/>
      <c r="E1990" s="11"/>
      <c r="F1990" s="11"/>
      <c r="G1990" s="11"/>
      <c r="H1990" s="11"/>
      <c r="I1990" s="11"/>
      <c r="J1990" s="11"/>
      <c r="K1990" s="11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  <c r="Z1990" s="11"/>
    </row>
    <row r="1991">
      <c r="A1991" s="11"/>
      <c r="B1991" s="11"/>
      <c r="C1991" s="11"/>
      <c r="D1991" s="11"/>
      <c r="E1991" s="11"/>
      <c r="F1991" s="11"/>
      <c r="G1991" s="11"/>
      <c r="H1991" s="11"/>
      <c r="I1991" s="11"/>
      <c r="J1991" s="11"/>
      <c r="K1991" s="11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  <c r="Z1991" s="11"/>
    </row>
    <row r="1992">
      <c r="A1992" s="11"/>
      <c r="B1992" s="11"/>
      <c r="C1992" s="11"/>
      <c r="D1992" s="11"/>
      <c r="E1992" s="11"/>
      <c r="F1992" s="11"/>
      <c r="G1992" s="11"/>
      <c r="H1992" s="11"/>
      <c r="I1992" s="11"/>
      <c r="J1992" s="11"/>
      <c r="K1992" s="11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  <c r="Z1992" s="11"/>
    </row>
    <row r="1993">
      <c r="A1993" s="11"/>
      <c r="B1993" s="11"/>
      <c r="C1993" s="11"/>
      <c r="D1993" s="11"/>
      <c r="E1993" s="11"/>
      <c r="F1993" s="11"/>
      <c r="G1993" s="11"/>
      <c r="H1993" s="11"/>
      <c r="I1993" s="11"/>
      <c r="J1993" s="11"/>
      <c r="K1993" s="11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  <c r="Z1993" s="11"/>
    </row>
    <row r="1994">
      <c r="A1994" s="11"/>
      <c r="B1994" s="11"/>
      <c r="C1994" s="11"/>
      <c r="D1994" s="11"/>
      <c r="E1994" s="11"/>
      <c r="F1994" s="11"/>
      <c r="G1994" s="11"/>
      <c r="H1994" s="11"/>
      <c r="I1994" s="11"/>
      <c r="J1994" s="11"/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  <c r="Z1994" s="11"/>
    </row>
    <row r="1995">
      <c r="A1995" s="11"/>
      <c r="B1995" s="11"/>
      <c r="C1995" s="11"/>
      <c r="D1995" s="11"/>
      <c r="E1995" s="11"/>
      <c r="F1995" s="11"/>
      <c r="G1995" s="11"/>
      <c r="H1995" s="11"/>
      <c r="I1995" s="11"/>
      <c r="J1995" s="11"/>
      <c r="K1995" s="11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  <c r="Z1995" s="11"/>
    </row>
    <row r="1996">
      <c r="A1996" s="11"/>
      <c r="B1996" s="11"/>
      <c r="C1996" s="11"/>
      <c r="D1996" s="11"/>
      <c r="E1996" s="11"/>
      <c r="F1996" s="11"/>
      <c r="G1996" s="11"/>
      <c r="H1996" s="11"/>
      <c r="I1996" s="11"/>
      <c r="J1996" s="11"/>
      <c r="K1996" s="11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  <c r="Z1996" s="11"/>
    </row>
    <row r="1997">
      <c r="A1997" s="11"/>
      <c r="B1997" s="11"/>
      <c r="C1997" s="11"/>
      <c r="D1997" s="11"/>
      <c r="E1997" s="11"/>
      <c r="F1997" s="11"/>
      <c r="G1997" s="11"/>
      <c r="H1997" s="11"/>
      <c r="I1997" s="11"/>
      <c r="J1997" s="11"/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  <c r="Z1997" s="11"/>
    </row>
    <row r="1998">
      <c r="A1998" s="11"/>
      <c r="B1998" s="11"/>
      <c r="C1998" s="11"/>
      <c r="D1998" s="11"/>
      <c r="E1998" s="11"/>
      <c r="F1998" s="11"/>
      <c r="G1998" s="11"/>
      <c r="H1998" s="11"/>
      <c r="I1998" s="11"/>
      <c r="J1998" s="11"/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  <c r="Z1998" s="11"/>
    </row>
    <row r="1999">
      <c r="A1999" s="11"/>
      <c r="B1999" s="11"/>
      <c r="C1999" s="11"/>
      <c r="D1999" s="11"/>
      <c r="E1999" s="11"/>
      <c r="F1999" s="11"/>
      <c r="G1999" s="11"/>
      <c r="H1999" s="11"/>
      <c r="I1999" s="11"/>
      <c r="J1999" s="11"/>
      <c r="K1999" s="11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  <c r="Z1999" s="11"/>
    </row>
    <row r="2000">
      <c r="A2000" s="11"/>
      <c r="B2000" s="11"/>
      <c r="C2000" s="11"/>
      <c r="D2000" s="11"/>
      <c r="E2000" s="11"/>
      <c r="F2000" s="11"/>
      <c r="G2000" s="11"/>
      <c r="H2000" s="11"/>
      <c r="I2000" s="11"/>
      <c r="J2000" s="11"/>
      <c r="K2000" s="11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  <c r="Z2000" s="11"/>
    </row>
    <row r="2001">
      <c r="A2001" s="11"/>
      <c r="B2001" s="11"/>
      <c r="C2001" s="11"/>
      <c r="D2001" s="11"/>
      <c r="E2001" s="11"/>
      <c r="F2001" s="11"/>
      <c r="G2001" s="11"/>
      <c r="H2001" s="11"/>
      <c r="I2001" s="11"/>
      <c r="J2001" s="11"/>
      <c r="K2001" s="11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  <c r="Z2001" s="11"/>
    </row>
    <row r="2002">
      <c r="A2002" s="11"/>
      <c r="B2002" s="11"/>
      <c r="C2002" s="11"/>
      <c r="D2002" s="11"/>
      <c r="E2002" s="11"/>
      <c r="F2002" s="11"/>
      <c r="G2002" s="11"/>
      <c r="H2002" s="11"/>
      <c r="I2002" s="11"/>
      <c r="J2002" s="11"/>
      <c r="K2002" s="11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  <c r="Z2002" s="11"/>
    </row>
    <row r="2003">
      <c r="A2003" s="11"/>
      <c r="B2003" s="11"/>
      <c r="C2003" s="11"/>
      <c r="D2003" s="11"/>
      <c r="E2003" s="11"/>
      <c r="F2003" s="11"/>
      <c r="G2003" s="11"/>
      <c r="H2003" s="11"/>
      <c r="I2003" s="11"/>
      <c r="J2003" s="11"/>
      <c r="K2003" s="11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  <c r="Z2003" s="11"/>
    </row>
    <row r="2004">
      <c r="A2004" s="11"/>
      <c r="B2004" s="11"/>
      <c r="C2004" s="11"/>
      <c r="D2004" s="11"/>
      <c r="E2004" s="11"/>
      <c r="F2004" s="11"/>
      <c r="G2004" s="11"/>
      <c r="H2004" s="11"/>
      <c r="I2004" s="11"/>
      <c r="J2004" s="11"/>
      <c r="K2004" s="11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  <c r="Z2004" s="11"/>
    </row>
    <row r="2005">
      <c r="A2005" s="11"/>
      <c r="B2005" s="11"/>
      <c r="C2005" s="11"/>
      <c r="D2005" s="11"/>
      <c r="E2005" s="11"/>
      <c r="F2005" s="11"/>
      <c r="G2005" s="11"/>
      <c r="H2005" s="11"/>
      <c r="I2005" s="11"/>
      <c r="J2005" s="11"/>
      <c r="K2005" s="11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  <c r="Z2005" s="11"/>
    </row>
    <row r="2006">
      <c r="A2006" s="11"/>
      <c r="B2006" s="11"/>
      <c r="C2006" s="11"/>
      <c r="D2006" s="11"/>
      <c r="E2006" s="11"/>
      <c r="F2006" s="11"/>
      <c r="G2006" s="11"/>
      <c r="H2006" s="11"/>
      <c r="I2006" s="11"/>
      <c r="J2006" s="11"/>
      <c r="K2006" s="11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  <c r="Z2006" s="11"/>
    </row>
    <row r="2007">
      <c r="A2007" s="11"/>
      <c r="B2007" s="11"/>
      <c r="C2007" s="11"/>
      <c r="D2007" s="11"/>
      <c r="E2007" s="11"/>
      <c r="F2007" s="11"/>
      <c r="G2007" s="11"/>
      <c r="H2007" s="11"/>
      <c r="I2007" s="11"/>
      <c r="J2007" s="11"/>
      <c r="K2007" s="11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  <c r="Z2007" s="11"/>
    </row>
    <row r="2008">
      <c r="A2008" s="11"/>
      <c r="B2008" s="11"/>
      <c r="C2008" s="11"/>
      <c r="D2008" s="11"/>
      <c r="E2008" s="11"/>
      <c r="F2008" s="11"/>
      <c r="G2008" s="11"/>
      <c r="H2008" s="11"/>
      <c r="I2008" s="11"/>
      <c r="J2008" s="11"/>
      <c r="K2008" s="11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  <c r="Z2008" s="11"/>
    </row>
    <row r="2009">
      <c r="A2009" s="11"/>
      <c r="B2009" s="11"/>
      <c r="C2009" s="11"/>
      <c r="D2009" s="11"/>
      <c r="E2009" s="11"/>
      <c r="F2009" s="11"/>
      <c r="G2009" s="11"/>
      <c r="H2009" s="11"/>
      <c r="I2009" s="11"/>
      <c r="J2009" s="11"/>
      <c r="K2009" s="11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  <c r="Z2009" s="11"/>
    </row>
    <row r="2010">
      <c r="A2010" s="11"/>
      <c r="B2010" s="11"/>
      <c r="C2010" s="11"/>
      <c r="D2010" s="11"/>
      <c r="E2010" s="11"/>
      <c r="F2010" s="11"/>
      <c r="G2010" s="11"/>
      <c r="H2010" s="11"/>
      <c r="I2010" s="11"/>
      <c r="J2010" s="11"/>
      <c r="K2010" s="11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  <c r="Z2010" s="11"/>
    </row>
    <row r="2011">
      <c r="A2011" s="11"/>
      <c r="B2011" s="11"/>
      <c r="C2011" s="11"/>
      <c r="D2011" s="11"/>
      <c r="E2011" s="11"/>
      <c r="F2011" s="11"/>
      <c r="G2011" s="11"/>
      <c r="H2011" s="11"/>
      <c r="I2011" s="11"/>
      <c r="J2011" s="11"/>
      <c r="K2011" s="11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  <c r="Z2011" s="11"/>
    </row>
    <row r="2012">
      <c r="A2012" s="11"/>
      <c r="B2012" s="11"/>
      <c r="C2012" s="11"/>
      <c r="D2012" s="11"/>
      <c r="E2012" s="11"/>
      <c r="F2012" s="11"/>
      <c r="G2012" s="11"/>
      <c r="H2012" s="11"/>
      <c r="I2012" s="11"/>
      <c r="J2012" s="11"/>
      <c r="K2012" s="11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  <c r="Z2012" s="11"/>
    </row>
    <row r="2013">
      <c r="A2013" s="11"/>
      <c r="B2013" s="11"/>
      <c r="C2013" s="11"/>
      <c r="D2013" s="11"/>
      <c r="E2013" s="11"/>
      <c r="F2013" s="11"/>
      <c r="G2013" s="11"/>
      <c r="H2013" s="11"/>
      <c r="I2013" s="11"/>
      <c r="J2013" s="11"/>
      <c r="K2013" s="11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  <c r="Z2013" s="11"/>
    </row>
    <row r="2014">
      <c r="A2014" s="11"/>
      <c r="B2014" s="11"/>
      <c r="C2014" s="11"/>
      <c r="D2014" s="11"/>
      <c r="E2014" s="11"/>
      <c r="F2014" s="11"/>
      <c r="G2014" s="11"/>
      <c r="H2014" s="11"/>
      <c r="I2014" s="11"/>
      <c r="J2014" s="11"/>
      <c r="K2014" s="11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  <c r="Z2014" s="11"/>
    </row>
    <row r="2015">
      <c r="A2015" s="11"/>
      <c r="B2015" s="11"/>
      <c r="C2015" s="11"/>
      <c r="D2015" s="11"/>
      <c r="E2015" s="11"/>
      <c r="F2015" s="11"/>
      <c r="G2015" s="11"/>
      <c r="H2015" s="11"/>
      <c r="I2015" s="11"/>
      <c r="J2015" s="11"/>
      <c r="K2015" s="11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  <c r="Z2015" s="11"/>
    </row>
    <row r="2016">
      <c r="A2016" s="11"/>
      <c r="B2016" s="11"/>
      <c r="C2016" s="11"/>
      <c r="D2016" s="11"/>
      <c r="E2016" s="11"/>
      <c r="F2016" s="11"/>
      <c r="G2016" s="11"/>
      <c r="H2016" s="11"/>
      <c r="I2016" s="11"/>
      <c r="J2016" s="11"/>
      <c r="K2016" s="11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  <c r="Z2016" s="11"/>
    </row>
    <row r="2017">
      <c r="A2017" s="11"/>
      <c r="B2017" s="11"/>
      <c r="C2017" s="11"/>
      <c r="D2017" s="11"/>
      <c r="E2017" s="11"/>
      <c r="F2017" s="11"/>
      <c r="G2017" s="11"/>
      <c r="H2017" s="11"/>
      <c r="I2017" s="11"/>
      <c r="J2017" s="11"/>
      <c r="K2017" s="11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  <c r="Z2017" s="11"/>
    </row>
    <row r="2018">
      <c r="A2018" s="11"/>
      <c r="B2018" s="11"/>
      <c r="C2018" s="11"/>
      <c r="D2018" s="11"/>
      <c r="E2018" s="11"/>
      <c r="F2018" s="11"/>
      <c r="G2018" s="11"/>
      <c r="H2018" s="11"/>
      <c r="I2018" s="11"/>
      <c r="J2018" s="11"/>
      <c r="K2018" s="11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  <c r="Z2018" s="11"/>
    </row>
    <row r="2019">
      <c r="A2019" s="11"/>
      <c r="B2019" s="11"/>
      <c r="C2019" s="11"/>
      <c r="D2019" s="11"/>
      <c r="E2019" s="11"/>
      <c r="F2019" s="11"/>
      <c r="G2019" s="11"/>
      <c r="H2019" s="11"/>
      <c r="I2019" s="11"/>
      <c r="J2019" s="11"/>
      <c r="K2019" s="11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  <c r="Z2019" s="11"/>
    </row>
    <row r="2020">
      <c r="A2020" s="11"/>
      <c r="B2020" s="11"/>
      <c r="C2020" s="11"/>
      <c r="D2020" s="11"/>
      <c r="E2020" s="11"/>
      <c r="F2020" s="11"/>
      <c r="G2020" s="11"/>
      <c r="H2020" s="11"/>
      <c r="I2020" s="11"/>
      <c r="J2020" s="11"/>
      <c r="K2020" s="11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  <c r="Z2020" s="11"/>
    </row>
    <row r="2021">
      <c r="A2021" s="11"/>
      <c r="B2021" s="11"/>
      <c r="C2021" s="11"/>
      <c r="D2021" s="11"/>
      <c r="E2021" s="11"/>
      <c r="F2021" s="11"/>
      <c r="G2021" s="11"/>
      <c r="H2021" s="11"/>
      <c r="I2021" s="11"/>
      <c r="J2021" s="11"/>
      <c r="K2021" s="11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  <c r="Z2021" s="11"/>
    </row>
    <row r="2022">
      <c r="A2022" s="11"/>
      <c r="B2022" s="11"/>
      <c r="C2022" s="11"/>
      <c r="D2022" s="11"/>
      <c r="E2022" s="11"/>
      <c r="F2022" s="11"/>
      <c r="G2022" s="11"/>
      <c r="H2022" s="11"/>
      <c r="I2022" s="11"/>
      <c r="J2022" s="11"/>
      <c r="K2022" s="11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  <c r="Z2022" s="11"/>
    </row>
    <row r="2023">
      <c r="A2023" s="11"/>
      <c r="B2023" s="11"/>
      <c r="C2023" s="11"/>
      <c r="D2023" s="11"/>
      <c r="E2023" s="11"/>
      <c r="F2023" s="11"/>
      <c r="G2023" s="11"/>
      <c r="H2023" s="11"/>
      <c r="I2023" s="11"/>
      <c r="J2023" s="11"/>
      <c r="K2023" s="11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  <c r="Z2023" s="11"/>
    </row>
    <row r="2024">
      <c r="A2024" s="11"/>
      <c r="B2024" s="11"/>
      <c r="C2024" s="11"/>
      <c r="D2024" s="11"/>
      <c r="E2024" s="11"/>
      <c r="F2024" s="11"/>
      <c r="G2024" s="11"/>
      <c r="H2024" s="11"/>
      <c r="I2024" s="11"/>
      <c r="J2024" s="11"/>
      <c r="K2024" s="11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  <c r="Z2024" s="11"/>
    </row>
    <row r="2025">
      <c r="A2025" s="11"/>
      <c r="B2025" s="11"/>
      <c r="C2025" s="11"/>
      <c r="D2025" s="11"/>
      <c r="E2025" s="11"/>
      <c r="F2025" s="11"/>
      <c r="G2025" s="11"/>
      <c r="H2025" s="11"/>
      <c r="I2025" s="11"/>
      <c r="J2025" s="11"/>
      <c r="K2025" s="11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  <c r="Z2025" s="11"/>
    </row>
    <row r="2026">
      <c r="A2026" s="11"/>
      <c r="B2026" s="11"/>
      <c r="C2026" s="11"/>
      <c r="D2026" s="11"/>
      <c r="E2026" s="11"/>
      <c r="F2026" s="11"/>
      <c r="G2026" s="11"/>
      <c r="H2026" s="11"/>
      <c r="I2026" s="11"/>
      <c r="J2026" s="11"/>
      <c r="K2026" s="11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  <c r="Z2026" s="11"/>
    </row>
    <row r="2027">
      <c r="A2027" s="11"/>
      <c r="B2027" s="11"/>
      <c r="C2027" s="11"/>
      <c r="D2027" s="11"/>
      <c r="E2027" s="11"/>
      <c r="F2027" s="11"/>
      <c r="G2027" s="11"/>
      <c r="H2027" s="11"/>
      <c r="I2027" s="11"/>
      <c r="J2027" s="11"/>
      <c r="K2027" s="11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  <c r="Z2027" s="11"/>
    </row>
    <row r="2028">
      <c r="A2028" s="11"/>
      <c r="B2028" s="11"/>
      <c r="C2028" s="11"/>
      <c r="D2028" s="11"/>
      <c r="E2028" s="11"/>
      <c r="F2028" s="11"/>
      <c r="G2028" s="11"/>
      <c r="H2028" s="11"/>
      <c r="I2028" s="11"/>
      <c r="J2028" s="11"/>
      <c r="K2028" s="11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  <c r="Z2028" s="11"/>
    </row>
    <row r="2029">
      <c r="A2029" s="11"/>
      <c r="B2029" s="11"/>
      <c r="C2029" s="11"/>
      <c r="D2029" s="11"/>
      <c r="E2029" s="11"/>
      <c r="F2029" s="11"/>
      <c r="G2029" s="11"/>
      <c r="H2029" s="11"/>
      <c r="I2029" s="11"/>
      <c r="J2029" s="11"/>
      <c r="K2029" s="11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  <c r="Z2029" s="11"/>
    </row>
    <row r="2030">
      <c r="A2030" s="11"/>
      <c r="B2030" s="11"/>
      <c r="C2030" s="11"/>
      <c r="D2030" s="11"/>
      <c r="E2030" s="11"/>
      <c r="F2030" s="11"/>
      <c r="G2030" s="11"/>
      <c r="H2030" s="11"/>
      <c r="I2030" s="11"/>
      <c r="J2030" s="11"/>
      <c r="K2030" s="11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  <c r="Z2030" s="11"/>
    </row>
    <row r="2031">
      <c r="A2031" s="11"/>
      <c r="B2031" s="11"/>
      <c r="C2031" s="11"/>
      <c r="D2031" s="11"/>
      <c r="E2031" s="11"/>
      <c r="F2031" s="11"/>
      <c r="G2031" s="11"/>
      <c r="H2031" s="11"/>
      <c r="I2031" s="11"/>
      <c r="J2031" s="11"/>
      <c r="K2031" s="11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  <c r="Z2031" s="11"/>
    </row>
    <row r="2032">
      <c r="A2032" s="11"/>
      <c r="B2032" s="11"/>
      <c r="C2032" s="11"/>
      <c r="D2032" s="11"/>
      <c r="E2032" s="11"/>
      <c r="F2032" s="11"/>
      <c r="G2032" s="11"/>
      <c r="H2032" s="11"/>
      <c r="I2032" s="11"/>
      <c r="J2032" s="11"/>
      <c r="K2032" s="11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  <c r="Z2032" s="11"/>
    </row>
    <row r="2033">
      <c r="A2033" s="11"/>
      <c r="B2033" s="11"/>
      <c r="C2033" s="11"/>
      <c r="D2033" s="11"/>
      <c r="E2033" s="11"/>
      <c r="F2033" s="11"/>
      <c r="G2033" s="11"/>
      <c r="H2033" s="11"/>
      <c r="I2033" s="11"/>
      <c r="J2033" s="11"/>
      <c r="K2033" s="11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  <c r="Z2033" s="11"/>
    </row>
  </sheetData>
  <autoFilter ref="$A$1:$Z$203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3" max="3" width="29.88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3" t="s">
        <v>6</v>
      </c>
      <c r="F1" s="3" t="s">
        <v>11</v>
      </c>
      <c r="G1" s="3" t="s">
        <v>13</v>
      </c>
      <c r="H1" s="1" t="s">
        <v>15</v>
      </c>
      <c r="I1" s="1" t="s">
        <v>18</v>
      </c>
      <c r="J1" s="1" t="s">
        <v>20</v>
      </c>
      <c r="K1" s="1" t="s">
        <v>22</v>
      </c>
    </row>
    <row r="2">
      <c r="A2" s="5"/>
      <c r="B2" s="7" t="s">
        <v>29</v>
      </c>
      <c r="C2" s="7" t="s">
        <v>32</v>
      </c>
      <c r="D2" s="7" t="s">
        <v>33</v>
      </c>
      <c r="E2" s="9">
        <v>4150.0</v>
      </c>
      <c r="F2" s="7">
        <v>0.0</v>
      </c>
      <c r="G2" s="7" t="s">
        <v>39</v>
      </c>
      <c r="H2" s="7" t="s">
        <v>40</v>
      </c>
      <c r="I2" s="15">
        <f t="array" ref="I2">INDEX(CC!C:C,MATCH(1,(CC!A:A=H2)*(CC!B:B=J2),0))</f>
        <v>602</v>
      </c>
      <c r="J2" s="7" t="s">
        <v>25</v>
      </c>
      <c r="K2" s="9">
        <v>4150.0</v>
      </c>
    </row>
    <row r="3">
      <c r="A3" s="5"/>
      <c r="B3" s="7" t="s">
        <v>29</v>
      </c>
      <c r="C3" s="7" t="s">
        <v>79</v>
      </c>
      <c r="D3" s="7" t="s">
        <v>82</v>
      </c>
      <c r="E3" s="7">
        <v>339.06</v>
      </c>
      <c r="F3" s="7">
        <v>0.0</v>
      </c>
      <c r="G3" s="7" t="s">
        <v>83</v>
      </c>
      <c r="H3" s="7" t="s">
        <v>84</v>
      </c>
      <c r="I3" s="15">
        <f t="array" ref="I3">INDEX(CC!C:C,MATCH(1,(CC!A:A=H3)*(CC!B:B=J3),0))</f>
        <v>1002</v>
      </c>
      <c r="J3" s="7" t="s">
        <v>25</v>
      </c>
      <c r="K3" s="7">
        <v>339.06</v>
      </c>
    </row>
    <row r="4">
      <c r="A4" s="5"/>
      <c r="B4" s="5"/>
      <c r="C4" s="7" t="s">
        <v>79</v>
      </c>
      <c r="D4" s="7" t="s">
        <v>104</v>
      </c>
      <c r="E4" s="9">
        <v>1500.0</v>
      </c>
      <c r="F4" s="7">
        <v>0.0</v>
      </c>
      <c r="G4" s="7" t="s">
        <v>83</v>
      </c>
      <c r="H4" s="7" t="s">
        <v>84</v>
      </c>
      <c r="I4" s="15">
        <f t="array" ref="I4">INDEX(CC!C:C,MATCH(1,(CC!A:A=H4)*(CC!B:B=J4),0))</f>
        <v>1002</v>
      </c>
      <c r="J4" s="7" t="s">
        <v>25</v>
      </c>
      <c r="K4" s="9">
        <v>1500.0</v>
      </c>
    </row>
    <row r="5">
      <c r="A5" s="5"/>
      <c r="B5" s="5"/>
      <c r="C5" s="7" t="s">
        <v>79</v>
      </c>
      <c r="D5" s="7" t="s">
        <v>112</v>
      </c>
      <c r="E5" s="9">
        <v>4305.53</v>
      </c>
      <c r="F5" s="7">
        <v>0.0</v>
      </c>
      <c r="G5" s="7" t="s">
        <v>83</v>
      </c>
      <c r="H5" s="7" t="s">
        <v>84</v>
      </c>
      <c r="I5" s="15">
        <f t="array" ref="I5">INDEX(CC!C:C,MATCH(1,(CC!A:A=H5)*(CC!B:B=J5),0))</f>
        <v>1002</v>
      </c>
      <c r="J5" s="7" t="s">
        <v>25</v>
      </c>
      <c r="K5" s="9">
        <v>4305.53</v>
      </c>
    </row>
    <row r="6">
      <c r="A6" s="5"/>
      <c r="B6" s="5"/>
      <c r="C6" s="7" t="s">
        <v>79</v>
      </c>
      <c r="D6" s="7" t="s">
        <v>126</v>
      </c>
      <c r="E6" s="7">
        <v>36.29</v>
      </c>
      <c r="F6" s="7">
        <v>0.0</v>
      </c>
      <c r="G6" s="7" t="s">
        <v>83</v>
      </c>
      <c r="H6" s="7" t="s">
        <v>84</v>
      </c>
      <c r="I6" s="15">
        <f t="array" ref="I6">INDEX(CC!C:C,MATCH(1,(CC!A:A=H6)*(CC!B:B=J6),0))</f>
        <v>1002</v>
      </c>
      <c r="J6" s="7" t="s">
        <v>25</v>
      </c>
      <c r="K6" s="7">
        <v>36.29</v>
      </c>
    </row>
    <row r="7">
      <c r="A7" s="5"/>
      <c r="B7" s="5"/>
      <c r="C7" s="7" t="s">
        <v>79</v>
      </c>
      <c r="D7" s="7" t="s">
        <v>137</v>
      </c>
      <c r="E7" s="9">
        <v>4666.05</v>
      </c>
      <c r="F7" s="7">
        <v>0.0</v>
      </c>
      <c r="G7" s="7" t="s">
        <v>83</v>
      </c>
      <c r="H7" s="7" t="s">
        <v>84</v>
      </c>
      <c r="I7" s="15">
        <f t="array" ref="I7">INDEX(CC!C:C,MATCH(1,(CC!A:A=H7)*(CC!B:B=J7),0))</f>
        <v>1002</v>
      </c>
      <c r="J7" s="7" t="s">
        <v>25</v>
      </c>
      <c r="K7" s="9">
        <v>4666.05</v>
      </c>
    </row>
    <row r="8">
      <c r="A8" s="5"/>
      <c r="B8" s="7" t="s">
        <v>29</v>
      </c>
      <c r="C8" s="7" t="s">
        <v>148</v>
      </c>
      <c r="D8" s="7" t="s">
        <v>104</v>
      </c>
      <c r="E8" s="9">
        <v>1000.0</v>
      </c>
      <c r="F8" s="7">
        <v>0.0</v>
      </c>
      <c r="G8" s="7" t="s">
        <v>150</v>
      </c>
      <c r="H8" s="7" t="s">
        <v>55</v>
      </c>
      <c r="I8" s="15">
        <f t="array" ref="I8">INDEX(CC!C:C,MATCH(1,(CC!A:A=H8)*(CC!B:B=J8),0))</f>
        <v>902</v>
      </c>
      <c r="J8" s="7" t="s">
        <v>25</v>
      </c>
      <c r="K8" s="9">
        <v>1000.0</v>
      </c>
    </row>
    <row r="9">
      <c r="A9" s="5"/>
      <c r="B9" s="5"/>
      <c r="C9" s="7" t="s">
        <v>148</v>
      </c>
      <c r="D9" s="7" t="s">
        <v>126</v>
      </c>
      <c r="E9" s="7">
        <v>30.0</v>
      </c>
      <c r="F9" s="7">
        <v>0.0</v>
      </c>
      <c r="G9" s="7" t="s">
        <v>150</v>
      </c>
      <c r="H9" s="7" t="s">
        <v>55</v>
      </c>
      <c r="I9" s="15">
        <f t="array" ref="I9">INDEX(CC!C:C,MATCH(1,(CC!A:A=H9)*(CC!B:B=J9),0))</f>
        <v>902</v>
      </c>
      <c r="J9" s="7" t="s">
        <v>25</v>
      </c>
      <c r="K9" s="7">
        <v>30.0</v>
      </c>
    </row>
    <row r="10">
      <c r="A10" s="5"/>
      <c r="B10" s="7" t="s">
        <v>29</v>
      </c>
      <c r="C10" s="7" t="s">
        <v>168</v>
      </c>
      <c r="D10" s="7" t="s">
        <v>33</v>
      </c>
      <c r="E10" s="9">
        <v>4600.0</v>
      </c>
      <c r="F10" s="7">
        <v>0.0</v>
      </c>
      <c r="G10" s="7" t="s">
        <v>170</v>
      </c>
      <c r="H10" s="7" t="s">
        <v>40</v>
      </c>
      <c r="I10" s="15">
        <f t="array" ref="I10">INDEX(CC!C:C,MATCH(1,(CC!A:A=H10)*(CC!B:B=J10),0))</f>
        <v>602</v>
      </c>
      <c r="J10" s="7" t="s">
        <v>25</v>
      </c>
      <c r="K10" s="9">
        <v>4600.0</v>
      </c>
    </row>
    <row r="11">
      <c r="A11" s="5"/>
      <c r="B11" s="7" t="s">
        <v>29</v>
      </c>
      <c r="C11" s="7" t="s">
        <v>184</v>
      </c>
      <c r="D11" s="7" t="s">
        <v>82</v>
      </c>
      <c r="E11" s="7">
        <v>324.5</v>
      </c>
      <c r="F11" s="7">
        <v>0.0</v>
      </c>
      <c r="G11" s="7" t="s">
        <v>186</v>
      </c>
      <c r="H11" s="7" t="s">
        <v>74</v>
      </c>
      <c r="I11" s="15">
        <f t="array" ref="I11">INDEX(CC!C:C,MATCH(1,(CC!A:A=H11)*(CC!B:B=J11),0))</f>
        <v>1502</v>
      </c>
      <c r="J11" s="7" t="s">
        <v>25</v>
      </c>
      <c r="K11" s="7">
        <v>324.5</v>
      </c>
    </row>
    <row r="12">
      <c r="A12" s="5"/>
      <c r="B12" s="5"/>
      <c r="C12" s="7" t="s">
        <v>184</v>
      </c>
      <c r="D12" s="7" t="s">
        <v>199</v>
      </c>
      <c r="E12" s="9">
        <v>3461.42</v>
      </c>
      <c r="F12" s="7">
        <v>0.0</v>
      </c>
      <c r="G12" s="7" t="s">
        <v>186</v>
      </c>
      <c r="H12" s="7" t="s">
        <v>74</v>
      </c>
      <c r="I12" s="15">
        <f t="array" ref="I12">INDEX(CC!C:C,MATCH(1,(CC!A:A=H12)*(CC!B:B=J12),0))</f>
        <v>1502</v>
      </c>
      <c r="J12" s="7" t="s">
        <v>25</v>
      </c>
      <c r="K12" s="9">
        <v>3461.42</v>
      </c>
    </row>
    <row r="13">
      <c r="A13" s="5"/>
      <c r="B13" s="5"/>
      <c r="C13" s="7" t="s">
        <v>184</v>
      </c>
      <c r="D13" s="7" t="s">
        <v>126</v>
      </c>
      <c r="E13" s="7">
        <v>32.44</v>
      </c>
      <c r="F13" s="7">
        <v>0.0</v>
      </c>
      <c r="G13" s="7" t="s">
        <v>186</v>
      </c>
      <c r="H13" s="7" t="s">
        <v>74</v>
      </c>
      <c r="I13" s="15">
        <f t="array" ref="I13">INDEX(CC!C:C,MATCH(1,(CC!A:A=H13)*(CC!B:B=J13),0))</f>
        <v>1502</v>
      </c>
      <c r="J13" s="7" t="s">
        <v>25</v>
      </c>
      <c r="K13" s="7">
        <v>32.44</v>
      </c>
    </row>
    <row r="14">
      <c r="A14" s="5"/>
      <c r="B14" s="5"/>
      <c r="C14" s="7" t="s">
        <v>184</v>
      </c>
      <c r="D14" s="7" t="s">
        <v>137</v>
      </c>
      <c r="E14" s="9">
        <v>4597.2</v>
      </c>
      <c r="F14" s="7">
        <v>0.0</v>
      </c>
      <c r="G14" s="7" t="s">
        <v>186</v>
      </c>
      <c r="H14" s="7" t="s">
        <v>74</v>
      </c>
      <c r="I14" s="15">
        <f t="array" ref="I14">INDEX(CC!C:C,MATCH(1,(CC!A:A=H14)*(CC!B:B=J14),0))</f>
        <v>1502</v>
      </c>
      <c r="J14" s="7" t="s">
        <v>25</v>
      </c>
      <c r="K14" s="9">
        <v>4597.2</v>
      </c>
    </row>
    <row r="15">
      <c r="A15" s="18">
        <v>17.3288</v>
      </c>
      <c r="B15" s="18" t="s">
        <v>244</v>
      </c>
      <c r="C15" s="18" t="s">
        <v>246</v>
      </c>
      <c r="D15" s="18" t="s">
        <v>247</v>
      </c>
      <c r="E15" s="19">
        <v>22880.0</v>
      </c>
      <c r="F15" s="18">
        <v>0.0</v>
      </c>
      <c r="G15" s="18" t="s">
        <v>249</v>
      </c>
      <c r="H15" s="18" t="s">
        <v>250</v>
      </c>
      <c r="I15" s="20">
        <f t="array" ref="I15">INDEX(CC!C:C,MATCH(1,(CC!A:A=H15)*(CC!B:B=J15),0))</f>
        <v>1402</v>
      </c>
      <c r="J15" s="18" t="s">
        <v>25</v>
      </c>
      <c r="K15" s="19">
        <f t="shared" ref="K15:K17" si="1">(E15-F15)*$A$15</f>
        <v>396482.944</v>
      </c>
    </row>
    <row r="16">
      <c r="A16" s="21"/>
      <c r="B16" s="21"/>
      <c r="C16" s="18" t="s">
        <v>246</v>
      </c>
      <c r="D16" s="18" t="s">
        <v>277</v>
      </c>
      <c r="E16" s="19">
        <v>5130.0</v>
      </c>
      <c r="F16" s="18">
        <v>0.0</v>
      </c>
      <c r="G16" s="18" t="s">
        <v>249</v>
      </c>
      <c r="H16" s="18" t="s">
        <v>250</v>
      </c>
      <c r="I16" s="20">
        <f t="array" ref="I16">INDEX(CC!C:C,MATCH(1,(CC!A:A=H16)*(CC!B:B=J16),0))</f>
        <v>1402</v>
      </c>
      <c r="J16" s="18" t="s">
        <v>25</v>
      </c>
      <c r="K16" s="19">
        <f t="shared" si="1"/>
        <v>88896.744</v>
      </c>
    </row>
    <row r="17">
      <c r="A17" s="21"/>
      <c r="B17" s="21"/>
      <c r="C17" s="18" t="s">
        <v>246</v>
      </c>
      <c r="D17" s="18" t="s">
        <v>292</v>
      </c>
      <c r="E17" s="19">
        <v>1090.0</v>
      </c>
      <c r="F17" s="18">
        <v>0.0</v>
      </c>
      <c r="G17" s="18" t="s">
        <v>249</v>
      </c>
      <c r="H17" s="18" t="s">
        <v>250</v>
      </c>
      <c r="I17" s="20">
        <f t="array" ref="I17">INDEX(CC!C:C,MATCH(1,(CC!A:A=H17)*(CC!B:B=J17),0))</f>
        <v>1402</v>
      </c>
      <c r="J17" s="18" t="s">
        <v>25</v>
      </c>
      <c r="K17" s="19">
        <f t="shared" si="1"/>
        <v>18888.392</v>
      </c>
    </row>
    <row r="18">
      <c r="A18" s="5"/>
      <c r="B18" s="7" t="s">
        <v>29</v>
      </c>
      <c r="C18" s="7" t="s">
        <v>306</v>
      </c>
      <c r="D18" s="7" t="s">
        <v>307</v>
      </c>
      <c r="E18" s="9">
        <v>1695.33</v>
      </c>
      <c r="F18" s="7">
        <v>0.0</v>
      </c>
      <c r="G18" s="7" t="s">
        <v>309</v>
      </c>
      <c r="H18" s="7" t="s">
        <v>74</v>
      </c>
      <c r="I18" s="15">
        <f t="array" ref="I18">INDEX(CC!C:C,MATCH(1,(CC!A:A=H18)*(CC!B:B=J18),0))</f>
        <v>1502</v>
      </c>
      <c r="J18" s="7" t="s">
        <v>25</v>
      </c>
      <c r="K18" s="9">
        <v>1695.33</v>
      </c>
    </row>
    <row r="19">
      <c r="A19" s="5"/>
      <c r="B19" s="5"/>
      <c r="C19" s="7" t="s">
        <v>306</v>
      </c>
      <c r="D19" s="7" t="s">
        <v>199</v>
      </c>
      <c r="E19" s="9">
        <v>2797.05</v>
      </c>
      <c r="F19" s="7">
        <v>0.0</v>
      </c>
      <c r="G19" s="7" t="s">
        <v>309</v>
      </c>
      <c r="H19" s="7" t="s">
        <v>74</v>
      </c>
      <c r="I19" s="15">
        <f t="array" ref="I19">INDEX(CC!C:C,MATCH(1,(CC!A:A=H19)*(CC!B:B=J19),0))</f>
        <v>1502</v>
      </c>
      <c r="J19" s="7" t="s">
        <v>25</v>
      </c>
      <c r="K19" s="9">
        <v>2797.05</v>
      </c>
    </row>
    <row r="20">
      <c r="A20" s="5"/>
      <c r="B20" s="5"/>
      <c r="C20" s="7" t="s">
        <v>306</v>
      </c>
      <c r="D20" s="7" t="s">
        <v>112</v>
      </c>
      <c r="E20" s="9">
        <v>14348.31</v>
      </c>
      <c r="F20" s="7">
        <v>0.0</v>
      </c>
      <c r="G20" s="7" t="s">
        <v>309</v>
      </c>
      <c r="H20" s="7" t="s">
        <v>74</v>
      </c>
      <c r="I20" s="15">
        <f t="array" ref="I20">INDEX(CC!C:C,MATCH(1,(CC!A:A=H20)*(CC!B:B=J20),0))</f>
        <v>1503</v>
      </c>
      <c r="J20" s="7" t="s">
        <v>44</v>
      </c>
      <c r="K20" s="9">
        <v>14348.31</v>
      </c>
    </row>
    <row r="21">
      <c r="A21" s="5"/>
      <c r="B21" s="5"/>
      <c r="C21" s="7" t="s">
        <v>306</v>
      </c>
      <c r="D21" s="7" t="s">
        <v>348</v>
      </c>
      <c r="E21" s="9">
        <v>1488.0</v>
      </c>
      <c r="F21" s="7">
        <v>0.0</v>
      </c>
      <c r="G21" s="7" t="s">
        <v>309</v>
      </c>
      <c r="H21" s="7" t="s">
        <v>74</v>
      </c>
      <c r="I21" s="15">
        <f t="array" ref="I21">INDEX(CC!C:C,MATCH(1,(CC!A:A=H21)*(CC!B:B=J21),0))</f>
        <v>1503</v>
      </c>
      <c r="J21" s="7" t="s">
        <v>44</v>
      </c>
      <c r="K21" s="9">
        <v>1488.0</v>
      </c>
    </row>
    <row r="22">
      <c r="A22" s="5"/>
      <c r="B22" s="5"/>
      <c r="C22" s="7" t="s">
        <v>306</v>
      </c>
      <c r="D22" s="7" t="s">
        <v>360</v>
      </c>
      <c r="E22" s="9">
        <v>2835.0</v>
      </c>
      <c r="F22" s="7">
        <v>0.0</v>
      </c>
      <c r="G22" s="7" t="s">
        <v>309</v>
      </c>
      <c r="H22" s="7" t="s">
        <v>74</v>
      </c>
      <c r="I22" s="15">
        <f t="array" ref="I22">INDEX(CC!C:C,MATCH(1,(CC!A:A=H22)*(CC!B:B=J22),0))</f>
        <v>1503</v>
      </c>
      <c r="J22" s="7" t="s">
        <v>44</v>
      </c>
      <c r="K22" s="9">
        <v>2835.0</v>
      </c>
    </row>
    <row r="23">
      <c r="A23" s="5"/>
      <c r="B23" s="5"/>
      <c r="C23" s="7" t="s">
        <v>306</v>
      </c>
      <c r="D23" s="7" t="s">
        <v>126</v>
      </c>
      <c r="E23" s="7">
        <v>35.0</v>
      </c>
      <c r="F23" s="7">
        <v>0.0</v>
      </c>
      <c r="G23" s="7" t="s">
        <v>309</v>
      </c>
      <c r="H23" s="7" t="s">
        <v>74</v>
      </c>
      <c r="I23" s="15">
        <f t="array" ref="I23">INDEX(CC!C:C,MATCH(1,(CC!A:A=H23)*(CC!B:B=J23),0))</f>
        <v>1502</v>
      </c>
      <c r="J23" s="7" t="s">
        <v>25</v>
      </c>
      <c r="K23" s="7">
        <v>35.0</v>
      </c>
    </row>
    <row r="24">
      <c r="A24" s="5"/>
      <c r="B24" s="5"/>
      <c r="C24" s="7" t="s">
        <v>306</v>
      </c>
      <c r="D24" s="7" t="s">
        <v>137</v>
      </c>
      <c r="E24" s="9">
        <v>1468.45</v>
      </c>
      <c r="F24" s="7">
        <v>0.0</v>
      </c>
      <c r="G24" s="7" t="s">
        <v>309</v>
      </c>
      <c r="H24" s="7" t="s">
        <v>74</v>
      </c>
      <c r="I24" s="15">
        <f t="array" ref="I24">INDEX(CC!C:C,MATCH(1,(CC!A:A=H24)*(CC!B:B=J24),0))</f>
        <v>1502</v>
      </c>
      <c r="J24" s="7" t="s">
        <v>25</v>
      </c>
      <c r="K24" s="9">
        <v>1468.45</v>
      </c>
    </row>
    <row r="25">
      <c r="A25" s="5"/>
      <c r="B25" s="7" t="s">
        <v>29</v>
      </c>
      <c r="C25" s="7" t="s">
        <v>391</v>
      </c>
      <c r="D25" s="7" t="s">
        <v>307</v>
      </c>
      <c r="E25" s="9">
        <v>1555.35</v>
      </c>
      <c r="F25" s="7">
        <v>0.0</v>
      </c>
      <c r="G25" s="7" t="s">
        <v>394</v>
      </c>
      <c r="H25" s="7" t="s">
        <v>395</v>
      </c>
      <c r="I25" s="15">
        <f t="array" ref="I25">INDEX(CC!C:C,MATCH(1,(CC!A:A=H25)*(CC!B:B=J25),0))</f>
        <v>1102</v>
      </c>
      <c r="J25" s="7" t="s">
        <v>25</v>
      </c>
      <c r="K25" s="9">
        <v>1555.35</v>
      </c>
    </row>
    <row r="26">
      <c r="A26" s="5"/>
      <c r="B26" s="5"/>
      <c r="C26" s="7" t="s">
        <v>391</v>
      </c>
      <c r="D26" s="7" t="s">
        <v>82</v>
      </c>
      <c r="E26" s="7">
        <v>339.06</v>
      </c>
      <c r="F26" s="7">
        <v>0.0</v>
      </c>
      <c r="G26" s="7" t="s">
        <v>394</v>
      </c>
      <c r="H26" s="7" t="s">
        <v>395</v>
      </c>
      <c r="I26" s="15">
        <f t="array" ref="I26">INDEX(CC!C:C,MATCH(1,(CC!A:A=H26)*(CC!B:B=J26),0))</f>
        <v>1102</v>
      </c>
      <c r="J26" s="7" t="s">
        <v>25</v>
      </c>
      <c r="K26" s="7">
        <v>339.06</v>
      </c>
    </row>
    <row r="27">
      <c r="A27" s="5"/>
      <c r="B27" s="5"/>
      <c r="C27" s="7" t="s">
        <v>391</v>
      </c>
      <c r="D27" s="7" t="s">
        <v>112</v>
      </c>
      <c r="E27" s="9">
        <v>9563.79</v>
      </c>
      <c r="F27" s="7">
        <v>0.0</v>
      </c>
      <c r="G27" s="7" t="s">
        <v>394</v>
      </c>
      <c r="H27" s="7" t="s">
        <v>395</v>
      </c>
      <c r="I27" s="15">
        <f t="array" ref="I27">INDEX(CC!C:C,MATCH(1,(CC!A:A=H27)*(CC!B:B=J27),0))</f>
        <v>1103</v>
      </c>
      <c r="J27" s="7" t="s">
        <v>44</v>
      </c>
      <c r="K27" s="9">
        <v>9563.79</v>
      </c>
    </row>
    <row r="28">
      <c r="A28" s="5"/>
      <c r="B28" s="5"/>
      <c r="C28" s="7" t="s">
        <v>391</v>
      </c>
      <c r="D28" s="7" t="s">
        <v>126</v>
      </c>
      <c r="E28" s="7">
        <v>36.29</v>
      </c>
      <c r="F28" s="7">
        <v>0.0</v>
      </c>
      <c r="G28" s="7" t="s">
        <v>394</v>
      </c>
      <c r="H28" s="7" t="s">
        <v>395</v>
      </c>
      <c r="I28" s="15">
        <f t="array" ref="I28">INDEX(CC!C:C,MATCH(1,(CC!A:A=H28)*(CC!B:B=J28),0))</f>
        <v>1102</v>
      </c>
      <c r="J28" s="7" t="s">
        <v>25</v>
      </c>
      <c r="K28" s="7">
        <v>36.29</v>
      </c>
    </row>
    <row r="29">
      <c r="A29" s="5"/>
      <c r="B29" s="5"/>
      <c r="C29" s="7" t="s">
        <v>391</v>
      </c>
      <c r="D29" s="7" t="s">
        <v>137</v>
      </c>
      <c r="E29" s="9">
        <v>7123.5</v>
      </c>
      <c r="F29" s="7">
        <v>0.0</v>
      </c>
      <c r="G29" s="7" t="s">
        <v>394</v>
      </c>
      <c r="H29" s="7" t="s">
        <v>395</v>
      </c>
      <c r="I29" s="15">
        <f t="array" ref="I29">INDEX(CC!C:C,MATCH(1,(CC!A:A=H29)*(CC!B:B=J29),0))</f>
        <v>1102</v>
      </c>
      <c r="J29" s="7" t="s">
        <v>25</v>
      </c>
      <c r="K29" s="9">
        <v>7123.5</v>
      </c>
    </row>
    <row r="30">
      <c r="A30" s="5"/>
      <c r="B30" s="5"/>
      <c r="C30" s="7" t="s">
        <v>391</v>
      </c>
      <c r="D30" s="7" t="s">
        <v>470</v>
      </c>
      <c r="E30" s="9">
        <v>3000.0</v>
      </c>
      <c r="F30" s="7">
        <v>0.0</v>
      </c>
      <c r="G30" s="7" t="s">
        <v>394</v>
      </c>
      <c r="H30" s="7" t="s">
        <v>395</v>
      </c>
      <c r="I30" s="15">
        <f t="array" ref="I30">INDEX(CC!C:C,MATCH(1,(CC!A:A=H30)*(CC!B:B=J30),0))</f>
        <v>1103</v>
      </c>
      <c r="J30" s="7" t="s">
        <v>44</v>
      </c>
      <c r="K30" s="9">
        <v>3000.0</v>
      </c>
    </row>
    <row r="31">
      <c r="A31" s="5"/>
      <c r="B31" s="7" t="s">
        <v>29</v>
      </c>
      <c r="C31" s="7" t="s">
        <v>32</v>
      </c>
      <c r="D31" s="7" t="s">
        <v>307</v>
      </c>
      <c r="E31" s="7">
        <v>945.65</v>
      </c>
      <c r="F31" s="7">
        <v>0.0</v>
      </c>
      <c r="G31" s="7" t="s">
        <v>486</v>
      </c>
      <c r="H31" s="7" t="s">
        <v>74</v>
      </c>
      <c r="I31" s="15">
        <f t="array" ref="I31">INDEX(CC!C:C,MATCH(1,(CC!A:A=H31)*(CC!B:B=J31),0))</f>
        <v>1502</v>
      </c>
      <c r="J31" s="7" t="s">
        <v>25</v>
      </c>
      <c r="K31" s="7">
        <v>945.65</v>
      </c>
    </row>
    <row r="32">
      <c r="A32" s="5"/>
      <c r="B32" s="5"/>
      <c r="C32" s="7" t="s">
        <v>32</v>
      </c>
      <c r="D32" s="7" t="s">
        <v>82</v>
      </c>
      <c r="E32" s="7">
        <v>362.91</v>
      </c>
      <c r="F32" s="7">
        <v>0.0</v>
      </c>
      <c r="G32" s="7" t="s">
        <v>486</v>
      </c>
      <c r="H32" s="7" t="s">
        <v>74</v>
      </c>
      <c r="I32" s="15">
        <f t="array" ref="I32">INDEX(CC!C:C,MATCH(1,(CC!A:A=H32)*(CC!B:B=J32),0))</f>
        <v>1502</v>
      </c>
      <c r="J32" s="7" t="s">
        <v>25</v>
      </c>
      <c r="K32" s="7">
        <v>362.91</v>
      </c>
    </row>
    <row r="33">
      <c r="A33" s="5"/>
      <c r="B33" s="5"/>
      <c r="C33" s="7" t="s">
        <v>32</v>
      </c>
      <c r="D33" s="7" t="s">
        <v>199</v>
      </c>
      <c r="E33" s="9">
        <v>1536.68</v>
      </c>
      <c r="F33" s="7">
        <v>0.0</v>
      </c>
      <c r="G33" s="7" t="s">
        <v>486</v>
      </c>
      <c r="H33" s="7" t="s">
        <v>74</v>
      </c>
      <c r="I33" s="15">
        <f t="array" ref="I33">INDEX(CC!C:C,MATCH(1,(CC!A:A=H33)*(CC!B:B=J33),0))</f>
        <v>1502</v>
      </c>
      <c r="J33" s="7" t="s">
        <v>25</v>
      </c>
      <c r="K33" s="9">
        <v>1536.68</v>
      </c>
    </row>
    <row r="34">
      <c r="A34" s="5"/>
      <c r="B34" s="5"/>
      <c r="C34" s="7" t="s">
        <v>32</v>
      </c>
      <c r="D34" s="7" t="s">
        <v>104</v>
      </c>
      <c r="E34" s="9">
        <v>1500.0</v>
      </c>
      <c r="F34" s="7">
        <v>0.0</v>
      </c>
      <c r="G34" s="7" t="s">
        <v>486</v>
      </c>
      <c r="H34" s="7" t="s">
        <v>74</v>
      </c>
      <c r="I34" s="15">
        <f t="array" ref="I34">INDEX(CC!C:C,MATCH(1,(CC!A:A=H34)*(CC!B:B=J34),0))</f>
        <v>1502</v>
      </c>
      <c r="J34" s="7" t="s">
        <v>25</v>
      </c>
      <c r="K34" s="9">
        <v>1500.0</v>
      </c>
    </row>
    <row r="35">
      <c r="A35" s="5"/>
      <c r="B35" s="5"/>
      <c r="C35" s="7" t="s">
        <v>32</v>
      </c>
      <c r="D35" s="7" t="s">
        <v>112</v>
      </c>
      <c r="E35" s="9">
        <v>5826.96</v>
      </c>
      <c r="F35" s="7">
        <v>0.0</v>
      </c>
      <c r="G35" s="7" t="s">
        <v>486</v>
      </c>
      <c r="H35" s="7" t="s">
        <v>74</v>
      </c>
      <c r="I35" s="15">
        <f t="array" ref="I35">INDEX(CC!C:C,MATCH(1,(CC!A:A=H35)*(CC!B:B=J35),0))</f>
        <v>1503</v>
      </c>
      <c r="J35" s="7" t="s">
        <v>44</v>
      </c>
      <c r="K35" s="9">
        <v>5826.96</v>
      </c>
    </row>
    <row r="36">
      <c r="A36" s="5"/>
      <c r="B36" s="5"/>
      <c r="C36" s="7" t="s">
        <v>32</v>
      </c>
      <c r="D36" s="7" t="s">
        <v>126</v>
      </c>
      <c r="E36" s="7">
        <v>36.29</v>
      </c>
      <c r="F36" s="7">
        <v>0.0</v>
      </c>
      <c r="G36" s="7" t="s">
        <v>486</v>
      </c>
      <c r="H36" s="7" t="s">
        <v>74</v>
      </c>
      <c r="I36" s="15">
        <f t="array" ref="I36">INDEX(CC!C:C,MATCH(1,(CC!A:A=H36)*(CC!B:B=J36),0))</f>
        <v>1502</v>
      </c>
      <c r="J36" s="7" t="s">
        <v>25</v>
      </c>
      <c r="K36" s="7">
        <v>36.29</v>
      </c>
    </row>
    <row r="37">
      <c r="A37" s="5"/>
      <c r="B37" s="5"/>
      <c r="C37" s="7" t="s">
        <v>32</v>
      </c>
      <c r="D37" s="7" t="s">
        <v>137</v>
      </c>
      <c r="E37" s="7">
        <v>827.44</v>
      </c>
      <c r="F37" s="7">
        <v>0.0</v>
      </c>
      <c r="G37" s="7" t="s">
        <v>486</v>
      </c>
      <c r="H37" s="7" t="s">
        <v>74</v>
      </c>
      <c r="I37" s="15">
        <f t="array" ref="I37">INDEX(CC!C:C,MATCH(1,(CC!A:A=H37)*(CC!B:B=J37),0))</f>
        <v>1502</v>
      </c>
      <c r="J37" s="7" t="s">
        <v>25</v>
      </c>
      <c r="K37" s="7">
        <v>827.44</v>
      </c>
    </row>
    <row r="38">
      <c r="A38" s="5"/>
      <c r="B38" s="7" t="s">
        <v>29</v>
      </c>
      <c r="C38" s="7" t="s">
        <v>331</v>
      </c>
      <c r="D38" s="7" t="s">
        <v>33</v>
      </c>
      <c r="E38" s="7">
        <v>0.01</v>
      </c>
      <c r="F38" s="7">
        <v>0.0</v>
      </c>
      <c r="G38" s="7" t="s">
        <v>531</v>
      </c>
      <c r="H38" s="7" t="s">
        <v>385</v>
      </c>
      <c r="I38" s="15">
        <f t="array" ref="I38">INDEX(CC!C:C,MATCH(1,(CC!A:A=H38)*(CC!B:B=J38),0))</f>
        <v>502</v>
      </c>
      <c r="J38" s="7" t="s">
        <v>25</v>
      </c>
      <c r="K38" s="7">
        <v>0.01</v>
      </c>
    </row>
    <row r="39">
      <c r="A39" s="5"/>
      <c r="B39" s="7" t="s">
        <v>29</v>
      </c>
      <c r="C39" s="7" t="s">
        <v>32</v>
      </c>
      <c r="D39" s="7" t="s">
        <v>33</v>
      </c>
      <c r="E39" s="9">
        <v>4150.0</v>
      </c>
      <c r="F39" s="7">
        <v>0.0</v>
      </c>
      <c r="G39" s="7" t="s">
        <v>486</v>
      </c>
      <c r="H39" s="7" t="s">
        <v>40</v>
      </c>
      <c r="I39" s="15">
        <f t="array" ref="I39">INDEX(CC!C:C,MATCH(1,(CC!A:A=H39)*(CC!B:B=J39),0))</f>
        <v>602</v>
      </c>
      <c r="J39" s="7" t="s">
        <v>25</v>
      </c>
      <c r="K39" s="9">
        <v>4150.0</v>
      </c>
    </row>
    <row r="40">
      <c r="A40" s="5"/>
      <c r="B40" s="7" t="s">
        <v>29</v>
      </c>
      <c r="C40" s="7" t="s">
        <v>537</v>
      </c>
      <c r="D40" s="7" t="s">
        <v>33</v>
      </c>
      <c r="E40" s="9">
        <v>8050.0</v>
      </c>
      <c r="F40" s="7">
        <v>0.0</v>
      </c>
      <c r="G40" s="7" t="s">
        <v>538</v>
      </c>
      <c r="H40" s="7" t="s">
        <v>539</v>
      </c>
      <c r="I40" s="15">
        <f t="array" ref="I40">INDEX(CC!C:C,MATCH(1,(CC!A:A=H40)*(CC!B:B=J40),0))</f>
        <v>1302</v>
      </c>
      <c r="J40" s="7" t="s">
        <v>25</v>
      </c>
      <c r="K40" s="9">
        <v>8050.0</v>
      </c>
    </row>
    <row r="41">
      <c r="A41" s="18">
        <v>17.3288</v>
      </c>
      <c r="B41" s="18" t="s">
        <v>244</v>
      </c>
      <c r="C41" s="18" t="s">
        <v>246</v>
      </c>
      <c r="D41" s="18" t="s">
        <v>449</v>
      </c>
      <c r="E41" s="19">
        <v>1615.0</v>
      </c>
      <c r="F41" s="18">
        <v>0.0</v>
      </c>
      <c r="G41" s="18" t="s">
        <v>542</v>
      </c>
      <c r="H41" s="18" t="s">
        <v>250</v>
      </c>
      <c r="I41" s="20">
        <f t="array" ref="I41">INDEX(CC!C:C,MATCH(1,(CC!A:A=H41)*(CC!B:B=J41),0))</f>
        <v>1402</v>
      </c>
      <c r="J41" s="18" t="s">
        <v>25</v>
      </c>
      <c r="K41" s="19">
        <f t="shared" ref="K41:K42" si="2">(E41-F41)*$A$41</f>
        <v>27986.012</v>
      </c>
    </row>
    <row r="42">
      <c r="A42" s="18">
        <v>17.3288</v>
      </c>
      <c r="B42" s="18" t="s">
        <v>244</v>
      </c>
      <c r="C42" s="18" t="s">
        <v>246</v>
      </c>
      <c r="D42" s="18" t="s">
        <v>543</v>
      </c>
      <c r="E42" s="19">
        <v>94068.0</v>
      </c>
      <c r="F42" s="18">
        <v>0.0</v>
      </c>
      <c r="G42" s="18" t="s">
        <v>544</v>
      </c>
      <c r="H42" s="18" t="s">
        <v>250</v>
      </c>
      <c r="I42" s="20">
        <f t="array" ref="I42">INDEX(CC!C:C,MATCH(1,(CC!A:A=H42)*(CC!B:B=J42),0))</f>
        <v>1402</v>
      </c>
      <c r="J42" s="18" t="s">
        <v>25</v>
      </c>
      <c r="K42" s="19">
        <f t="shared" si="2"/>
        <v>1630085.558</v>
      </c>
    </row>
    <row r="43">
      <c r="A43" s="5"/>
      <c r="B43" s="5"/>
      <c r="C43" s="7" t="s">
        <v>246</v>
      </c>
      <c r="D43" s="7" t="s">
        <v>543</v>
      </c>
      <c r="E43" s="9">
        <v>11816.4</v>
      </c>
      <c r="F43" s="7">
        <v>0.0</v>
      </c>
      <c r="G43" s="7" t="s">
        <v>544</v>
      </c>
      <c r="H43" s="7" t="s">
        <v>250</v>
      </c>
      <c r="I43" s="15">
        <f t="array" ref="I43">INDEX(CC!C:C,MATCH(1,(CC!A:A=H43)*(CC!B:B=J43),0))</f>
        <v>1402</v>
      </c>
      <c r="J43" s="7" t="s">
        <v>25</v>
      </c>
      <c r="K43" s="9">
        <v>204764.03</v>
      </c>
    </row>
    <row r="44">
      <c r="A44" s="5"/>
      <c r="B44" s="5"/>
      <c r="C44" s="7" t="s">
        <v>246</v>
      </c>
      <c r="D44" s="7" t="s">
        <v>543</v>
      </c>
      <c r="E44" s="9">
        <v>2650.2</v>
      </c>
      <c r="F44" s="7">
        <v>0.0</v>
      </c>
      <c r="G44" s="7" t="s">
        <v>544</v>
      </c>
      <c r="H44" s="7" t="s">
        <v>250</v>
      </c>
      <c r="I44" s="15">
        <f t="array" ref="I44">INDEX(CC!C:C,MATCH(1,(CC!A:A=H44)*(CC!B:B=J44),0))</f>
        <v>1402</v>
      </c>
      <c r="J44" s="7" t="s">
        <v>25</v>
      </c>
      <c r="K44" s="9">
        <v>45924.79</v>
      </c>
    </row>
    <row r="45">
      <c r="A45" s="18">
        <v>17.4418</v>
      </c>
      <c r="B45" s="18" t="s">
        <v>244</v>
      </c>
      <c r="C45" s="18" t="s">
        <v>545</v>
      </c>
      <c r="D45" s="18" t="s">
        <v>124</v>
      </c>
      <c r="E45" s="19">
        <v>5220.0</v>
      </c>
      <c r="F45" s="18">
        <v>0.0</v>
      </c>
      <c r="G45" s="18" t="s">
        <v>546</v>
      </c>
      <c r="H45" s="18" t="s">
        <v>86</v>
      </c>
      <c r="I45" s="20">
        <f t="array" ref="I45">INDEX(CC!C:C,MATCH(1,(CC!A:A=H45)*(CC!B:B=J45),0))</f>
        <v>2002</v>
      </c>
      <c r="J45" s="18" t="s">
        <v>25</v>
      </c>
      <c r="K45" s="19">
        <f t="shared" ref="K45:K49" si="3">(E45-F45)*$A$45</f>
        <v>91046.196</v>
      </c>
    </row>
    <row r="46">
      <c r="A46" s="21"/>
      <c r="B46" s="21"/>
      <c r="C46" s="18" t="s">
        <v>545</v>
      </c>
      <c r="D46" s="18" t="s">
        <v>543</v>
      </c>
      <c r="E46" s="19">
        <v>71545.4</v>
      </c>
      <c r="F46" s="18">
        <v>0.0</v>
      </c>
      <c r="G46" s="18" t="s">
        <v>546</v>
      </c>
      <c r="H46" s="18" t="s">
        <v>86</v>
      </c>
      <c r="I46" s="20">
        <f t="array" ref="I46">INDEX(CC!C:C,MATCH(1,(CC!A:A=H46)*(CC!B:B=J46),0))</f>
        <v>2002</v>
      </c>
      <c r="J46" s="18" t="s">
        <v>25</v>
      </c>
      <c r="K46" s="19">
        <f t="shared" si="3"/>
        <v>1247880.558</v>
      </c>
    </row>
    <row r="47">
      <c r="A47" s="21"/>
      <c r="B47" s="21"/>
      <c r="C47" s="18" t="s">
        <v>545</v>
      </c>
      <c r="D47" s="18" t="s">
        <v>449</v>
      </c>
      <c r="E47" s="19">
        <v>2329.0</v>
      </c>
      <c r="F47" s="18">
        <v>0.0</v>
      </c>
      <c r="G47" s="18" t="s">
        <v>546</v>
      </c>
      <c r="H47" s="18" t="s">
        <v>86</v>
      </c>
      <c r="I47" s="20">
        <f t="array" ref="I47">INDEX(CC!C:C,MATCH(1,(CC!A:A=H47)*(CC!B:B=J47),0))</f>
        <v>2002</v>
      </c>
      <c r="J47" s="18" t="s">
        <v>25</v>
      </c>
      <c r="K47" s="19">
        <f t="shared" si="3"/>
        <v>40621.9522</v>
      </c>
    </row>
    <row r="48">
      <c r="A48" s="21"/>
      <c r="B48" s="21"/>
      <c r="C48" s="18" t="s">
        <v>545</v>
      </c>
      <c r="D48" s="18" t="s">
        <v>277</v>
      </c>
      <c r="E48" s="18">
        <v>50.0</v>
      </c>
      <c r="F48" s="18">
        <v>0.0</v>
      </c>
      <c r="G48" s="18" t="s">
        <v>546</v>
      </c>
      <c r="H48" s="18" t="s">
        <v>86</v>
      </c>
      <c r="I48" s="20">
        <f t="array" ref="I48">INDEX(CC!C:C,MATCH(1,(CC!A:A=H48)*(CC!B:B=J48),0))</f>
        <v>2002</v>
      </c>
      <c r="J48" s="18" t="s">
        <v>25</v>
      </c>
      <c r="K48" s="19">
        <f t="shared" si="3"/>
        <v>872.09</v>
      </c>
    </row>
    <row r="49">
      <c r="A49" s="21"/>
      <c r="B49" s="21"/>
      <c r="C49" s="18" t="s">
        <v>545</v>
      </c>
      <c r="D49" s="18" t="s">
        <v>129</v>
      </c>
      <c r="E49" s="19">
        <v>5100.0</v>
      </c>
      <c r="F49" s="18">
        <v>0.0</v>
      </c>
      <c r="G49" s="18" t="s">
        <v>546</v>
      </c>
      <c r="H49" s="18" t="s">
        <v>86</v>
      </c>
      <c r="I49" s="20">
        <f t="array" ref="I49">INDEX(CC!C:C,MATCH(1,(CC!A:A=H49)*(CC!B:B=J49),0))</f>
        <v>2002</v>
      </c>
      <c r="J49" s="18" t="s">
        <v>25</v>
      </c>
      <c r="K49" s="19">
        <f t="shared" si="3"/>
        <v>88953.18</v>
      </c>
    </row>
    <row r="50">
      <c r="A50" s="5"/>
      <c r="B50" s="7" t="s">
        <v>29</v>
      </c>
      <c r="C50" s="7" t="s">
        <v>168</v>
      </c>
      <c r="D50" s="7" t="s">
        <v>82</v>
      </c>
      <c r="E50" s="7">
        <v>209.07</v>
      </c>
      <c r="F50" s="7">
        <v>0.0</v>
      </c>
      <c r="G50" s="7" t="s">
        <v>547</v>
      </c>
      <c r="H50" s="7" t="s">
        <v>84</v>
      </c>
      <c r="I50" s="15">
        <f t="array" ref="I50">INDEX(CC!C:C,MATCH(1,(CC!A:A=H50)*(CC!B:B=J50),0))</f>
        <v>1002</v>
      </c>
      <c r="J50" s="7" t="s">
        <v>25</v>
      </c>
      <c r="K50" s="7">
        <v>209.07</v>
      </c>
    </row>
    <row r="51">
      <c r="A51" s="5"/>
      <c r="B51" s="5"/>
      <c r="C51" s="7" t="s">
        <v>168</v>
      </c>
      <c r="D51" s="7" t="s">
        <v>112</v>
      </c>
      <c r="E51" s="7">
        <v>637.64</v>
      </c>
      <c r="F51" s="7">
        <v>0.0</v>
      </c>
      <c r="G51" s="7" t="s">
        <v>547</v>
      </c>
      <c r="H51" s="7" t="s">
        <v>84</v>
      </c>
      <c r="I51" s="15">
        <f t="array" ref="I51">INDEX(CC!C:C,MATCH(1,(CC!A:A=H51)*(CC!B:B=J51),0))</f>
        <v>1002</v>
      </c>
      <c r="J51" s="7" t="s">
        <v>25</v>
      </c>
      <c r="K51" s="7">
        <v>637.64</v>
      </c>
    </row>
    <row r="52">
      <c r="A52" s="5"/>
      <c r="B52" s="5"/>
      <c r="C52" s="7" t="s">
        <v>168</v>
      </c>
      <c r="D52" s="7" t="s">
        <v>126</v>
      </c>
      <c r="E52" s="7">
        <v>35.0</v>
      </c>
      <c r="F52" s="7">
        <v>0.0</v>
      </c>
      <c r="G52" s="7" t="s">
        <v>547</v>
      </c>
      <c r="H52" s="7" t="s">
        <v>84</v>
      </c>
      <c r="I52" s="15">
        <f t="array" ref="I52">INDEX(CC!C:C,MATCH(1,(CC!A:A=H52)*(CC!B:B=J52),0))</f>
        <v>1002</v>
      </c>
      <c r="J52" s="7" t="s">
        <v>25</v>
      </c>
      <c r="K52" s="7">
        <v>35.0</v>
      </c>
    </row>
    <row r="53">
      <c r="A53" s="5"/>
      <c r="B53" s="5"/>
      <c r="C53" s="7" t="s">
        <v>168</v>
      </c>
      <c r="D53" s="7" t="s">
        <v>137</v>
      </c>
      <c r="E53" s="7">
        <v>835.72</v>
      </c>
      <c r="F53" s="7">
        <v>0.0</v>
      </c>
      <c r="G53" s="7" t="s">
        <v>547</v>
      </c>
      <c r="H53" s="7" t="s">
        <v>84</v>
      </c>
      <c r="I53" s="15">
        <f t="array" ref="I53">INDEX(CC!C:C,MATCH(1,(CC!A:A=H53)*(CC!B:B=J53),0))</f>
        <v>1002</v>
      </c>
      <c r="J53" s="7" t="s">
        <v>25</v>
      </c>
      <c r="K53" s="7">
        <v>835.72</v>
      </c>
    </row>
    <row r="54">
      <c r="A54" s="5"/>
      <c r="B54" s="7" t="s">
        <v>29</v>
      </c>
      <c r="C54" s="7" t="s">
        <v>549</v>
      </c>
      <c r="D54" s="7" t="s">
        <v>126</v>
      </c>
      <c r="E54" s="7">
        <v>35.0</v>
      </c>
      <c r="F54" s="7">
        <v>0.0</v>
      </c>
      <c r="G54" s="7" t="s">
        <v>550</v>
      </c>
      <c r="H54" s="7" t="s">
        <v>551</v>
      </c>
      <c r="I54" s="15">
        <f t="array" ref="I54">INDEX(CC!C:C,MATCH(1,(CC!A:A=H54)*(CC!B:B=J54),0))</f>
        <v>1202</v>
      </c>
      <c r="J54" s="7" t="s">
        <v>25</v>
      </c>
      <c r="K54" s="7">
        <v>35.0</v>
      </c>
    </row>
    <row r="55">
      <c r="A55" s="5"/>
      <c r="B55" s="5"/>
      <c r="C55" s="7" t="s">
        <v>549</v>
      </c>
      <c r="D55" s="7" t="s">
        <v>137</v>
      </c>
      <c r="E55" s="9">
        <v>4520.88</v>
      </c>
      <c r="F55" s="7">
        <v>0.0</v>
      </c>
      <c r="G55" s="7" t="s">
        <v>550</v>
      </c>
      <c r="H55" s="7" t="s">
        <v>551</v>
      </c>
      <c r="I55" s="15">
        <f t="array" ref="I55">INDEX(CC!C:C,MATCH(1,(CC!A:A=H55)*(CC!B:B=J55),0))</f>
        <v>1202</v>
      </c>
      <c r="J55" s="7" t="s">
        <v>25</v>
      </c>
      <c r="K55" s="9">
        <v>4520.88</v>
      </c>
    </row>
    <row r="56">
      <c r="A56" s="5"/>
      <c r="B56" s="7" t="s">
        <v>29</v>
      </c>
      <c r="C56" s="7" t="s">
        <v>306</v>
      </c>
      <c r="D56" s="7" t="s">
        <v>33</v>
      </c>
      <c r="E56" s="9">
        <v>2400.0</v>
      </c>
      <c r="F56" s="7">
        <v>0.0</v>
      </c>
      <c r="G56" s="7" t="s">
        <v>555</v>
      </c>
      <c r="H56" s="7" t="s">
        <v>40</v>
      </c>
      <c r="I56" s="15">
        <f t="array" ref="I56">INDEX(CC!C:C,MATCH(1,(CC!A:A=H56)*(CC!B:B=J56),0))</f>
        <v>602</v>
      </c>
      <c r="J56" s="7" t="s">
        <v>25</v>
      </c>
      <c r="K56" s="9">
        <v>2400.0</v>
      </c>
    </row>
    <row r="57">
      <c r="A57" s="5"/>
      <c r="B57" s="7" t="s">
        <v>29</v>
      </c>
      <c r="C57" s="7" t="s">
        <v>306</v>
      </c>
      <c r="D57" s="7" t="s">
        <v>307</v>
      </c>
      <c r="E57" s="9">
        <v>1695.33</v>
      </c>
      <c r="F57" s="7">
        <v>0.0</v>
      </c>
      <c r="G57" s="7" t="s">
        <v>556</v>
      </c>
      <c r="H57" s="7" t="s">
        <v>74</v>
      </c>
      <c r="I57" s="15">
        <f t="array" ref="I57">INDEX(CC!C:C,MATCH(1,(CC!A:A=H57)*(CC!B:B=J57),0))</f>
        <v>1502</v>
      </c>
      <c r="J57" s="7" t="s">
        <v>25</v>
      </c>
      <c r="K57" s="9">
        <v>1695.33</v>
      </c>
    </row>
    <row r="58">
      <c r="A58" s="5"/>
      <c r="B58" s="5"/>
      <c r="C58" s="7" t="s">
        <v>306</v>
      </c>
      <c r="D58" s="7" t="s">
        <v>82</v>
      </c>
      <c r="E58" s="7">
        <v>326.62</v>
      </c>
      <c r="F58" s="7">
        <v>0.0</v>
      </c>
      <c r="G58" s="7" t="s">
        <v>556</v>
      </c>
      <c r="H58" s="7" t="s">
        <v>74</v>
      </c>
      <c r="I58" s="15">
        <f t="array" ref="I58">INDEX(CC!C:C,MATCH(1,(CC!A:A=H58)*(CC!B:B=J58),0))</f>
        <v>1502</v>
      </c>
      <c r="J58" s="7" t="s">
        <v>25</v>
      </c>
      <c r="K58" s="7">
        <v>326.62</v>
      </c>
    </row>
    <row r="59">
      <c r="A59" s="5"/>
      <c r="B59" s="5"/>
      <c r="C59" s="7" t="s">
        <v>306</v>
      </c>
      <c r="D59" s="7" t="s">
        <v>199</v>
      </c>
      <c r="E59" s="9">
        <v>4933.97</v>
      </c>
      <c r="F59" s="7">
        <v>0.0</v>
      </c>
      <c r="G59" s="7" t="s">
        <v>556</v>
      </c>
      <c r="H59" s="7" t="s">
        <v>74</v>
      </c>
      <c r="I59" s="15">
        <f t="array" ref="I59">INDEX(CC!C:C,MATCH(1,(CC!A:A=H59)*(CC!B:B=J59),0))</f>
        <v>1502</v>
      </c>
      <c r="J59" s="7" t="s">
        <v>25</v>
      </c>
      <c r="K59" s="9">
        <v>4933.97</v>
      </c>
    </row>
    <row r="60">
      <c r="A60" s="5"/>
      <c r="B60" s="5"/>
      <c r="C60" s="7" t="s">
        <v>306</v>
      </c>
      <c r="D60" s="7" t="s">
        <v>112</v>
      </c>
      <c r="E60" s="9">
        <v>12894.36</v>
      </c>
      <c r="F60" s="7">
        <v>0.0</v>
      </c>
      <c r="G60" s="7" t="s">
        <v>556</v>
      </c>
      <c r="H60" s="7" t="s">
        <v>74</v>
      </c>
      <c r="I60" s="15">
        <f t="array" ref="I60">INDEX(CC!C:C,MATCH(1,(CC!A:A=H60)*(CC!B:B=J60),0))</f>
        <v>1503</v>
      </c>
      <c r="J60" s="7" t="s">
        <v>44</v>
      </c>
      <c r="K60" s="9">
        <v>12894.36</v>
      </c>
    </row>
    <row r="61">
      <c r="A61" s="5"/>
      <c r="B61" s="5"/>
      <c r="C61" s="7" t="s">
        <v>306</v>
      </c>
      <c r="D61" s="7" t="s">
        <v>348</v>
      </c>
      <c r="E61" s="9">
        <v>1183.0</v>
      </c>
      <c r="F61" s="7">
        <v>0.0</v>
      </c>
      <c r="G61" s="7" t="s">
        <v>556</v>
      </c>
      <c r="H61" s="7" t="s">
        <v>74</v>
      </c>
      <c r="I61" s="15">
        <f t="array" ref="I61">INDEX(CC!C:C,MATCH(1,(CC!A:A=H61)*(CC!B:B=J61),0))</f>
        <v>1503</v>
      </c>
      <c r="J61" s="7" t="s">
        <v>44</v>
      </c>
      <c r="K61" s="9">
        <v>1183.0</v>
      </c>
    </row>
    <row r="62">
      <c r="A62" s="5"/>
      <c r="B62" s="5"/>
      <c r="C62" s="7" t="s">
        <v>306</v>
      </c>
      <c r="D62" s="7" t="s">
        <v>558</v>
      </c>
      <c r="E62" s="9">
        <v>1167.24</v>
      </c>
      <c r="F62" s="7">
        <v>0.0</v>
      </c>
      <c r="G62" s="7" t="s">
        <v>556</v>
      </c>
      <c r="H62" s="7" t="s">
        <v>74</v>
      </c>
      <c r="I62" s="15">
        <f t="array" ref="I62">INDEX(CC!C:C,MATCH(1,(CC!A:A=H62)*(CC!B:B=J62),0))</f>
        <v>1502</v>
      </c>
      <c r="J62" s="7" t="s">
        <v>25</v>
      </c>
      <c r="K62" s="9">
        <v>1167.24</v>
      </c>
    </row>
    <row r="63">
      <c r="A63" s="5"/>
      <c r="B63" s="5"/>
      <c r="C63" s="7" t="s">
        <v>306</v>
      </c>
      <c r="D63" s="7" t="s">
        <v>360</v>
      </c>
      <c r="E63" s="9">
        <v>2835.0</v>
      </c>
      <c r="F63" s="7">
        <v>0.0</v>
      </c>
      <c r="G63" s="7" t="s">
        <v>556</v>
      </c>
      <c r="H63" s="7" t="s">
        <v>74</v>
      </c>
      <c r="I63" s="15">
        <f t="array" ref="I63">INDEX(CC!C:C,MATCH(1,(CC!A:A=H63)*(CC!B:B=J63),0))</f>
        <v>1503</v>
      </c>
      <c r="J63" s="7" t="s">
        <v>44</v>
      </c>
      <c r="K63" s="9">
        <v>2835.0</v>
      </c>
    </row>
    <row r="64">
      <c r="A64" s="5"/>
      <c r="B64" s="5"/>
      <c r="C64" s="7" t="s">
        <v>306</v>
      </c>
      <c r="D64" s="7" t="s">
        <v>126</v>
      </c>
      <c r="E64" s="7">
        <v>35.0</v>
      </c>
      <c r="F64" s="7">
        <v>0.0</v>
      </c>
      <c r="G64" s="7" t="s">
        <v>556</v>
      </c>
      <c r="H64" s="7" t="s">
        <v>74</v>
      </c>
      <c r="I64" s="15">
        <f t="array" ref="I64">INDEX(CC!C:C,MATCH(1,(CC!A:A=H64)*(CC!B:B=J64),0))</f>
        <v>1502</v>
      </c>
      <c r="J64" s="7" t="s">
        <v>25</v>
      </c>
      <c r="K64" s="7">
        <v>35.0</v>
      </c>
    </row>
    <row r="65">
      <c r="A65" s="5"/>
      <c r="B65" s="5"/>
      <c r="C65" s="7" t="s">
        <v>306</v>
      </c>
      <c r="D65" s="7" t="s">
        <v>137</v>
      </c>
      <c r="E65" s="9">
        <v>2590.33</v>
      </c>
      <c r="F65" s="7">
        <v>0.0</v>
      </c>
      <c r="G65" s="7" t="s">
        <v>556</v>
      </c>
      <c r="H65" s="7" t="s">
        <v>74</v>
      </c>
      <c r="I65" s="15">
        <f t="array" ref="I65">INDEX(CC!C:C,MATCH(1,(CC!A:A=H65)*(CC!B:B=J65),0))</f>
        <v>1502</v>
      </c>
      <c r="J65" s="7" t="s">
        <v>25</v>
      </c>
      <c r="K65" s="9">
        <v>2590.33</v>
      </c>
    </row>
    <row r="66">
      <c r="A66" s="5"/>
      <c r="B66" s="7" t="s">
        <v>29</v>
      </c>
      <c r="C66" s="7" t="s">
        <v>168</v>
      </c>
      <c r="D66" s="7" t="s">
        <v>307</v>
      </c>
      <c r="E66" s="9">
        <v>1800.0</v>
      </c>
      <c r="F66" s="7">
        <v>0.0</v>
      </c>
      <c r="G66" s="7" t="s">
        <v>170</v>
      </c>
      <c r="H66" s="7" t="s">
        <v>74</v>
      </c>
      <c r="I66" s="15">
        <f t="array" ref="I66">INDEX(CC!C:C,MATCH(1,(CC!A:A=H66)*(CC!B:B=J66),0))</f>
        <v>1502</v>
      </c>
      <c r="J66" s="7" t="s">
        <v>25</v>
      </c>
      <c r="K66" s="9">
        <v>1800.0</v>
      </c>
    </row>
    <row r="67">
      <c r="A67" s="5"/>
      <c r="B67" s="5"/>
      <c r="C67" s="7" t="s">
        <v>168</v>
      </c>
      <c r="D67" s="7" t="s">
        <v>82</v>
      </c>
      <c r="E67" s="7">
        <v>350.0</v>
      </c>
      <c r="F67" s="7">
        <v>0.0</v>
      </c>
      <c r="G67" s="7" t="s">
        <v>170</v>
      </c>
      <c r="H67" s="7" t="s">
        <v>74</v>
      </c>
      <c r="I67" s="15">
        <f t="array" ref="I67">INDEX(CC!C:C,MATCH(1,(CC!A:A=H67)*(CC!B:B=J67),0))</f>
        <v>1502</v>
      </c>
      <c r="J67" s="7" t="s">
        <v>25</v>
      </c>
      <c r="K67" s="7">
        <v>350.0</v>
      </c>
    </row>
    <row r="68">
      <c r="A68" s="5"/>
      <c r="B68" s="5"/>
      <c r="C68" s="7" t="s">
        <v>168</v>
      </c>
      <c r="D68" s="7" t="s">
        <v>199</v>
      </c>
      <c r="E68" s="9">
        <v>5099.61</v>
      </c>
      <c r="F68" s="7">
        <v>0.0</v>
      </c>
      <c r="G68" s="7" t="s">
        <v>170</v>
      </c>
      <c r="H68" s="7" t="s">
        <v>74</v>
      </c>
      <c r="I68" s="15">
        <f t="array" ref="I68">INDEX(CC!C:C,MATCH(1,(CC!A:A=H68)*(CC!B:B=J68),0))</f>
        <v>1502</v>
      </c>
      <c r="J68" s="7" t="s">
        <v>25</v>
      </c>
      <c r="K68" s="9">
        <v>5099.61</v>
      </c>
    </row>
    <row r="69">
      <c r="A69" s="5"/>
      <c r="B69" s="5"/>
      <c r="C69" s="7" t="s">
        <v>168</v>
      </c>
      <c r="D69" s="7" t="s">
        <v>126</v>
      </c>
      <c r="E69" s="7">
        <v>35.0</v>
      </c>
      <c r="F69" s="7">
        <v>0.0</v>
      </c>
      <c r="G69" s="7" t="s">
        <v>170</v>
      </c>
      <c r="H69" s="7" t="s">
        <v>74</v>
      </c>
      <c r="I69" s="15">
        <f t="array" ref="I69">INDEX(CC!C:C,MATCH(1,(CC!A:A=H69)*(CC!B:B=J69),0))</f>
        <v>1502</v>
      </c>
      <c r="J69" s="7" t="s">
        <v>25</v>
      </c>
      <c r="K69" s="7">
        <v>35.0</v>
      </c>
    </row>
    <row r="70">
      <c r="A70" s="5"/>
      <c r="B70" s="5"/>
      <c r="C70" s="7" t="s">
        <v>168</v>
      </c>
      <c r="D70" s="7" t="s">
        <v>137</v>
      </c>
      <c r="E70" s="9">
        <v>3300.0</v>
      </c>
      <c r="F70" s="7">
        <v>0.0</v>
      </c>
      <c r="G70" s="7" t="s">
        <v>170</v>
      </c>
      <c r="H70" s="7" t="s">
        <v>74</v>
      </c>
      <c r="I70" s="15">
        <f t="array" ref="I70">INDEX(CC!C:C,MATCH(1,(CC!A:A=H70)*(CC!B:B=J70),0))</f>
        <v>1502</v>
      </c>
      <c r="J70" s="7" t="s">
        <v>25</v>
      </c>
      <c r="K70" s="9">
        <v>3300.0</v>
      </c>
    </row>
    <row r="71">
      <c r="A71" s="5"/>
      <c r="B71" s="7" t="s">
        <v>29</v>
      </c>
      <c r="C71" s="7" t="s">
        <v>537</v>
      </c>
      <c r="D71" s="7" t="s">
        <v>82</v>
      </c>
      <c r="E71" s="7">
        <v>261.66</v>
      </c>
      <c r="F71" s="7">
        <v>0.0</v>
      </c>
      <c r="G71" s="7" t="s">
        <v>538</v>
      </c>
      <c r="H71" s="7" t="s">
        <v>539</v>
      </c>
      <c r="I71" s="15">
        <f t="array" ref="I71">INDEX(CC!C:C,MATCH(1,(CC!A:A=H71)*(CC!B:B=J71),0))</f>
        <v>1302</v>
      </c>
      <c r="J71" s="7" t="s">
        <v>25</v>
      </c>
      <c r="K71" s="7">
        <v>261.66</v>
      </c>
    </row>
    <row r="72">
      <c r="A72" s="5"/>
      <c r="B72" s="5"/>
      <c r="C72" s="7" t="s">
        <v>537</v>
      </c>
      <c r="D72" s="7" t="s">
        <v>199</v>
      </c>
      <c r="E72" s="9">
        <v>1977.13</v>
      </c>
      <c r="F72" s="7">
        <v>0.0</v>
      </c>
      <c r="G72" s="7" t="s">
        <v>538</v>
      </c>
      <c r="H72" s="7" t="s">
        <v>539</v>
      </c>
      <c r="I72" s="15">
        <f t="array" ref="I72">INDEX(CC!C:C,MATCH(1,(CC!A:A=H72)*(CC!B:B=J72),0))</f>
        <v>1302</v>
      </c>
      <c r="J72" s="7" t="s">
        <v>25</v>
      </c>
      <c r="K72" s="9">
        <v>1977.13</v>
      </c>
    </row>
    <row r="73">
      <c r="A73" s="5"/>
      <c r="B73" s="5"/>
      <c r="C73" s="7" t="s">
        <v>537</v>
      </c>
      <c r="D73" s="7" t="s">
        <v>104</v>
      </c>
      <c r="E73" s="9">
        <v>2500.0</v>
      </c>
      <c r="F73" s="7">
        <v>0.0</v>
      </c>
      <c r="G73" s="7" t="s">
        <v>538</v>
      </c>
      <c r="H73" s="7" t="s">
        <v>539</v>
      </c>
      <c r="I73" s="15">
        <f t="array" ref="I73">INDEX(CC!C:C,MATCH(1,(CC!A:A=H73)*(CC!B:B=J73),0))</f>
        <v>1302</v>
      </c>
      <c r="J73" s="7" t="s">
        <v>25</v>
      </c>
      <c r="K73" s="9">
        <v>2500.0</v>
      </c>
    </row>
    <row r="74">
      <c r="A74" s="5"/>
      <c r="B74" s="5"/>
      <c r="C74" s="7" t="s">
        <v>537</v>
      </c>
      <c r="D74" s="7" t="s">
        <v>565</v>
      </c>
      <c r="E74" s="9">
        <v>5843.74</v>
      </c>
      <c r="F74" s="7">
        <v>0.0</v>
      </c>
      <c r="G74" s="7" t="s">
        <v>538</v>
      </c>
      <c r="H74" s="7" t="s">
        <v>539</v>
      </c>
      <c r="I74" s="15">
        <f t="array" ref="I74">INDEX(CC!C:C,MATCH(1,(CC!A:A=H74)*(CC!B:B=J74),0))</f>
        <v>1302</v>
      </c>
      <c r="J74" s="7" t="s">
        <v>25</v>
      </c>
      <c r="K74" s="9">
        <v>5843.74</v>
      </c>
    </row>
    <row r="75">
      <c r="A75" s="5"/>
      <c r="B75" s="5"/>
      <c r="C75" s="7" t="s">
        <v>537</v>
      </c>
      <c r="D75" s="7" t="s">
        <v>566</v>
      </c>
      <c r="E75" s="7">
        <v>523.32</v>
      </c>
      <c r="F75" s="7">
        <v>0.0</v>
      </c>
      <c r="G75" s="7" t="s">
        <v>538</v>
      </c>
      <c r="H75" s="7" t="s">
        <v>539</v>
      </c>
      <c r="I75" s="15">
        <f t="array" ref="I75">INDEX(CC!C:C,MATCH(1,(CC!A:A=H75)*(CC!B:B=J75),0))</f>
        <v>1302</v>
      </c>
      <c r="J75" s="7" t="s">
        <v>25</v>
      </c>
      <c r="K75" s="7">
        <v>523.32</v>
      </c>
    </row>
    <row r="76">
      <c r="A76" s="5"/>
      <c r="B76" s="5"/>
      <c r="C76" s="7" t="s">
        <v>537</v>
      </c>
      <c r="D76" s="7" t="s">
        <v>567</v>
      </c>
      <c r="E76" s="9">
        <v>2714.98</v>
      </c>
      <c r="F76" s="7">
        <v>0.0</v>
      </c>
      <c r="G76" s="7" t="s">
        <v>538</v>
      </c>
      <c r="H76" s="7" t="s">
        <v>539</v>
      </c>
      <c r="I76" s="15">
        <f t="array" ref="I76">INDEX(CC!C:C,MATCH(1,(CC!A:A=H76)*(CC!B:B=J76),0))</f>
        <v>1302</v>
      </c>
      <c r="J76" s="7" t="s">
        <v>25</v>
      </c>
      <c r="K76" s="9">
        <v>2714.98</v>
      </c>
    </row>
    <row r="77">
      <c r="A77" s="5"/>
      <c r="B77" s="5"/>
      <c r="C77" s="7" t="s">
        <v>537</v>
      </c>
      <c r="D77" s="7" t="s">
        <v>126</v>
      </c>
      <c r="E77" s="7">
        <v>35.0</v>
      </c>
      <c r="F77" s="7">
        <v>0.0</v>
      </c>
      <c r="G77" s="7" t="s">
        <v>538</v>
      </c>
      <c r="H77" s="7" t="s">
        <v>539</v>
      </c>
      <c r="I77" s="15">
        <f t="array" ref="I77">INDEX(CC!C:C,MATCH(1,(CC!A:A=H77)*(CC!B:B=J77),0))</f>
        <v>1302</v>
      </c>
      <c r="J77" s="7" t="s">
        <v>25</v>
      </c>
      <c r="K77" s="7">
        <v>35.0</v>
      </c>
    </row>
    <row r="78">
      <c r="A78" s="5"/>
      <c r="B78" s="5"/>
      <c r="C78" s="7" t="s">
        <v>537</v>
      </c>
      <c r="D78" s="7" t="s">
        <v>137</v>
      </c>
      <c r="E78" s="9">
        <v>2286.21</v>
      </c>
      <c r="F78" s="7">
        <v>0.0</v>
      </c>
      <c r="G78" s="7" t="s">
        <v>538</v>
      </c>
      <c r="H78" s="7" t="s">
        <v>539</v>
      </c>
      <c r="I78" s="15">
        <f t="array" ref="I78">INDEX(CC!C:C,MATCH(1,(CC!A:A=H78)*(CC!B:B=J78),0))</f>
        <v>1302</v>
      </c>
      <c r="J78" s="7" t="s">
        <v>25</v>
      </c>
      <c r="K78" s="9">
        <v>2286.21</v>
      </c>
    </row>
    <row r="79">
      <c r="A79" s="5"/>
      <c r="B79" s="7" t="s">
        <v>29</v>
      </c>
      <c r="C79" s="7" t="s">
        <v>32</v>
      </c>
      <c r="D79" s="7" t="s">
        <v>307</v>
      </c>
      <c r="E79" s="7">
        <v>945.65</v>
      </c>
      <c r="F79" s="7">
        <v>0.0</v>
      </c>
      <c r="G79" s="7" t="s">
        <v>39</v>
      </c>
      <c r="H79" s="7" t="s">
        <v>74</v>
      </c>
      <c r="I79" s="15">
        <f t="array" ref="I79">INDEX(CC!C:C,MATCH(1,(CC!A:A=H79)*(CC!B:B=J79),0))</f>
        <v>1502</v>
      </c>
      <c r="J79" s="7" t="s">
        <v>25</v>
      </c>
      <c r="K79" s="7">
        <v>945.65</v>
      </c>
    </row>
    <row r="80">
      <c r="A80" s="5"/>
      <c r="B80" s="5"/>
      <c r="C80" s="7" t="s">
        <v>32</v>
      </c>
      <c r="D80" s="7" t="s">
        <v>82</v>
      </c>
      <c r="E80" s="7">
        <v>362.91</v>
      </c>
      <c r="F80" s="7">
        <v>0.0</v>
      </c>
      <c r="G80" s="7" t="s">
        <v>39</v>
      </c>
      <c r="H80" s="7" t="s">
        <v>74</v>
      </c>
      <c r="I80" s="15">
        <f t="array" ref="I80">INDEX(CC!C:C,MATCH(1,(CC!A:A=H80)*(CC!B:B=J80),0))</f>
        <v>1502</v>
      </c>
      <c r="J80" s="7" t="s">
        <v>25</v>
      </c>
      <c r="K80" s="7">
        <v>362.91</v>
      </c>
    </row>
    <row r="81">
      <c r="A81" s="5"/>
      <c r="B81" s="5"/>
      <c r="C81" s="7" t="s">
        <v>32</v>
      </c>
      <c r="D81" s="7" t="s">
        <v>199</v>
      </c>
      <c r="E81" s="9">
        <v>1536.68</v>
      </c>
      <c r="F81" s="7">
        <v>0.0</v>
      </c>
      <c r="G81" s="7" t="s">
        <v>39</v>
      </c>
      <c r="H81" s="7" t="s">
        <v>74</v>
      </c>
      <c r="I81" s="15">
        <f t="array" ref="I81">INDEX(CC!C:C,MATCH(1,(CC!A:A=H81)*(CC!B:B=J81),0))</f>
        <v>1502</v>
      </c>
      <c r="J81" s="7" t="s">
        <v>25</v>
      </c>
      <c r="K81" s="9">
        <v>1536.68</v>
      </c>
    </row>
    <row r="82">
      <c r="A82" s="5"/>
      <c r="B82" s="5"/>
      <c r="C82" s="7" t="s">
        <v>32</v>
      </c>
      <c r="D82" s="7" t="s">
        <v>104</v>
      </c>
      <c r="E82" s="9">
        <v>1500.0</v>
      </c>
      <c r="F82" s="7">
        <v>0.0</v>
      </c>
      <c r="G82" s="7" t="s">
        <v>39</v>
      </c>
      <c r="H82" s="7" t="s">
        <v>74</v>
      </c>
      <c r="I82" s="15">
        <f t="array" ref="I82">INDEX(CC!C:C,MATCH(1,(CC!A:A=H82)*(CC!B:B=J82),0))</f>
        <v>1502</v>
      </c>
      <c r="J82" s="7" t="s">
        <v>25</v>
      </c>
      <c r="K82" s="9">
        <v>1500.0</v>
      </c>
    </row>
    <row r="83">
      <c r="A83" s="5"/>
      <c r="B83" s="5"/>
      <c r="C83" s="7" t="s">
        <v>32</v>
      </c>
      <c r="D83" s="7" t="s">
        <v>112</v>
      </c>
      <c r="E83" s="9">
        <v>8146.4</v>
      </c>
      <c r="F83" s="7">
        <v>0.0</v>
      </c>
      <c r="G83" s="7" t="s">
        <v>39</v>
      </c>
      <c r="H83" s="7" t="s">
        <v>74</v>
      </c>
      <c r="I83" s="15">
        <f t="array" ref="I83">INDEX(CC!C:C,MATCH(1,(CC!A:A=H83)*(CC!B:B=J83),0))</f>
        <v>1503</v>
      </c>
      <c r="J83" s="7" t="s">
        <v>44</v>
      </c>
      <c r="K83" s="9">
        <v>8146.4</v>
      </c>
    </row>
    <row r="84">
      <c r="A84" s="5"/>
      <c r="B84" s="5"/>
      <c r="C84" s="7" t="s">
        <v>32</v>
      </c>
      <c r="D84" s="7" t="s">
        <v>126</v>
      </c>
      <c r="E84" s="7">
        <v>36.29</v>
      </c>
      <c r="F84" s="7">
        <v>0.0</v>
      </c>
      <c r="G84" s="7" t="s">
        <v>39</v>
      </c>
      <c r="H84" s="7" t="s">
        <v>74</v>
      </c>
      <c r="I84" s="15">
        <f t="array" ref="I84">INDEX(CC!C:C,MATCH(1,(CC!A:A=H84)*(CC!B:B=J84),0))</f>
        <v>1502</v>
      </c>
      <c r="J84" s="7" t="s">
        <v>25</v>
      </c>
      <c r="K84" s="7">
        <v>36.29</v>
      </c>
    </row>
    <row r="85">
      <c r="A85" s="5"/>
      <c r="B85" s="5"/>
      <c r="C85" s="7" t="s">
        <v>32</v>
      </c>
      <c r="D85" s="7" t="s">
        <v>137</v>
      </c>
      <c r="E85" s="9">
        <v>1037.5</v>
      </c>
      <c r="F85" s="7">
        <v>0.0</v>
      </c>
      <c r="G85" s="7" t="s">
        <v>39</v>
      </c>
      <c r="H85" s="7" t="s">
        <v>74</v>
      </c>
      <c r="I85" s="15">
        <f t="array" ref="I85">INDEX(CC!C:C,MATCH(1,(CC!A:A=H85)*(CC!B:B=J85),0))</f>
        <v>1502</v>
      </c>
      <c r="J85" s="7" t="s">
        <v>25</v>
      </c>
      <c r="K85" s="9">
        <v>1037.5</v>
      </c>
    </row>
    <row r="86">
      <c r="A86" s="34"/>
      <c r="B86" s="35" t="s">
        <v>29</v>
      </c>
      <c r="C86" s="35" t="s">
        <v>578</v>
      </c>
      <c r="D86" s="35" t="s">
        <v>579</v>
      </c>
      <c r="E86" s="36">
        <v>73027.72</v>
      </c>
      <c r="F86" s="35">
        <v>0.0</v>
      </c>
      <c r="G86" s="35" t="s">
        <v>580</v>
      </c>
      <c r="H86" s="35" t="s">
        <v>581</v>
      </c>
      <c r="I86" s="15">
        <f t="array" ref="I86">INDEX(CC!C:C,MATCH(1,(CC!A:A=H86)*(CC!B:B=J86),0))</f>
        <v>202</v>
      </c>
      <c r="J86" s="35" t="s">
        <v>25</v>
      </c>
      <c r="K86" s="36">
        <v>73027.72</v>
      </c>
    </row>
    <row r="87">
      <c r="A87" s="34"/>
      <c r="B87" s="34"/>
      <c r="C87" s="35" t="s">
        <v>578</v>
      </c>
      <c r="D87" s="35" t="s">
        <v>579</v>
      </c>
      <c r="E87" s="37"/>
      <c r="F87" s="34"/>
      <c r="G87" s="35" t="s">
        <v>580</v>
      </c>
      <c r="H87" s="35" t="s">
        <v>581</v>
      </c>
      <c r="I87" s="15">
        <f t="array" ref="I87">INDEX(CC!C:C,MATCH(1,(CC!A:A=H87)*(CC!B:B=J87),0))</f>
        <v>202</v>
      </c>
      <c r="J87" s="35" t="s">
        <v>25</v>
      </c>
      <c r="K87" s="37"/>
    </row>
    <row r="88">
      <c r="A88" s="5"/>
      <c r="B88" s="7" t="s">
        <v>29</v>
      </c>
      <c r="C88" s="7" t="s">
        <v>583</v>
      </c>
      <c r="D88" s="7" t="s">
        <v>307</v>
      </c>
      <c r="E88" s="9">
        <v>1800.0</v>
      </c>
      <c r="F88" s="7">
        <v>0.0</v>
      </c>
      <c r="G88" s="7" t="s">
        <v>584</v>
      </c>
      <c r="H88" s="7" t="s">
        <v>55</v>
      </c>
      <c r="I88" s="15">
        <f t="array" ref="I88">INDEX(CC!C:C,MATCH(1,(CC!A:A=H88)*(CC!B:B=J88),0))</f>
        <v>902</v>
      </c>
      <c r="J88" s="7" t="s">
        <v>25</v>
      </c>
      <c r="K88" s="9">
        <v>1800.0</v>
      </c>
    </row>
    <row r="89">
      <c r="A89" s="5"/>
      <c r="B89" s="5"/>
      <c r="C89" s="7" t="s">
        <v>583</v>
      </c>
      <c r="D89" s="7" t="s">
        <v>82</v>
      </c>
      <c r="E89" s="7">
        <v>350.0</v>
      </c>
      <c r="F89" s="7">
        <v>0.0</v>
      </c>
      <c r="G89" s="7" t="s">
        <v>584</v>
      </c>
      <c r="H89" s="7" t="s">
        <v>55</v>
      </c>
      <c r="I89" s="15">
        <f t="array" ref="I89">INDEX(CC!C:C,MATCH(1,(CC!A:A=H89)*(CC!B:B=J89),0))</f>
        <v>902</v>
      </c>
      <c r="J89" s="7" t="s">
        <v>25</v>
      </c>
      <c r="K89" s="7">
        <v>350.0</v>
      </c>
    </row>
    <row r="90">
      <c r="A90" s="5"/>
      <c r="B90" s="5"/>
      <c r="C90" s="7" t="s">
        <v>583</v>
      </c>
      <c r="D90" s="7" t="s">
        <v>199</v>
      </c>
      <c r="E90" s="9">
        <v>1800.0</v>
      </c>
      <c r="F90" s="7">
        <v>0.0</v>
      </c>
      <c r="G90" s="7" t="s">
        <v>584</v>
      </c>
      <c r="H90" s="7" t="s">
        <v>55</v>
      </c>
      <c r="I90" s="15">
        <f t="array" ref="I90">INDEX(CC!C:C,MATCH(1,(CC!A:A=H90)*(CC!B:B=J90),0))</f>
        <v>902</v>
      </c>
      <c r="J90" s="7" t="s">
        <v>25</v>
      </c>
      <c r="K90" s="9">
        <v>1800.0</v>
      </c>
    </row>
    <row r="91">
      <c r="A91" s="5"/>
      <c r="B91" s="5"/>
      <c r="C91" s="7" t="s">
        <v>583</v>
      </c>
      <c r="D91" s="7" t="s">
        <v>126</v>
      </c>
      <c r="E91" s="7">
        <v>35.0</v>
      </c>
      <c r="F91" s="7">
        <v>0.0</v>
      </c>
      <c r="G91" s="7" t="s">
        <v>584</v>
      </c>
      <c r="H91" s="7" t="s">
        <v>55</v>
      </c>
      <c r="I91" s="15">
        <f t="array" ref="I91">INDEX(CC!C:C,MATCH(1,(CC!A:A=H91)*(CC!B:B=J91),0))</f>
        <v>902</v>
      </c>
      <c r="J91" s="7" t="s">
        <v>25</v>
      </c>
      <c r="K91" s="7">
        <v>35.0</v>
      </c>
    </row>
    <row r="92">
      <c r="A92" s="5"/>
      <c r="B92" s="5"/>
      <c r="C92" s="7" t="s">
        <v>583</v>
      </c>
      <c r="D92" s="7" t="s">
        <v>137</v>
      </c>
      <c r="E92" s="9">
        <v>3300.0</v>
      </c>
      <c r="F92" s="7">
        <v>0.0</v>
      </c>
      <c r="G92" s="7" t="s">
        <v>584</v>
      </c>
      <c r="H92" s="7" t="s">
        <v>55</v>
      </c>
      <c r="I92" s="15">
        <f t="array" ref="I92">INDEX(CC!C:C,MATCH(1,(CC!A:A=H92)*(CC!B:B=J92),0))</f>
        <v>902</v>
      </c>
      <c r="J92" s="7" t="s">
        <v>25</v>
      </c>
      <c r="K92" s="9">
        <v>3300.0</v>
      </c>
    </row>
    <row r="93">
      <c r="A93" s="5"/>
      <c r="B93" s="7" t="s">
        <v>29</v>
      </c>
      <c r="C93" s="7" t="s">
        <v>331</v>
      </c>
      <c r="D93" s="7" t="s">
        <v>33</v>
      </c>
      <c r="E93" s="7">
        <v>0.01</v>
      </c>
      <c r="F93" s="7">
        <v>0.0</v>
      </c>
      <c r="G93" s="7" t="s">
        <v>588</v>
      </c>
      <c r="H93" s="7" t="s">
        <v>385</v>
      </c>
      <c r="I93" s="15">
        <f t="array" ref="I93">INDEX(CC!C:C,MATCH(1,(CC!A:A=H93)*(CC!B:B=J93),0))</f>
        <v>502</v>
      </c>
      <c r="J93" s="7" t="s">
        <v>25</v>
      </c>
      <c r="K93" s="7">
        <v>0.01</v>
      </c>
    </row>
    <row r="94">
      <c r="A94" s="5"/>
      <c r="B94" s="7" t="s">
        <v>29</v>
      </c>
      <c r="C94" s="7" t="s">
        <v>590</v>
      </c>
      <c r="D94" s="7" t="s">
        <v>591</v>
      </c>
      <c r="E94" s="9">
        <v>3000.0</v>
      </c>
      <c r="F94" s="7">
        <v>0.0</v>
      </c>
      <c r="G94" s="7" t="s">
        <v>592</v>
      </c>
      <c r="H94" s="7" t="s">
        <v>74</v>
      </c>
      <c r="I94" s="15">
        <f t="array" ref="I94">INDEX(CC!C:C,MATCH(1,(CC!A:A=H94)*(CC!B:B=J94),0))</f>
        <v>1502</v>
      </c>
      <c r="J94" s="7" t="s">
        <v>25</v>
      </c>
      <c r="K94" s="9">
        <v>3000.0</v>
      </c>
    </row>
    <row r="95">
      <c r="A95" s="5"/>
      <c r="B95" s="5"/>
      <c r="C95" s="7" t="s">
        <v>590</v>
      </c>
      <c r="D95" s="7" t="s">
        <v>594</v>
      </c>
      <c r="E95" s="9">
        <v>26000.0</v>
      </c>
      <c r="F95" s="7">
        <v>0.0</v>
      </c>
      <c r="G95" s="7" t="s">
        <v>592</v>
      </c>
      <c r="H95" s="7" t="s">
        <v>74</v>
      </c>
      <c r="I95" s="15">
        <f t="array" ref="I95">INDEX(CC!C:C,MATCH(1,(CC!A:A=H95)*(CC!B:B=J95),0))</f>
        <v>1502</v>
      </c>
      <c r="J95" s="7" t="s">
        <v>25</v>
      </c>
      <c r="K95" s="9">
        <v>26000.0</v>
      </c>
    </row>
    <row r="96">
      <c r="A96" s="5"/>
      <c r="B96" s="7" t="s">
        <v>29</v>
      </c>
      <c r="C96" s="7" t="s">
        <v>537</v>
      </c>
      <c r="D96" s="7" t="s">
        <v>307</v>
      </c>
      <c r="E96" s="9">
        <v>1695.33</v>
      </c>
      <c r="F96" s="7">
        <v>0.0</v>
      </c>
      <c r="G96" s="7" t="s">
        <v>595</v>
      </c>
      <c r="H96" s="7" t="s">
        <v>74</v>
      </c>
      <c r="I96" s="15">
        <f t="array" ref="I96">INDEX(CC!C:C,MATCH(1,(CC!A:A=H96)*(CC!B:B=J96),0))</f>
        <v>1502</v>
      </c>
      <c r="J96" s="7" t="s">
        <v>25</v>
      </c>
      <c r="K96" s="9">
        <v>1695.33</v>
      </c>
    </row>
    <row r="97">
      <c r="A97" s="5"/>
      <c r="B97" s="5"/>
      <c r="C97" s="7" t="s">
        <v>537</v>
      </c>
      <c r="D97" s="7" t="s">
        <v>82</v>
      </c>
      <c r="E97" s="7">
        <v>326.62</v>
      </c>
      <c r="F97" s="7">
        <v>0.0</v>
      </c>
      <c r="G97" s="7" t="s">
        <v>595</v>
      </c>
      <c r="H97" s="7" t="s">
        <v>74</v>
      </c>
      <c r="I97" s="15">
        <f t="array" ref="I97">INDEX(CC!C:C,MATCH(1,(CC!A:A=H97)*(CC!B:B=J97),0))</f>
        <v>1502</v>
      </c>
      <c r="J97" s="7" t="s">
        <v>25</v>
      </c>
      <c r="K97" s="7">
        <v>326.62</v>
      </c>
    </row>
    <row r="98">
      <c r="A98" s="5"/>
      <c r="B98" s="5"/>
      <c r="C98" s="7" t="s">
        <v>537</v>
      </c>
      <c r="D98" s="7" t="s">
        <v>199</v>
      </c>
      <c r="E98" s="9">
        <v>5749.57</v>
      </c>
      <c r="F98" s="7">
        <v>0.0</v>
      </c>
      <c r="G98" s="7" t="s">
        <v>595</v>
      </c>
      <c r="H98" s="7" t="s">
        <v>74</v>
      </c>
      <c r="I98" s="15">
        <f t="array" ref="I98">INDEX(CC!C:C,MATCH(1,(CC!A:A=H98)*(CC!B:B=J98),0))</f>
        <v>1502</v>
      </c>
      <c r="J98" s="7" t="s">
        <v>25</v>
      </c>
      <c r="K98" s="9">
        <v>5749.57</v>
      </c>
    </row>
    <row r="99">
      <c r="A99" s="5"/>
      <c r="B99" s="5"/>
      <c r="C99" s="7" t="s">
        <v>537</v>
      </c>
      <c r="D99" s="7" t="s">
        <v>104</v>
      </c>
      <c r="E99" s="9">
        <v>2500.0</v>
      </c>
      <c r="F99" s="7">
        <v>0.0</v>
      </c>
      <c r="G99" s="7" t="s">
        <v>595</v>
      </c>
      <c r="H99" s="7" t="s">
        <v>74</v>
      </c>
      <c r="I99" s="15">
        <f t="array" ref="I99">INDEX(CC!C:C,MATCH(1,(CC!A:A=H99)*(CC!B:B=J99),0))</f>
        <v>1502</v>
      </c>
      <c r="J99" s="7" t="s">
        <v>25</v>
      </c>
      <c r="K99" s="9">
        <v>2500.0</v>
      </c>
    </row>
    <row r="100">
      <c r="A100" s="5"/>
      <c r="B100" s="5"/>
      <c r="C100" s="7" t="s">
        <v>537</v>
      </c>
      <c r="D100" s="7" t="s">
        <v>126</v>
      </c>
      <c r="E100" s="7">
        <v>35.0</v>
      </c>
      <c r="F100" s="7">
        <v>0.0</v>
      </c>
      <c r="G100" s="7" t="s">
        <v>595</v>
      </c>
      <c r="H100" s="7" t="s">
        <v>74</v>
      </c>
      <c r="I100" s="15">
        <f t="array" ref="I100">INDEX(CC!C:C,MATCH(1,(CC!A:A=H100)*(CC!B:B=J100),0))</f>
        <v>1502</v>
      </c>
      <c r="J100" s="7" t="s">
        <v>25</v>
      </c>
      <c r="K100" s="7">
        <v>35.0</v>
      </c>
    </row>
    <row r="101">
      <c r="A101" s="5"/>
      <c r="B101" s="5"/>
      <c r="C101" s="7" t="s">
        <v>537</v>
      </c>
      <c r="D101" s="7" t="s">
        <v>137</v>
      </c>
      <c r="E101" s="9">
        <v>3018.52</v>
      </c>
      <c r="F101" s="7">
        <v>0.0</v>
      </c>
      <c r="G101" s="7" t="s">
        <v>595</v>
      </c>
      <c r="H101" s="7" t="s">
        <v>74</v>
      </c>
      <c r="I101" s="15">
        <f t="array" ref="I101">INDEX(CC!C:C,MATCH(1,(CC!A:A=H101)*(CC!B:B=J101),0))</f>
        <v>1502</v>
      </c>
      <c r="J101" s="7" t="s">
        <v>25</v>
      </c>
      <c r="K101" s="9">
        <v>3018.52</v>
      </c>
    </row>
    <row r="102">
      <c r="A102" s="5"/>
      <c r="B102" s="7" t="s">
        <v>29</v>
      </c>
      <c r="C102" s="7" t="s">
        <v>331</v>
      </c>
      <c r="D102" s="7" t="s">
        <v>33</v>
      </c>
      <c r="E102" s="7">
        <v>0.01</v>
      </c>
      <c r="F102" s="7">
        <v>0.0</v>
      </c>
      <c r="G102" s="7" t="s">
        <v>598</v>
      </c>
      <c r="H102" s="7" t="s">
        <v>385</v>
      </c>
      <c r="I102" s="15">
        <f t="array" ref="I102">INDEX(CC!C:C,MATCH(1,(CC!A:A=H102)*(CC!B:B=J102),0))</f>
        <v>502</v>
      </c>
      <c r="J102" s="7" t="s">
        <v>25</v>
      </c>
      <c r="K102" s="7">
        <v>0.01</v>
      </c>
    </row>
    <row r="103">
      <c r="A103" s="5"/>
      <c r="B103" s="7" t="s">
        <v>29</v>
      </c>
      <c r="C103" s="7" t="s">
        <v>599</v>
      </c>
      <c r="D103" s="7" t="s">
        <v>112</v>
      </c>
      <c r="E103" s="9">
        <v>2500.0</v>
      </c>
      <c r="F103" s="7">
        <v>0.0</v>
      </c>
      <c r="G103" s="7" t="s">
        <v>600</v>
      </c>
      <c r="H103" s="7" t="s">
        <v>84</v>
      </c>
      <c r="I103" s="15">
        <f t="array" ref="I103">INDEX(CC!C:C,MATCH(1,(CC!A:A=H103)*(CC!B:B=J103),0))</f>
        <v>1002</v>
      </c>
      <c r="J103" s="7" t="s">
        <v>25</v>
      </c>
      <c r="K103" s="9">
        <v>2500.0</v>
      </c>
    </row>
    <row r="104">
      <c r="A104" s="5"/>
      <c r="B104" s="5"/>
      <c r="C104" s="7" t="s">
        <v>599</v>
      </c>
      <c r="D104" s="7" t="s">
        <v>137</v>
      </c>
      <c r="E104" s="9">
        <v>83948.44</v>
      </c>
      <c r="F104" s="7">
        <v>0.0</v>
      </c>
      <c r="G104" s="7" t="s">
        <v>600</v>
      </c>
      <c r="H104" s="7" t="s">
        <v>84</v>
      </c>
      <c r="I104" s="15">
        <f t="array" ref="I104">INDEX(CC!C:C,MATCH(1,(CC!A:A=H104)*(CC!B:B=J104),0))</f>
        <v>1002</v>
      </c>
      <c r="J104" s="7" t="s">
        <v>25</v>
      </c>
      <c r="K104" s="9">
        <v>83948.44</v>
      </c>
    </row>
    <row r="105">
      <c r="A105" s="5"/>
      <c r="B105" s="7" t="s">
        <v>29</v>
      </c>
      <c r="C105" s="7" t="s">
        <v>602</v>
      </c>
      <c r="D105" s="7" t="s">
        <v>112</v>
      </c>
      <c r="E105" s="9">
        <v>3175.86</v>
      </c>
      <c r="F105" s="7">
        <v>0.0</v>
      </c>
      <c r="G105" s="7" t="s">
        <v>603</v>
      </c>
      <c r="H105" s="7" t="s">
        <v>84</v>
      </c>
      <c r="I105" s="15">
        <f t="array" ref="I105">INDEX(CC!C:C,MATCH(1,(CC!A:A=H105)*(CC!B:B=J105),0))</f>
        <v>1002</v>
      </c>
      <c r="J105" s="7" t="s">
        <v>25</v>
      </c>
      <c r="K105" s="9">
        <v>3175.86</v>
      </c>
    </row>
    <row r="106">
      <c r="A106" s="5"/>
      <c r="B106" s="5"/>
      <c r="C106" s="7" t="s">
        <v>602</v>
      </c>
      <c r="D106" s="7" t="s">
        <v>137</v>
      </c>
      <c r="E106" s="9">
        <v>3548.12</v>
      </c>
      <c r="F106" s="7">
        <v>0.0</v>
      </c>
      <c r="G106" s="7" t="s">
        <v>603</v>
      </c>
      <c r="H106" s="7" t="s">
        <v>84</v>
      </c>
      <c r="I106" s="15">
        <f t="array" ref="I106">INDEX(CC!C:C,MATCH(1,(CC!A:A=H106)*(CC!B:B=J106),0))</f>
        <v>1002</v>
      </c>
      <c r="J106" s="7" t="s">
        <v>25</v>
      </c>
      <c r="K106" s="9">
        <v>3548.12</v>
      </c>
    </row>
    <row r="107">
      <c r="A107" s="5"/>
      <c r="B107" s="7" t="s">
        <v>29</v>
      </c>
      <c r="C107" s="7" t="s">
        <v>618</v>
      </c>
      <c r="D107" s="7" t="s">
        <v>307</v>
      </c>
      <c r="E107" s="9">
        <v>1555.35</v>
      </c>
      <c r="F107" s="7">
        <v>0.0</v>
      </c>
      <c r="G107" s="7" t="s">
        <v>619</v>
      </c>
      <c r="H107" s="7" t="s">
        <v>619</v>
      </c>
      <c r="I107" s="15" t="str">
        <f t="array" ref="I107">INDEX(CC!C:C,MATCH(1,(CC!A:A=H107)*(CC!B:B=J107),0))</f>
        <v>#N/A</v>
      </c>
      <c r="J107" s="7" t="s">
        <v>619</v>
      </c>
      <c r="K107" s="9">
        <v>1555.35</v>
      </c>
    </row>
    <row r="108">
      <c r="A108" s="5"/>
      <c r="B108" s="5"/>
      <c r="C108" s="7" t="s">
        <v>618</v>
      </c>
      <c r="D108" s="7" t="s">
        <v>82</v>
      </c>
      <c r="E108" s="7">
        <v>339.06</v>
      </c>
      <c r="F108" s="7">
        <v>0.0</v>
      </c>
      <c r="G108" s="7" t="s">
        <v>619</v>
      </c>
      <c r="H108" s="7" t="s">
        <v>619</v>
      </c>
      <c r="I108" s="15" t="str">
        <f t="array" ref="I108">INDEX(CC!C:C,MATCH(1,(CC!A:A=H108)*(CC!B:B=J108),0))</f>
        <v>#N/A</v>
      </c>
      <c r="J108" s="7" t="s">
        <v>619</v>
      </c>
      <c r="K108" s="7">
        <v>339.06</v>
      </c>
    </row>
    <row r="109">
      <c r="A109" s="5"/>
      <c r="B109" s="5"/>
      <c r="C109" s="7" t="s">
        <v>618</v>
      </c>
      <c r="D109" s="7" t="s">
        <v>277</v>
      </c>
      <c r="E109" s="7">
        <v>622.14</v>
      </c>
      <c r="F109" s="7">
        <v>0.0</v>
      </c>
      <c r="G109" s="7" t="s">
        <v>619</v>
      </c>
      <c r="H109" s="7" t="s">
        <v>619</v>
      </c>
      <c r="I109" s="15" t="str">
        <f t="array" ref="I109">INDEX(CC!C:C,MATCH(1,(CC!A:A=H109)*(CC!B:B=J109),0))</f>
        <v>#N/A</v>
      </c>
      <c r="J109" s="7" t="s">
        <v>619</v>
      </c>
      <c r="K109" s="7">
        <v>622.14</v>
      </c>
    </row>
    <row r="110">
      <c r="A110" s="5"/>
      <c r="B110" s="5"/>
      <c r="C110" s="7" t="s">
        <v>618</v>
      </c>
      <c r="D110" s="7" t="s">
        <v>112</v>
      </c>
      <c r="E110" s="9">
        <v>10517.79</v>
      </c>
      <c r="F110" s="7">
        <v>0.0</v>
      </c>
      <c r="G110" s="7" t="s">
        <v>619</v>
      </c>
      <c r="H110" s="7" t="s">
        <v>619</v>
      </c>
      <c r="I110" s="15" t="str">
        <f t="array" ref="I110">INDEX(CC!C:C,MATCH(1,(CC!A:A=H110)*(CC!B:B=J110),0))</f>
        <v>#N/A</v>
      </c>
      <c r="J110" s="7" t="s">
        <v>619</v>
      </c>
      <c r="K110" s="9">
        <v>10517.79</v>
      </c>
    </row>
    <row r="111">
      <c r="A111" s="5"/>
      <c r="B111" s="5"/>
      <c r="C111" s="7" t="s">
        <v>618</v>
      </c>
      <c r="D111" s="7" t="s">
        <v>126</v>
      </c>
      <c r="E111" s="7">
        <v>36.29</v>
      </c>
      <c r="F111" s="7">
        <v>0.0</v>
      </c>
      <c r="G111" s="7" t="s">
        <v>619</v>
      </c>
      <c r="H111" s="7" t="s">
        <v>619</v>
      </c>
      <c r="I111" s="15" t="str">
        <f t="array" ref="I111">INDEX(CC!C:C,MATCH(1,(CC!A:A=H111)*(CC!B:B=J111),0))</f>
        <v>#N/A</v>
      </c>
      <c r="J111" s="7" t="s">
        <v>619</v>
      </c>
      <c r="K111" s="7">
        <v>36.29</v>
      </c>
    </row>
    <row r="112">
      <c r="A112" s="5"/>
      <c r="B112" s="5"/>
      <c r="C112" s="7" t="s">
        <v>618</v>
      </c>
      <c r="D112" s="7" t="s">
        <v>137</v>
      </c>
      <c r="E112" s="9">
        <v>7123.5</v>
      </c>
      <c r="F112" s="7">
        <v>0.0</v>
      </c>
      <c r="G112" s="7" t="s">
        <v>619</v>
      </c>
      <c r="H112" s="7" t="s">
        <v>619</v>
      </c>
      <c r="I112" s="15" t="str">
        <f t="array" ref="I112">INDEX(CC!C:C,MATCH(1,(CC!A:A=H112)*(CC!B:B=J112),0))</f>
        <v>#N/A</v>
      </c>
      <c r="J112" s="7" t="s">
        <v>619</v>
      </c>
      <c r="K112" s="9">
        <v>7123.5</v>
      </c>
    </row>
    <row r="113">
      <c r="A113" s="5"/>
      <c r="B113" s="5"/>
      <c r="C113" s="7" t="s">
        <v>618</v>
      </c>
      <c r="D113" s="7" t="s">
        <v>470</v>
      </c>
      <c r="E113" s="9">
        <v>3000.0</v>
      </c>
      <c r="F113" s="7">
        <v>0.0</v>
      </c>
      <c r="G113" s="7" t="s">
        <v>619</v>
      </c>
      <c r="H113" s="7" t="s">
        <v>619</v>
      </c>
      <c r="I113" s="15" t="str">
        <f t="array" ref="I113">INDEX(CC!C:C,MATCH(1,(CC!A:A=H113)*(CC!B:B=J113),0))</f>
        <v>#N/A</v>
      </c>
      <c r="J113" s="7" t="s">
        <v>619</v>
      </c>
      <c r="K113" s="9">
        <v>3000.0</v>
      </c>
    </row>
    <row r="114">
      <c r="A114" s="5"/>
      <c r="B114" s="7" t="s">
        <v>29</v>
      </c>
      <c r="C114" s="7" t="s">
        <v>537</v>
      </c>
      <c r="D114" s="7" t="s">
        <v>33</v>
      </c>
      <c r="E114" s="9">
        <v>1300.0</v>
      </c>
      <c r="F114" s="7">
        <v>0.0</v>
      </c>
      <c r="G114" s="7" t="s">
        <v>595</v>
      </c>
      <c r="H114" s="7" t="s">
        <v>40</v>
      </c>
      <c r="I114" s="15">
        <f t="array" ref="I114">INDEX(CC!C:C,MATCH(1,(CC!A:A=H114)*(CC!B:B=J114),0))</f>
        <v>602</v>
      </c>
      <c r="J114" s="7" t="s">
        <v>25</v>
      </c>
      <c r="K114" s="9">
        <v>1300.0</v>
      </c>
    </row>
    <row r="115">
      <c r="A115" s="5"/>
      <c r="B115" s="7" t="s">
        <v>29</v>
      </c>
      <c r="C115" s="7" t="s">
        <v>672</v>
      </c>
      <c r="D115" s="7" t="s">
        <v>307</v>
      </c>
      <c r="E115" s="9">
        <v>2950.0</v>
      </c>
      <c r="F115" s="7">
        <v>0.0</v>
      </c>
      <c r="G115" s="7" t="s">
        <v>674</v>
      </c>
      <c r="H115" s="7" t="s">
        <v>74</v>
      </c>
      <c r="I115" s="15">
        <f t="array" ref="I115">INDEX(CC!C:C,MATCH(1,(CC!A:A=H115)*(CC!B:B=J115),0))</f>
        <v>1502</v>
      </c>
      <c r="J115" s="7" t="s">
        <v>25</v>
      </c>
      <c r="K115" s="9">
        <v>2950.0</v>
      </c>
    </row>
    <row r="116">
      <c r="A116" s="5"/>
      <c r="B116" s="5"/>
      <c r="C116" s="7" t="s">
        <v>672</v>
      </c>
      <c r="D116" s="7" t="s">
        <v>679</v>
      </c>
      <c r="E116" s="9">
        <v>1450.0</v>
      </c>
      <c r="F116" s="7">
        <v>0.0</v>
      </c>
      <c r="G116" s="7" t="s">
        <v>674</v>
      </c>
      <c r="H116" s="7" t="s">
        <v>74</v>
      </c>
      <c r="I116" s="15">
        <f t="array" ref="I116">INDEX(CC!C:C,MATCH(1,(CC!A:A=H116)*(CC!B:B=J116),0))</f>
        <v>1502</v>
      </c>
      <c r="J116" s="7" t="s">
        <v>25</v>
      </c>
      <c r="K116" s="9">
        <v>1450.0</v>
      </c>
    </row>
    <row r="117">
      <c r="A117" s="5"/>
      <c r="B117" s="5"/>
      <c r="C117" s="7" t="s">
        <v>672</v>
      </c>
      <c r="D117" s="7" t="s">
        <v>126</v>
      </c>
      <c r="E117" s="7">
        <v>20.0</v>
      </c>
      <c r="F117" s="7">
        <v>0.0</v>
      </c>
      <c r="G117" s="7" t="s">
        <v>674</v>
      </c>
      <c r="H117" s="7" t="s">
        <v>74</v>
      </c>
      <c r="I117" s="15">
        <f t="array" ref="I117">INDEX(CC!C:C,MATCH(1,(CC!A:A=H117)*(CC!B:B=J117),0))</f>
        <v>1502</v>
      </c>
      <c r="J117" s="7" t="s">
        <v>25</v>
      </c>
      <c r="K117" s="7">
        <v>20.0</v>
      </c>
    </row>
    <row r="118">
      <c r="A118" s="5"/>
      <c r="B118" s="5"/>
      <c r="C118" s="7" t="s">
        <v>672</v>
      </c>
      <c r="D118" s="7" t="s">
        <v>137</v>
      </c>
      <c r="E118" s="9">
        <v>4500.0</v>
      </c>
      <c r="F118" s="7">
        <v>0.0</v>
      </c>
      <c r="G118" s="7" t="s">
        <v>674</v>
      </c>
      <c r="H118" s="7" t="s">
        <v>74</v>
      </c>
      <c r="I118" s="15">
        <f t="array" ref="I118">INDEX(CC!C:C,MATCH(1,(CC!A:A=H118)*(CC!B:B=J118),0))</f>
        <v>1502</v>
      </c>
      <c r="J118" s="7" t="s">
        <v>25</v>
      </c>
      <c r="K118" s="9">
        <v>4500.0</v>
      </c>
    </row>
    <row r="119">
      <c r="A119" s="5"/>
      <c r="B119" s="7" t="s">
        <v>29</v>
      </c>
      <c r="C119" s="7" t="s">
        <v>699</v>
      </c>
      <c r="D119" s="7" t="s">
        <v>565</v>
      </c>
      <c r="E119" s="9">
        <v>4772.96</v>
      </c>
      <c r="F119" s="7">
        <v>0.0</v>
      </c>
      <c r="G119" s="7" t="s">
        <v>701</v>
      </c>
      <c r="H119" s="7" t="s">
        <v>539</v>
      </c>
      <c r="I119" s="15">
        <f t="array" ref="I119">INDEX(CC!C:C,MATCH(1,(CC!A:A=H119)*(CC!B:B=J119),0))</f>
        <v>1302</v>
      </c>
      <c r="J119" s="7" t="s">
        <v>25</v>
      </c>
      <c r="K119" s="9">
        <v>4772.96</v>
      </c>
    </row>
    <row r="120">
      <c r="A120" s="5"/>
      <c r="B120" s="5"/>
      <c r="C120" s="7" t="s">
        <v>699</v>
      </c>
      <c r="D120" s="7" t="s">
        <v>126</v>
      </c>
      <c r="E120" s="7">
        <v>21.8</v>
      </c>
      <c r="F120" s="7">
        <v>0.0</v>
      </c>
      <c r="G120" s="7" t="s">
        <v>701</v>
      </c>
      <c r="H120" s="7" t="s">
        <v>539</v>
      </c>
      <c r="I120" s="15">
        <f t="array" ref="I120">INDEX(CC!C:C,MATCH(1,(CC!A:A=H120)*(CC!B:B=J120),0))</f>
        <v>1302</v>
      </c>
      <c r="J120" s="7" t="s">
        <v>25</v>
      </c>
      <c r="K120" s="7">
        <v>21.8</v>
      </c>
    </row>
    <row r="121">
      <c r="A121" s="5"/>
      <c r="B121" s="5"/>
      <c r="C121" s="7" t="s">
        <v>699</v>
      </c>
      <c r="D121" s="7" t="s">
        <v>137</v>
      </c>
      <c r="E121" s="9">
        <v>3270.0</v>
      </c>
      <c r="F121" s="7">
        <v>0.0</v>
      </c>
      <c r="G121" s="7" t="s">
        <v>701</v>
      </c>
      <c r="H121" s="7" t="s">
        <v>539</v>
      </c>
      <c r="I121" s="15">
        <f t="array" ref="I121">INDEX(CC!C:C,MATCH(1,(CC!A:A=H121)*(CC!B:B=J121),0))</f>
        <v>1302</v>
      </c>
      <c r="J121" s="7" t="s">
        <v>25</v>
      </c>
      <c r="K121" s="9">
        <v>3270.0</v>
      </c>
    </row>
    <row r="122">
      <c r="A122" s="5"/>
      <c r="B122" s="5"/>
      <c r="C122" s="7" t="s">
        <v>699</v>
      </c>
      <c r="D122" s="7" t="s">
        <v>717</v>
      </c>
      <c r="E122" s="9">
        <v>1301.72</v>
      </c>
      <c r="F122" s="7">
        <v>0.0</v>
      </c>
      <c r="G122" s="7" t="s">
        <v>701</v>
      </c>
      <c r="H122" s="7" t="s">
        <v>539</v>
      </c>
      <c r="I122" s="15">
        <f t="array" ref="I122">INDEX(CC!C:C,MATCH(1,(CC!A:A=H122)*(CC!B:B=J122),0))</f>
        <v>1302</v>
      </c>
      <c r="J122" s="7" t="s">
        <v>25</v>
      </c>
      <c r="K122" s="9">
        <v>1301.72</v>
      </c>
    </row>
    <row r="123">
      <c r="A123" s="5"/>
      <c r="B123" s="7" t="s">
        <v>29</v>
      </c>
      <c r="C123" s="7" t="s">
        <v>79</v>
      </c>
      <c r="D123" s="7" t="s">
        <v>126</v>
      </c>
      <c r="E123" s="7">
        <v>1.0</v>
      </c>
      <c r="F123" s="7">
        <v>0.0</v>
      </c>
      <c r="G123" s="7" t="s">
        <v>722</v>
      </c>
      <c r="H123" s="7" t="s">
        <v>551</v>
      </c>
      <c r="I123" s="15">
        <f t="array" ref="I123">INDEX(CC!C:C,MATCH(1,(CC!A:A=H123)*(CC!B:B=J123),0))</f>
        <v>1202</v>
      </c>
      <c r="J123" s="7" t="s">
        <v>25</v>
      </c>
      <c r="K123" s="7">
        <v>1.0</v>
      </c>
    </row>
    <row r="124">
      <c r="A124" s="5"/>
      <c r="B124" s="7" t="s">
        <v>29</v>
      </c>
      <c r="C124" s="7" t="s">
        <v>306</v>
      </c>
      <c r="D124" s="7" t="s">
        <v>33</v>
      </c>
      <c r="E124" s="9">
        <v>2400.0</v>
      </c>
      <c r="F124" s="7">
        <v>0.0</v>
      </c>
      <c r="G124" s="7" t="s">
        <v>728</v>
      </c>
      <c r="H124" s="7" t="s">
        <v>40</v>
      </c>
      <c r="I124" s="15">
        <f t="array" ref="I124">INDEX(CC!C:C,MATCH(1,(CC!A:A=H124)*(CC!B:B=J124),0))</f>
        <v>602</v>
      </c>
      <c r="J124" s="7" t="s">
        <v>25</v>
      </c>
      <c r="K124" s="9">
        <v>2400.0</v>
      </c>
    </row>
    <row r="125">
      <c r="A125" s="5"/>
      <c r="B125" s="7" t="s">
        <v>29</v>
      </c>
      <c r="C125" s="7" t="s">
        <v>306</v>
      </c>
      <c r="D125" s="7" t="s">
        <v>307</v>
      </c>
      <c r="E125" s="9">
        <v>1695.33</v>
      </c>
      <c r="F125" s="7">
        <v>0.0</v>
      </c>
      <c r="G125" s="7" t="s">
        <v>733</v>
      </c>
      <c r="H125" s="7" t="s">
        <v>74</v>
      </c>
      <c r="I125" s="15">
        <f t="array" ref="I125">INDEX(CC!C:C,MATCH(1,(CC!A:A=H125)*(CC!B:B=J125),0))</f>
        <v>1502</v>
      </c>
      <c r="J125" s="7" t="s">
        <v>25</v>
      </c>
      <c r="K125" s="9">
        <v>1695.33</v>
      </c>
    </row>
    <row r="126">
      <c r="A126" s="5"/>
      <c r="B126" s="5"/>
      <c r="C126" s="7" t="s">
        <v>306</v>
      </c>
      <c r="D126" s="7" t="s">
        <v>82</v>
      </c>
      <c r="E126" s="7">
        <v>326.62</v>
      </c>
      <c r="F126" s="7">
        <v>0.0</v>
      </c>
      <c r="G126" s="7" t="s">
        <v>733</v>
      </c>
      <c r="H126" s="7" t="s">
        <v>74</v>
      </c>
      <c r="I126" s="15">
        <f t="array" ref="I126">INDEX(CC!C:C,MATCH(1,(CC!A:A=H126)*(CC!B:B=J126),0))</f>
        <v>1502</v>
      </c>
      <c r="J126" s="7" t="s">
        <v>25</v>
      </c>
      <c r="K126" s="7">
        <v>326.62</v>
      </c>
    </row>
    <row r="127">
      <c r="A127" s="5"/>
      <c r="B127" s="5"/>
      <c r="C127" s="7" t="s">
        <v>306</v>
      </c>
      <c r="D127" s="7" t="s">
        <v>199</v>
      </c>
      <c r="E127" s="9">
        <v>1353.15</v>
      </c>
      <c r="F127" s="7">
        <v>0.0</v>
      </c>
      <c r="G127" s="7" t="s">
        <v>733</v>
      </c>
      <c r="H127" s="7" t="s">
        <v>74</v>
      </c>
      <c r="I127" s="15">
        <f t="array" ref="I127">INDEX(CC!C:C,MATCH(1,(CC!A:A=H127)*(CC!B:B=J127),0))</f>
        <v>1502</v>
      </c>
      <c r="J127" s="7" t="s">
        <v>25</v>
      </c>
      <c r="K127" s="9">
        <v>1353.15</v>
      </c>
    </row>
    <row r="128">
      <c r="A128" s="5"/>
      <c r="B128" s="5"/>
      <c r="C128" s="7" t="s">
        <v>306</v>
      </c>
      <c r="D128" s="7" t="s">
        <v>112</v>
      </c>
      <c r="E128" s="9">
        <v>3176.18</v>
      </c>
      <c r="F128" s="7">
        <v>0.0</v>
      </c>
      <c r="G128" s="7" t="s">
        <v>733</v>
      </c>
      <c r="H128" s="7" t="s">
        <v>74</v>
      </c>
      <c r="I128" s="15">
        <f t="array" ref="I128">INDEX(CC!C:C,MATCH(1,(CC!A:A=H128)*(CC!B:B=J128),0))</f>
        <v>1503</v>
      </c>
      <c r="J128" s="7" t="s">
        <v>44</v>
      </c>
      <c r="K128" s="9">
        <v>3176.18</v>
      </c>
    </row>
    <row r="129">
      <c r="A129" s="5"/>
      <c r="B129" s="5"/>
      <c r="C129" s="7" t="s">
        <v>306</v>
      </c>
      <c r="D129" s="7" t="s">
        <v>348</v>
      </c>
      <c r="E129" s="7">
        <v>427.55</v>
      </c>
      <c r="F129" s="7">
        <v>0.0</v>
      </c>
      <c r="G129" s="7" t="s">
        <v>733</v>
      </c>
      <c r="H129" s="7" t="s">
        <v>74</v>
      </c>
      <c r="I129" s="15">
        <f t="array" ref="I129">INDEX(CC!C:C,MATCH(1,(CC!A:A=H129)*(CC!B:B=J129),0))</f>
        <v>1503</v>
      </c>
      <c r="J129" s="7" t="s">
        <v>44</v>
      </c>
      <c r="K129" s="7">
        <v>427.55</v>
      </c>
    </row>
    <row r="130">
      <c r="A130" s="5"/>
      <c r="B130" s="5"/>
      <c r="C130" s="7" t="s">
        <v>306</v>
      </c>
      <c r="D130" s="7" t="s">
        <v>360</v>
      </c>
      <c r="E130" s="7">
        <v>593.83</v>
      </c>
      <c r="F130" s="7">
        <v>0.0</v>
      </c>
      <c r="G130" s="7" t="s">
        <v>733</v>
      </c>
      <c r="H130" s="7" t="s">
        <v>74</v>
      </c>
      <c r="I130" s="15">
        <f t="array" ref="I130">INDEX(CC!C:C,MATCH(1,(CC!A:A=H130)*(CC!B:B=J130),0))</f>
        <v>1503</v>
      </c>
      <c r="J130" s="7" t="s">
        <v>44</v>
      </c>
      <c r="K130" s="7">
        <v>593.83</v>
      </c>
    </row>
    <row r="131">
      <c r="A131" s="5"/>
      <c r="B131" s="5"/>
      <c r="C131" s="7" t="s">
        <v>306</v>
      </c>
      <c r="D131" s="7" t="s">
        <v>126</v>
      </c>
      <c r="E131" s="7">
        <v>35.0</v>
      </c>
      <c r="F131" s="7">
        <v>0.0</v>
      </c>
      <c r="G131" s="7" t="s">
        <v>733</v>
      </c>
      <c r="H131" s="7" t="s">
        <v>74</v>
      </c>
      <c r="I131" s="15">
        <f t="array" ref="I131">INDEX(CC!C:C,MATCH(1,(CC!A:A=H131)*(CC!B:B=J131),0))</f>
        <v>1502</v>
      </c>
      <c r="J131" s="7" t="s">
        <v>25</v>
      </c>
      <c r="K131" s="7">
        <v>35.0</v>
      </c>
    </row>
    <row r="132">
      <c r="A132" s="5"/>
      <c r="B132" s="5"/>
      <c r="C132" s="7" t="s">
        <v>306</v>
      </c>
      <c r="D132" s="7" t="s">
        <v>137</v>
      </c>
      <c r="E132" s="9">
        <v>1282.64</v>
      </c>
      <c r="F132" s="7">
        <v>0.0</v>
      </c>
      <c r="G132" s="7" t="s">
        <v>733</v>
      </c>
      <c r="H132" s="7" t="s">
        <v>74</v>
      </c>
      <c r="I132" s="15">
        <f t="array" ref="I132">INDEX(CC!C:C,MATCH(1,(CC!A:A=H132)*(CC!B:B=J132),0))</f>
        <v>1502</v>
      </c>
      <c r="J132" s="7" t="s">
        <v>25</v>
      </c>
      <c r="K132" s="9">
        <v>1282.64</v>
      </c>
    </row>
    <row r="133">
      <c r="A133" s="5"/>
      <c r="B133" s="7" t="s">
        <v>29</v>
      </c>
      <c r="C133" s="7" t="s">
        <v>306</v>
      </c>
      <c r="D133" s="7" t="s">
        <v>307</v>
      </c>
      <c r="E133" s="9">
        <v>1695.33</v>
      </c>
      <c r="F133" s="7">
        <v>0.0</v>
      </c>
      <c r="G133" s="7" t="s">
        <v>770</v>
      </c>
      <c r="H133" s="7" t="s">
        <v>74</v>
      </c>
      <c r="I133" s="15">
        <f t="array" ref="I133">INDEX(CC!C:C,MATCH(1,(CC!A:A=H133)*(CC!B:B=J133),0))</f>
        <v>1502</v>
      </c>
      <c r="J133" s="7" t="s">
        <v>25</v>
      </c>
      <c r="K133" s="9">
        <v>1695.33</v>
      </c>
    </row>
    <row r="134">
      <c r="A134" s="5"/>
      <c r="B134" s="5"/>
      <c r="C134" s="7" t="s">
        <v>306</v>
      </c>
      <c r="D134" s="7" t="s">
        <v>82</v>
      </c>
      <c r="E134" s="7">
        <v>326.62</v>
      </c>
      <c r="F134" s="7">
        <v>0.0</v>
      </c>
      <c r="G134" s="7" t="s">
        <v>770</v>
      </c>
      <c r="H134" s="7" t="s">
        <v>74</v>
      </c>
      <c r="I134" s="15">
        <f t="array" ref="I134">INDEX(CC!C:C,MATCH(1,(CC!A:A=H134)*(CC!B:B=J134),0))</f>
        <v>1502</v>
      </c>
      <c r="J134" s="7" t="s">
        <v>25</v>
      </c>
      <c r="K134" s="7">
        <v>326.62</v>
      </c>
    </row>
    <row r="135">
      <c r="A135" s="5"/>
      <c r="B135" s="5"/>
      <c r="C135" s="7" t="s">
        <v>306</v>
      </c>
      <c r="D135" s="7" t="s">
        <v>199</v>
      </c>
      <c r="E135" s="9">
        <v>4301.89</v>
      </c>
      <c r="F135" s="7">
        <v>0.0</v>
      </c>
      <c r="G135" s="7" t="s">
        <v>770</v>
      </c>
      <c r="H135" s="7" t="s">
        <v>74</v>
      </c>
      <c r="I135" s="15">
        <f t="array" ref="I135">INDEX(CC!C:C,MATCH(1,(CC!A:A=H135)*(CC!B:B=J135),0))</f>
        <v>1502</v>
      </c>
      <c r="J135" s="7" t="s">
        <v>25</v>
      </c>
      <c r="K135" s="9">
        <v>4301.89</v>
      </c>
    </row>
    <row r="136">
      <c r="A136" s="5"/>
      <c r="B136" s="5"/>
      <c r="C136" s="7" t="s">
        <v>306</v>
      </c>
      <c r="D136" s="7" t="s">
        <v>112</v>
      </c>
      <c r="E136" s="9">
        <v>9025.79</v>
      </c>
      <c r="F136" s="7">
        <v>0.0</v>
      </c>
      <c r="G136" s="7" t="s">
        <v>770</v>
      </c>
      <c r="H136" s="7" t="s">
        <v>74</v>
      </c>
      <c r="I136" s="15">
        <f t="array" ref="I136">INDEX(CC!C:C,MATCH(1,(CC!A:A=H136)*(CC!B:B=J136),0))</f>
        <v>1503</v>
      </c>
      <c r="J136" s="7" t="s">
        <v>44</v>
      </c>
      <c r="K136" s="9">
        <v>9025.79</v>
      </c>
    </row>
    <row r="137">
      <c r="A137" s="5"/>
      <c r="B137" s="5"/>
      <c r="C137" s="7" t="s">
        <v>306</v>
      </c>
      <c r="D137" s="7" t="s">
        <v>348</v>
      </c>
      <c r="E137" s="7">
        <v>950.0</v>
      </c>
      <c r="F137" s="7">
        <v>0.0</v>
      </c>
      <c r="G137" s="7" t="s">
        <v>770</v>
      </c>
      <c r="H137" s="7" t="s">
        <v>74</v>
      </c>
      <c r="I137" s="15">
        <f t="array" ref="I137">INDEX(CC!C:C,MATCH(1,(CC!A:A=H137)*(CC!B:B=J137),0))</f>
        <v>1503</v>
      </c>
      <c r="J137" s="7" t="s">
        <v>44</v>
      </c>
      <c r="K137" s="7">
        <v>950.0</v>
      </c>
    </row>
    <row r="138">
      <c r="A138" s="5"/>
      <c r="B138" s="5"/>
      <c r="C138" s="7" t="s">
        <v>306</v>
      </c>
      <c r="D138" s="7" t="s">
        <v>360</v>
      </c>
      <c r="E138" s="9">
        <v>2835.0</v>
      </c>
      <c r="F138" s="7">
        <v>0.0</v>
      </c>
      <c r="G138" s="7" t="s">
        <v>770</v>
      </c>
      <c r="H138" s="7" t="s">
        <v>74</v>
      </c>
      <c r="I138" s="15">
        <f t="array" ref="I138">INDEX(CC!C:C,MATCH(1,(CC!A:A=H138)*(CC!B:B=J138),0))</f>
        <v>1503</v>
      </c>
      <c r="J138" s="7" t="s">
        <v>44</v>
      </c>
      <c r="K138" s="9">
        <v>2835.0</v>
      </c>
    </row>
    <row r="139">
      <c r="A139" s="5"/>
      <c r="B139" s="5"/>
      <c r="C139" s="7" t="s">
        <v>306</v>
      </c>
      <c r="D139" s="7" t="s">
        <v>126</v>
      </c>
      <c r="E139" s="7">
        <v>35.0</v>
      </c>
      <c r="F139" s="7">
        <v>0.0</v>
      </c>
      <c r="G139" s="7" t="s">
        <v>770</v>
      </c>
      <c r="H139" s="7" t="s">
        <v>74</v>
      </c>
      <c r="I139" s="15">
        <f t="array" ref="I139">INDEX(CC!C:C,MATCH(1,(CC!A:A=H139)*(CC!B:B=J139),0))</f>
        <v>1502</v>
      </c>
      <c r="J139" s="7" t="s">
        <v>25</v>
      </c>
      <c r="K139" s="7">
        <v>35.0</v>
      </c>
    </row>
    <row r="140">
      <c r="A140" s="5"/>
      <c r="B140" s="5"/>
      <c r="C140" s="7" t="s">
        <v>306</v>
      </c>
      <c r="D140" s="7" t="s">
        <v>137</v>
      </c>
      <c r="E140" s="9">
        <v>2258.49</v>
      </c>
      <c r="F140" s="7">
        <v>0.0</v>
      </c>
      <c r="G140" s="7" t="s">
        <v>770</v>
      </c>
      <c r="H140" s="7" t="s">
        <v>74</v>
      </c>
      <c r="I140" s="15">
        <f t="array" ref="I140">INDEX(CC!C:C,MATCH(1,(CC!A:A=H140)*(CC!B:B=J140),0))</f>
        <v>1502</v>
      </c>
      <c r="J140" s="7" t="s">
        <v>25</v>
      </c>
      <c r="K140" s="9">
        <v>2258.49</v>
      </c>
    </row>
    <row r="141">
      <c r="A141" s="5"/>
      <c r="B141" s="7" t="s">
        <v>29</v>
      </c>
      <c r="C141" s="7" t="s">
        <v>807</v>
      </c>
      <c r="D141" s="7" t="s">
        <v>307</v>
      </c>
      <c r="E141" s="9">
        <v>1600.0</v>
      </c>
      <c r="F141" s="7">
        <v>0.0</v>
      </c>
      <c r="G141" s="7" t="s">
        <v>809</v>
      </c>
      <c r="H141" s="7" t="s">
        <v>84</v>
      </c>
      <c r="I141" s="15">
        <f t="array" ref="I141">INDEX(CC!C:C,MATCH(1,(CC!A:A=H141)*(CC!B:B=J141),0))</f>
        <v>1002</v>
      </c>
      <c r="J141" s="7" t="s">
        <v>25</v>
      </c>
      <c r="K141" s="9">
        <v>1600.0</v>
      </c>
    </row>
    <row r="142">
      <c r="A142" s="5"/>
      <c r="B142" s="5"/>
      <c r="C142" s="7" t="s">
        <v>807</v>
      </c>
      <c r="D142" s="7" t="s">
        <v>82</v>
      </c>
      <c r="E142" s="7">
        <v>300.0</v>
      </c>
      <c r="F142" s="7">
        <v>0.0</v>
      </c>
      <c r="G142" s="7" t="s">
        <v>809</v>
      </c>
      <c r="H142" s="7" t="s">
        <v>84</v>
      </c>
      <c r="I142" s="15">
        <f t="array" ref="I142">INDEX(CC!C:C,MATCH(1,(CC!A:A=H142)*(CC!B:B=J142),0))</f>
        <v>1002</v>
      </c>
      <c r="J142" s="7" t="s">
        <v>25</v>
      </c>
      <c r="K142" s="7">
        <v>300.0</v>
      </c>
    </row>
    <row r="143">
      <c r="A143" s="5"/>
      <c r="B143" s="5"/>
      <c r="C143" s="7" t="s">
        <v>807</v>
      </c>
      <c r="D143" s="7" t="s">
        <v>199</v>
      </c>
      <c r="E143" s="9">
        <v>20063.95</v>
      </c>
      <c r="F143" s="7">
        <v>0.0</v>
      </c>
      <c r="G143" s="7" t="s">
        <v>809</v>
      </c>
      <c r="H143" s="7" t="s">
        <v>84</v>
      </c>
      <c r="I143" s="15">
        <f t="array" ref="I143">INDEX(CC!C:C,MATCH(1,(CC!A:A=H143)*(CC!B:B=J143),0))</f>
        <v>1002</v>
      </c>
      <c r="J143" s="7" t="s">
        <v>25</v>
      </c>
      <c r="K143" s="9">
        <v>20063.95</v>
      </c>
    </row>
    <row r="144">
      <c r="A144" s="5"/>
      <c r="B144" s="5"/>
      <c r="C144" s="7" t="s">
        <v>807</v>
      </c>
      <c r="D144" s="7" t="s">
        <v>126</v>
      </c>
      <c r="E144" s="7">
        <v>35.0</v>
      </c>
      <c r="F144" s="7">
        <v>0.0</v>
      </c>
      <c r="G144" s="7" t="s">
        <v>809</v>
      </c>
      <c r="H144" s="7" t="s">
        <v>84</v>
      </c>
      <c r="I144" s="15">
        <f t="array" ref="I144">INDEX(CC!C:C,MATCH(1,(CC!A:A=H144)*(CC!B:B=J144),0))</f>
        <v>1002</v>
      </c>
      <c r="J144" s="7" t="s">
        <v>25</v>
      </c>
      <c r="K144" s="7">
        <v>35.0</v>
      </c>
    </row>
    <row r="145">
      <c r="A145" s="5"/>
      <c r="B145" s="5"/>
      <c r="C145" s="7" t="s">
        <v>807</v>
      </c>
      <c r="D145" s="7" t="s">
        <v>137</v>
      </c>
      <c r="E145" s="9">
        <v>11285.97</v>
      </c>
      <c r="F145" s="7">
        <v>0.0</v>
      </c>
      <c r="G145" s="7" t="s">
        <v>809</v>
      </c>
      <c r="H145" s="7" t="s">
        <v>84</v>
      </c>
      <c r="I145" s="15">
        <f t="array" ref="I145">INDEX(CC!C:C,MATCH(1,(CC!A:A=H145)*(CC!B:B=J145),0))</f>
        <v>1002</v>
      </c>
      <c r="J145" s="7" t="s">
        <v>25</v>
      </c>
      <c r="K145" s="9">
        <v>11285.97</v>
      </c>
    </row>
    <row r="146">
      <c r="A146" s="5"/>
      <c r="B146" s="7" t="s">
        <v>29</v>
      </c>
      <c r="C146" s="7" t="s">
        <v>79</v>
      </c>
      <c r="D146" s="7" t="s">
        <v>307</v>
      </c>
      <c r="E146" s="9">
        <v>1555.35</v>
      </c>
      <c r="F146" s="7">
        <v>0.0</v>
      </c>
      <c r="G146" s="7" t="s">
        <v>838</v>
      </c>
      <c r="H146" s="7" t="s">
        <v>554</v>
      </c>
      <c r="I146" s="15">
        <f t="array" ref="I146">INDEX(CC!C:C,MATCH(1,(CC!A:A=H146)*(CC!B:B=J146),0))</f>
        <v>1702</v>
      </c>
      <c r="J146" s="7" t="s">
        <v>25</v>
      </c>
      <c r="K146" s="9">
        <v>1555.35</v>
      </c>
    </row>
    <row r="147">
      <c r="A147" s="5"/>
      <c r="B147" s="5"/>
      <c r="C147" s="7" t="s">
        <v>79</v>
      </c>
      <c r="D147" s="7" t="s">
        <v>82</v>
      </c>
      <c r="E147" s="7">
        <v>339.06</v>
      </c>
      <c r="F147" s="7">
        <v>0.0</v>
      </c>
      <c r="G147" s="7" t="s">
        <v>838</v>
      </c>
      <c r="H147" s="7" t="s">
        <v>554</v>
      </c>
      <c r="I147" s="15">
        <f t="array" ref="I147">INDEX(CC!C:C,MATCH(1,(CC!A:A=H147)*(CC!B:B=J147),0))</f>
        <v>1702</v>
      </c>
      <c r="J147" s="7" t="s">
        <v>25</v>
      </c>
      <c r="K147" s="7">
        <v>339.06</v>
      </c>
    </row>
    <row r="148">
      <c r="A148" s="5"/>
      <c r="B148" s="5"/>
      <c r="C148" s="7" t="s">
        <v>79</v>
      </c>
      <c r="D148" s="7" t="s">
        <v>112</v>
      </c>
      <c r="E148" s="9">
        <v>6200.44</v>
      </c>
      <c r="F148" s="7">
        <v>0.0</v>
      </c>
      <c r="G148" s="7" t="s">
        <v>838</v>
      </c>
      <c r="H148" s="7" t="s">
        <v>554</v>
      </c>
      <c r="I148" s="15">
        <f t="array" ref="I148">INDEX(CC!C:C,MATCH(1,(CC!A:A=H148)*(CC!B:B=J148),0))</f>
        <v>1703</v>
      </c>
      <c r="J148" s="7" t="s">
        <v>44</v>
      </c>
      <c r="K148" s="9">
        <v>6200.44</v>
      </c>
    </row>
    <row r="149">
      <c r="A149" s="5"/>
      <c r="B149" s="5"/>
      <c r="C149" s="7" t="s">
        <v>79</v>
      </c>
      <c r="D149" s="7" t="s">
        <v>855</v>
      </c>
      <c r="E149" s="7">
        <v>233.54</v>
      </c>
      <c r="F149" s="7">
        <v>0.0</v>
      </c>
      <c r="G149" s="7" t="s">
        <v>838</v>
      </c>
      <c r="H149" s="7" t="s">
        <v>554</v>
      </c>
      <c r="I149" s="15">
        <f t="array" ref="I149">INDEX(CC!C:C,MATCH(1,(CC!A:A=H149)*(CC!B:B=J149),0))</f>
        <v>1703</v>
      </c>
      <c r="J149" s="7" t="s">
        <v>44</v>
      </c>
      <c r="K149" s="7">
        <v>233.54</v>
      </c>
    </row>
    <row r="150">
      <c r="A150" s="5"/>
      <c r="B150" s="5"/>
      <c r="C150" s="7" t="s">
        <v>79</v>
      </c>
      <c r="D150" s="7" t="s">
        <v>360</v>
      </c>
      <c r="E150" s="9">
        <v>13143.15</v>
      </c>
      <c r="F150" s="7">
        <v>0.0</v>
      </c>
      <c r="G150" s="7" t="s">
        <v>838</v>
      </c>
      <c r="H150" s="7" t="s">
        <v>554</v>
      </c>
      <c r="I150" s="15">
        <f t="array" ref="I150">INDEX(CC!C:C,MATCH(1,(CC!A:A=H150)*(CC!B:B=J150),0))</f>
        <v>1703</v>
      </c>
      <c r="J150" s="7" t="s">
        <v>44</v>
      </c>
      <c r="K150" s="9">
        <v>13143.15</v>
      </c>
    </row>
    <row r="151">
      <c r="A151" s="5"/>
      <c r="B151" s="5"/>
      <c r="C151" s="7" t="s">
        <v>79</v>
      </c>
      <c r="D151" s="7" t="s">
        <v>126</v>
      </c>
      <c r="E151" s="7">
        <v>36.29</v>
      </c>
      <c r="F151" s="7">
        <v>0.0</v>
      </c>
      <c r="G151" s="7" t="s">
        <v>838</v>
      </c>
      <c r="H151" s="7" t="s">
        <v>554</v>
      </c>
      <c r="I151" s="15">
        <f t="array" ref="I151">INDEX(CC!C:C,MATCH(1,(CC!A:A=H151)*(CC!B:B=J151),0))</f>
        <v>1702</v>
      </c>
      <c r="J151" s="7" t="s">
        <v>25</v>
      </c>
      <c r="K151" s="7">
        <v>36.29</v>
      </c>
    </row>
    <row r="152">
      <c r="A152" s="5"/>
      <c r="B152" s="5"/>
      <c r="C152" s="7" t="s">
        <v>79</v>
      </c>
      <c r="D152" s="7" t="s">
        <v>137</v>
      </c>
      <c r="E152" s="9">
        <v>3999.61</v>
      </c>
      <c r="F152" s="7">
        <v>0.0</v>
      </c>
      <c r="G152" s="7" t="s">
        <v>838</v>
      </c>
      <c r="H152" s="7" t="s">
        <v>554</v>
      </c>
      <c r="I152" s="15">
        <f t="array" ref="I152">INDEX(CC!C:C,MATCH(1,(CC!A:A=H152)*(CC!B:B=J152),0))</f>
        <v>1702</v>
      </c>
      <c r="J152" s="7" t="s">
        <v>25</v>
      </c>
      <c r="K152" s="9">
        <v>3999.61</v>
      </c>
    </row>
    <row r="153">
      <c r="A153" s="5"/>
      <c r="B153" s="7" t="s">
        <v>29</v>
      </c>
      <c r="C153" s="7" t="s">
        <v>331</v>
      </c>
      <c r="D153" s="7" t="s">
        <v>33</v>
      </c>
      <c r="E153" s="7">
        <v>0.01</v>
      </c>
      <c r="F153" s="7">
        <v>0.0</v>
      </c>
      <c r="G153" s="7" t="s">
        <v>877</v>
      </c>
      <c r="H153" s="7" t="s">
        <v>40</v>
      </c>
      <c r="I153" s="15">
        <f t="array" ref="I153">INDEX(CC!C:C,MATCH(1,(CC!A:A=H153)*(CC!B:B=J153),0))</f>
        <v>602</v>
      </c>
      <c r="J153" s="7" t="s">
        <v>25</v>
      </c>
      <c r="K153" s="7">
        <v>0.01</v>
      </c>
    </row>
    <row r="154">
      <c r="A154" s="5"/>
      <c r="B154" s="7" t="s">
        <v>29</v>
      </c>
      <c r="C154" s="7" t="s">
        <v>306</v>
      </c>
      <c r="D154" s="7" t="s">
        <v>33</v>
      </c>
      <c r="E154" s="9">
        <v>5200.0</v>
      </c>
      <c r="F154" s="7">
        <v>0.0</v>
      </c>
      <c r="G154" s="7" t="s">
        <v>883</v>
      </c>
      <c r="H154" s="7" t="s">
        <v>40</v>
      </c>
      <c r="I154" s="15">
        <f t="array" ref="I154">INDEX(CC!C:C,MATCH(1,(CC!A:A=H154)*(CC!B:B=J154),0))</f>
        <v>602</v>
      </c>
      <c r="J154" s="7" t="s">
        <v>25</v>
      </c>
      <c r="K154" s="9">
        <v>5200.0</v>
      </c>
    </row>
    <row r="155">
      <c r="A155" s="5"/>
      <c r="B155" s="7" t="s">
        <v>29</v>
      </c>
      <c r="C155" s="7" t="s">
        <v>331</v>
      </c>
      <c r="D155" s="7" t="s">
        <v>33</v>
      </c>
      <c r="E155" s="7">
        <v>0.01</v>
      </c>
      <c r="F155" s="7">
        <v>0.0</v>
      </c>
      <c r="G155" s="7" t="s">
        <v>887</v>
      </c>
      <c r="H155" s="7" t="s">
        <v>385</v>
      </c>
      <c r="I155" s="15">
        <f t="array" ref="I155">INDEX(CC!C:C,MATCH(1,(CC!A:A=H155)*(CC!B:B=J155),0))</f>
        <v>502</v>
      </c>
      <c r="J155" s="7" t="s">
        <v>25</v>
      </c>
      <c r="K155" s="7">
        <v>0.01</v>
      </c>
    </row>
    <row r="156">
      <c r="A156" s="5"/>
      <c r="B156" s="7" t="s">
        <v>29</v>
      </c>
      <c r="C156" s="7" t="s">
        <v>79</v>
      </c>
      <c r="D156" s="7" t="s">
        <v>307</v>
      </c>
      <c r="E156" s="9">
        <v>1555.35</v>
      </c>
      <c r="F156" s="7">
        <v>0.0</v>
      </c>
      <c r="G156" s="7" t="s">
        <v>889</v>
      </c>
      <c r="H156" s="7" t="s">
        <v>551</v>
      </c>
      <c r="I156" s="15">
        <f t="array" ref="I156">INDEX(CC!C:C,MATCH(1,(CC!A:A=H156)*(CC!B:B=J156),0))</f>
        <v>1202</v>
      </c>
      <c r="J156" s="7" t="s">
        <v>25</v>
      </c>
      <c r="K156" s="9">
        <v>1555.35</v>
      </c>
    </row>
    <row r="157">
      <c r="A157" s="5"/>
      <c r="B157" s="5"/>
      <c r="C157" s="7" t="s">
        <v>79</v>
      </c>
      <c r="D157" s="7" t="s">
        <v>82</v>
      </c>
      <c r="E157" s="7">
        <v>339.06</v>
      </c>
      <c r="F157" s="7">
        <v>0.0</v>
      </c>
      <c r="G157" s="7" t="s">
        <v>889</v>
      </c>
      <c r="H157" s="7" t="s">
        <v>551</v>
      </c>
      <c r="I157" s="15">
        <f t="array" ref="I157">INDEX(CC!C:C,MATCH(1,(CC!A:A=H157)*(CC!B:B=J157),0))</f>
        <v>1202</v>
      </c>
      <c r="J157" s="7" t="s">
        <v>25</v>
      </c>
      <c r="K157" s="7">
        <v>339.06</v>
      </c>
    </row>
    <row r="158">
      <c r="A158" s="5"/>
      <c r="B158" s="5"/>
      <c r="C158" s="7" t="s">
        <v>79</v>
      </c>
      <c r="D158" s="7" t="s">
        <v>890</v>
      </c>
      <c r="E158" s="9">
        <v>10480.35</v>
      </c>
      <c r="F158" s="7">
        <v>0.0</v>
      </c>
      <c r="G158" s="7" t="s">
        <v>889</v>
      </c>
      <c r="H158" s="7" t="s">
        <v>551</v>
      </c>
      <c r="I158" s="15">
        <f t="array" ref="I158">INDEX(CC!C:C,MATCH(1,(CC!A:A=H158)*(CC!B:B=J158),0))</f>
        <v>1203</v>
      </c>
      <c r="J158" s="7" t="s">
        <v>44</v>
      </c>
      <c r="K158" s="9">
        <v>10480.35</v>
      </c>
    </row>
    <row r="159">
      <c r="A159" s="5"/>
      <c r="B159" s="5"/>
      <c r="C159" s="7" t="s">
        <v>79</v>
      </c>
      <c r="D159" s="7" t="s">
        <v>112</v>
      </c>
      <c r="E159" s="9">
        <v>2199.5</v>
      </c>
      <c r="F159" s="7">
        <v>0.0</v>
      </c>
      <c r="G159" s="7" t="s">
        <v>889</v>
      </c>
      <c r="H159" s="7" t="s">
        <v>551</v>
      </c>
      <c r="I159" s="15">
        <f t="array" ref="I159">INDEX(CC!C:C,MATCH(1,(CC!A:A=H159)*(CC!B:B=J159),0))</f>
        <v>1203</v>
      </c>
      <c r="J159" s="7" t="s">
        <v>44</v>
      </c>
      <c r="K159" s="9">
        <v>2199.5</v>
      </c>
    </row>
    <row r="160">
      <c r="A160" s="5"/>
      <c r="B160" s="5"/>
      <c r="C160" s="7" t="s">
        <v>79</v>
      </c>
      <c r="D160" s="7" t="s">
        <v>891</v>
      </c>
      <c r="E160" s="9">
        <v>10480.35</v>
      </c>
      <c r="F160" s="7">
        <v>0.0</v>
      </c>
      <c r="G160" s="7" t="s">
        <v>889</v>
      </c>
      <c r="H160" s="7" t="s">
        <v>551</v>
      </c>
      <c r="I160" s="15">
        <f t="array" ref="I160">INDEX(CC!C:C,MATCH(1,(CC!A:A=H160)*(CC!B:B=J160),0))</f>
        <v>1203</v>
      </c>
      <c r="J160" s="7" t="s">
        <v>44</v>
      </c>
      <c r="K160" s="9">
        <v>10480.35</v>
      </c>
    </row>
    <row r="161">
      <c r="A161" s="5"/>
      <c r="B161" s="5"/>
      <c r="C161" s="7" t="s">
        <v>79</v>
      </c>
      <c r="D161" s="7" t="s">
        <v>892</v>
      </c>
      <c r="E161" s="7">
        <v>500.0</v>
      </c>
      <c r="F161" s="7">
        <v>0.0</v>
      </c>
      <c r="G161" s="7" t="s">
        <v>889</v>
      </c>
      <c r="H161" s="7" t="s">
        <v>551</v>
      </c>
      <c r="I161" s="15">
        <f t="array" ref="I161">INDEX(CC!C:C,MATCH(1,(CC!A:A=H161)*(CC!B:B=J161),0))</f>
        <v>1202</v>
      </c>
      <c r="J161" s="7" t="s">
        <v>25</v>
      </c>
      <c r="K161" s="7">
        <v>500.0</v>
      </c>
    </row>
    <row r="162">
      <c r="A162" s="5"/>
      <c r="B162" s="5"/>
      <c r="C162" s="7" t="s">
        <v>79</v>
      </c>
      <c r="D162" s="7" t="s">
        <v>126</v>
      </c>
      <c r="E162" s="7">
        <v>36.29</v>
      </c>
      <c r="F162" s="7">
        <v>0.0</v>
      </c>
      <c r="G162" s="7" t="s">
        <v>889</v>
      </c>
      <c r="H162" s="7" t="s">
        <v>551</v>
      </c>
      <c r="I162" s="15">
        <f t="array" ref="I162">INDEX(CC!C:C,MATCH(1,(CC!A:A=H162)*(CC!B:B=J162),0))</f>
        <v>1202</v>
      </c>
      <c r="J162" s="7" t="s">
        <v>25</v>
      </c>
      <c r="K162" s="7">
        <v>36.29</v>
      </c>
    </row>
    <row r="163">
      <c r="A163" s="5"/>
      <c r="B163" s="5"/>
      <c r="C163" s="7" t="s">
        <v>79</v>
      </c>
      <c r="D163" s="7" t="s">
        <v>137</v>
      </c>
      <c r="E163" s="9">
        <v>6532.47</v>
      </c>
      <c r="F163" s="7">
        <v>0.0</v>
      </c>
      <c r="G163" s="7" t="s">
        <v>889</v>
      </c>
      <c r="H163" s="7" t="s">
        <v>551</v>
      </c>
      <c r="I163" s="15">
        <f t="array" ref="I163">INDEX(CC!C:C,MATCH(1,(CC!A:A=H163)*(CC!B:B=J163),0))</f>
        <v>1202</v>
      </c>
      <c r="J163" s="7" t="s">
        <v>25</v>
      </c>
      <c r="K163" s="9">
        <v>6532.47</v>
      </c>
    </row>
    <row r="164">
      <c r="A164" s="5"/>
      <c r="B164" s="7" t="s">
        <v>29</v>
      </c>
      <c r="C164" s="7" t="s">
        <v>894</v>
      </c>
      <c r="D164" s="7" t="s">
        <v>895</v>
      </c>
      <c r="E164" s="9">
        <v>783995.0</v>
      </c>
      <c r="F164" s="7">
        <v>0.0</v>
      </c>
      <c r="G164" s="7" t="s">
        <v>896</v>
      </c>
      <c r="H164" s="7" t="s">
        <v>554</v>
      </c>
      <c r="I164" s="15">
        <f t="array" ref="I164">INDEX(CC!C:C,MATCH(1,(CC!A:A=H164)*(CC!B:B=J164),0))</f>
        <v>1702</v>
      </c>
      <c r="J164" s="7" t="s">
        <v>25</v>
      </c>
      <c r="K164" s="9">
        <v>783995.0</v>
      </c>
    </row>
    <row r="165">
      <c r="A165" s="5"/>
      <c r="B165" s="7" t="s">
        <v>29</v>
      </c>
      <c r="C165" s="7" t="s">
        <v>148</v>
      </c>
      <c r="D165" s="7" t="s">
        <v>449</v>
      </c>
      <c r="E165" s="7">
        <v>500.0</v>
      </c>
      <c r="F165" s="7">
        <v>0.0</v>
      </c>
      <c r="G165" s="7" t="s">
        <v>897</v>
      </c>
      <c r="H165" s="7" t="s">
        <v>74</v>
      </c>
      <c r="I165" s="15">
        <f t="array" ref="I165">INDEX(CC!C:C,MATCH(1,(CC!A:A=H165)*(CC!B:B=J165),0))</f>
        <v>1502</v>
      </c>
      <c r="J165" s="7" t="s">
        <v>25</v>
      </c>
      <c r="K165" s="7">
        <v>500.0</v>
      </c>
    </row>
    <row r="166">
      <c r="A166" s="5"/>
      <c r="B166" s="5"/>
      <c r="C166" s="7" t="s">
        <v>148</v>
      </c>
      <c r="D166" s="7" t="s">
        <v>104</v>
      </c>
      <c r="E166" s="9">
        <v>1000.0</v>
      </c>
      <c r="F166" s="7">
        <v>0.0</v>
      </c>
      <c r="G166" s="7" t="s">
        <v>897</v>
      </c>
      <c r="H166" s="7" t="s">
        <v>74</v>
      </c>
      <c r="I166" s="15">
        <f t="array" ref="I166">INDEX(CC!C:C,MATCH(1,(CC!A:A=H166)*(CC!B:B=J166),0))</f>
        <v>1502</v>
      </c>
      <c r="J166" s="7" t="s">
        <v>25</v>
      </c>
      <c r="K166" s="9">
        <v>1000.0</v>
      </c>
    </row>
    <row r="167">
      <c r="A167" s="5"/>
      <c r="B167" s="5"/>
      <c r="C167" s="7" t="s">
        <v>148</v>
      </c>
      <c r="D167" s="7" t="s">
        <v>126</v>
      </c>
      <c r="E167" s="7">
        <v>30.0</v>
      </c>
      <c r="F167" s="7">
        <v>0.0</v>
      </c>
      <c r="G167" s="7" t="s">
        <v>897</v>
      </c>
      <c r="H167" s="7" t="s">
        <v>74</v>
      </c>
      <c r="I167" s="15">
        <f t="array" ref="I167">INDEX(CC!C:C,MATCH(1,(CC!A:A=H167)*(CC!B:B=J167),0))</f>
        <v>1502</v>
      </c>
      <c r="J167" s="7" t="s">
        <v>25</v>
      </c>
      <c r="K167" s="7">
        <v>30.0</v>
      </c>
    </row>
    <row r="168">
      <c r="A168" s="5"/>
      <c r="B168" s="7" t="s">
        <v>29</v>
      </c>
      <c r="C168" s="7" t="s">
        <v>899</v>
      </c>
      <c r="D168" s="7" t="s">
        <v>307</v>
      </c>
      <c r="E168" s="9">
        <v>1700.0</v>
      </c>
      <c r="F168" s="7">
        <v>0.0</v>
      </c>
      <c r="G168" s="7" t="s">
        <v>900</v>
      </c>
      <c r="H168" s="7" t="s">
        <v>55</v>
      </c>
      <c r="I168" s="15">
        <f t="array" ref="I168">INDEX(CC!C:C,MATCH(1,(CC!A:A=H168)*(CC!B:B=J168),0))</f>
        <v>902</v>
      </c>
      <c r="J168" s="7" t="s">
        <v>25</v>
      </c>
      <c r="K168" s="9">
        <v>1700.0</v>
      </c>
    </row>
    <row r="169">
      <c r="A169" s="5"/>
      <c r="B169" s="5"/>
      <c r="C169" s="7" t="s">
        <v>899</v>
      </c>
      <c r="D169" s="7" t="s">
        <v>82</v>
      </c>
      <c r="E169" s="7">
        <v>300.0</v>
      </c>
      <c r="F169" s="7">
        <v>0.0</v>
      </c>
      <c r="G169" s="7" t="s">
        <v>900</v>
      </c>
      <c r="H169" s="7" t="s">
        <v>55</v>
      </c>
      <c r="I169" s="15">
        <f t="array" ref="I169">INDEX(CC!C:C,MATCH(1,(CC!A:A=H169)*(CC!B:B=J169),0))</f>
        <v>902</v>
      </c>
      <c r="J169" s="7" t="s">
        <v>25</v>
      </c>
      <c r="K169" s="7">
        <v>300.0</v>
      </c>
    </row>
    <row r="170">
      <c r="A170" s="5"/>
      <c r="B170" s="5"/>
      <c r="C170" s="7" t="s">
        <v>899</v>
      </c>
      <c r="D170" s="7" t="s">
        <v>199</v>
      </c>
      <c r="E170" s="9">
        <v>5100.05</v>
      </c>
      <c r="F170" s="7">
        <v>0.0</v>
      </c>
      <c r="G170" s="7" t="s">
        <v>900</v>
      </c>
      <c r="H170" s="7" t="s">
        <v>55</v>
      </c>
      <c r="I170" s="15">
        <f t="array" ref="I170">INDEX(CC!C:C,MATCH(1,(CC!A:A=H170)*(CC!B:B=J170),0))</f>
        <v>902</v>
      </c>
      <c r="J170" s="7" t="s">
        <v>25</v>
      </c>
      <c r="K170" s="9">
        <v>5100.05</v>
      </c>
    </row>
    <row r="171">
      <c r="A171" s="5"/>
      <c r="B171" s="5"/>
      <c r="C171" s="7" t="s">
        <v>899</v>
      </c>
      <c r="D171" s="7" t="s">
        <v>901</v>
      </c>
      <c r="E171" s="9">
        <v>2350.0</v>
      </c>
      <c r="F171" s="7">
        <v>0.0</v>
      </c>
      <c r="G171" s="7" t="s">
        <v>900</v>
      </c>
      <c r="H171" s="7" t="s">
        <v>55</v>
      </c>
      <c r="I171" s="15">
        <f t="array" ref="I171">INDEX(CC!C:C,MATCH(1,(CC!A:A=H171)*(CC!B:B=J171),0))</f>
        <v>902</v>
      </c>
      <c r="J171" s="7" t="s">
        <v>25</v>
      </c>
      <c r="K171" s="9">
        <v>2350.0</v>
      </c>
    </row>
    <row r="172">
      <c r="A172" s="5"/>
      <c r="B172" s="5"/>
      <c r="C172" s="7" t="s">
        <v>899</v>
      </c>
      <c r="D172" s="7" t="s">
        <v>104</v>
      </c>
      <c r="E172" s="9">
        <v>2500.0</v>
      </c>
      <c r="F172" s="7">
        <v>0.0</v>
      </c>
      <c r="G172" s="7" t="s">
        <v>900</v>
      </c>
      <c r="H172" s="7" t="s">
        <v>55</v>
      </c>
      <c r="I172" s="15">
        <f t="array" ref="I172">INDEX(CC!C:C,MATCH(1,(CC!A:A=H172)*(CC!B:B=J172),0))</f>
        <v>902</v>
      </c>
      <c r="J172" s="7" t="s">
        <v>25</v>
      </c>
      <c r="K172" s="9">
        <v>2500.0</v>
      </c>
    </row>
    <row r="173">
      <c r="A173" s="5"/>
      <c r="B173" s="5"/>
      <c r="C173" s="7" t="s">
        <v>899</v>
      </c>
      <c r="D173" s="7" t="s">
        <v>126</v>
      </c>
      <c r="E173" s="7">
        <v>35.0</v>
      </c>
      <c r="F173" s="7">
        <v>0.0</v>
      </c>
      <c r="G173" s="7" t="s">
        <v>900</v>
      </c>
      <c r="H173" s="7" t="s">
        <v>55</v>
      </c>
      <c r="I173" s="15">
        <f t="array" ref="I173">INDEX(CC!C:C,MATCH(1,(CC!A:A=H173)*(CC!B:B=J173),0))</f>
        <v>902</v>
      </c>
      <c r="J173" s="7" t="s">
        <v>25</v>
      </c>
      <c r="K173" s="7">
        <v>35.0</v>
      </c>
    </row>
    <row r="174">
      <c r="A174" s="5"/>
      <c r="B174" s="5"/>
      <c r="C174" s="7" t="s">
        <v>899</v>
      </c>
      <c r="D174" s="7" t="s">
        <v>137</v>
      </c>
      <c r="E174" s="9">
        <v>2741.28</v>
      </c>
      <c r="F174" s="7">
        <v>0.0</v>
      </c>
      <c r="G174" s="7" t="s">
        <v>900</v>
      </c>
      <c r="H174" s="7" t="s">
        <v>55</v>
      </c>
      <c r="I174" s="15">
        <f t="array" ref="I174">INDEX(CC!C:C,MATCH(1,(CC!A:A=H174)*(CC!B:B=J174),0))</f>
        <v>902</v>
      </c>
      <c r="J174" s="7" t="s">
        <v>25</v>
      </c>
      <c r="K174" s="9">
        <v>2741.28</v>
      </c>
    </row>
    <row r="175">
      <c r="A175" s="5"/>
      <c r="B175" s="7" t="s">
        <v>29</v>
      </c>
      <c r="C175" s="7" t="s">
        <v>331</v>
      </c>
      <c r="D175" s="7" t="s">
        <v>33</v>
      </c>
      <c r="E175" s="7">
        <v>0.01</v>
      </c>
      <c r="F175" s="7">
        <v>0.0</v>
      </c>
      <c r="G175" s="7" t="s">
        <v>902</v>
      </c>
      <c r="H175" s="7" t="s">
        <v>385</v>
      </c>
      <c r="I175" s="15">
        <f t="array" ref="I175">INDEX(CC!C:C,MATCH(1,(CC!A:A=H175)*(CC!B:B=J175),0))</f>
        <v>502</v>
      </c>
      <c r="J175" s="7" t="s">
        <v>25</v>
      </c>
      <c r="K175" s="7">
        <v>0.01</v>
      </c>
    </row>
    <row r="176">
      <c r="A176" s="5"/>
      <c r="B176" s="7" t="s">
        <v>29</v>
      </c>
      <c r="C176" s="7" t="s">
        <v>405</v>
      </c>
      <c r="D176" s="7" t="s">
        <v>137</v>
      </c>
      <c r="E176" s="9">
        <v>2000.0</v>
      </c>
      <c r="F176" s="7">
        <v>0.0</v>
      </c>
      <c r="G176" s="7" t="s">
        <v>903</v>
      </c>
      <c r="H176" s="7" t="s">
        <v>84</v>
      </c>
      <c r="I176" s="15">
        <f t="array" ref="I176">INDEX(CC!C:C,MATCH(1,(CC!A:A=H176)*(CC!B:B=J176),0))</f>
        <v>1002</v>
      </c>
      <c r="J176" s="7" t="s">
        <v>25</v>
      </c>
      <c r="K176" s="9">
        <v>2000.0</v>
      </c>
    </row>
    <row r="177">
      <c r="A177" s="5"/>
      <c r="B177" s="7" t="s">
        <v>29</v>
      </c>
      <c r="C177" s="7" t="s">
        <v>549</v>
      </c>
      <c r="D177" s="7" t="s">
        <v>126</v>
      </c>
      <c r="E177" s="7">
        <v>35.0</v>
      </c>
      <c r="F177" s="7">
        <v>0.0</v>
      </c>
      <c r="G177" s="7" t="s">
        <v>904</v>
      </c>
      <c r="H177" s="7" t="s">
        <v>551</v>
      </c>
      <c r="I177" s="15">
        <f t="array" ref="I177">INDEX(CC!C:C,MATCH(1,(CC!A:A=H177)*(CC!B:B=J177),0))</f>
        <v>1202</v>
      </c>
      <c r="J177" s="7" t="s">
        <v>25</v>
      </c>
      <c r="K177" s="7">
        <v>35.0</v>
      </c>
    </row>
    <row r="178">
      <c r="A178" s="5"/>
      <c r="B178" s="5"/>
      <c r="C178" s="7" t="s">
        <v>549</v>
      </c>
      <c r="D178" s="7" t="s">
        <v>137</v>
      </c>
      <c r="E178" s="9">
        <v>7911.55</v>
      </c>
      <c r="F178" s="7">
        <v>0.0</v>
      </c>
      <c r="G178" s="7" t="s">
        <v>904</v>
      </c>
      <c r="H178" s="7" t="s">
        <v>551</v>
      </c>
      <c r="I178" s="15">
        <f t="array" ref="I178">INDEX(CC!C:C,MATCH(1,(CC!A:A=H178)*(CC!B:B=J178),0))</f>
        <v>1202</v>
      </c>
      <c r="J178" s="7" t="s">
        <v>25</v>
      </c>
      <c r="K178" s="9">
        <v>7911.55</v>
      </c>
    </row>
    <row r="179">
      <c r="A179" s="5"/>
      <c r="B179" s="7" t="s">
        <v>29</v>
      </c>
      <c r="C179" s="7" t="s">
        <v>148</v>
      </c>
      <c r="D179" s="7" t="s">
        <v>104</v>
      </c>
      <c r="E179" s="9">
        <v>1000.0</v>
      </c>
      <c r="F179" s="7">
        <v>0.0</v>
      </c>
      <c r="G179" s="7" t="s">
        <v>905</v>
      </c>
      <c r="H179" s="7" t="s">
        <v>74</v>
      </c>
      <c r="I179" s="15">
        <f t="array" ref="I179">INDEX(CC!C:C,MATCH(1,(CC!A:A=H179)*(CC!B:B=J179),0))</f>
        <v>1502</v>
      </c>
      <c r="J179" s="7" t="s">
        <v>25</v>
      </c>
      <c r="K179" s="9">
        <v>1000.0</v>
      </c>
    </row>
    <row r="180">
      <c r="A180" s="5"/>
      <c r="B180" s="5"/>
      <c r="C180" s="7" t="s">
        <v>148</v>
      </c>
      <c r="D180" s="7" t="s">
        <v>126</v>
      </c>
      <c r="E180" s="7">
        <v>30.0</v>
      </c>
      <c r="F180" s="7">
        <v>0.0</v>
      </c>
      <c r="G180" s="7" t="s">
        <v>905</v>
      </c>
      <c r="H180" s="7" t="s">
        <v>74</v>
      </c>
      <c r="I180" s="15">
        <f t="array" ref="I180">INDEX(CC!C:C,MATCH(1,(CC!A:A=H180)*(CC!B:B=J180),0))</f>
        <v>1502</v>
      </c>
      <c r="J180" s="7" t="s">
        <v>25</v>
      </c>
      <c r="K180" s="7">
        <v>30.0</v>
      </c>
    </row>
    <row r="181">
      <c r="A181" s="5"/>
      <c r="B181" s="7" t="s">
        <v>29</v>
      </c>
      <c r="C181" s="7" t="s">
        <v>331</v>
      </c>
      <c r="D181" s="7" t="s">
        <v>33</v>
      </c>
      <c r="E181" s="7">
        <v>0.01</v>
      </c>
      <c r="F181" s="7">
        <v>0.0</v>
      </c>
      <c r="G181" s="7" t="s">
        <v>595</v>
      </c>
      <c r="H181" s="7" t="s">
        <v>40</v>
      </c>
      <c r="I181" s="15">
        <f t="array" ref="I181">INDEX(CC!C:C,MATCH(1,(CC!A:A=H181)*(CC!B:B=J181),0))</f>
        <v>602</v>
      </c>
      <c r="J181" s="7" t="s">
        <v>25</v>
      </c>
      <c r="K181" s="7">
        <v>0.01</v>
      </c>
    </row>
    <row r="182">
      <c r="A182" s="5"/>
      <c r="B182" s="7" t="s">
        <v>29</v>
      </c>
      <c r="C182" s="7" t="s">
        <v>331</v>
      </c>
      <c r="D182" s="7" t="s">
        <v>33</v>
      </c>
      <c r="E182" s="7">
        <v>0.01</v>
      </c>
      <c r="F182" s="7">
        <v>0.0</v>
      </c>
      <c r="G182" s="7" t="s">
        <v>906</v>
      </c>
      <c r="H182" s="7" t="s">
        <v>40</v>
      </c>
      <c r="I182" s="15">
        <f t="array" ref="I182">INDEX(CC!C:C,MATCH(1,(CC!A:A=H182)*(CC!B:B=J182),0))</f>
        <v>602</v>
      </c>
      <c r="J182" s="7" t="s">
        <v>25</v>
      </c>
      <c r="K182" s="7">
        <v>0.01</v>
      </c>
    </row>
    <row r="183">
      <c r="A183" s="5"/>
      <c r="B183" s="7" t="s">
        <v>29</v>
      </c>
      <c r="C183" s="7" t="s">
        <v>79</v>
      </c>
      <c r="D183" s="7" t="s">
        <v>307</v>
      </c>
      <c r="E183" s="9">
        <v>1555.35</v>
      </c>
      <c r="F183" s="7">
        <v>0.0</v>
      </c>
      <c r="G183" s="7" t="s">
        <v>907</v>
      </c>
      <c r="H183" s="7" t="s">
        <v>551</v>
      </c>
      <c r="I183" s="15">
        <f t="array" ref="I183">INDEX(CC!C:C,MATCH(1,(CC!A:A=H183)*(CC!B:B=J183),0))</f>
        <v>1202</v>
      </c>
      <c r="J183" s="7" t="s">
        <v>25</v>
      </c>
      <c r="K183" s="9">
        <v>1555.35</v>
      </c>
    </row>
    <row r="184">
      <c r="A184" s="5"/>
      <c r="B184" s="5"/>
      <c r="C184" s="7" t="s">
        <v>79</v>
      </c>
      <c r="D184" s="7" t="s">
        <v>82</v>
      </c>
      <c r="E184" s="7">
        <v>339.06</v>
      </c>
      <c r="F184" s="7">
        <v>0.0</v>
      </c>
      <c r="G184" s="7" t="s">
        <v>907</v>
      </c>
      <c r="H184" s="7" t="s">
        <v>551</v>
      </c>
      <c r="I184" s="15">
        <f t="array" ref="I184">INDEX(CC!C:C,MATCH(1,(CC!A:A=H184)*(CC!B:B=J184),0))</f>
        <v>1202</v>
      </c>
      <c r="J184" s="7" t="s">
        <v>25</v>
      </c>
      <c r="K184" s="7">
        <v>339.06</v>
      </c>
    </row>
    <row r="185">
      <c r="A185" s="5"/>
      <c r="B185" s="5"/>
      <c r="C185" s="7" t="s">
        <v>79</v>
      </c>
      <c r="D185" s="7" t="s">
        <v>112</v>
      </c>
      <c r="E185" s="9">
        <v>18063.11</v>
      </c>
      <c r="F185" s="7">
        <v>0.0</v>
      </c>
      <c r="G185" s="7" t="s">
        <v>907</v>
      </c>
      <c r="H185" s="7" t="s">
        <v>551</v>
      </c>
      <c r="I185" s="15">
        <f t="array" ref="I185">INDEX(CC!C:C,MATCH(1,(CC!A:A=H185)*(CC!B:B=J185),0))</f>
        <v>1203</v>
      </c>
      <c r="J185" s="7" t="s">
        <v>44</v>
      </c>
      <c r="K185" s="9">
        <v>18063.11</v>
      </c>
    </row>
    <row r="186">
      <c r="A186" s="5"/>
      <c r="B186" s="5"/>
      <c r="C186" s="7" t="s">
        <v>79</v>
      </c>
      <c r="D186" s="7" t="s">
        <v>360</v>
      </c>
      <c r="E186" s="9">
        <v>7913.46</v>
      </c>
      <c r="F186" s="7">
        <v>0.0</v>
      </c>
      <c r="G186" s="7" t="s">
        <v>907</v>
      </c>
      <c r="H186" s="7" t="s">
        <v>551</v>
      </c>
      <c r="I186" s="15">
        <f t="array" ref="I186">INDEX(CC!C:C,MATCH(1,(CC!A:A=H186)*(CC!B:B=J186),0))</f>
        <v>1203</v>
      </c>
      <c r="J186" s="7" t="s">
        <v>44</v>
      </c>
      <c r="K186" s="9">
        <v>7913.46</v>
      </c>
    </row>
    <row r="187">
      <c r="A187" s="5"/>
      <c r="B187" s="5"/>
      <c r="C187" s="7" t="s">
        <v>79</v>
      </c>
      <c r="D187" s="7" t="s">
        <v>126</v>
      </c>
      <c r="E187" s="7">
        <v>36.29</v>
      </c>
      <c r="F187" s="7">
        <v>0.0</v>
      </c>
      <c r="G187" s="7" t="s">
        <v>907</v>
      </c>
      <c r="H187" s="7" t="s">
        <v>551</v>
      </c>
      <c r="I187" s="15">
        <f t="array" ref="I187">INDEX(CC!C:C,MATCH(1,(CC!A:A=H187)*(CC!B:B=J187),0))</f>
        <v>1202</v>
      </c>
      <c r="J187" s="7" t="s">
        <v>25</v>
      </c>
      <c r="K187" s="7">
        <v>36.29</v>
      </c>
    </row>
    <row r="188">
      <c r="A188" s="5"/>
      <c r="B188" s="5"/>
      <c r="C188" s="7" t="s">
        <v>79</v>
      </c>
      <c r="D188" s="7" t="s">
        <v>137</v>
      </c>
      <c r="E188" s="9">
        <v>6532.47</v>
      </c>
      <c r="F188" s="7">
        <v>0.0</v>
      </c>
      <c r="G188" s="7" t="s">
        <v>907</v>
      </c>
      <c r="H188" s="7" t="s">
        <v>551</v>
      </c>
      <c r="I188" s="15">
        <f t="array" ref="I188">INDEX(CC!C:C,MATCH(1,(CC!A:A=H188)*(CC!B:B=J188),0))</f>
        <v>1202</v>
      </c>
      <c r="J188" s="7" t="s">
        <v>25</v>
      </c>
      <c r="K188" s="9">
        <v>6532.47</v>
      </c>
    </row>
    <row r="189">
      <c r="A189" s="5"/>
      <c r="B189" s="7" t="s">
        <v>29</v>
      </c>
      <c r="C189" s="7" t="s">
        <v>909</v>
      </c>
      <c r="D189" s="7" t="s">
        <v>137</v>
      </c>
      <c r="E189" s="7">
        <v>500.0</v>
      </c>
      <c r="F189" s="7">
        <v>0.0</v>
      </c>
      <c r="G189" s="7" t="s">
        <v>910</v>
      </c>
      <c r="H189" s="7" t="s">
        <v>84</v>
      </c>
      <c r="I189" s="15">
        <f t="array" ref="I189">INDEX(CC!C:C,MATCH(1,(CC!A:A=H189)*(CC!B:B=J189),0))</f>
        <v>1002</v>
      </c>
      <c r="J189" s="7" t="s">
        <v>25</v>
      </c>
      <c r="K189" s="7">
        <v>500.0</v>
      </c>
    </row>
    <row r="190">
      <c r="A190" s="5"/>
      <c r="B190" s="7" t="s">
        <v>29</v>
      </c>
      <c r="C190" s="7" t="s">
        <v>911</v>
      </c>
      <c r="D190" s="7" t="s">
        <v>112</v>
      </c>
      <c r="E190" s="9">
        <v>24781.62</v>
      </c>
      <c r="F190" s="7">
        <v>0.0</v>
      </c>
      <c r="G190" s="7" t="s">
        <v>912</v>
      </c>
      <c r="H190" s="7" t="s">
        <v>84</v>
      </c>
      <c r="I190" s="15">
        <f t="array" ref="I190">INDEX(CC!C:C,MATCH(1,(CC!A:A=H190)*(CC!B:B=J190),0))</f>
        <v>1002</v>
      </c>
      <c r="J190" s="7" t="s">
        <v>25</v>
      </c>
      <c r="K190" s="9">
        <v>24781.62</v>
      </c>
    </row>
    <row r="191">
      <c r="A191" s="5"/>
      <c r="B191" s="5"/>
      <c r="C191" s="7" t="s">
        <v>911</v>
      </c>
      <c r="D191" s="7" t="s">
        <v>126</v>
      </c>
      <c r="E191" s="9">
        <v>1330.0</v>
      </c>
      <c r="F191" s="7">
        <v>0.0</v>
      </c>
      <c r="G191" s="7" t="s">
        <v>912</v>
      </c>
      <c r="H191" s="7" t="s">
        <v>84</v>
      </c>
      <c r="I191" s="15">
        <f t="array" ref="I191">INDEX(CC!C:C,MATCH(1,(CC!A:A=H191)*(CC!B:B=J191),0))</f>
        <v>1002</v>
      </c>
      <c r="J191" s="7" t="s">
        <v>25</v>
      </c>
      <c r="K191" s="9">
        <v>1330.0</v>
      </c>
    </row>
    <row r="192">
      <c r="A192" s="5"/>
      <c r="B192" s="5"/>
      <c r="C192" s="7" t="s">
        <v>911</v>
      </c>
      <c r="D192" s="7" t="s">
        <v>137</v>
      </c>
      <c r="E192" s="9">
        <v>31647.05</v>
      </c>
      <c r="F192" s="7">
        <v>0.0</v>
      </c>
      <c r="G192" s="7" t="s">
        <v>912</v>
      </c>
      <c r="H192" s="7" t="s">
        <v>84</v>
      </c>
      <c r="I192" s="15">
        <f t="array" ref="I192">INDEX(CC!C:C,MATCH(1,(CC!A:A=H192)*(CC!B:B=J192),0))</f>
        <v>1002</v>
      </c>
      <c r="J192" s="7" t="s">
        <v>25</v>
      </c>
      <c r="K192" s="9">
        <v>31647.05</v>
      </c>
    </row>
    <row r="193">
      <c r="A193" s="5"/>
      <c r="B193" s="7" t="s">
        <v>29</v>
      </c>
      <c r="C193" s="7" t="s">
        <v>549</v>
      </c>
      <c r="D193" s="7" t="s">
        <v>126</v>
      </c>
      <c r="E193" s="7">
        <v>35.0</v>
      </c>
      <c r="F193" s="7">
        <v>0.0</v>
      </c>
      <c r="G193" s="7" t="s">
        <v>913</v>
      </c>
      <c r="H193" s="7" t="s">
        <v>551</v>
      </c>
      <c r="I193" s="15">
        <f t="array" ref="I193">INDEX(CC!C:C,MATCH(1,(CC!A:A=H193)*(CC!B:B=J193),0))</f>
        <v>1202</v>
      </c>
      <c r="J193" s="7" t="s">
        <v>25</v>
      </c>
      <c r="K193" s="7">
        <v>35.0</v>
      </c>
    </row>
    <row r="194">
      <c r="A194" s="5"/>
      <c r="B194" s="5"/>
      <c r="C194" s="7" t="s">
        <v>549</v>
      </c>
      <c r="D194" s="7" t="s">
        <v>137</v>
      </c>
      <c r="E194" s="9">
        <v>4520.88</v>
      </c>
      <c r="F194" s="7">
        <v>0.0</v>
      </c>
      <c r="G194" s="7" t="s">
        <v>913</v>
      </c>
      <c r="H194" s="7" t="s">
        <v>551</v>
      </c>
      <c r="I194" s="15">
        <f t="array" ref="I194">INDEX(CC!C:C,MATCH(1,(CC!A:A=H194)*(CC!B:B=J194),0))</f>
        <v>1202</v>
      </c>
      <c r="J194" s="7" t="s">
        <v>25</v>
      </c>
      <c r="K194" s="9">
        <v>4520.88</v>
      </c>
    </row>
    <row r="195">
      <c r="A195" s="5"/>
      <c r="B195" s="5"/>
      <c r="C195" s="7" t="s">
        <v>549</v>
      </c>
      <c r="D195" s="7" t="s">
        <v>470</v>
      </c>
      <c r="E195" s="9">
        <v>4500.0</v>
      </c>
      <c r="F195" s="7">
        <v>0.0</v>
      </c>
      <c r="G195" s="7" t="s">
        <v>913</v>
      </c>
      <c r="H195" s="7" t="s">
        <v>551</v>
      </c>
      <c r="I195" s="15">
        <f t="array" ref="I195">INDEX(CC!C:C,MATCH(1,(CC!A:A=H195)*(CC!B:B=J195),0))</f>
        <v>1203</v>
      </c>
      <c r="J195" s="7" t="s">
        <v>44</v>
      </c>
      <c r="K195" s="9">
        <v>4500.0</v>
      </c>
    </row>
    <row r="196">
      <c r="A196" s="5"/>
      <c r="B196" s="7" t="s">
        <v>29</v>
      </c>
      <c r="C196" s="7" t="s">
        <v>915</v>
      </c>
      <c r="D196" s="7" t="s">
        <v>112</v>
      </c>
      <c r="E196" s="9">
        <v>4737.41</v>
      </c>
      <c r="F196" s="7">
        <v>0.0</v>
      </c>
      <c r="G196" s="7" t="s">
        <v>916</v>
      </c>
      <c r="H196" s="7" t="s">
        <v>84</v>
      </c>
      <c r="I196" s="15">
        <f t="array" ref="I196">INDEX(CC!C:C,MATCH(1,(CC!A:A=H196)*(CC!B:B=J196),0))</f>
        <v>1002</v>
      </c>
      <c r="J196" s="7" t="s">
        <v>25</v>
      </c>
      <c r="K196" s="9">
        <v>4737.41</v>
      </c>
    </row>
    <row r="197">
      <c r="A197" s="5"/>
      <c r="B197" s="5"/>
      <c r="C197" s="7" t="s">
        <v>915</v>
      </c>
      <c r="D197" s="7" t="s">
        <v>679</v>
      </c>
      <c r="E197" s="7">
        <v>805.0</v>
      </c>
      <c r="F197" s="7">
        <v>0.0</v>
      </c>
      <c r="G197" s="7" t="s">
        <v>916</v>
      </c>
      <c r="H197" s="7" t="s">
        <v>84</v>
      </c>
      <c r="I197" s="15">
        <f t="array" ref="I197">INDEX(CC!C:C,MATCH(1,(CC!A:A=H197)*(CC!B:B=J197),0))</f>
        <v>1002</v>
      </c>
      <c r="J197" s="7" t="s">
        <v>25</v>
      </c>
      <c r="K197" s="7">
        <v>805.0</v>
      </c>
    </row>
    <row r="198">
      <c r="A198" s="5"/>
      <c r="B198" s="5"/>
      <c r="C198" s="7" t="s">
        <v>915</v>
      </c>
      <c r="D198" s="7" t="s">
        <v>137</v>
      </c>
      <c r="E198" s="9">
        <v>11500.0</v>
      </c>
      <c r="F198" s="7">
        <v>0.0</v>
      </c>
      <c r="G198" s="7" t="s">
        <v>916</v>
      </c>
      <c r="H198" s="7" t="s">
        <v>84</v>
      </c>
      <c r="I198" s="15">
        <f t="array" ref="I198">INDEX(CC!C:C,MATCH(1,(CC!A:A=H198)*(CC!B:B=J198),0))</f>
        <v>1002</v>
      </c>
      <c r="J198" s="7" t="s">
        <v>25</v>
      </c>
      <c r="K198" s="9">
        <v>11500.0</v>
      </c>
    </row>
    <row r="199">
      <c r="A199" s="5"/>
      <c r="B199" s="7" t="s">
        <v>29</v>
      </c>
      <c r="C199" s="7" t="s">
        <v>918</v>
      </c>
      <c r="D199" s="7" t="s">
        <v>112</v>
      </c>
      <c r="E199" s="9">
        <v>4111.5</v>
      </c>
      <c r="F199" s="7">
        <v>0.0</v>
      </c>
      <c r="G199" s="7" t="s">
        <v>919</v>
      </c>
      <c r="H199" s="7" t="s">
        <v>84</v>
      </c>
      <c r="I199" s="15">
        <f t="array" ref="I199">INDEX(CC!C:C,MATCH(1,(CC!A:A=H199)*(CC!B:B=J199),0))</f>
        <v>1002</v>
      </c>
      <c r="J199" s="7" t="s">
        <v>25</v>
      </c>
      <c r="K199" s="9">
        <v>4111.5</v>
      </c>
    </row>
    <row r="200">
      <c r="A200" s="5"/>
      <c r="B200" s="5"/>
      <c r="C200" s="7" t="s">
        <v>918</v>
      </c>
      <c r="D200" s="7" t="s">
        <v>137</v>
      </c>
      <c r="E200" s="9">
        <v>3375.24</v>
      </c>
      <c r="F200" s="7">
        <v>0.0</v>
      </c>
      <c r="G200" s="7" t="s">
        <v>919</v>
      </c>
      <c r="H200" s="7" t="s">
        <v>84</v>
      </c>
      <c r="I200" s="15">
        <f t="array" ref="I200">INDEX(CC!C:C,MATCH(1,(CC!A:A=H200)*(CC!B:B=J200),0))</f>
        <v>1002</v>
      </c>
      <c r="J200" s="7" t="s">
        <v>25</v>
      </c>
      <c r="K200" s="9">
        <v>3375.24</v>
      </c>
    </row>
    <row r="201">
      <c r="A201" s="5"/>
      <c r="B201" s="7" t="s">
        <v>29</v>
      </c>
      <c r="C201" s="7" t="s">
        <v>618</v>
      </c>
      <c r="D201" s="7" t="s">
        <v>307</v>
      </c>
      <c r="E201" s="9">
        <v>1555.35</v>
      </c>
      <c r="F201" s="7">
        <v>0.0</v>
      </c>
      <c r="G201" s="7" t="s">
        <v>921</v>
      </c>
      <c r="H201" s="7" t="s">
        <v>551</v>
      </c>
      <c r="I201" s="15">
        <f t="array" ref="I201">INDEX(CC!C:C,MATCH(1,(CC!A:A=H201)*(CC!B:B=J201),0))</f>
        <v>1202</v>
      </c>
      <c r="J201" s="7" t="s">
        <v>25</v>
      </c>
      <c r="K201" s="9">
        <v>1555.35</v>
      </c>
    </row>
    <row r="202">
      <c r="A202" s="5"/>
      <c r="B202" s="5"/>
      <c r="C202" s="7" t="s">
        <v>618</v>
      </c>
      <c r="D202" s="7" t="s">
        <v>82</v>
      </c>
      <c r="E202" s="7">
        <v>339.07</v>
      </c>
      <c r="F202" s="7">
        <v>0.0</v>
      </c>
      <c r="G202" s="7" t="s">
        <v>921</v>
      </c>
      <c r="H202" s="7" t="s">
        <v>551</v>
      </c>
      <c r="I202" s="15">
        <f t="array" ref="I202">INDEX(CC!C:C,MATCH(1,(CC!A:A=H202)*(CC!B:B=J202),0))</f>
        <v>1202</v>
      </c>
      <c r="J202" s="7" t="s">
        <v>25</v>
      </c>
      <c r="K202" s="7">
        <v>339.07</v>
      </c>
    </row>
    <row r="203">
      <c r="A203" s="5"/>
      <c r="B203" s="5"/>
      <c r="C203" s="7" t="s">
        <v>618</v>
      </c>
      <c r="D203" s="7" t="s">
        <v>112</v>
      </c>
      <c r="E203" s="9">
        <v>8504.64</v>
      </c>
      <c r="F203" s="7">
        <v>0.0</v>
      </c>
      <c r="G203" s="7" t="s">
        <v>921</v>
      </c>
      <c r="H203" s="7" t="s">
        <v>551</v>
      </c>
      <c r="I203" s="15">
        <f t="array" ref="I203">INDEX(CC!C:C,MATCH(1,(CC!A:A=H203)*(CC!B:B=J203),0))</f>
        <v>1203</v>
      </c>
      <c r="J203" s="7" t="s">
        <v>44</v>
      </c>
      <c r="K203" s="9">
        <v>8504.64</v>
      </c>
    </row>
    <row r="204">
      <c r="A204" s="5"/>
      <c r="B204" s="5"/>
      <c r="C204" s="7" t="s">
        <v>618</v>
      </c>
      <c r="D204" s="7" t="s">
        <v>855</v>
      </c>
      <c r="E204" s="9">
        <v>1618.65</v>
      </c>
      <c r="F204" s="7">
        <v>0.0</v>
      </c>
      <c r="G204" s="7" t="s">
        <v>921</v>
      </c>
      <c r="H204" s="7" t="s">
        <v>551</v>
      </c>
      <c r="I204" s="15">
        <f t="array" ref="I204">INDEX(CC!C:C,MATCH(1,(CC!A:A=H204)*(CC!B:B=J204),0))</f>
        <v>1203</v>
      </c>
      <c r="J204" s="7" t="s">
        <v>44</v>
      </c>
      <c r="K204" s="9">
        <v>1618.65</v>
      </c>
    </row>
    <row r="205">
      <c r="A205" s="5"/>
      <c r="B205" s="5"/>
      <c r="C205" s="7" t="s">
        <v>618</v>
      </c>
      <c r="D205" s="7" t="s">
        <v>360</v>
      </c>
      <c r="E205" s="9">
        <v>8104.15</v>
      </c>
      <c r="F205" s="7">
        <v>0.0</v>
      </c>
      <c r="G205" s="7" t="s">
        <v>921</v>
      </c>
      <c r="H205" s="7" t="s">
        <v>551</v>
      </c>
      <c r="I205" s="15">
        <f t="array" ref="I205">INDEX(CC!C:C,MATCH(1,(CC!A:A=H205)*(CC!B:B=J205),0))</f>
        <v>1202</v>
      </c>
      <c r="J205" s="7" t="s">
        <v>25</v>
      </c>
      <c r="K205" s="9">
        <v>8104.15</v>
      </c>
    </row>
    <row r="206">
      <c r="A206" s="5"/>
      <c r="B206" s="5"/>
      <c r="C206" s="7" t="s">
        <v>618</v>
      </c>
      <c r="D206" s="7" t="s">
        <v>925</v>
      </c>
      <c r="E206" s="9">
        <v>1600.0</v>
      </c>
      <c r="F206" s="7">
        <v>0.0</v>
      </c>
      <c r="G206" s="7" t="s">
        <v>921</v>
      </c>
      <c r="H206" s="7" t="s">
        <v>551</v>
      </c>
      <c r="I206" s="15">
        <f t="array" ref="I206">INDEX(CC!C:C,MATCH(1,(CC!A:A=H206)*(CC!B:B=J206),0))</f>
        <v>1202</v>
      </c>
      <c r="J206" s="7" t="s">
        <v>25</v>
      </c>
      <c r="K206" s="9">
        <v>1600.0</v>
      </c>
    </row>
    <row r="207">
      <c r="A207" s="5"/>
      <c r="B207" s="5"/>
      <c r="C207" s="7" t="s">
        <v>618</v>
      </c>
      <c r="D207" s="7" t="s">
        <v>126</v>
      </c>
      <c r="E207" s="7">
        <v>36.29</v>
      </c>
      <c r="F207" s="7">
        <v>0.0</v>
      </c>
      <c r="G207" s="7" t="s">
        <v>921</v>
      </c>
      <c r="H207" s="7" t="s">
        <v>551</v>
      </c>
      <c r="I207" s="15">
        <f t="array" ref="I207">INDEX(CC!C:C,MATCH(1,(CC!A:A=H207)*(CC!B:B=J207),0))</f>
        <v>1202</v>
      </c>
      <c r="J207" s="7" t="s">
        <v>25</v>
      </c>
      <c r="K207" s="7">
        <v>36.29</v>
      </c>
    </row>
    <row r="208">
      <c r="A208" s="5"/>
      <c r="B208" s="5"/>
      <c r="C208" s="7" t="s">
        <v>618</v>
      </c>
      <c r="D208" s="7" t="s">
        <v>137</v>
      </c>
      <c r="E208" s="9">
        <v>7076.84</v>
      </c>
      <c r="F208" s="7">
        <v>0.0</v>
      </c>
      <c r="G208" s="7" t="s">
        <v>921</v>
      </c>
      <c r="H208" s="7" t="s">
        <v>551</v>
      </c>
      <c r="I208" s="15">
        <f t="array" ref="I208">INDEX(CC!C:C,MATCH(1,(CC!A:A=H208)*(CC!B:B=J208),0))</f>
        <v>1202</v>
      </c>
      <c r="J208" s="7" t="s">
        <v>25</v>
      </c>
      <c r="K208" s="9">
        <v>7076.84</v>
      </c>
    </row>
    <row r="209">
      <c r="A209" s="5"/>
      <c r="B209" s="7" t="s">
        <v>29</v>
      </c>
      <c r="C209" s="7" t="s">
        <v>32</v>
      </c>
      <c r="D209" s="7" t="s">
        <v>33</v>
      </c>
      <c r="E209" s="9">
        <v>4150.0</v>
      </c>
      <c r="F209" s="7">
        <v>0.0</v>
      </c>
      <c r="G209" s="7" t="s">
        <v>927</v>
      </c>
      <c r="H209" s="7" t="s">
        <v>40</v>
      </c>
      <c r="I209" s="15">
        <f t="array" ref="I209">INDEX(CC!C:C,MATCH(1,(CC!A:A=H209)*(CC!B:B=J209),0))</f>
        <v>602</v>
      </c>
      <c r="J209" s="7" t="s">
        <v>25</v>
      </c>
      <c r="K209" s="9">
        <v>4150.0</v>
      </c>
    </row>
    <row r="210">
      <c r="A210" s="5"/>
      <c r="B210" s="7" t="s">
        <v>29</v>
      </c>
      <c r="C210" s="7" t="s">
        <v>32</v>
      </c>
      <c r="D210" s="7" t="s">
        <v>307</v>
      </c>
      <c r="E210" s="7">
        <v>945.65</v>
      </c>
      <c r="F210" s="7">
        <v>0.0</v>
      </c>
      <c r="G210" s="7" t="s">
        <v>927</v>
      </c>
      <c r="H210" s="7" t="s">
        <v>74</v>
      </c>
      <c r="I210" s="15">
        <f t="array" ref="I210">INDEX(CC!C:C,MATCH(1,(CC!A:A=H210)*(CC!B:B=J210),0))</f>
        <v>1502</v>
      </c>
      <c r="J210" s="7" t="s">
        <v>25</v>
      </c>
      <c r="K210" s="7">
        <v>945.65</v>
      </c>
    </row>
    <row r="211">
      <c r="A211" s="5"/>
      <c r="B211" s="5"/>
      <c r="C211" s="7" t="s">
        <v>32</v>
      </c>
      <c r="D211" s="7" t="s">
        <v>82</v>
      </c>
      <c r="E211" s="7">
        <v>362.91</v>
      </c>
      <c r="F211" s="7">
        <v>0.0</v>
      </c>
      <c r="G211" s="7" t="s">
        <v>927</v>
      </c>
      <c r="H211" s="7" t="s">
        <v>74</v>
      </c>
      <c r="I211" s="15">
        <f t="array" ref="I211">INDEX(CC!C:C,MATCH(1,(CC!A:A=H211)*(CC!B:B=J211),0))</f>
        <v>1502</v>
      </c>
      <c r="J211" s="7" t="s">
        <v>25</v>
      </c>
      <c r="K211" s="7">
        <v>362.91</v>
      </c>
    </row>
    <row r="212">
      <c r="A212" s="5"/>
      <c r="B212" s="5"/>
      <c r="C212" s="7" t="s">
        <v>32</v>
      </c>
      <c r="D212" s="7" t="s">
        <v>199</v>
      </c>
      <c r="E212" s="9">
        <v>1536.68</v>
      </c>
      <c r="F212" s="7">
        <v>0.0</v>
      </c>
      <c r="G212" s="7" t="s">
        <v>927</v>
      </c>
      <c r="H212" s="7" t="s">
        <v>74</v>
      </c>
      <c r="I212" s="15">
        <f t="array" ref="I212">INDEX(CC!C:C,MATCH(1,(CC!A:A=H212)*(CC!B:B=J212),0))</f>
        <v>1502</v>
      </c>
      <c r="J212" s="7" t="s">
        <v>25</v>
      </c>
      <c r="K212" s="9">
        <v>1536.68</v>
      </c>
    </row>
    <row r="213">
      <c r="A213" s="5"/>
      <c r="B213" s="5"/>
      <c r="C213" s="7" t="s">
        <v>32</v>
      </c>
      <c r="D213" s="7" t="s">
        <v>104</v>
      </c>
      <c r="E213" s="9">
        <v>1500.0</v>
      </c>
      <c r="F213" s="7">
        <v>0.0</v>
      </c>
      <c r="G213" s="7" t="s">
        <v>927</v>
      </c>
      <c r="H213" s="7" t="s">
        <v>74</v>
      </c>
      <c r="I213" s="15">
        <f t="array" ref="I213">INDEX(CC!C:C,MATCH(1,(CC!A:A=H213)*(CC!B:B=J213),0))</f>
        <v>1502</v>
      </c>
      <c r="J213" s="7" t="s">
        <v>25</v>
      </c>
      <c r="K213" s="9">
        <v>1500.0</v>
      </c>
    </row>
    <row r="214">
      <c r="A214" s="5"/>
      <c r="B214" s="5"/>
      <c r="C214" s="7" t="s">
        <v>32</v>
      </c>
      <c r="D214" s="7" t="s">
        <v>112</v>
      </c>
      <c r="E214" s="9">
        <v>5681.16</v>
      </c>
      <c r="F214" s="7">
        <v>0.0</v>
      </c>
      <c r="G214" s="7" t="s">
        <v>927</v>
      </c>
      <c r="H214" s="7" t="s">
        <v>74</v>
      </c>
      <c r="I214" s="15">
        <f t="array" ref="I214">INDEX(CC!C:C,MATCH(1,(CC!A:A=H214)*(CC!B:B=J214),0))</f>
        <v>1503</v>
      </c>
      <c r="J214" s="7" t="s">
        <v>44</v>
      </c>
      <c r="K214" s="9">
        <v>5681.16</v>
      </c>
    </row>
    <row r="215">
      <c r="A215" s="5"/>
      <c r="B215" s="5"/>
      <c r="C215" s="7" t="s">
        <v>32</v>
      </c>
      <c r="D215" s="7" t="s">
        <v>126</v>
      </c>
      <c r="E215" s="7">
        <v>36.29</v>
      </c>
      <c r="F215" s="7">
        <v>0.0</v>
      </c>
      <c r="G215" s="7" t="s">
        <v>927</v>
      </c>
      <c r="H215" s="7" t="s">
        <v>74</v>
      </c>
      <c r="I215" s="15">
        <f t="array" ref="I215">INDEX(CC!C:C,MATCH(1,(CC!A:A=H215)*(CC!B:B=J215),0))</f>
        <v>1502</v>
      </c>
      <c r="J215" s="7" t="s">
        <v>25</v>
      </c>
      <c r="K215" s="7">
        <v>36.29</v>
      </c>
    </row>
    <row r="216">
      <c r="A216" s="5"/>
      <c r="B216" s="5"/>
      <c r="C216" s="7" t="s">
        <v>32</v>
      </c>
      <c r="D216" s="7" t="s">
        <v>137</v>
      </c>
      <c r="E216" s="7">
        <v>827.44</v>
      </c>
      <c r="F216" s="7">
        <v>0.0</v>
      </c>
      <c r="G216" s="7" t="s">
        <v>927</v>
      </c>
      <c r="H216" s="7" t="s">
        <v>74</v>
      </c>
      <c r="I216" s="15">
        <f t="array" ref="I216">INDEX(CC!C:C,MATCH(1,(CC!A:A=H216)*(CC!B:B=J216),0))</f>
        <v>1502</v>
      </c>
      <c r="J216" s="7" t="s">
        <v>25</v>
      </c>
      <c r="K216" s="7">
        <v>827.44</v>
      </c>
    </row>
    <row r="217">
      <c r="A217" s="5"/>
      <c r="B217" s="7" t="s">
        <v>29</v>
      </c>
      <c r="C217" s="7" t="s">
        <v>930</v>
      </c>
      <c r="D217" s="7" t="s">
        <v>307</v>
      </c>
      <c r="E217" s="9">
        <v>1730.71</v>
      </c>
      <c r="F217" s="7">
        <v>0.0</v>
      </c>
      <c r="G217" s="7" t="s">
        <v>931</v>
      </c>
      <c r="H217" s="7" t="s">
        <v>554</v>
      </c>
      <c r="I217" s="15">
        <f t="array" ref="I217">INDEX(CC!C:C,MATCH(1,(CC!A:A=H217)*(CC!B:B=J217),0))</f>
        <v>1702</v>
      </c>
      <c r="J217" s="7" t="s">
        <v>25</v>
      </c>
      <c r="K217" s="9">
        <v>1730.71</v>
      </c>
    </row>
    <row r="218">
      <c r="A218" s="5"/>
      <c r="B218" s="5"/>
      <c r="C218" s="7" t="s">
        <v>930</v>
      </c>
      <c r="D218" s="7" t="s">
        <v>82</v>
      </c>
      <c r="E218" s="7">
        <v>324.51</v>
      </c>
      <c r="F218" s="7">
        <v>0.0</v>
      </c>
      <c r="G218" s="7" t="s">
        <v>931</v>
      </c>
      <c r="H218" s="7" t="s">
        <v>554</v>
      </c>
      <c r="I218" s="15">
        <f t="array" ref="I218">INDEX(CC!C:C,MATCH(1,(CC!A:A=H218)*(CC!B:B=J218),0))</f>
        <v>1702</v>
      </c>
      <c r="J218" s="7" t="s">
        <v>25</v>
      </c>
      <c r="K218" s="7">
        <v>324.51</v>
      </c>
    </row>
    <row r="219">
      <c r="A219" s="5"/>
      <c r="B219" s="5"/>
      <c r="C219" s="7" t="s">
        <v>930</v>
      </c>
      <c r="D219" s="7" t="s">
        <v>199</v>
      </c>
      <c r="E219" s="9">
        <v>1841.03</v>
      </c>
      <c r="F219" s="7">
        <v>0.0</v>
      </c>
      <c r="G219" s="7" t="s">
        <v>931</v>
      </c>
      <c r="H219" s="7" t="s">
        <v>554</v>
      </c>
      <c r="I219" s="15">
        <f t="array" ref="I219">INDEX(CC!C:C,MATCH(1,(CC!A:A=H219)*(CC!B:B=J219),0))</f>
        <v>1702</v>
      </c>
      <c r="J219" s="7" t="s">
        <v>25</v>
      </c>
      <c r="K219" s="9">
        <v>1841.03</v>
      </c>
    </row>
    <row r="220">
      <c r="A220" s="5"/>
      <c r="B220" s="5"/>
      <c r="C220" s="7" t="s">
        <v>930</v>
      </c>
      <c r="D220" s="7" t="s">
        <v>104</v>
      </c>
      <c r="E220" s="9">
        <v>2500.0</v>
      </c>
      <c r="F220" s="7">
        <v>0.0</v>
      </c>
      <c r="G220" s="7" t="s">
        <v>931</v>
      </c>
      <c r="H220" s="7" t="s">
        <v>554</v>
      </c>
      <c r="I220" s="15">
        <f t="array" ref="I220">INDEX(CC!C:C,MATCH(1,(CC!A:A=H220)*(CC!B:B=J220),0))</f>
        <v>1702</v>
      </c>
      <c r="J220" s="7" t="s">
        <v>25</v>
      </c>
      <c r="K220" s="9">
        <v>2500.0</v>
      </c>
    </row>
    <row r="221">
      <c r="A221" s="5"/>
      <c r="B221" s="5"/>
      <c r="C221" s="7" t="s">
        <v>930</v>
      </c>
      <c r="D221" s="7" t="s">
        <v>126</v>
      </c>
      <c r="E221" s="7">
        <v>35.0</v>
      </c>
      <c r="F221" s="7">
        <v>0.0</v>
      </c>
      <c r="G221" s="7" t="s">
        <v>931</v>
      </c>
      <c r="H221" s="7" t="s">
        <v>554</v>
      </c>
      <c r="I221" s="15">
        <f t="array" ref="I221">INDEX(CC!C:C,MATCH(1,(CC!A:A=H221)*(CC!B:B=J221),0))</f>
        <v>1702</v>
      </c>
      <c r="J221" s="7" t="s">
        <v>25</v>
      </c>
      <c r="K221" s="7">
        <v>35.0</v>
      </c>
    </row>
    <row r="222">
      <c r="A222" s="5"/>
      <c r="B222" s="5"/>
      <c r="C222" s="7" t="s">
        <v>930</v>
      </c>
      <c r="D222" s="7" t="s">
        <v>137</v>
      </c>
      <c r="E222" s="9">
        <v>3894.1</v>
      </c>
      <c r="F222" s="7">
        <v>0.0</v>
      </c>
      <c r="G222" s="7" t="s">
        <v>931</v>
      </c>
      <c r="H222" s="7" t="s">
        <v>554</v>
      </c>
      <c r="I222" s="15">
        <f t="array" ref="I222">INDEX(CC!C:C,MATCH(1,(CC!A:A=H222)*(CC!B:B=J222),0))</f>
        <v>1702</v>
      </c>
      <c r="J222" s="7" t="s">
        <v>25</v>
      </c>
      <c r="K222" s="9">
        <v>3894.1</v>
      </c>
    </row>
    <row r="223">
      <c r="A223" s="5"/>
      <c r="B223" s="5"/>
      <c r="C223" s="7" t="s">
        <v>930</v>
      </c>
      <c r="D223" s="7" t="s">
        <v>934</v>
      </c>
      <c r="E223" s="7">
        <v>995.0</v>
      </c>
      <c r="F223" s="7">
        <v>0.0</v>
      </c>
      <c r="G223" s="7" t="s">
        <v>931</v>
      </c>
      <c r="H223" s="7" t="s">
        <v>554</v>
      </c>
      <c r="I223" s="15">
        <f t="array" ref="I223">INDEX(CC!C:C,MATCH(1,(CC!A:A=H223)*(CC!B:B=J223),0))</f>
        <v>1702</v>
      </c>
      <c r="J223" s="7" t="s">
        <v>25</v>
      </c>
      <c r="K223" s="7">
        <v>995.0</v>
      </c>
    </row>
    <row r="224">
      <c r="A224" s="5"/>
      <c r="B224" s="7" t="s">
        <v>29</v>
      </c>
      <c r="C224" s="7" t="s">
        <v>936</v>
      </c>
      <c r="D224" s="7" t="s">
        <v>307</v>
      </c>
      <c r="E224" s="9">
        <v>1800.0</v>
      </c>
      <c r="F224" s="7">
        <v>0.0</v>
      </c>
      <c r="G224" s="7" t="s">
        <v>937</v>
      </c>
      <c r="H224" s="7" t="s">
        <v>539</v>
      </c>
      <c r="I224" s="15">
        <f t="array" ref="I224">INDEX(CC!C:C,MATCH(1,(CC!A:A=H224)*(CC!B:B=J224),0))</f>
        <v>1302</v>
      </c>
      <c r="J224" s="7" t="s">
        <v>25</v>
      </c>
      <c r="K224" s="9">
        <v>1800.0</v>
      </c>
    </row>
    <row r="225">
      <c r="A225" s="5"/>
      <c r="B225" s="5"/>
      <c r="C225" s="7" t="s">
        <v>936</v>
      </c>
      <c r="D225" s="7" t="s">
        <v>82</v>
      </c>
      <c r="E225" s="7">
        <v>700.0</v>
      </c>
      <c r="F225" s="7">
        <v>0.0</v>
      </c>
      <c r="G225" s="7" t="s">
        <v>937</v>
      </c>
      <c r="H225" s="7" t="s">
        <v>539</v>
      </c>
      <c r="I225" s="15">
        <f t="array" ref="I225">INDEX(CC!C:C,MATCH(1,(CC!A:A=H225)*(CC!B:B=J225),0))</f>
        <v>1302</v>
      </c>
      <c r="J225" s="7" t="s">
        <v>25</v>
      </c>
      <c r="K225" s="7">
        <v>700.0</v>
      </c>
    </row>
    <row r="226">
      <c r="A226" s="5"/>
      <c r="B226" s="5"/>
      <c r="C226" s="7" t="s">
        <v>936</v>
      </c>
      <c r="D226" s="7" t="s">
        <v>199</v>
      </c>
      <c r="E226" s="9">
        <v>3500.0</v>
      </c>
      <c r="F226" s="7">
        <v>0.0</v>
      </c>
      <c r="G226" s="7" t="s">
        <v>937</v>
      </c>
      <c r="H226" s="7" t="s">
        <v>539</v>
      </c>
      <c r="I226" s="15">
        <f t="array" ref="I226">INDEX(CC!C:C,MATCH(1,(CC!A:A=H226)*(CC!B:B=J226),0))</f>
        <v>1302</v>
      </c>
      <c r="J226" s="7" t="s">
        <v>25</v>
      </c>
      <c r="K226" s="9">
        <v>3500.0</v>
      </c>
    </row>
    <row r="227">
      <c r="A227" s="5"/>
      <c r="B227" s="5"/>
      <c r="C227" s="7" t="s">
        <v>936</v>
      </c>
      <c r="D227" s="7" t="s">
        <v>348</v>
      </c>
      <c r="E227" s="7">
        <v>500.0</v>
      </c>
      <c r="F227" s="7">
        <v>0.0</v>
      </c>
      <c r="G227" s="7" t="s">
        <v>937</v>
      </c>
      <c r="H227" s="7" t="s">
        <v>539</v>
      </c>
      <c r="I227" s="15">
        <f t="array" ref="I227">INDEX(CC!C:C,MATCH(1,(CC!A:A=H227)*(CC!B:B=J227),0))</f>
        <v>1302</v>
      </c>
      <c r="J227" s="7" t="s">
        <v>25</v>
      </c>
      <c r="K227" s="7">
        <v>500.0</v>
      </c>
    </row>
    <row r="228">
      <c r="A228" s="5"/>
      <c r="B228" s="5"/>
      <c r="C228" s="7" t="s">
        <v>936</v>
      </c>
      <c r="D228" s="7" t="s">
        <v>938</v>
      </c>
      <c r="E228" s="7">
        <v>500.0</v>
      </c>
      <c r="F228" s="7">
        <v>0.0</v>
      </c>
      <c r="G228" s="7" t="s">
        <v>937</v>
      </c>
      <c r="H228" s="7" t="s">
        <v>539</v>
      </c>
      <c r="I228" s="15">
        <f t="array" ref="I228">INDEX(CC!C:C,MATCH(1,(CC!A:A=H228)*(CC!B:B=J228),0))</f>
        <v>1302</v>
      </c>
      <c r="J228" s="7" t="s">
        <v>25</v>
      </c>
      <c r="K228" s="7">
        <v>500.0</v>
      </c>
    </row>
    <row r="229">
      <c r="A229" s="5"/>
      <c r="B229" s="5"/>
      <c r="C229" s="7" t="s">
        <v>936</v>
      </c>
      <c r="D229" s="7" t="s">
        <v>126</v>
      </c>
      <c r="E229" s="7">
        <v>35.0</v>
      </c>
      <c r="F229" s="7">
        <v>0.0</v>
      </c>
      <c r="G229" s="7" t="s">
        <v>937</v>
      </c>
      <c r="H229" s="7" t="s">
        <v>539</v>
      </c>
      <c r="I229" s="15">
        <f t="array" ref="I229">INDEX(CC!C:C,MATCH(1,(CC!A:A=H229)*(CC!B:B=J229),0))</f>
        <v>1302</v>
      </c>
      <c r="J229" s="7" t="s">
        <v>25</v>
      </c>
      <c r="K229" s="7">
        <v>35.0</v>
      </c>
    </row>
    <row r="230">
      <c r="A230" s="5"/>
      <c r="B230" s="5"/>
      <c r="C230" s="7" t="s">
        <v>936</v>
      </c>
      <c r="D230" s="7" t="s">
        <v>137</v>
      </c>
      <c r="E230" s="9">
        <v>3300.0</v>
      </c>
      <c r="F230" s="7">
        <v>0.0</v>
      </c>
      <c r="G230" s="7" t="s">
        <v>937</v>
      </c>
      <c r="H230" s="7" t="s">
        <v>539</v>
      </c>
      <c r="I230" s="15">
        <f t="array" ref="I230">INDEX(CC!C:C,MATCH(1,(CC!A:A=H230)*(CC!B:B=J230),0))</f>
        <v>1302</v>
      </c>
      <c r="J230" s="7" t="s">
        <v>25</v>
      </c>
      <c r="K230" s="9">
        <v>3300.0</v>
      </c>
    </row>
    <row r="231">
      <c r="A231" s="5"/>
      <c r="B231" s="5"/>
      <c r="C231" s="7" t="s">
        <v>936</v>
      </c>
      <c r="D231" s="7" t="s">
        <v>104</v>
      </c>
      <c r="E231" s="9">
        <v>2500.0</v>
      </c>
      <c r="F231" s="7">
        <v>0.0</v>
      </c>
      <c r="G231" s="7" t="s">
        <v>937</v>
      </c>
      <c r="H231" s="7" t="s">
        <v>539</v>
      </c>
      <c r="I231" s="15">
        <f t="array" ref="I231">INDEX(CC!C:C,MATCH(1,(CC!A:A=H231)*(CC!B:B=J231),0))</f>
        <v>1302</v>
      </c>
      <c r="J231" s="7" t="s">
        <v>25</v>
      </c>
      <c r="K231" s="9">
        <v>2500.0</v>
      </c>
    </row>
    <row r="232">
      <c r="A232" s="5"/>
      <c r="B232" s="7" t="s">
        <v>29</v>
      </c>
      <c r="C232" s="7" t="s">
        <v>940</v>
      </c>
      <c r="D232" s="7" t="s">
        <v>33</v>
      </c>
      <c r="E232" s="9">
        <v>4200.0</v>
      </c>
      <c r="F232" s="7">
        <v>0.0</v>
      </c>
      <c r="G232" s="7" t="s">
        <v>941</v>
      </c>
      <c r="H232" s="7" t="s">
        <v>40</v>
      </c>
      <c r="I232" s="15">
        <f t="array" ref="I232">INDEX(CC!C:C,MATCH(1,(CC!A:A=H232)*(CC!B:B=J232),0))</f>
        <v>602</v>
      </c>
      <c r="J232" s="7" t="s">
        <v>25</v>
      </c>
      <c r="K232" s="9">
        <v>4200.0</v>
      </c>
    </row>
    <row r="233">
      <c r="A233" s="5"/>
      <c r="B233" s="7" t="s">
        <v>29</v>
      </c>
      <c r="C233" s="7" t="s">
        <v>699</v>
      </c>
      <c r="D233" s="7" t="s">
        <v>565</v>
      </c>
      <c r="E233" s="9">
        <v>4749.72</v>
      </c>
      <c r="F233" s="7">
        <v>0.0</v>
      </c>
      <c r="G233" s="7" t="s">
        <v>943</v>
      </c>
      <c r="H233" s="7" t="s">
        <v>539</v>
      </c>
      <c r="I233" s="15">
        <f t="array" ref="I233">INDEX(CC!C:C,MATCH(1,(CC!A:A=H233)*(CC!B:B=J233),0))</f>
        <v>1302</v>
      </c>
      <c r="J233" s="7" t="s">
        <v>25</v>
      </c>
      <c r="K233" s="9">
        <v>4749.72</v>
      </c>
    </row>
    <row r="234">
      <c r="A234" s="5"/>
      <c r="B234" s="5"/>
      <c r="C234" s="7" t="s">
        <v>699</v>
      </c>
      <c r="D234" s="7" t="s">
        <v>566</v>
      </c>
      <c r="E234" s="7">
        <v>518.15</v>
      </c>
      <c r="F234" s="7">
        <v>0.0</v>
      </c>
      <c r="G234" s="7" t="s">
        <v>943</v>
      </c>
      <c r="H234" s="7" t="s">
        <v>539</v>
      </c>
      <c r="I234" s="15">
        <f t="array" ref="I234">INDEX(CC!C:C,MATCH(1,(CC!A:A=H234)*(CC!B:B=J234),0))</f>
        <v>1302</v>
      </c>
      <c r="J234" s="7" t="s">
        <v>25</v>
      </c>
      <c r="K234" s="7">
        <v>518.15</v>
      </c>
    </row>
    <row r="235">
      <c r="A235" s="5"/>
      <c r="B235" s="5"/>
      <c r="C235" s="7" t="s">
        <v>699</v>
      </c>
      <c r="D235" s="7" t="s">
        <v>126</v>
      </c>
      <c r="E235" s="7">
        <v>21.8</v>
      </c>
      <c r="F235" s="7">
        <v>0.0</v>
      </c>
      <c r="G235" s="7" t="s">
        <v>943</v>
      </c>
      <c r="H235" s="7" t="s">
        <v>539</v>
      </c>
      <c r="I235" s="15">
        <f t="array" ref="I235">INDEX(CC!C:C,MATCH(1,(CC!A:A=H235)*(CC!B:B=J235),0))</f>
        <v>1302</v>
      </c>
      <c r="J235" s="7" t="s">
        <v>25</v>
      </c>
      <c r="K235" s="7">
        <v>21.8</v>
      </c>
    </row>
    <row r="236">
      <c r="A236" s="5"/>
      <c r="B236" s="5"/>
      <c r="C236" s="7" t="s">
        <v>699</v>
      </c>
      <c r="D236" s="7" t="s">
        <v>137</v>
      </c>
      <c r="E236" s="9">
        <v>3270.0</v>
      </c>
      <c r="F236" s="7">
        <v>0.0</v>
      </c>
      <c r="G236" s="7" t="s">
        <v>943</v>
      </c>
      <c r="H236" s="7" t="s">
        <v>539</v>
      </c>
      <c r="I236" s="15">
        <f t="array" ref="I236">INDEX(CC!C:C,MATCH(1,(CC!A:A=H236)*(CC!B:B=J236),0))</f>
        <v>1302</v>
      </c>
      <c r="J236" s="7" t="s">
        <v>25</v>
      </c>
      <c r="K236" s="9">
        <v>3270.0</v>
      </c>
    </row>
    <row r="237">
      <c r="A237" s="5"/>
      <c r="B237" s="7" t="s">
        <v>29</v>
      </c>
      <c r="C237" s="7" t="s">
        <v>945</v>
      </c>
      <c r="D237" s="7" t="s">
        <v>307</v>
      </c>
      <c r="E237" s="9">
        <v>1073.21</v>
      </c>
      <c r="F237" s="7">
        <v>0.0</v>
      </c>
      <c r="G237" s="7" t="s">
        <v>877</v>
      </c>
      <c r="H237" s="7" t="s">
        <v>74</v>
      </c>
      <c r="I237" s="15">
        <f t="array" ref="I237">INDEX(CC!C:C,MATCH(1,(CC!A:A=H237)*(CC!B:B=J237),0))</f>
        <v>1502</v>
      </c>
      <c r="J237" s="7" t="s">
        <v>25</v>
      </c>
      <c r="K237" s="9">
        <v>1073.21</v>
      </c>
    </row>
    <row r="238">
      <c r="A238" s="5"/>
      <c r="B238" s="5"/>
      <c r="C238" s="7" t="s">
        <v>945</v>
      </c>
      <c r="D238" s="7" t="s">
        <v>199</v>
      </c>
      <c r="E238" s="9">
        <v>2761.6</v>
      </c>
      <c r="F238" s="7">
        <v>0.0</v>
      </c>
      <c r="G238" s="7" t="s">
        <v>877</v>
      </c>
      <c r="H238" s="7" t="s">
        <v>74</v>
      </c>
      <c r="I238" s="15">
        <f t="array" ref="I238">INDEX(CC!C:C,MATCH(1,(CC!A:A=H238)*(CC!B:B=J238),0))</f>
        <v>1502</v>
      </c>
      <c r="J238" s="7" t="s">
        <v>25</v>
      </c>
      <c r="K238" s="9">
        <v>2761.6</v>
      </c>
    </row>
    <row r="239">
      <c r="A239" s="5"/>
      <c r="B239" s="5"/>
      <c r="C239" s="7" t="s">
        <v>945</v>
      </c>
      <c r="D239" s="7" t="s">
        <v>104</v>
      </c>
      <c r="E239" s="9">
        <v>2500.0</v>
      </c>
      <c r="F239" s="7">
        <v>0.0</v>
      </c>
      <c r="G239" s="7" t="s">
        <v>877</v>
      </c>
      <c r="H239" s="7" t="s">
        <v>74</v>
      </c>
      <c r="I239" s="15">
        <f t="array" ref="I239">INDEX(CC!C:C,MATCH(1,(CC!A:A=H239)*(CC!B:B=J239),0))</f>
        <v>1502</v>
      </c>
      <c r="J239" s="7" t="s">
        <v>25</v>
      </c>
      <c r="K239" s="9">
        <v>2500.0</v>
      </c>
    </row>
    <row r="240">
      <c r="A240" s="5"/>
      <c r="B240" s="5"/>
      <c r="C240" s="7" t="s">
        <v>945</v>
      </c>
      <c r="D240" s="7" t="s">
        <v>126</v>
      </c>
      <c r="E240" s="7">
        <v>35.0</v>
      </c>
      <c r="F240" s="7">
        <v>0.0</v>
      </c>
      <c r="G240" s="7" t="s">
        <v>877</v>
      </c>
      <c r="H240" s="7" t="s">
        <v>74</v>
      </c>
      <c r="I240" s="15">
        <f t="array" ref="I240">INDEX(CC!C:C,MATCH(1,(CC!A:A=H240)*(CC!B:B=J240),0))</f>
        <v>1502</v>
      </c>
      <c r="J240" s="7" t="s">
        <v>25</v>
      </c>
      <c r="K240" s="7">
        <v>35.0</v>
      </c>
    </row>
    <row r="241">
      <c r="A241" s="5"/>
      <c r="B241" s="5"/>
      <c r="C241" s="7" t="s">
        <v>945</v>
      </c>
      <c r="D241" s="7" t="s">
        <v>137</v>
      </c>
      <c r="E241" s="9">
        <v>2260.44</v>
      </c>
      <c r="F241" s="7">
        <v>0.0</v>
      </c>
      <c r="G241" s="7" t="s">
        <v>877</v>
      </c>
      <c r="H241" s="7" t="s">
        <v>74</v>
      </c>
      <c r="I241" s="15">
        <f t="array" ref="I241">INDEX(CC!C:C,MATCH(1,(CC!A:A=H241)*(CC!B:B=J241),0))</f>
        <v>1502</v>
      </c>
      <c r="J241" s="7" t="s">
        <v>25</v>
      </c>
      <c r="K241" s="9">
        <v>2260.44</v>
      </c>
    </row>
    <row r="242">
      <c r="A242" s="5"/>
      <c r="B242" s="7" t="s">
        <v>29</v>
      </c>
      <c r="C242" s="7" t="s">
        <v>331</v>
      </c>
      <c r="D242" s="7" t="s">
        <v>33</v>
      </c>
      <c r="E242" s="7">
        <v>0.01</v>
      </c>
      <c r="F242" s="7">
        <v>0.0</v>
      </c>
      <c r="G242" s="7" t="s">
        <v>949</v>
      </c>
      <c r="H242" s="7" t="s">
        <v>385</v>
      </c>
      <c r="I242" s="15">
        <f t="array" ref="I242">INDEX(CC!C:C,MATCH(1,(CC!A:A=H242)*(CC!B:B=J242),0))</f>
        <v>502</v>
      </c>
      <c r="J242" s="7" t="s">
        <v>25</v>
      </c>
      <c r="K242" s="7">
        <v>0.01</v>
      </c>
    </row>
    <row r="243">
      <c r="A243" s="5"/>
      <c r="B243" s="7" t="s">
        <v>29</v>
      </c>
      <c r="C243" s="7" t="s">
        <v>148</v>
      </c>
      <c r="D243" s="7" t="s">
        <v>104</v>
      </c>
      <c r="E243" s="9">
        <v>1000.0</v>
      </c>
      <c r="F243" s="7">
        <v>0.0</v>
      </c>
      <c r="G243" s="7" t="s">
        <v>950</v>
      </c>
      <c r="H243" s="7" t="s">
        <v>74</v>
      </c>
      <c r="I243" s="15">
        <f t="array" ref="I243">INDEX(CC!C:C,MATCH(1,(CC!A:A=H243)*(CC!B:B=J243),0))</f>
        <v>1502</v>
      </c>
      <c r="J243" s="7" t="s">
        <v>25</v>
      </c>
      <c r="K243" s="9">
        <v>1000.0</v>
      </c>
    </row>
    <row r="244">
      <c r="A244" s="5"/>
      <c r="B244" s="5"/>
      <c r="C244" s="7" t="s">
        <v>148</v>
      </c>
      <c r="D244" s="7" t="s">
        <v>126</v>
      </c>
      <c r="E244" s="7">
        <v>30.0</v>
      </c>
      <c r="F244" s="7">
        <v>0.0</v>
      </c>
      <c r="G244" s="7" t="s">
        <v>950</v>
      </c>
      <c r="H244" s="7" t="s">
        <v>74</v>
      </c>
      <c r="I244" s="15">
        <f t="array" ref="I244">INDEX(CC!C:C,MATCH(1,(CC!A:A=H244)*(CC!B:B=J244),0))</f>
        <v>1502</v>
      </c>
      <c r="J244" s="7" t="s">
        <v>25</v>
      </c>
      <c r="K244" s="7">
        <v>30.0</v>
      </c>
    </row>
    <row r="245">
      <c r="A245" s="5"/>
      <c r="B245" s="7" t="s">
        <v>29</v>
      </c>
      <c r="C245" s="7" t="s">
        <v>936</v>
      </c>
      <c r="D245" s="7" t="s">
        <v>33</v>
      </c>
      <c r="E245" s="9">
        <v>4200.0</v>
      </c>
      <c r="F245" s="7">
        <v>0.0</v>
      </c>
      <c r="G245" s="7" t="s">
        <v>953</v>
      </c>
      <c r="H245" s="7" t="s">
        <v>55</v>
      </c>
      <c r="I245" s="15">
        <f t="array" ref="I245">INDEX(CC!C:C,MATCH(1,(CC!A:A=H245)*(CC!B:B=J245),0))</f>
        <v>902</v>
      </c>
      <c r="J245" s="7" t="s">
        <v>25</v>
      </c>
      <c r="K245" s="9">
        <v>4200.0</v>
      </c>
    </row>
    <row r="246">
      <c r="A246" s="5"/>
      <c r="B246" s="7" t="s">
        <v>29</v>
      </c>
      <c r="C246" s="7" t="s">
        <v>331</v>
      </c>
      <c r="D246" s="7" t="s">
        <v>33</v>
      </c>
      <c r="E246" s="7">
        <v>0.01</v>
      </c>
      <c r="F246" s="7">
        <v>0.0</v>
      </c>
      <c r="G246" s="7" t="s">
        <v>955</v>
      </c>
      <c r="H246" s="7" t="s">
        <v>385</v>
      </c>
      <c r="I246" s="15">
        <f t="array" ref="I246">INDEX(CC!C:C,MATCH(1,(CC!A:A=H246)*(CC!B:B=J246),0))</f>
        <v>502</v>
      </c>
      <c r="J246" s="7" t="s">
        <v>25</v>
      </c>
      <c r="K246" s="7">
        <v>0.01</v>
      </c>
    </row>
    <row r="247">
      <c r="A247" s="5"/>
      <c r="B247" s="7" t="s">
        <v>29</v>
      </c>
      <c r="C247" s="7" t="s">
        <v>956</v>
      </c>
      <c r="D247" s="7" t="s">
        <v>112</v>
      </c>
      <c r="E247" s="9">
        <v>3540.49</v>
      </c>
      <c r="F247" s="7">
        <v>0.0</v>
      </c>
      <c r="G247" s="7" t="s">
        <v>957</v>
      </c>
      <c r="H247" s="7" t="s">
        <v>84</v>
      </c>
      <c r="I247" s="15">
        <f t="array" ref="I247">INDEX(CC!C:C,MATCH(1,(CC!A:A=H247)*(CC!B:B=J247),0))</f>
        <v>1002</v>
      </c>
      <c r="J247" s="7" t="s">
        <v>25</v>
      </c>
      <c r="K247" s="9">
        <v>3540.49</v>
      </c>
    </row>
    <row r="248">
      <c r="A248" s="5"/>
      <c r="B248" s="5"/>
      <c r="C248" s="7" t="s">
        <v>956</v>
      </c>
      <c r="D248" s="7" t="s">
        <v>137</v>
      </c>
      <c r="E248" s="9">
        <v>3527.87</v>
      </c>
      <c r="F248" s="7">
        <v>0.0</v>
      </c>
      <c r="G248" s="7" t="s">
        <v>957</v>
      </c>
      <c r="H248" s="7" t="s">
        <v>84</v>
      </c>
      <c r="I248" s="15">
        <f t="array" ref="I248">INDEX(CC!C:C,MATCH(1,(CC!A:A=H248)*(CC!B:B=J248),0))</f>
        <v>1002</v>
      </c>
      <c r="J248" s="7" t="s">
        <v>25</v>
      </c>
      <c r="K248" s="9">
        <v>3527.87</v>
      </c>
    </row>
    <row r="249">
      <c r="A249" s="5"/>
      <c r="B249" s="7" t="s">
        <v>29</v>
      </c>
      <c r="C249" s="7" t="s">
        <v>331</v>
      </c>
      <c r="D249" s="7" t="s">
        <v>33</v>
      </c>
      <c r="E249" s="7">
        <v>0.01</v>
      </c>
      <c r="F249" s="7">
        <v>0.0</v>
      </c>
      <c r="G249" s="7" t="s">
        <v>960</v>
      </c>
      <c r="H249" s="7" t="s">
        <v>385</v>
      </c>
      <c r="I249" s="15">
        <f t="array" ref="I249">INDEX(CC!C:C,MATCH(1,(CC!A:A=H249)*(CC!B:B=J249),0))</f>
        <v>502</v>
      </c>
      <c r="J249" s="7" t="s">
        <v>25</v>
      </c>
      <c r="K249" s="7">
        <v>0.01</v>
      </c>
    </row>
    <row r="250">
      <c r="A250" s="5"/>
      <c r="B250" s="7" t="s">
        <v>29</v>
      </c>
      <c r="C250" s="7" t="s">
        <v>537</v>
      </c>
      <c r="D250" s="7" t="s">
        <v>307</v>
      </c>
      <c r="E250" s="9">
        <v>1414.85</v>
      </c>
      <c r="F250" s="7">
        <v>0.0</v>
      </c>
      <c r="G250" s="7" t="s">
        <v>961</v>
      </c>
      <c r="H250" s="7" t="s">
        <v>55</v>
      </c>
      <c r="I250" s="15">
        <f t="array" ref="I250">INDEX(CC!C:C,MATCH(1,(CC!A:A=H250)*(CC!B:B=J250),0))</f>
        <v>902</v>
      </c>
      <c r="J250" s="7" t="s">
        <v>25</v>
      </c>
      <c r="K250" s="9">
        <v>1414.85</v>
      </c>
    </row>
    <row r="251">
      <c r="A251" s="5"/>
      <c r="B251" s="5"/>
      <c r="C251" s="7" t="s">
        <v>537</v>
      </c>
      <c r="D251" s="7" t="s">
        <v>82</v>
      </c>
      <c r="E251" s="7">
        <v>353.71</v>
      </c>
      <c r="F251" s="7">
        <v>0.0</v>
      </c>
      <c r="G251" s="7" t="s">
        <v>961</v>
      </c>
      <c r="H251" s="7" t="s">
        <v>55</v>
      </c>
      <c r="I251" s="15">
        <f t="array" ref="I251">INDEX(CC!C:C,MATCH(1,(CC!A:A=H251)*(CC!B:B=J251),0))</f>
        <v>902</v>
      </c>
      <c r="J251" s="7" t="s">
        <v>25</v>
      </c>
      <c r="K251" s="7">
        <v>353.71</v>
      </c>
    </row>
    <row r="252">
      <c r="A252" s="5"/>
      <c r="B252" s="5"/>
      <c r="C252" s="7" t="s">
        <v>537</v>
      </c>
      <c r="D252" s="7" t="s">
        <v>199</v>
      </c>
      <c r="E252" s="9">
        <v>1768.57</v>
      </c>
      <c r="F252" s="7">
        <v>0.0</v>
      </c>
      <c r="G252" s="7" t="s">
        <v>961</v>
      </c>
      <c r="H252" s="7" t="s">
        <v>55</v>
      </c>
      <c r="I252" s="15">
        <f t="array" ref="I252">INDEX(CC!C:C,MATCH(1,(CC!A:A=H252)*(CC!B:B=J252),0))</f>
        <v>902</v>
      </c>
      <c r="J252" s="7" t="s">
        <v>25</v>
      </c>
      <c r="K252" s="9">
        <v>1768.57</v>
      </c>
    </row>
    <row r="253">
      <c r="A253" s="5"/>
      <c r="B253" s="5"/>
      <c r="C253" s="7" t="s">
        <v>537</v>
      </c>
      <c r="D253" s="7" t="s">
        <v>104</v>
      </c>
      <c r="E253" s="9">
        <v>2500.0</v>
      </c>
      <c r="F253" s="7">
        <v>0.0</v>
      </c>
      <c r="G253" s="7" t="s">
        <v>961</v>
      </c>
      <c r="H253" s="7" t="s">
        <v>55</v>
      </c>
      <c r="I253" s="15">
        <f t="array" ref="I253">INDEX(CC!C:C,MATCH(1,(CC!A:A=H253)*(CC!B:B=J253),0))</f>
        <v>902</v>
      </c>
      <c r="J253" s="7" t="s">
        <v>25</v>
      </c>
      <c r="K253" s="9">
        <v>2500.0</v>
      </c>
    </row>
    <row r="254">
      <c r="A254" s="5"/>
      <c r="B254" s="5"/>
      <c r="C254" s="7" t="s">
        <v>537</v>
      </c>
      <c r="D254" s="7" t="s">
        <v>126</v>
      </c>
      <c r="E254" s="7">
        <v>35.0</v>
      </c>
      <c r="F254" s="7">
        <v>0.0</v>
      </c>
      <c r="G254" s="7" t="s">
        <v>961</v>
      </c>
      <c r="H254" s="7" t="s">
        <v>55</v>
      </c>
      <c r="I254" s="15">
        <f t="array" ref="I254">INDEX(CC!C:C,MATCH(1,(CC!A:A=H254)*(CC!B:B=J254),0))</f>
        <v>902</v>
      </c>
      <c r="J254" s="7" t="s">
        <v>25</v>
      </c>
      <c r="K254" s="7">
        <v>35.0</v>
      </c>
    </row>
    <row r="255">
      <c r="A255" s="5"/>
      <c r="B255" s="5"/>
      <c r="C255" s="7" t="s">
        <v>537</v>
      </c>
      <c r="D255" s="7" t="s">
        <v>137</v>
      </c>
      <c r="E255" s="9">
        <v>1768.57</v>
      </c>
      <c r="F255" s="7">
        <v>0.0</v>
      </c>
      <c r="G255" s="7" t="s">
        <v>961</v>
      </c>
      <c r="H255" s="7" t="s">
        <v>55</v>
      </c>
      <c r="I255" s="15">
        <f t="array" ref="I255">INDEX(CC!C:C,MATCH(1,(CC!A:A=H255)*(CC!B:B=J255),0))</f>
        <v>902</v>
      </c>
      <c r="J255" s="7" t="s">
        <v>25</v>
      </c>
      <c r="K255" s="9">
        <v>1768.57</v>
      </c>
    </row>
    <row r="256">
      <c r="A256" s="5"/>
      <c r="B256" s="5"/>
      <c r="C256" s="7" t="s">
        <v>537</v>
      </c>
      <c r="D256" s="7" t="s">
        <v>485</v>
      </c>
      <c r="E256" s="9">
        <v>4000.0</v>
      </c>
      <c r="F256" s="7">
        <v>0.0</v>
      </c>
      <c r="G256" s="7" t="s">
        <v>961</v>
      </c>
      <c r="H256" s="7" t="s">
        <v>55</v>
      </c>
      <c r="I256" s="15">
        <f t="array" ref="I256">INDEX(CC!C:C,MATCH(1,(CC!A:A=H256)*(CC!B:B=J256),0))</f>
        <v>902</v>
      </c>
      <c r="J256" s="7" t="s">
        <v>25</v>
      </c>
      <c r="K256" s="9">
        <v>4000.0</v>
      </c>
    </row>
    <row r="257">
      <c r="A257" s="5"/>
      <c r="B257" s="7" t="s">
        <v>29</v>
      </c>
      <c r="C257" s="7" t="s">
        <v>148</v>
      </c>
      <c r="D257" s="7" t="s">
        <v>104</v>
      </c>
      <c r="E257" s="9">
        <v>1000.0</v>
      </c>
      <c r="F257" s="7">
        <v>0.0</v>
      </c>
      <c r="G257" s="7" t="s">
        <v>966</v>
      </c>
      <c r="H257" s="7" t="s">
        <v>55</v>
      </c>
      <c r="I257" s="15">
        <f t="array" ref="I257">INDEX(CC!C:C,MATCH(1,(CC!A:A=H257)*(CC!B:B=J257),0))</f>
        <v>902</v>
      </c>
      <c r="J257" s="7" t="s">
        <v>25</v>
      </c>
      <c r="K257" s="9">
        <v>1000.0</v>
      </c>
    </row>
    <row r="258">
      <c r="A258" s="5"/>
      <c r="B258" s="5"/>
      <c r="C258" s="7" t="s">
        <v>148</v>
      </c>
      <c r="D258" s="7" t="s">
        <v>126</v>
      </c>
      <c r="E258" s="7">
        <v>30.0</v>
      </c>
      <c r="F258" s="7">
        <v>0.0</v>
      </c>
      <c r="G258" s="7" t="s">
        <v>966</v>
      </c>
      <c r="H258" s="7" t="s">
        <v>55</v>
      </c>
      <c r="I258" s="15">
        <f t="array" ref="I258">INDEX(CC!C:C,MATCH(1,(CC!A:A=H258)*(CC!B:B=J258),0))</f>
        <v>902</v>
      </c>
      <c r="J258" s="7" t="s">
        <v>25</v>
      </c>
      <c r="K258" s="7">
        <v>30.0</v>
      </c>
    </row>
    <row r="259">
      <c r="A259" s="5"/>
      <c r="B259" s="7" t="s">
        <v>29</v>
      </c>
      <c r="C259" s="7" t="s">
        <v>79</v>
      </c>
      <c r="D259" s="7" t="s">
        <v>307</v>
      </c>
      <c r="E259" s="9">
        <v>1555.35</v>
      </c>
      <c r="F259" s="7">
        <v>0.0</v>
      </c>
      <c r="G259" s="7" t="s">
        <v>967</v>
      </c>
      <c r="H259" s="7" t="s">
        <v>554</v>
      </c>
      <c r="I259" s="15">
        <f t="array" ref="I259">INDEX(CC!C:C,MATCH(1,(CC!A:A=H259)*(CC!B:B=J259),0))</f>
        <v>1702</v>
      </c>
      <c r="J259" s="7" t="s">
        <v>25</v>
      </c>
      <c r="K259" s="9">
        <v>1555.35</v>
      </c>
    </row>
    <row r="260">
      <c r="A260" s="5"/>
      <c r="B260" s="5"/>
      <c r="C260" s="7" t="s">
        <v>79</v>
      </c>
      <c r="D260" s="7" t="s">
        <v>82</v>
      </c>
      <c r="E260" s="7">
        <v>339.06</v>
      </c>
      <c r="F260" s="7">
        <v>0.0</v>
      </c>
      <c r="G260" s="7" t="s">
        <v>967</v>
      </c>
      <c r="H260" s="7" t="s">
        <v>554</v>
      </c>
      <c r="I260" s="15">
        <f t="array" ref="I260">INDEX(CC!C:C,MATCH(1,(CC!A:A=H260)*(CC!B:B=J260),0))</f>
        <v>1702</v>
      </c>
      <c r="J260" s="7" t="s">
        <v>25</v>
      </c>
      <c r="K260" s="7">
        <v>339.06</v>
      </c>
    </row>
    <row r="261">
      <c r="A261" s="5"/>
      <c r="B261" s="5"/>
      <c r="C261" s="7" t="s">
        <v>79</v>
      </c>
      <c r="D261" s="7" t="s">
        <v>277</v>
      </c>
      <c r="E261" s="9">
        <v>4060.14</v>
      </c>
      <c r="F261" s="7">
        <v>0.0</v>
      </c>
      <c r="G261" s="7" t="s">
        <v>967</v>
      </c>
      <c r="H261" s="7" t="s">
        <v>554</v>
      </c>
      <c r="I261" s="15">
        <f t="array" ref="I261">INDEX(CC!C:C,MATCH(1,(CC!A:A=H261)*(CC!B:B=J261),0))</f>
        <v>1702</v>
      </c>
      <c r="J261" s="7" t="s">
        <v>25</v>
      </c>
      <c r="K261" s="9">
        <v>4060.14</v>
      </c>
    </row>
    <row r="262">
      <c r="A262" s="5"/>
      <c r="B262" s="5"/>
      <c r="C262" s="7" t="s">
        <v>79</v>
      </c>
      <c r="D262" s="7" t="s">
        <v>112</v>
      </c>
      <c r="E262" s="9">
        <v>24729.38</v>
      </c>
      <c r="F262" s="7">
        <v>0.0</v>
      </c>
      <c r="G262" s="7" t="s">
        <v>967</v>
      </c>
      <c r="H262" s="7" t="s">
        <v>554</v>
      </c>
      <c r="I262" s="15">
        <f t="array" ref="I262">INDEX(CC!C:C,MATCH(1,(CC!A:A=H262)*(CC!B:B=J262),0))</f>
        <v>1703</v>
      </c>
      <c r="J262" s="7" t="s">
        <v>44</v>
      </c>
      <c r="K262" s="9">
        <v>24729.38</v>
      </c>
    </row>
    <row r="263">
      <c r="A263" s="5"/>
      <c r="B263" s="5"/>
      <c r="C263" s="7" t="s">
        <v>79</v>
      </c>
      <c r="D263" s="7" t="s">
        <v>360</v>
      </c>
      <c r="E263" s="9">
        <v>10729.29</v>
      </c>
      <c r="F263" s="7">
        <v>0.0</v>
      </c>
      <c r="G263" s="7" t="s">
        <v>967</v>
      </c>
      <c r="H263" s="7" t="s">
        <v>554</v>
      </c>
      <c r="I263" s="15">
        <f t="array" ref="I263">INDEX(CC!C:C,MATCH(1,(CC!A:A=H263)*(CC!B:B=J263),0))</f>
        <v>1703</v>
      </c>
      <c r="J263" s="7" t="s">
        <v>44</v>
      </c>
      <c r="K263" s="9">
        <v>10729.29</v>
      </c>
    </row>
    <row r="264">
      <c r="A264" s="5"/>
      <c r="B264" s="5"/>
      <c r="C264" s="7" t="s">
        <v>79</v>
      </c>
      <c r="D264" s="7" t="s">
        <v>126</v>
      </c>
      <c r="E264" s="7">
        <v>36.29</v>
      </c>
      <c r="F264" s="7">
        <v>0.0</v>
      </c>
      <c r="G264" s="7" t="s">
        <v>967</v>
      </c>
      <c r="H264" s="7" t="s">
        <v>554</v>
      </c>
      <c r="I264" s="15">
        <f t="array" ref="I264">INDEX(CC!C:C,MATCH(1,(CC!A:A=H264)*(CC!B:B=J264),0))</f>
        <v>1702</v>
      </c>
      <c r="J264" s="7" t="s">
        <v>25</v>
      </c>
      <c r="K264" s="7">
        <v>36.29</v>
      </c>
    </row>
    <row r="265">
      <c r="A265" s="5"/>
      <c r="B265" s="5"/>
      <c r="C265" s="7" t="s">
        <v>79</v>
      </c>
      <c r="D265" s="7" t="s">
        <v>137</v>
      </c>
      <c r="E265" s="9">
        <v>3629.15</v>
      </c>
      <c r="F265" s="7">
        <v>0.0</v>
      </c>
      <c r="G265" s="7" t="s">
        <v>967</v>
      </c>
      <c r="H265" s="7" t="s">
        <v>554</v>
      </c>
      <c r="I265" s="15">
        <f t="array" ref="I265">INDEX(CC!C:C,MATCH(1,(CC!A:A=H265)*(CC!B:B=J265),0))</f>
        <v>1702</v>
      </c>
      <c r="J265" s="7" t="s">
        <v>25</v>
      </c>
      <c r="K265" s="9">
        <v>3629.15</v>
      </c>
    </row>
    <row r="266">
      <c r="A266" s="5"/>
      <c r="B266" s="5"/>
      <c r="C266" s="7" t="s">
        <v>79</v>
      </c>
      <c r="D266" s="7" t="s">
        <v>470</v>
      </c>
      <c r="E266" s="9">
        <v>4500.0</v>
      </c>
      <c r="F266" s="7">
        <v>0.0</v>
      </c>
      <c r="G266" s="7" t="s">
        <v>967</v>
      </c>
      <c r="H266" s="7" t="s">
        <v>554</v>
      </c>
      <c r="I266" s="15">
        <f t="array" ref="I266">INDEX(CC!C:C,MATCH(1,(CC!A:A=H266)*(CC!B:B=J266),0))</f>
        <v>1703</v>
      </c>
      <c r="J266" s="7" t="s">
        <v>44</v>
      </c>
      <c r="K266" s="9">
        <v>4500.0</v>
      </c>
    </row>
    <row r="267">
      <c r="A267" s="5"/>
      <c r="B267" s="7" t="s">
        <v>29</v>
      </c>
      <c r="C267" s="7" t="s">
        <v>331</v>
      </c>
      <c r="D267" s="7" t="s">
        <v>33</v>
      </c>
      <c r="E267" s="7">
        <v>0.01</v>
      </c>
      <c r="F267" s="7">
        <v>0.0</v>
      </c>
      <c r="G267" s="7" t="s">
        <v>968</v>
      </c>
      <c r="H267" s="7" t="s">
        <v>40</v>
      </c>
      <c r="I267" s="15">
        <f t="array" ref="I267">INDEX(CC!C:C,MATCH(1,(CC!A:A=H267)*(CC!B:B=J267),0))</f>
        <v>602</v>
      </c>
      <c r="J267" s="7" t="s">
        <v>25</v>
      </c>
      <c r="K267" s="7">
        <v>0.01</v>
      </c>
    </row>
    <row r="268">
      <c r="A268" s="5"/>
      <c r="B268" s="7" t="s">
        <v>29</v>
      </c>
      <c r="C268" s="7" t="s">
        <v>602</v>
      </c>
      <c r="D268" s="7" t="s">
        <v>112</v>
      </c>
      <c r="E268" s="9">
        <v>4207.05</v>
      </c>
      <c r="F268" s="7">
        <v>0.0</v>
      </c>
      <c r="G268" s="7" t="s">
        <v>970</v>
      </c>
      <c r="H268" s="7" t="s">
        <v>84</v>
      </c>
      <c r="I268" s="15">
        <f t="array" ref="I268">INDEX(CC!C:C,MATCH(1,(CC!A:A=H268)*(CC!B:B=J268),0))</f>
        <v>1002</v>
      </c>
      <c r="J268" s="7" t="s">
        <v>25</v>
      </c>
      <c r="K268" s="9">
        <v>4207.05</v>
      </c>
    </row>
    <row r="269">
      <c r="A269" s="5"/>
      <c r="B269" s="5"/>
      <c r="C269" s="7" t="s">
        <v>602</v>
      </c>
      <c r="D269" s="7" t="s">
        <v>137</v>
      </c>
      <c r="E269" s="9">
        <v>3564.83</v>
      </c>
      <c r="F269" s="7">
        <v>0.0</v>
      </c>
      <c r="G269" s="7" t="s">
        <v>970</v>
      </c>
      <c r="H269" s="7" t="s">
        <v>84</v>
      </c>
      <c r="I269" s="15">
        <f t="array" ref="I269">INDEX(CC!C:C,MATCH(1,(CC!A:A=H269)*(CC!B:B=J269),0))</f>
        <v>1002</v>
      </c>
      <c r="J269" s="7" t="s">
        <v>25</v>
      </c>
      <c r="K269" s="9">
        <v>3564.83</v>
      </c>
    </row>
    <row r="270">
      <c r="A270" s="5"/>
      <c r="B270" s="7" t="s">
        <v>29</v>
      </c>
      <c r="C270" s="7" t="s">
        <v>971</v>
      </c>
      <c r="D270" s="7" t="s">
        <v>307</v>
      </c>
      <c r="E270" s="9">
        <v>1800.0</v>
      </c>
      <c r="F270" s="7">
        <v>0.0</v>
      </c>
      <c r="G270" s="7" t="s">
        <v>972</v>
      </c>
      <c r="H270" s="7" t="s">
        <v>551</v>
      </c>
      <c r="I270" s="15">
        <f t="array" ref="I270">INDEX(CC!C:C,MATCH(1,(CC!A:A=H270)*(CC!B:B=J270),0))</f>
        <v>1202</v>
      </c>
      <c r="J270" s="7" t="s">
        <v>25</v>
      </c>
      <c r="K270" s="9">
        <v>1800.0</v>
      </c>
    </row>
    <row r="271">
      <c r="A271" s="5"/>
      <c r="B271" s="5"/>
      <c r="C271" s="7" t="s">
        <v>971</v>
      </c>
      <c r="D271" s="7" t="s">
        <v>82</v>
      </c>
      <c r="E271" s="7">
        <v>350.0</v>
      </c>
      <c r="F271" s="7">
        <v>0.0</v>
      </c>
      <c r="G271" s="7" t="s">
        <v>972</v>
      </c>
      <c r="H271" s="7" t="s">
        <v>551</v>
      </c>
      <c r="I271" s="15">
        <f t="array" ref="I271">INDEX(CC!C:C,MATCH(1,(CC!A:A=H271)*(CC!B:B=J271),0))</f>
        <v>1202</v>
      </c>
      <c r="J271" s="7" t="s">
        <v>25</v>
      </c>
      <c r="K271" s="7">
        <v>350.0</v>
      </c>
    </row>
    <row r="272">
      <c r="A272" s="5"/>
      <c r="B272" s="5"/>
      <c r="C272" s="7" t="s">
        <v>971</v>
      </c>
      <c r="D272" s="7" t="s">
        <v>199</v>
      </c>
      <c r="E272" s="9">
        <v>2372.34</v>
      </c>
      <c r="F272" s="7">
        <v>0.0</v>
      </c>
      <c r="G272" s="7" t="s">
        <v>972</v>
      </c>
      <c r="H272" s="7" t="s">
        <v>551</v>
      </c>
      <c r="I272" s="15">
        <f t="array" ref="I272">INDEX(CC!C:C,MATCH(1,(CC!A:A=H272)*(CC!B:B=J272),0))</f>
        <v>1202</v>
      </c>
      <c r="J272" s="7" t="s">
        <v>25</v>
      </c>
      <c r="K272" s="9">
        <v>2372.34</v>
      </c>
    </row>
    <row r="273">
      <c r="A273" s="5"/>
      <c r="B273" s="5"/>
      <c r="C273" s="7" t="s">
        <v>971</v>
      </c>
      <c r="D273" s="7" t="s">
        <v>126</v>
      </c>
      <c r="E273" s="7">
        <v>35.0</v>
      </c>
      <c r="F273" s="7">
        <v>0.0</v>
      </c>
      <c r="G273" s="7" t="s">
        <v>972</v>
      </c>
      <c r="H273" s="7" t="s">
        <v>551</v>
      </c>
      <c r="I273" s="15">
        <f t="array" ref="I273">INDEX(CC!C:C,MATCH(1,(CC!A:A=H273)*(CC!B:B=J273),0))</f>
        <v>1202</v>
      </c>
      <c r="J273" s="7" t="s">
        <v>25</v>
      </c>
      <c r="K273" s="7">
        <v>35.0</v>
      </c>
    </row>
    <row r="274">
      <c r="A274" s="5"/>
      <c r="B274" s="5"/>
      <c r="C274" s="7" t="s">
        <v>971</v>
      </c>
      <c r="D274" s="7" t="s">
        <v>137</v>
      </c>
      <c r="E274" s="9">
        <v>3700.0</v>
      </c>
      <c r="F274" s="7">
        <v>0.0</v>
      </c>
      <c r="G274" s="7" t="s">
        <v>972</v>
      </c>
      <c r="H274" s="7" t="s">
        <v>551</v>
      </c>
      <c r="I274" s="15">
        <f t="array" ref="I274">INDEX(CC!C:C,MATCH(1,(CC!A:A=H274)*(CC!B:B=J274),0))</f>
        <v>1202</v>
      </c>
      <c r="J274" s="7" t="s">
        <v>25</v>
      </c>
      <c r="K274" s="9">
        <v>3700.0</v>
      </c>
    </row>
    <row r="275">
      <c r="A275" s="5"/>
      <c r="B275" s="5"/>
      <c r="C275" s="7" t="s">
        <v>971</v>
      </c>
      <c r="D275" s="7" t="s">
        <v>104</v>
      </c>
      <c r="E275" s="9">
        <v>1500.0</v>
      </c>
      <c r="F275" s="7">
        <v>0.0</v>
      </c>
      <c r="G275" s="7" t="s">
        <v>972</v>
      </c>
      <c r="H275" s="7" t="s">
        <v>551</v>
      </c>
      <c r="I275" s="15">
        <f t="array" ref="I275">INDEX(CC!C:C,MATCH(1,(CC!A:A=H275)*(CC!B:B=J275),0))</f>
        <v>1202</v>
      </c>
      <c r="J275" s="7" t="s">
        <v>25</v>
      </c>
      <c r="K275" s="9">
        <v>1500.0</v>
      </c>
    </row>
    <row r="276">
      <c r="A276" s="5"/>
      <c r="B276" s="7" t="s">
        <v>29</v>
      </c>
      <c r="C276" s="7" t="s">
        <v>537</v>
      </c>
      <c r="D276" s="7" t="s">
        <v>33</v>
      </c>
      <c r="E276" s="9">
        <v>2200.0</v>
      </c>
      <c r="F276" s="7">
        <v>0.0</v>
      </c>
      <c r="G276" s="7" t="s">
        <v>961</v>
      </c>
      <c r="H276" s="7" t="s">
        <v>55</v>
      </c>
      <c r="I276" s="15">
        <f t="array" ref="I276">INDEX(CC!C:C,MATCH(1,(CC!A:A=H276)*(CC!B:B=J276),0))</f>
        <v>902</v>
      </c>
      <c r="J276" s="7" t="s">
        <v>25</v>
      </c>
      <c r="K276" s="9">
        <v>2200.0</v>
      </c>
    </row>
    <row r="277">
      <c r="A277" s="5"/>
      <c r="B277" s="5"/>
      <c r="C277" s="7" t="s">
        <v>537</v>
      </c>
      <c r="D277" s="7" t="s">
        <v>974</v>
      </c>
      <c r="E277" s="7">
        <v>305.0</v>
      </c>
      <c r="F277" s="7">
        <v>0.0</v>
      </c>
      <c r="G277" s="7" t="s">
        <v>961</v>
      </c>
      <c r="H277" s="7" t="s">
        <v>55</v>
      </c>
      <c r="I277" s="15">
        <f t="array" ref="I277">INDEX(CC!C:C,MATCH(1,(CC!A:A=H277)*(CC!B:B=J277),0))</f>
        <v>902</v>
      </c>
      <c r="J277" s="7" t="s">
        <v>25</v>
      </c>
      <c r="K277" s="7">
        <v>305.0</v>
      </c>
    </row>
    <row r="278">
      <c r="A278" s="5"/>
      <c r="B278" s="7" t="s">
        <v>29</v>
      </c>
      <c r="C278" s="7" t="s">
        <v>975</v>
      </c>
      <c r="D278" s="7" t="s">
        <v>82</v>
      </c>
      <c r="E278" s="7">
        <v>350.0</v>
      </c>
      <c r="F278" s="7">
        <v>0.0</v>
      </c>
      <c r="G278" s="7" t="s">
        <v>976</v>
      </c>
      <c r="H278" s="7" t="s">
        <v>554</v>
      </c>
      <c r="I278" s="15">
        <f t="array" ref="I278">INDEX(CC!C:C,MATCH(1,(CC!A:A=H278)*(CC!B:B=J278),0))</f>
        <v>1702</v>
      </c>
      <c r="J278" s="7" t="s">
        <v>25</v>
      </c>
      <c r="K278" s="7">
        <v>350.0</v>
      </c>
    </row>
    <row r="279">
      <c r="A279" s="5"/>
      <c r="B279" s="5"/>
      <c r="C279" s="7" t="s">
        <v>975</v>
      </c>
      <c r="D279" s="7" t="s">
        <v>124</v>
      </c>
      <c r="E279" s="7">
        <v>100.0</v>
      </c>
      <c r="F279" s="7">
        <v>0.0</v>
      </c>
      <c r="G279" s="7" t="s">
        <v>976</v>
      </c>
      <c r="H279" s="7" t="s">
        <v>554</v>
      </c>
      <c r="I279" s="15">
        <f t="array" ref="I279">INDEX(CC!C:C,MATCH(1,(CC!A:A=H279)*(CC!B:B=J279),0))</f>
        <v>1702</v>
      </c>
      <c r="J279" s="7" t="s">
        <v>25</v>
      </c>
      <c r="K279" s="7">
        <v>100.0</v>
      </c>
    </row>
    <row r="280">
      <c r="A280" s="5"/>
      <c r="B280" s="5"/>
      <c r="C280" s="7" t="s">
        <v>975</v>
      </c>
      <c r="D280" s="7" t="s">
        <v>199</v>
      </c>
      <c r="E280" s="9">
        <v>1700.0</v>
      </c>
      <c r="F280" s="7">
        <v>0.0</v>
      </c>
      <c r="G280" s="7" t="s">
        <v>976</v>
      </c>
      <c r="H280" s="7" t="s">
        <v>554</v>
      </c>
      <c r="I280" s="15">
        <f t="array" ref="I280">INDEX(CC!C:C,MATCH(1,(CC!A:A=H280)*(CC!B:B=J280),0))</f>
        <v>1702</v>
      </c>
      <c r="J280" s="7" t="s">
        <v>25</v>
      </c>
      <c r="K280" s="9">
        <v>1700.0</v>
      </c>
    </row>
    <row r="281">
      <c r="A281" s="5"/>
      <c r="B281" s="5"/>
      <c r="C281" s="7" t="s">
        <v>975</v>
      </c>
      <c r="D281" s="7" t="s">
        <v>126</v>
      </c>
      <c r="E281" s="7">
        <v>35.0</v>
      </c>
      <c r="F281" s="7">
        <v>0.0</v>
      </c>
      <c r="G281" s="7" t="s">
        <v>976</v>
      </c>
      <c r="H281" s="7" t="s">
        <v>554</v>
      </c>
      <c r="I281" s="15">
        <f t="array" ref="I281">INDEX(CC!C:C,MATCH(1,(CC!A:A=H281)*(CC!B:B=J281),0))</f>
        <v>1702</v>
      </c>
      <c r="J281" s="7" t="s">
        <v>25</v>
      </c>
      <c r="K281" s="7">
        <v>35.0</v>
      </c>
    </row>
    <row r="282">
      <c r="A282" s="5"/>
      <c r="B282" s="5"/>
      <c r="C282" s="7" t="s">
        <v>975</v>
      </c>
      <c r="D282" s="7" t="s">
        <v>137</v>
      </c>
      <c r="E282" s="9">
        <v>3600.0</v>
      </c>
      <c r="F282" s="7">
        <v>0.0</v>
      </c>
      <c r="G282" s="7" t="s">
        <v>976</v>
      </c>
      <c r="H282" s="7" t="s">
        <v>554</v>
      </c>
      <c r="I282" s="15">
        <f t="array" ref="I282">INDEX(CC!C:C,MATCH(1,(CC!A:A=H282)*(CC!B:B=J282),0))</f>
        <v>1702</v>
      </c>
      <c r="J282" s="7" t="s">
        <v>25</v>
      </c>
      <c r="K282" s="9">
        <v>3600.0</v>
      </c>
    </row>
    <row r="283">
      <c r="A283" s="5"/>
      <c r="B283" s="7" t="s">
        <v>29</v>
      </c>
      <c r="C283" s="7" t="s">
        <v>331</v>
      </c>
      <c r="D283" s="7" t="s">
        <v>33</v>
      </c>
      <c r="E283" s="7">
        <v>0.01</v>
      </c>
      <c r="F283" s="7">
        <v>0.0</v>
      </c>
      <c r="G283" s="7" t="s">
        <v>961</v>
      </c>
      <c r="H283" s="7" t="s">
        <v>55</v>
      </c>
      <c r="I283" s="15">
        <f t="array" ref="I283">INDEX(CC!C:C,MATCH(1,(CC!A:A=H283)*(CC!B:B=J283),0))</f>
        <v>902</v>
      </c>
      <c r="J283" s="7" t="s">
        <v>25</v>
      </c>
      <c r="K283" s="7">
        <v>0.01</v>
      </c>
    </row>
    <row r="284">
      <c r="A284" s="5"/>
      <c r="B284" s="7" t="s">
        <v>29</v>
      </c>
      <c r="C284" s="7" t="s">
        <v>599</v>
      </c>
      <c r="D284" s="7" t="s">
        <v>112</v>
      </c>
      <c r="E284" s="9">
        <v>2500.0</v>
      </c>
      <c r="F284" s="7">
        <v>0.0</v>
      </c>
      <c r="G284" s="7" t="s">
        <v>979</v>
      </c>
      <c r="H284" s="7" t="s">
        <v>84</v>
      </c>
      <c r="I284" s="15">
        <f t="array" ref="I284">INDEX(CC!C:C,MATCH(1,(CC!A:A=H284)*(CC!B:B=J284),0))</f>
        <v>1002</v>
      </c>
      <c r="J284" s="7" t="s">
        <v>25</v>
      </c>
      <c r="K284" s="9">
        <v>2500.0</v>
      </c>
    </row>
    <row r="285">
      <c r="A285" s="5"/>
      <c r="B285" s="5"/>
      <c r="C285" s="7" t="s">
        <v>599</v>
      </c>
      <c r="D285" s="7" t="s">
        <v>137</v>
      </c>
      <c r="E285" s="9">
        <v>40256.72</v>
      </c>
      <c r="F285" s="7">
        <v>0.0</v>
      </c>
      <c r="G285" s="7" t="s">
        <v>979</v>
      </c>
      <c r="H285" s="7" t="s">
        <v>84</v>
      </c>
      <c r="I285" s="15">
        <f t="array" ref="I285">INDEX(CC!C:C,MATCH(1,(CC!A:A=H285)*(CC!B:B=J285),0))</f>
        <v>1002</v>
      </c>
      <c r="J285" s="7" t="s">
        <v>25</v>
      </c>
      <c r="K285" s="9">
        <v>40256.72</v>
      </c>
    </row>
    <row r="286">
      <c r="A286" s="5"/>
      <c r="B286" s="7" t="s">
        <v>29</v>
      </c>
      <c r="C286" s="7" t="s">
        <v>982</v>
      </c>
      <c r="D286" s="7" t="s">
        <v>983</v>
      </c>
      <c r="E286" s="9">
        <v>12000.0</v>
      </c>
      <c r="F286" s="7">
        <v>0.0</v>
      </c>
      <c r="G286" s="7" t="s">
        <v>619</v>
      </c>
      <c r="H286" s="7" t="s">
        <v>619</v>
      </c>
      <c r="I286" s="15" t="str">
        <f t="array" ref="I286">INDEX(CC!C:C,MATCH(1,(CC!A:A=H286)*(CC!B:B=J286),0))</f>
        <v>#N/A</v>
      </c>
      <c r="J286" s="7" t="s">
        <v>619</v>
      </c>
      <c r="K286" s="9">
        <v>12000.0</v>
      </c>
    </row>
    <row r="287">
      <c r="A287" s="5"/>
      <c r="B287" s="5"/>
      <c r="C287" s="7" t="s">
        <v>982</v>
      </c>
      <c r="D287" s="7" t="s">
        <v>126</v>
      </c>
      <c r="E287" s="7">
        <v>20.0</v>
      </c>
      <c r="F287" s="7">
        <v>0.0</v>
      </c>
      <c r="G287" s="7" t="s">
        <v>619</v>
      </c>
      <c r="H287" s="7" t="s">
        <v>619</v>
      </c>
      <c r="I287" s="15" t="str">
        <f t="array" ref="I287">INDEX(CC!C:C,MATCH(1,(CC!A:A=H287)*(CC!B:B=J287),0))</f>
        <v>#N/A</v>
      </c>
      <c r="J287" s="7" t="s">
        <v>619</v>
      </c>
      <c r="K287" s="7">
        <v>20.0</v>
      </c>
    </row>
    <row r="288">
      <c r="A288" s="5"/>
      <c r="B288" s="7" t="s">
        <v>29</v>
      </c>
      <c r="C288" s="7" t="s">
        <v>699</v>
      </c>
      <c r="D288" s="7" t="s">
        <v>565</v>
      </c>
      <c r="E288" s="9">
        <v>4738.72</v>
      </c>
      <c r="F288" s="7">
        <v>0.0</v>
      </c>
      <c r="G288" s="7" t="s">
        <v>985</v>
      </c>
      <c r="H288" s="7" t="s">
        <v>539</v>
      </c>
      <c r="I288" s="15">
        <f t="array" ref="I288">INDEX(CC!C:C,MATCH(1,(CC!A:A=H288)*(CC!B:B=J288),0))</f>
        <v>1302</v>
      </c>
      <c r="J288" s="7" t="s">
        <v>25</v>
      </c>
      <c r="K288" s="9">
        <v>4738.72</v>
      </c>
    </row>
    <row r="289">
      <c r="A289" s="5"/>
      <c r="B289" s="5"/>
      <c r="C289" s="7" t="s">
        <v>699</v>
      </c>
      <c r="D289" s="7" t="s">
        <v>566</v>
      </c>
      <c r="E289" s="7">
        <v>516.95</v>
      </c>
      <c r="F289" s="7">
        <v>0.0</v>
      </c>
      <c r="G289" s="7" t="s">
        <v>985</v>
      </c>
      <c r="H289" s="7" t="s">
        <v>539</v>
      </c>
      <c r="I289" s="15">
        <f t="array" ref="I289">INDEX(CC!C:C,MATCH(1,(CC!A:A=H289)*(CC!B:B=J289),0))</f>
        <v>1302</v>
      </c>
      <c r="J289" s="7" t="s">
        <v>25</v>
      </c>
      <c r="K289" s="7">
        <v>516.95</v>
      </c>
    </row>
    <row r="290">
      <c r="A290" s="5"/>
      <c r="B290" s="5"/>
      <c r="C290" s="7" t="s">
        <v>699</v>
      </c>
      <c r="D290" s="7" t="s">
        <v>126</v>
      </c>
      <c r="E290" s="7">
        <v>21.8</v>
      </c>
      <c r="F290" s="7">
        <v>0.0</v>
      </c>
      <c r="G290" s="7" t="s">
        <v>985</v>
      </c>
      <c r="H290" s="7" t="s">
        <v>539</v>
      </c>
      <c r="I290" s="15">
        <f t="array" ref="I290">INDEX(CC!C:C,MATCH(1,(CC!A:A=H290)*(CC!B:B=J290),0))</f>
        <v>1302</v>
      </c>
      <c r="J290" s="7" t="s">
        <v>25</v>
      </c>
      <c r="K290" s="7">
        <v>21.8</v>
      </c>
    </row>
    <row r="291">
      <c r="A291" s="5"/>
      <c r="B291" s="5"/>
      <c r="C291" s="7" t="s">
        <v>699</v>
      </c>
      <c r="D291" s="7" t="s">
        <v>137</v>
      </c>
      <c r="E291" s="9">
        <v>3270.0</v>
      </c>
      <c r="F291" s="7">
        <v>0.0</v>
      </c>
      <c r="G291" s="7" t="s">
        <v>985</v>
      </c>
      <c r="H291" s="7" t="s">
        <v>539</v>
      </c>
      <c r="I291" s="15">
        <f t="array" ref="I291">INDEX(CC!C:C,MATCH(1,(CC!A:A=H291)*(CC!B:B=J291),0))</f>
        <v>1302</v>
      </c>
      <c r="J291" s="7" t="s">
        <v>25</v>
      </c>
      <c r="K291" s="9">
        <v>3270.0</v>
      </c>
    </row>
    <row r="292">
      <c r="A292" s="5"/>
      <c r="B292" s="7" t="s">
        <v>29</v>
      </c>
      <c r="C292" s="7" t="s">
        <v>699</v>
      </c>
      <c r="D292" s="7" t="s">
        <v>565</v>
      </c>
      <c r="E292" s="9">
        <v>4738.72</v>
      </c>
      <c r="F292" s="7">
        <v>0.0</v>
      </c>
      <c r="G292" s="7" t="s">
        <v>988</v>
      </c>
      <c r="H292" s="7" t="s">
        <v>539</v>
      </c>
      <c r="I292" s="15">
        <f t="array" ref="I292">INDEX(CC!C:C,MATCH(1,(CC!A:A=H292)*(CC!B:B=J292),0))</f>
        <v>1302</v>
      </c>
      <c r="J292" s="7" t="s">
        <v>25</v>
      </c>
      <c r="K292" s="9">
        <v>4738.72</v>
      </c>
    </row>
    <row r="293">
      <c r="A293" s="5"/>
      <c r="B293" s="5"/>
      <c r="C293" s="7" t="s">
        <v>699</v>
      </c>
      <c r="D293" s="7" t="s">
        <v>566</v>
      </c>
      <c r="E293" s="7">
        <v>516.95</v>
      </c>
      <c r="F293" s="7">
        <v>0.0</v>
      </c>
      <c r="G293" s="7" t="s">
        <v>988</v>
      </c>
      <c r="H293" s="7" t="s">
        <v>539</v>
      </c>
      <c r="I293" s="15">
        <f t="array" ref="I293">INDEX(CC!C:C,MATCH(1,(CC!A:A=H293)*(CC!B:B=J293),0))</f>
        <v>1302</v>
      </c>
      <c r="J293" s="7" t="s">
        <v>25</v>
      </c>
      <c r="K293" s="7">
        <v>516.95</v>
      </c>
    </row>
    <row r="294">
      <c r="A294" s="5"/>
      <c r="B294" s="5"/>
      <c r="C294" s="7" t="s">
        <v>699</v>
      </c>
      <c r="D294" s="7" t="s">
        <v>126</v>
      </c>
      <c r="E294" s="7">
        <v>21.8</v>
      </c>
      <c r="F294" s="7">
        <v>0.0</v>
      </c>
      <c r="G294" s="7" t="s">
        <v>988</v>
      </c>
      <c r="H294" s="7" t="s">
        <v>539</v>
      </c>
      <c r="I294" s="15">
        <f t="array" ref="I294">INDEX(CC!C:C,MATCH(1,(CC!A:A=H294)*(CC!B:B=J294),0))</f>
        <v>1302</v>
      </c>
      <c r="J294" s="7" t="s">
        <v>25</v>
      </c>
      <c r="K294" s="7">
        <v>21.8</v>
      </c>
    </row>
    <row r="295">
      <c r="A295" s="5"/>
      <c r="B295" s="5"/>
      <c r="C295" s="7" t="s">
        <v>699</v>
      </c>
      <c r="D295" s="7" t="s">
        <v>137</v>
      </c>
      <c r="E295" s="9">
        <v>3270.0</v>
      </c>
      <c r="F295" s="7">
        <v>0.0</v>
      </c>
      <c r="G295" s="7" t="s">
        <v>988</v>
      </c>
      <c r="H295" s="7" t="s">
        <v>539</v>
      </c>
      <c r="I295" s="15">
        <f t="array" ref="I295">INDEX(CC!C:C,MATCH(1,(CC!A:A=H295)*(CC!B:B=J295),0))</f>
        <v>1302</v>
      </c>
      <c r="J295" s="7" t="s">
        <v>25</v>
      </c>
      <c r="K295" s="9">
        <v>3270.0</v>
      </c>
    </row>
    <row r="296">
      <c r="A296" s="5"/>
      <c r="B296" s="7" t="s">
        <v>29</v>
      </c>
      <c r="C296" s="7" t="s">
        <v>991</v>
      </c>
      <c r="D296" s="7" t="s">
        <v>112</v>
      </c>
      <c r="E296" s="9">
        <v>3506.55</v>
      </c>
      <c r="F296" s="7">
        <v>0.0</v>
      </c>
      <c r="G296" s="7" t="s">
        <v>992</v>
      </c>
      <c r="H296" s="7" t="s">
        <v>84</v>
      </c>
      <c r="I296" s="15">
        <f t="array" ref="I296">INDEX(CC!C:C,MATCH(1,(CC!A:A=H296)*(CC!B:B=J296),0))</f>
        <v>1002</v>
      </c>
      <c r="J296" s="7" t="s">
        <v>25</v>
      </c>
      <c r="K296" s="9">
        <v>3506.55</v>
      </c>
    </row>
    <row r="297">
      <c r="A297" s="5"/>
      <c r="B297" s="5"/>
      <c r="C297" s="7" t="s">
        <v>991</v>
      </c>
      <c r="D297" s="7" t="s">
        <v>137</v>
      </c>
      <c r="E297" s="9">
        <v>3548.12</v>
      </c>
      <c r="F297" s="7">
        <v>0.0</v>
      </c>
      <c r="G297" s="7" t="s">
        <v>992</v>
      </c>
      <c r="H297" s="7" t="s">
        <v>84</v>
      </c>
      <c r="I297" s="15">
        <f t="array" ref="I297">INDEX(CC!C:C,MATCH(1,(CC!A:A=H297)*(CC!B:B=J297),0))</f>
        <v>1002</v>
      </c>
      <c r="J297" s="7" t="s">
        <v>25</v>
      </c>
      <c r="K297" s="9">
        <v>3548.12</v>
      </c>
    </row>
    <row r="298">
      <c r="A298" s="5"/>
      <c r="B298" s="7" t="s">
        <v>29</v>
      </c>
      <c r="C298" s="7" t="s">
        <v>246</v>
      </c>
      <c r="D298" s="7" t="s">
        <v>137</v>
      </c>
      <c r="E298" s="9">
        <v>289401.38</v>
      </c>
      <c r="F298" s="7">
        <v>0.0</v>
      </c>
      <c r="G298" s="7" t="s">
        <v>995</v>
      </c>
      <c r="H298" s="7" t="s">
        <v>250</v>
      </c>
      <c r="I298" s="15">
        <f t="array" ref="I298">INDEX(CC!C:C,MATCH(1,(CC!A:A=H298)*(CC!B:B=J298),0))</f>
        <v>1402</v>
      </c>
      <c r="J298" s="7" t="s">
        <v>25</v>
      </c>
      <c r="K298" s="9">
        <v>289401.38</v>
      </c>
    </row>
    <row r="299">
      <c r="A299" s="5"/>
      <c r="B299" s="7" t="s">
        <v>29</v>
      </c>
      <c r="C299" s="7" t="s">
        <v>79</v>
      </c>
      <c r="D299" s="7" t="s">
        <v>307</v>
      </c>
      <c r="E299" s="9">
        <v>1555.35</v>
      </c>
      <c r="F299" s="7">
        <v>0.0</v>
      </c>
      <c r="G299" s="7" t="s">
        <v>996</v>
      </c>
      <c r="H299" s="7" t="s">
        <v>395</v>
      </c>
      <c r="I299" s="15">
        <f t="array" ref="I299">INDEX(CC!C:C,MATCH(1,(CC!A:A=H299)*(CC!B:B=J299),0))</f>
        <v>1102</v>
      </c>
      <c r="J299" s="7" t="s">
        <v>25</v>
      </c>
      <c r="K299" s="9">
        <v>1555.35</v>
      </c>
    </row>
    <row r="300">
      <c r="A300" s="5"/>
      <c r="B300" s="5"/>
      <c r="C300" s="7" t="s">
        <v>79</v>
      </c>
      <c r="D300" s="7" t="s">
        <v>82</v>
      </c>
      <c r="E300" s="7">
        <v>339.06</v>
      </c>
      <c r="F300" s="7">
        <v>0.0</v>
      </c>
      <c r="G300" s="7" t="s">
        <v>996</v>
      </c>
      <c r="H300" s="7" t="s">
        <v>395</v>
      </c>
      <c r="I300" s="15">
        <f t="array" ref="I300">INDEX(CC!C:C,MATCH(1,(CC!A:A=H300)*(CC!B:B=J300),0))</f>
        <v>1102</v>
      </c>
      <c r="J300" s="7" t="s">
        <v>25</v>
      </c>
      <c r="K300" s="7">
        <v>339.06</v>
      </c>
    </row>
    <row r="301">
      <c r="A301" s="5"/>
      <c r="B301" s="5"/>
      <c r="C301" s="7" t="s">
        <v>79</v>
      </c>
      <c r="D301" s="7" t="s">
        <v>112</v>
      </c>
      <c r="E301" s="9">
        <v>4617.0</v>
      </c>
      <c r="F301" s="7">
        <v>0.0</v>
      </c>
      <c r="G301" s="7" t="s">
        <v>996</v>
      </c>
      <c r="H301" s="7" t="s">
        <v>395</v>
      </c>
      <c r="I301" s="15">
        <f t="array" ref="I301">INDEX(CC!C:C,MATCH(1,(CC!A:A=H301)*(CC!B:B=J301),0))</f>
        <v>1103</v>
      </c>
      <c r="J301" s="7" t="s">
        <v>44</v>
      </c>
      <c r="K301" s="9">
        <v>4617.0</v>
      </c>
    </row>
    <row r="302">
      <c r="A302" s="5"/>
      <c r="B302" s="5"/>
      <c r="C302" s="7" t="s">
        <v>79</v>
      </c>
      <c r="D302" s="7" t="s">
        <v>360</v>
      </c>
      <c r="E302" s="9">
        <v>1000.0</v>
      </c>
      <c r="F302" s="7">
        <v>0.0</v>
      </c>
      <c r="G302" s="7" t="s">
        <v>996</v>
      </c>
      <c r="H302" s="7" t="s">
        <v>395</v>
      </c>
      <c r="I302" s="15">
        <f t="array" ref="I302">INDEX(CC!C:C,MATCH(1,(CC!A:A=H302)*(CC!B:B=J302),0))</f>
        <v>1103</v>
      </c>
      <c r="J302" s="7" t="s">
        <v>44</v>
      </c>
      <c r="K302" s="9">
        <v>1000.0</v>
      </c>
    </row>
    <row r="303">
      <c r="A303" s="5"/>
      <c r="B303" s="5"/>
      <c r="C303" s="7" t="s">
        <v>79</v>
      </c>
      <c r="D303" s="7" t="s">
        <v>126</v>
      </c>
      <c r="E303" s="7">
        <v>36.29</v>
      </c>
      <c r="F303" s="7">
        <v>0.0</v>
      </c>
      <c r="G303" s="7" t="s">
        <v>996</v>
      </c>
      <c r="H303" s="7" t="s">
        <v>395</v>
      </c>
      <c r="I303" s="15">
        <f t="array" ref="I303">INDEX(CC!C:C,MATCH(1,(CC!A:A=H303)*(CC!B:B=J303),0))</f>
        <v>1102</v>
      </c>
      <c r="J303" s="7" t="s">
        <v>25</v>
      </c>
      <c r="K303" s="7">
        <v>36.29</v>
      </c>
    </row>
    <row r="304">
      <c r="A304" s="5"/>
      <c r="B304" s="5"/>
      <c r="C304" s="7" t="s">
        <v>79</v>
      </c>
      <c r="D304" s="7" t="s">
        <v>137</v>
      </c>
      <c r="E304" s="9">
        <v>6532.47</v>
      </c>
      <c r="F304" s="7">
        <v>0.0</v>
      </c>
      <c r="G304" s="7" t="s">
        <v>996</v>
      </c>
      <c r="H304" s="7" t="s">
        <v>395</v>
      </c>
      <c r="I304" s="15">
        <f t="array" ref="I304">INDEX(CC!C:C,MATCH(1,(CC!A:A=H304)*(CC!B:B=J304),0))</f>
        <v>1102</v>
      </c>
      <c r="J304" s="7" t="s">
        <v>25</v>
      </c>
      <c r="K304" s="9">
        <v>6532.47</v>
      </c>
    </row>
    <row r="305">
      <c r="A305" s="5"/>
      <c r="B305" s="7" t="s">
        <v>29</v>
      </c>
      <c r="C305" s="7" t="s">
        <v>699</v>
      </c>
      <c r="D305" s="7" t="s">
        <v>104</v>
      </c>
      <c r="E305" s="9">
        <v>1000.0</v>
      </c>
      <c r="F305" s="7">
        <v>0.0</v>
      </c>
      <c r="G305" s="7" t="s">
        <v>1001</v>
      </c>
      <c r="H305" s="7" t="s">
        <v>554</v>
      </c>
      <c r="I305" s="15">
        <f t="array" ref="I305">INDEX(CC!C:C,MATCH(1,(CC!A:A=H305)*(CC!B:B=J305),0))</f>
        <v>1702</v>
      </c>
      <c r="J305" s="7" t="s">
        <v>25</v>
      </c>
      <c r="K305" s="9">
        <v>1000.0</v>
      </c>
    </row>
    <row r="306">
      <c r="A306" s="5"/>
      <c r="B306" s="5"/>
      <c r="C306" s="7" t="s">
        <v>699</v>
      </c>
      <c r="D306" s="7" t="s">
        <v>126</v>
      </c>
      <c r="E306" s="7">
        <v>21.8</v>
      </c>
      <c r="F306" s="7">
        <v>0.0</v>
      </c>
      <c r="G306" s="7" t="s">
        <v>1001</v>
      </c>
      <c r="H306" s="7" t="s">
        <v>554</v>
      </c>
      <c r="I306" s="15">
        <f t="array" ref="I306">INDEX(CC!C:C,MATCH(1,(CC!A:A=H306)*(CC!B:B=J306),0))</f>
        <v>1702</v>
      </c>
      <c r="J306" s="7" t="s">
        <v>25</v>
      </c>
      <c r="K306" s="7">
        <v>21.8</v>
      </c>
    </row>
    <row r="307">
      <c r="A307" s="5"/>
      <c r="B307" s="5"/>
      <c r="C307" s="7" t="s">
        <v>699</v>
      </c>
      <c r="D307" s="7" t="s">
        <v>137</v>
      </c>
      <c r="E307" s="9">
        <v>7194.0</v>
      </c>
      <c r="F307" s="7">
        <v>0.0</v>
      </c>
      <c r="G307" s="7" t="s">
        <v>1001</v>
      </c>
      <c r="H307" s="7" t="s">
        <v>554</v>
      </c>
      <c r="I307" s="15">
        <f t="array" ref="I307">INDEX(CC!C:C,MATCH(1,(CC!A:A=H307)*(CC!B:B=J307),0))</f>
        <v>1702</v>
      </c>
      <c r="J307" s="7" t="s">
        <v>25</v>
      </c>
      <c r="K307" s="9">
        <v>7194.0</v>
      </c>
    </row>
    <row r="308">
      <c r="A308" s="5"/>
      <c r="B308" s="7" t="s">
        <v>29</v>
      </c>
      <c r="C308" s="7" t="s">
        <v>936</v>
      </c>
      <c r="D308" s="7" t="s">
        <v>307</v>
      </c>
      <c r="E308" s="9">
        <v>1800.0</v>
      </c>
      <c r="F308" s="7">
        <v>0.0</v>
      </c>
      <c r="G308" s="7" t="s">
        <v>953</v>
      </c>
      <c r="H308" s="7" t="s">
        <v>55</v>
      </c>
      <c r="I308" s="15">
        <f t="array" ref="I308">INDEX(CC!C:C,MATCH(1,(CC!A:A=H308)*(CC!B:B=J308),0))</f>
        <v>902</v>
      </c>
      <c r="J308" s="7" t="s">
        <v>25</v>
      </c>
      <c r="K308" s="9">
        <v>1800.0</v>
      </c>
    </row>
    <row r="309">
      <c r="A309" s="5"/>
      <c r="B309" s="5"/>
      <c r="C309" s="7" t="s">
        <v>936</v>
      </c>
      <c r="D309" s="7" t="s">
        <v>82</v>
      </c>
      <c r="E309" s="7">
        <v>350.0</v>
      </c>
      <c r="F309" s="7">
        <v>0.0</v>
      </c>
      <c r="G309" s="7" t="s">
        <v>953</v>
      </c>
      <c r="H309" s="7" t="s">
        <v>55</v>
      </c>
      <c r="I309" s="15">
        <f t="array" ref="I309">INDEX(CC!C:C,MATCH(1,(CC!A:A=H309)*(CC!B:B=J309),0))</f>
        <v>902</v>
      </c>
      <c r="J309" s="7" t="s">
        <v>25</v>
      </c>
      <c r="K309" s="7">
        <v>350.0</v>
      </c>
    </row>
    <row r="310">
      <c r="A310" s="5"/>
      <c r="B310" s="5"/>
      <c r="C310" s="7" t="s">
        <v>936</v>
      </c>
      <c r="D310" s="7" t="s">
        <v>199</v>
      </c>
      <c r="E310" s="9">
        <v>1800.0</v>
      </c>
      <c r="F310" s="7">
        <v>0.0</v>
      </c>
      <c r="G310" s="7" t="s">
        <v>953</v>
      </c>
      <c r="H310" s="7" t="s">
        <v>55</v>
      </c>
      <c r="I310" s="15">
        <f t="array" ref="I310">INDEX(CC!C:C,MATCH(1,(CC!A:A=H310)*(CC!B:B=J310),0))</f>
        <v>902</v>
      </c>
      <c r="J310" s="7" t="s">
        <v>25</v>
      </c>
      <c r="K310" s="9">
        <v>1800.0</v>
      </c>
    </row>
    <row r="311">
      <c r="A311" s="5"/>
      <c r="B311" s="5"/>
      <c r="C311" s="7" t="s">
        <v>936</v>
      </c>
      <c r="D311" s="7" t="s">
        <v>126</v>
      </c>
      <c r="E311" s="7">
        <v>35.0</v>
      </c>
      <c r="F311" s="7">
        <v>0.0</v>
      </c>
      <c r="G311" s="7" t="s">
        <v>953</v>
      </c>
      <c r="H311" s="7" t="s">
        <v>55</v>
      </c>
      <c r="I311" s="15">
        <f t="array" ref="I311">INDEX(CC!C:C,MATCH(1,(CC!A:A=H311)*(CC!B:B=J311),0))</f>
        <v>902</v>
      </c>
      <c r="J311" s="7" t="s">
        <v>25</v>
      </c>
      <c r="K311" s="7">
        <v>35.0</v>
      </c>
    </row>
    <row r="312">
      <c r="A312" s="5"/>
      <c r="B312" s="5"/>
      <c r="C312" s="7" t="s">
        <v>936</v>
      </c>
      <c r="D312" s="7" t="s">
        <v>137</v>
      </c>
      <c r="E312" s="9">
        <v>3300.0</v>
      </c>
      <c r="F312" s="7">
        <v>0.0</v>
      </c>
      <c r="G312" s="7" t="s">
        <v>953</v>
      </c>
      <c r="H312" s="7" t="s">
        <v>55</v>
      </c>
      <c r="I312" s="15">
        <f t="array" ref="I312">INDEX(CC!C:C,MATCH(1,(CC!A:A=H312)*(CC!B:B=J312),0))</f>
        <v>902</v>
      </c>
      <c r="J312" s="7" t="s">
        <v>25</v>
      </c>
      <c r="K312" s="9">
        <v>3300.0</v>
      </c>
    </row>
    <row r="313">
      <c r="A313" s="5"/>
      <c r="B313" s="7" t="s">
        <v>29</v>
      </c>
      <c r="C313" s="7" t="s">
        <v>168</v>
      </c>
      <c r="D313" s="7" t="s">
        <v>112</v>
      </c>
      <c r="E313" s="9">
        <v>3569.39</v>
      </c>
      <c r="F313" s="7">
        <v>0.0</v>
      </c>
      <c r="G313" s="7" t="s">
        <v>1007</v>
      </c>
      <c r="H313" s="7" t="s">
        <v>84</v>
      </c>
      <c r="I313" s="15">
        <f t="array" ref="I313">INDEX(CC!C:C,MATCH(1,(CC!A:A=H313)*(CC!B:B=J313),0))</f>
        <v>1002</v>
      </c>
      <c r="J313" s="7" t="s">
        <v>25</v>
      </c>
      <c r="K313" s="9">
        <v>3569.39</v>
      </c>
    </row>
    <row r="314">
      <c r="A314" s="5"/>
      <c r="B314" s="5"/>
      <c r="C314" s="7" t="s">
        <v>168</v>
      </c>
      <c r="D314" s="7" t="s">
        <v>137</v>
      </c>
      <c r="E314" s="9">
        <v>3388.59</v>
      </c>
      <c r="F314" s="7">
        <v>0.0</v>
      </c>
      <c r="G314" s="7" t="s">
        <v>1007</v>
      </c>
      <c r="H314" s="7" t="s">
        <v>84</v>
      </c>
      <c r="I314" s="15">
        <f t="array" ref="I314">INDEX(CC!C:C,MATCH(1,(CC!A:A=H314)*(CC!B:B=J314),0))</f>
        <v>1002</v>
      </c>
      <c r="J314" s="7" t="s">
        <v>25</v>
      </c>
      <c r="K314" s="9">
        <v>3388.59</v>
      </c>
    </row>
    <row r="315">
      <c r="A315" s="5"/>
      <c r="B315" s="7" t="s">
        <v>29</v>
      </c>
      <c r="C315" s="7" t="s">
        <v>391</v>
      </c>
      <c r="D315" s="7" t="s">
        <v>307</v>
      </c>
      <c r="E315" s="9">
        <v>1555.35</v>
      </c>
      <c r="F315" s="7">
        <v>0.0</v>
      </c>
      <c r="G315" s="7" t="s">
        <v>1009</v>
      </c>
      <c r="H315" s="7" t="s">
        <v>395</v>
      </c>
      <c r="I315" s="15">
        <f t="array" ref="I315">INDEX(CC!C:C,MATCH(1,(CC!A:A=H315)*(CC!B:B=J315),0))</f>
        <v>1102</v>
      </c>
      <c r="J315" s="7" t="s">
        <v>25</v>
      </c>
      <c r="K315" s="9">
        <v>1555.35</v>
      </c>
    </row>
    <row r="316">
      <c r="A316" s="5"/>
      <c r="B316" s="5"/>
      <c r="C316" s="7" t="s">
        <v>391</v>
      </c>
      <c r="D316" s="7" t="s">
        <v>82</v>
      </c>
      <c r="E316" s="7">
        <v>339.06</v>
      </c>
      <c r="F316" s="7">
        <v>0.0</v>
      </c>
      <c r="G316" s="7" t="s">
        <v>1009</v>
      </c>
      <c r="H316" s="7" t="s">
        <v>395</v>
      </c>
      <c r="I316" s="15">
        <f t="array" ref="I316">INDEX(CC!C:C,MATCH(1,(CC!A:A=H316)*(CC!B:B=J316),0))</f>
        <v>1102</v>
      </c>
      <c r="J316" s="7" t="s">
        <v>25</v>
      </c>
      <c r="K316" s="7">
        <v>339.06</v>
      </c>
    </row>
    <row r="317">
      <c r="A317" s="5"/>
      <c r="B317" s="5"/>
      <c r="C317" s="7" t="s">
        <v>391</v>
      </c>
      <c r="D317" s="7" t="s">
        <v>277</v>
      </c>
      <c r="E317" s="9">
        <v>3262.14</v>
      </c>
      <c r="F317" s="7">
        <v>0.0</v>
      </c>
      <c r="G317" s="7" t="s">
        <v>1009</v>
      </c>
      <c r="H317" s="7" t="s">
        <v>395</v>
      </c>
      <c r="I317" s="15">
        <f t="array" ref="I317">INDEX(CC!C:C,MATCH(1,(CC!A:A=H317)*(CC!B:B=J317),0))</f>
        <v>1102</v>
      </c>
      <c r="J317" s="7" t="s">
        <v>25</v>
      </c>
      <c r="K317" s="9">
        <v>3262.14</v>
      </c>
    </row>
    <row r="318">
      <c r="A318" s="5"/>
      <c r="B318" s="5"/>
      <c r="C318" s="7" t="s">
        <v>391</v>
      </c>
      <c r="D318" s="7" t="s">
        <v>112</v>
      </c>
      <c r="E318" s="9">
        <v>9563.79</v>
      </c>
      <c r="F318" s="7">
        <v>0.0</v>
      </c>
      <c r="G318" s="7" t="s">
        <v>1009</v>
      </c>
      <c r="H318" s="7" t="s">
        <v>395</v>
      </c>
      <c r="I318" s="15">
        <f t="array" ref="I318">INDEX(CC!C:C,MATCH(1,(CC!A:A=H318)*(CC!B:B=J318),0))</f>
        <v>1103</v>
      </c>
      <c r="J318" s="7" t="s">
        <v>44</v>
      </c>
      <c r="K318" s="9">
        <v>9563.79</v>
      </c>
    </row>
    <row r="319">
      <c r="A319" s="5"/>
      <c r="B319" s="5"/>
      <c r="C319" s="7" t="s">
        <v>391</v>
      </c>
      <c r="D319" s="7" t="s">
        <v>126</v>
      </c>
      <c r="E319" s="7">
        <v>36.29</v>
      </c>
      <c r="F319" s="7">
        <v>0.0</v>
      </c>
      <c r="G319" s="7" t="s">
        <v>1009</v>
      </c>
      <c r="H319" s="7" t="s">
        <v>395</v>
      </c>
      <c r="I319" s="15">
        <f t="array" ref="I319">INDEX(CC!C:C,MATCH(1,(CC!A:A=H319)*(CC!B:B=J319),0))</f>
        <v>1102</v>
      </c>
      <c r="J319" s="7" t="s">
        <v>25</v>
      </c>
      <c r="K319" s="7">
        <v>36.29</v>
      </c>
    </row>
    <row r="320">
      <c r="A320" s="5"/>
      <c r="B320" s="5"/>
      <c r="C320" s="7" t="s">
        <v>391</v>
      </c>
      <c r="D320" s="7" t="s">
        <v>137</v>
      </c>
      <c r="E320" s="9">
        <v>7123.5</v>
      </c>
      <c r="F320" s="7">
        <v>0.0</v>
      </c>
      <c r="G320" s="7" t="s">
        <v>1009</v>
      </c>
      <c r="H320" s="7" t="s">
        <v>395</v>
      </c>
      <c r="I320" s="15">
        <f t="array" ref="I320">INDEX(CC!C:C,MATCH(1,(CC!A:A=H320)*(CC!B:B=J320),0))</f>
        <v>1102</v>
      </c>
      <c r="J320" s="7" t="s">
        <v>25</v>
      </c>
      <c r="K320" s="9">
        <v>7123.5</v>
      </c>
    </row>
    <row r="321">
      <c r="A321" s="5"/>
      <c r="B321" s="5"/>
      <c r="C321" s="7" t="s">
        <v>391</v>
      </c>
      <c r="D321" s="7" t="s">
        <v>470</v>
      </c>
      <c r="E321" s="9">
        <v>3000.0</v>
      </c>
      <c r="F321" s="7">
        <v>0.0</v>
      </c>
      <c r="G321" s="7" t="s">
        <v>1009</v>
      </c>
      <c r="H321" s="7" t="s">
        <v>395</v>
      </c>
      <c r="I321" s="15">
        <f t="array" ref="I321">INDEX(CC!C:C,MATCH(1,(CC!A:A=H321)*(CC!B:B=J321),0))</f>
        <v>1103</v>
      </c>
      <c r="J321" s="7" t="s">
        <v>44</v>
      </c>
      <c r="K321" s="9">
        <v>3000.0</v>
      </c>
    </row>
    <row r="322">
      <c r="A322" s="5"/>
      <c r="B322" s="7" t="s">
        <v>29</v>
      </c>
      <c r="C322" s="7" t="s">
        <v>1014</v>
      </c>
      <c r="D322" s="7" t="s">
        <v>307</v>
      </c>
      <c r="E322" s="9">
        <v>1800.0</v>
      </c>
      <c r="F322" s="7">
        <v>0.0</v>
      </c>
      <c r="G322" s="7" t="s">
        <v>1015</v>
      </c>
      <c r="H322" s="7" t="s">
        <v>74</v>
      </c>
      <c r="I322" s="15">
        <f t="array" ref="I322">INDEX(CC!C:C,MATCH(1,(CC!A:A=H322)*(CC!B:B=J322),0))</f>
        <v>1502</v>
      </c>
      <c r="J322" s="7" t="s">
        <v>25</v>
      </c>
      <c r="K322" s="9">
        <v>1800.0</v>
      </c>
    </row>
    <row r="323">
      <c r="A323" s="5"/>
      <c r="B323" s="5"/>
      <c r="C323" s="7" t="s">
        <v>1014</v>
      </c>
      <c r="D323" s="7" t="s">
        <v>82</v>
      </c>
      <c r="E323" s="7">
        <v>350.0</v>
      </c>
      <c r="F323" s="7">
        <v>0.0</v>
      </c>
      <c r="G323" s="7" t="s">
        <v>1015</v>
      </c>
      <c r="H323" s="7" t="s">
        <v>74</v>
      </c>
      <c r="I323" s="15">
        <f t="array" ref="I323">INDEX(CC!C:C,MATCH(1,(CC!A:A=H323)*(CC!B:B=J323),0))</f>
        <v>1502</v>
      </c>
      <c r="J323" s="7" t="s">
        <v>25</v>
      </c>
      <c r="K323" s="7">
        <v>350.0</v>
      </c>
    </row>
    <row r="324">
      <c r="A324" s="5"/>
      <c r="B324" s="5"/>
      <c r="C324" s="7" t="s">
        <v>1014</v>
      </c>
      <c r="D324" s="7" t="s">
        <v>1017</v>
      </c>
      <c r="E324" s="9">
        <v>4000.0</v>
      </c>
      <c r="F324" s="7">
        <v>0.0</v>
      </c>
      <c r="G324" s="7" t="s">
        <v>1015</v>
      </c>
      <c r="H324" s="7" t="s">
        <v>74</v>
      </c>
      <c r="I324" s="15">
        <f t="array" ref="I324">INDEX(CC!C:C,MATCH(1,(CC!A:A=H324)*(CC!B:B=J324),0))</f>
        <v>1502</v>
      </c>
      <c r="J324" s="7" t="s">
        <v>25</v>
      </c>
      <c r="K324" s="9">
        <v>4000.0</v>
      </c>
    </row>
    <row r="325">
      <c r="A325" s="5"/>
      <c r="B325" s="5"/>
      <c r="C325" s="7" t="s">
        <v>1014</v>
      </c>
      <c r="D325" s="7" t="s">
        <v>199</v>
      </c>
      <c r="E325" s="9">
        <v>1800.0</v>
      </c>
      <c r="F325" s="7">
        <v>0.0</v>
      </c>
      <c r="G325" s="7" t="s">
        <v>1015</v>
      </c>
      <c r="H325" s="7" t="s">
        <v>74</v>
      </c>
      <c r="I325" s="15">
        <f t="array" ref="I325">INDEX(CC!C:C,MATCH(1,(CC!A:A=H325)*(CC!B:B=J325),0))</f>
        <v>1502</v>
      </c>
      <c r="J325" s="7" t="s">
        <v>25</v>
      </c>
      <c r="K325" s="9">
        <v>1800.0</v>
      </c>
    </row>
    <row r="326">
      <c r="A326" s="5"/>
      <c r="B326" s="5"/>
      <c r="C326" s="7" t="s">
        <v>1014</v>
      </c>
      <c r="D326" s="7" t="s">
        <v>1020</v>
      </c>
      <c r="E326" s="7">
        <v>379.0</v>
      </c>
      <c r="F326" s="7">
        <v>0.0</v>
      </c>
      <c r="G326" s="7" t="s">
        <v>1015</v>
      </c>
      <c r="H326" s="7" t="s">
        <v>74</v>
      </c>
      <c r="I326" s="15">
        <f t="array" ref="I326">INDEX(CC!C:C,MATCH(1,(CC!A:A=H326)*(CC!B:B=J326),0))</f>
        <v>1502</v>
      </c>
      <c r="J326" s="7" t="s">
        <v>25</v>
      </c>
      <c r="K326" s="7">
        <v>379.0</v>
      </c>
    </row>
    <row r="327">
      <c r="A327" s="5"/>
      <c r="B327" s="5"/>
      <c r="C327" s="7" t="s">
        <v>1014</v>
      </c>
      <c r="D327" s="7" t="s">
        <v>679</v>
      </c>
      <c r="E327" s="9">
        <v>3200.0</v>
      </c>
      <c r="F327" s="7">
        <v>0.0</v>
      </c>
      <c r="G327" s="7" t="s">
        <v>1015</v>
      </c>
      <c r="H327" s="7" t="s">
        <v>74</v>
      </c>
      <c r="I327" s="15">
        <f t="array" ref="I327">INDEX(CC!C:C,MATCH(1,(CC!A:A=H327)*(CC!B:B=J327),0))</f>
        <v>1502</v>
      </c>
      <c r="J327" s="7" t="s">
        <v>25</v>
      </c>
      <c r="K327" s="9">
        <v>3200.0</v>
      </c>
    </row>
    <row r="328">
      <c r="A328" s="5"/>
      <c r="B328" s="5"/>
      <c r="C328" s="7" t="s">
        <v>1014</v>
      </c>
      <c r="D328" s="7" t="s">
        <v>126</v>
      </c>
      <c r="E328" s="7">
        <v>35.0</v>
      </c>
      <c r="F328" s="7">
        <v>0.0</v>
      </c>
      <c r="G328" s="7" t="s">
        <v>1015</v>
      </c>
      <c r="H328" s="7" t="s">
        <v>74</v>
      </c>
      <c r="I328" s="15">
        <f t="array" ref="I328">INDEX(CC!C:C,MATCH(1,(CC!A:A=H328)*(CC!B:B=J328),0))</f>
        <v>1502</v>
      </c>
      <c r="J328" s="7" t="s">
        <v>25</v>
      </c>
      <c r="K328" s="7">
        <v>35.0</v>
      </c>
    </row>
    <row r="329">
      <c r="A329" s="5"/>
      <c r="B329" s="5"/>
      <c r="C329" s="7" t="s">
        <v>1014</v>
      </c>
      <c r="D329" s="7" t="s">
        <v>137</v>
      </c>
      <c r="E329" s="9">
        <v>3300.0</v>
      </c>
      <c r="F329" s="7">
        <v>0.0</v>
      </c>
      <c r="G329" s="7" t="s">
        <v>1015</v>
      </c>
      <c r="H329" s="7" t="s">
        <v>74</v>
      </c>
      <c r="I329" s="15">
        <f t="array" ref="I329">INDEX(CC!C:C,MATCH(1,(CC!A:A=H329)*(CC!B:B=J329),0))</f>
        <v>1502</v>
      </c>
      <c r="J329" s="7" t="s">
        <v>25</v>
      </c>
      <c r="K329" s="9">
        <v>3300.0</v>
      </c>
    </row>
    <row r="330">
      <c r="A330" s="5"/>
      <c r="B330" s="7" t="s">
        <v>29</v>
      </c>
      <c r="C330" s="7" t="s">
        <v>148</v>
      </c>
      <c r="D330" s="7" t="s">
        <v>104</v>
      </c>
      <c r="E330" s="9">
        <v>1000.0</v>
      </c>
      <c r="F330" s="7">
        <v>0.0</v>
      </c>
      <c r="G330" s="7" t="s">
        <v>1023</v>
      </c>
      <c r="H330" s="7" t="s">
        <v>55</v>
      </c>
      <c r="I330" s="15">
        <f t="array" ref="I330">INDEX(CC!C:C,MATCH(1,(CC!A:A=H330)*(CC!B:B=J330),0))</f>
        <v>902</v>
      </c>
      <c r="J330" s="7" t="s">
        <v>25</v>
      </c>
      <c r="K330" s="9">
        <v>1000.0</v>
      </c>
    </row>
    <row r="331">
      <c r="A331" s="5"/>
      <c r="B331" s="5"/>
      <c r="C331" s="7" t="s">
        <v>148</v>
      </c>
      <c r="D331" s="7" t="s">
        <v>126</v>
      </c>
      <c r="E331" s="7">
        <v>30.0</v>
      </c>
      <c r="F331" s="7">
        <v>0.0</v>
      </c>
      <c r="G331" s="7" t="s">
        <v>1023</v>
      </c>
      <c r="H331" s="7" t="s">
        <v>55</v>
      </c>
      <c r="I331" s="15">
        <f t="array" ref="I331">INDEX(CC!C:C,MATCH(1,(CC!A:A=H331)*(CC!B:B=J331),0))</f>
        <v>902</v>
      </c>
      <c r="J331" s="7" t="s">
        <v>25</v>
      </c>
      <c r="K331" s="7">
        <v>30.0</v>
      </c>
    </row>
    <row r="332">
      <c r="A332" s="5"/>
      <c r="B332" s="7" t="s">
        <v>29</v>
      </c>
      <c r="C332" s="7" t="s">
        <v>331</v>
      </c>
      <c r="D332" s="7" t="s">
        <v>33</v>
      </c>
      <c r="E332" s="7">
        <v>0.01</v>
      </c>
      <c r="F332" s="7">
        <v>0.0</v>
      </c>
      <c r="G332" s="7" t="s">
        <v>1025</v>
      </c>
      <c r="H332" s="7" t="s">
        <v>385</v>
      </c>
      <c r="I332" s="15">
        <f t="array" ref="I332">INDEX(CC!C:C,MATCH(1,(CC!A:A=H332)*(CC!B:B=J332),0))</f>
        <v>502</v>
      </c>
      <c r="J332" s="7" t="s">
        <v>25</v>
      </c>
      <c r="K332" s="7">
        <v>0.01</v>
      </c>
    </row>
    <row r="333">
      <c r="A333" s="5"/>
      <c r="B333" s="7" t="s">
        <v>29</v>
      </c>
      <c r="C333" s="7" t="s">
        <v>1027</v>
      </c>
      <c r="D333" s="7" t="s">
        <v>307</v>
      </c>
      <c r="E333" s="9">
        <v>1800.0</v>
      </c>
      <c r="F333" s="7">
        <v>0.0</v>
      </c>
      <c r="G333" s="7" t="s">
        <v>1028</v>
      </c>
      <c r="H333" s="7" t="s">
        <v>74</v>
      </c>
      <c r="I333" s="15">
        <f t="array" ref="I333">INDEX(CC!C:C,MATCH(1,(CC!A:A=H333)*(CC!B:B=J333),0))</f>
        <v>1502</v>
      </c>
      <c r="J333" s="7" t="s">
        <v>25</v>
      </c>
      <c r="K333" s="9">
        <v>1800.0</v>
      </c>
    </row>
    <row r="334">
      <c r="A334" s="5"/>
      <c r="B334" s="5"/>
      <c r="C334" s="7" t="s">
        <v>1027</v>
      </c>
      <c r="D334" s="7" t="s">
        <v>82</v>
      </c>
      <c r="E334" s="7">
        <v>350.0</v>
      </c>
      <c r="F334" s="7">
        <v>0.0</v>
      </c>
      <c r="G334" s="7" t="s">
        <v>1028</v>
      </c>
      <c r="H334" s="7" t="s">
        <v>74</v>
      </c>
      <c r="I334" s="15">
        <f t="array" ref="I334">INDEX(CC!C:C,MATCH(1,(CC!A:A=H334)*(CC!B:B=J334),0))</f>
        <v>1502</v>
      </c>
      <c r="J334" s="7" t="s">
        <v>25</v>
      </c>
      <c r="K334" s="7">
        <v>350.0</v>
      </c>
    </row>
    <row r="335">
      <c r="A335" s="5"/>
      <c r="B335" s="5"/>
      <c r="C335" s="7" t="s">
        <v>1027</v>
      </c>
      <c r="D335" s="7" t="s">
        <v>199</v>
      </c>
      <c r="E335" s="9">
        <v>1800.0</v>
      </c>
      <c r="F335" s="7">
        <v>0.0</v>
      </c>
      <c r="G335" s="7" t="s">
        <v>1028</v>
      </c>
      <c r="H335" s="7" t="s">
        <v>74</v>
      </c>
      <c r="I335" s="15">
        <f t="array" ref="I335">INDEX(CC!C:C,MATCH(1,(CC!A:A=H335)*(CC!B:B=J335),0))</f>
        <v>1502</v>
      </c>
      <c r="J335" s="7" t="s">
        <v>25</v>
      </c>
      <c r="K335" s="9">
        <v>1800.0</v>
      </c>
    </row>
    <row r="336">
      <c r="A336" s="5"/>
      <c r="B336" s="5"/>
      <c r="C336" s="7" t="s">
        <v>1027</v>
      </c>
      <c r="D336" s="7" t="s">
        <v>126</v>
      </c>
      <c r="E336" s="7">
        <v>35.0</v>
      </c>
      <c r="F336" s="7">
        <v>0.0</v>
      </c>
      <c r="G336" s="7" t="s">
        <v>1028</v>
      </c>
      <c r="H336" s="7" t="s">
        <v>74</v>
      </c>
      <c r="I336" s="15">
        <f t="array" ref="I336">INDEX(CC!C:C,MATCH(1,(CC!A:A=H336)*(CC!B:B=J336),0))</f>
        <v>1502</v>
      </c>
      <c r="J336" s="7" t="s">
        <v>25</v>
      </c>
      <c r="K336" s="7">
        <v>35.0</v>
      </c>
    </row>
    <row r="337">
      <c r="A337" s="5"/>
      <c r="B337" s="5"/>
      <c r="C337" s="7" t="s">
        <v>1027</v>
      </c>
      <c r="D337" s="7" t="s">
        <v>137</v>
      </c>
      <c r="E337" s="9">
        <v>3300.0</v>
      </c>
      <c r="F337" s="7">
        <v>0.0</v>
      </c>
      <c r="G337" s="7" t="s">
        <v>1028</v>
      </c>
      <c r="H337" s="7" t="s">
        <v>74</v>
      </c>
      <c r="I337" s="15">
        <f t="array" ref="I337">INDEX(CC!C:C,MATCH(1,(CC!A:A=H337)*(CC!B:B=J337),0))</f>
        <v>1502</v>
      </c>
      <c r="J337" s="7" t="s">
        <v>25</v>
      </c>
      <c r="K337" s="9">
        <v>3300.0</v>
      </c>
    </row>
    <row r="338">
      <c r="A338" s="5"/>
      <c r="B338" s="5"/>
      <c r="C338" s="7" t="s">
        <v>1027</v>
      </c>
      <c r="D338" s="7" t="s">
        <v>104</v>
      </c>
      <c r="E338" s="9">
        <v>2500.0</v>
      </c>
      <c r="F338" s="7">
        <v>0.0</v>
      </c>
      <c r="G338" s="7" t="s">
        <v>1028</v>
      </c>
      <c r="H338" s="7" t="s">
        <v>74</v>
      </c>
      <c r="I338" s="15">
        <f t="array" ref="I338">INDEX(CC!C:C,MATCH(1,(CC!A:A=H338)*(CC!B:B=J338),0))</f>
        <v>1502</v>
      </c>
      <c r="J338" s="7" t="s">
        <v>25</v>
      </c>
      <c r="K338" s="9">
        <v>2500.0</v>
      </c>
    </row>
    <row r="339">
      <c r="A339" s="5"/>
      <c r="B339" s="7" t="s">
        <v>29</v>
      </c>
      <c r="C339" s="7" t="s">
        <v>1030</v>
      </c>
      <c r="D339" s="7" t="s">
        <v>307</v>
      </c>
      <c r="E339" s="9">
        <v>1762.63</v>
      </c>
      <c r="F339" s="7">
        <v>0.0</v>
      </c>
      <c r="G339" s="7" t="s">
        <v>1031</v>
      </c>
      <c r="H339" s="7" t="s">
        <v>74</v>
      </c>
      <c r="I339" s="15">
        <f t="array" ref="I339">INDEX(CC!C:C,MATCH(1,(CC!A:A=H339)*(CC!B:B=J339),0))</f>
        <v>1502</v>
      </c>
      <c r="J339" s="7" t="s">
        <v>25</v>
      </c>
      <c r="K339" s="9">
        <v>1762.63</v>
      </c>
    </row>
    <row r="340">
      <c r="A340" s="5"/>
      <c r="B340" s="5"/>
      <c r="C340" s="7" t="s">
        <v>1030</v>
      </c>
      <c r="D340" s="7" t="s">
        <v>82</v>
      </c>
      <c r="E340" s="7">
        <v>362.91</v>
      </c>
      <c r="F340" s="7">
        <v>0.0</v>
      </c>
      <c r="G340" s="7" t="s">
        <v>1031</v>
      </c>
      <c r="H340" s="7" t="s">
        <v>74</v>
      </c>
      <c r="I340" s="15">
        <f t="array" ref="I340">INDEX(CC!C:C,MATCH(1,(CC!A:A=H340)*(CC!B:B=J340),0))</f>
        <v>1502</v>
      </c>
      <c r="J340" s="7" t="s">
        <v>25</v>
      </c>
      <c r="K340" s="7">
        <v>362.91</v>
      </c>
    </row>
    <row r="341">
      <c r="A341" s="5"/>
      <c r="B341" s="5"/>
      <c r="C341" s="7" t="s">
        <v>1030</v>
      </c>
      <c r="D341" s="7" t="s">
        <v>199</v>
      </c>
      <c r="E341" s="9">
        <v>5202.31</v>
      </c>
      <c r="F341" s="7">
        <v>0.0</v>
      </c>
      <c r="G341" s="7" t="s">
        <v>1031</v>
      </c>
      <c r="H341" s="7" t="s">
        <v>74</v>
      </c>
      <c r="I341" s="15">
        <f t="array" ref="I341">INDEX(CC!C:C,MATCH(1,(CC!A:A=H341)*(CC!B:B=J341),0))</f>
        <v>1502</v>
      </c>
      <c r="J341" s="7" t="s">
        <v>25</v>
      </c>
      <c r="K341" s="9">
        <v>5202.31</v>
      </c>
    </row>
    <row r="342">
      <c r="A342" s="5"/>
      <c r="B342" s="5"/>
      <c r="C342" s="7" t="s">
        <v>1030</v>
      </c>
      <c r="D342" s="7" t="s">
        <v>126</v>
      </c>
      <c r="E342" s="7">
        <v>36.29</v>
      </c>
      <c r="F342" s="7">
        <v>0.0</v>
      </c>
      <c r="G342" s="7" t="s">
        <v>1031</v>
      </c>
      <c r="H342" s="7" t="s">
        <v>74</v>
      </c>
      <c r="I342" s="15">
        <f t="array" ref="I342">INDEX(CC!C:C,MATCH(1,(CC!A:A=H342)*(CC!B:B=J342),0))</f>
        <v>1502</v>
      </c>
      <c r="J342" s="7" t="s">
        <v>25</v>
      </c>
      <c r="K342" s="7">
        <v>36.29</v>
      </c>
    </row>
    <row r="343">
      <c r="A343" s="5"/>
      <c r="B343" s="5"/>
      <c r="C343" s="7" t="s">
        <v>1030</v>
      </c>
      <c r="D343" s="7" t="s">
        <v>137</v>
      </c>
      <c r="E343" s="9">
        <v>3732.84</v>
      </c>
      <c r="F343" s="7">
        <v>0.0</v>
      </c>
      <c r="G343" s="7" t="s">
        <v>1031</v>
      </c>
      <c r="H343" s="7" t="s">
        <v>74</v>
      </c>
      <c r="I343" s="15">
        <f t="array" ref="I343">INDEX(CC!C:C,MATCH(1,(CC!A:A=H343)*(CC!B:B=J343),0))</f>
        <v>1502</v>
      </c>
      <c r="J343" s="7" t="s">
        <v>25</v>
      </c>
      <c r="K343" s="9">
        <v>3732.84</v>
      </c>
    </row>
    <row r="344">
      <c r="A344" s="5"/>
      <c r="B344" s="5"/>
      <c r="C344" s="7" t="s">
        <v>1030</v>
      </c>
      <c r="D344" s="7" t="s">
        <v>104</v>
      </c>
      <c r="E344" s="9">
        <v>1500.0</v>
      </c>
      <c r="F344" s="7">
        <v>0.0</v>
      </c>
      <c r="G344" s="7" t="s">
        <v>1031</v>
      </c>
      <c r="H344" s="7" t="s">
        <v>74</v>
      </c>
      <c r="I344" s="15">
        <f t="array" ref="I344">INDEX(CC!C:C,MATCH(1,(CC!A:A=H344)*(CC!B:B=J344),0))</f>
        <v>1502</v>
      </c>
      <c r="J344" s="7" t="s">
        <v>25</v>
      </c>
      <c r="K344" s="9">
        <v>1500.0</v>
      </c>
    </row>
    <row r="345">
      <c r="A345" s="5"/>
      <c r="B345" s="7" t="s">
        <v>29</v>
      </c>
      <c r="C345" s="7" t="s">
        <v>391</v>
      </c>
      <c r="D345" s="7" t="s">
        <v>307</v>
      </c>
      <c r="E345" s="9">
        <v>1555.35</v>
      </c>
      <c r="F345" s="7">
        <v>0.0</v>
      </c>
      <c r="G345" s="7" t="s">
        <v>1033</v>
      </c>
      <c r="H345" s="7" t="s">
        <v>395</v>
      </c>
      <c r="I345" s="15">
        <f t="array" ref="I345">INDEX(CC!C:C,MATCH(1,(CC!A:A=H345)*(CC!B:B=J345),0))</f>
        <v>1102</v>
      </c>
      <c r="J345" s="7" t="s">
        <v>25</v>
      </c>
      <c r="K345" s="9">
        <v>1555.35</v>
      </c>
    </row>
    <row r="346">
      <c r="A346" s="5"/>
      <c r="B346" s="5"/>
      <c r="C346" s="7" t="s">
        <v>391</v>
      </c>
      <c r="D346" s="7" t="s">
        <v>82</v>
      </c>
      <c r="E346" s="7">
        <v>339.06</v>
      </c>
      <c r="F346" s="7">
        <v>0.0</v>
      </c>
      <c r="G346" s="7" t="s">
        <v>1033</v>
      </c>
      <c r="H346" s="7" t="s">
        <v>395</v>
      </c>
      <c r="I346" s="15">
        <f t="array" ref="I346">INDEX(CC!C:C,MATCH(1,(CC!A:A=H346)*(CC!B:B=J346),0))</f>
        <v>1102</v>
      </c>
      <c r="J346" s="7" t="s">
        <v>25</v>
      </c>
      <c r="K346" s="7">
        <v>339.06</v>
      </c>
    </row>
    <row r="347">
      <c r="A347" s="5"/>
      <c r="B347" s="5"/>
      <c r="C347" s="7" t="s">
        <v>391</v>
      </c>
      <c r="D347" s="7" t="s">
        <v>277</v>
      </c>
      <c r="E347" s="7">
        <v>622.14</v>
      </c>
      <c r="F347" s="7">
        <v>0.0</v>
      </c>
      <c r="G347" s="7" t="s">
        <v>1033</v>
      </c>
      <c r="H347" s="7" t="s">
        <v>395</v>
      </c>
      <c r="I347" s="15">
        <f t="array" ref="I347">INDEX(CC!C:C,MATCH(1,(CC!A:A=H347)*(CC!B:B=J347),0))</f>
        <v>1102</v>
      </c>
      <c r="J347" s="7" t="s">
        <v>25</v>
      </c>
      <c r="K347" s="7">
        <v>622.14</v>
      </c>
    </row>
    <row r="348">
      <c r="A348" s="5"/>
      <c r="B348" s="5"/>
      <c r="C348" s="7" t="s">
        <v>391</v>
      </c>
      <c r="D348" s="7" t="s">
        <v>112</v>
      </c>
      <c r="E348" s="9">
        <v>10517.79</v>
      </c>
      <c r="F348" s="7">
        <v>0.0</v>
      </c>
      <c r="G348" s="7" t="s">
        <v>1033</v>
      </c>
      <c r="H348" s="7" t="s">
        <v>395</v>
      </c>
      <c r="I348" s="15">
        <f t="array" ref="I348">INDEX(CC!C:C,MATCH(1,(CC!A:A=H348)*(CC!B:B=J348),0))</f>
        <v>1103</v>
      </c>
      <c r="J348" s="7" t="s">
        <v>44</v>
      </c>
      <c r="K348" s="9">
        <v>10517.79</v>
      </c>
    </row>
    <row r="349">
      <c r="A349" s="5"/>
      <c r="B349" s="5"/>
      <c r="C349" s="7" t="s">
        <v>391</v>
      </c>
      <c r="D349" s="7" t="s">
        <v>126</v>
      </c>
      <c r="E349" s="7">
        <v>36.29</v>
      </c>
      <c r="F349" s="7">
        <v>0.0</v>
      </c>
      <c r="G349" s="7" t="s">
        <v>1033</v>
      </c>
      <c r="H349" s="7" t="s">
        <v>395</v>
      </c>
      <c r="I349" s="15">
        <f t="array" ref="I349">INDEX(CC!C:C,MATCH(1,(CC!A:A=H349)*(CC!B:B=J349),0))</f>
        <v>1102</v>
      </c>
      <c r="J349" s="7" t="s">
        <v>25</v>
      </c>
      <c r="K349" s="7">
        <v>36.29</v>
      </c>
    </row>
    <row r="350">
      <c r="A350" s="5"/>
      <c r="B350" s="5"/>
      <c r="C350" s="7" t="s">
        <v>391</v>
      </c>
      <c r="D350" s="7" t="s">
        <v>137</v>
      </c>
      <c r="E350" s="9">
        <v>7123.5</v>
      </c>
      <c r="F350" s="7">
        <v>0.0</v>
      </c>
      <c r="G350" s="7" t="s">
        <v>1033</v>
      </c>
      <c r="H350" s="7" t="s">
        <v>395</v>
      </c>
      <c r="I350" s="15">
        <f t="array" ref="I350">INDEX(CC!C:C,MATCH(1,(CC!A:A=H350)*(CC!B:B=J350),0))</f>
        <v>1102</v>
      </c>
      <c r="J350" s="7" t="s">
        <v>25</v>
      </c>
      <c r="K350" s="9">
        <v>7123.5</v>
      </c>
    </row>
    <row r="351">
      <c r="A351" s="5"/>
      <c r="B351" s="5"/>
      <c r="C351" s="7" t="s">
        <v>391</v>
      </c>
      <c r="D351" s="7" t="s">
        <v>470</v>
      </c>
      <c r="E351" s="9">
        <v>3000.0</v>
      </c>
      <c r="F351" s="7">
        <v>0.0</v>
      </c>
      <c r="G351" s="7" t="s">
        <v>1033</v>
      </c>
      <c r="H351" s="7" t="s">
        <v>395</v>
      </c>
      <c r="I351" s="15">
        <f t="array" ref="I351">INDEX(CC!C:C,MATCH(1,(CC!A:A=H351)*(CC!B:B=J351),0))</f>
        <v>1103</v>
      </c>
      <c r="J351" s="7" t="s">
        <v>44</v>
      </c>
      <c r="K351" s="9">
        <v>3000.0</v>
      </c>
    </row>
    <row r="352">
      <c r="A352" s="5"/>
      <c r="B352" s="7" t="s">
        <v>29</v>
      </c>
      <c r="C352" s="7" t="s">
        <v>32</v>
      </c>
      <c r="D352" s="7" t="s">
        <v>33</v>
      </c>
      <c r="E352" s="9">
        <v>4150.0</v>
      </c>
      <c r="F352" s="7">
        <v>0.0</v>
      </c>
      <c r="G352" s="7" t="s">
        <v>1037</v>
      </c>
      <c r="H352" s="7" t="s">
        <v>40</v>
      </c>
      <c r="I352" s="15">
        <f t="array" ref="I352">INDEX(CC!C:C,MATCH(1,(CC!A:A=H352)*(CC!B:B=J352),0))</f>
        <v>602</v>
      </c>
      <c r="J352" s="7" t="s">
        <v>25</v>
      </c>
      <c r="K352" s="9">
        <v>4150.0</v>
      </c>
    </row>
    <row r="353">
      <c r="A353" s="5"/>
      <c r="B353" s="7" t="s">
        <v>29</v>
      </c>
      <c r="C353" s="7" t="s">
        <v>32</v>
      </c>
      <c r="D353" s="7" t="s">
        <v>307</v>
      </c>
      <c r="E353" s="7">
        <v>945.65</v>
      </c>
      <c r="F353" s="7">
        <v>0.0</v>
      </c>
      <c r="G353" s="7" t="s">
        <v>1037</v>
      </c>
      <c r="H353" s="7" t="s">
        <v>74</v>
      </c>
      <c r="I353" s="15">
        <f t="array" ref="I353">INDEX(CC!C:C,MATCH(1,(CC!A:A=H353)*(CC!B:B=J353),0))</f>
        <v>1502</v>
      </c>
      <c r="J353" s="7" t="s">
        <v>25</v>
      </c>
      <c r="K353" s="7">
        <v>945.65</v>
      </c>
    </row>
    <row r="354">
      <c r="A354" s="5"/>
      <c r="B354" s="5"/>
      <c r="C354" s="7" t="s">
        <v>32</v>
      </c>
      <c r="D354" s="7" t="s">
        <v>82</v>
      </c>
      <c r="E354" s="7">
        <v>362.91</v>
      </c>
      <c r="F354" s="7">
        <v>0.0</v>
      </c>
      <c r="G354" s="7" t="s">
        <v>1037</v>
      </c>
      <c r="H354" s="7" t="s">
        <v>74</v>
      </c>
      <c r="I354" s="15">
        <f t="array" ref="I354">INDEX(CC!C:C,MATCH(1,(CC!A:A=H354)*(CC!B:B=J354),0))</f>
        <v>1502</v>
      </c>
      <c r="J354" s="7" t="s">
        <v>25</v>
      </c>
      <c r="K354" s="7">
        <v>362.91</v>
      </c>
    </row>
    <row r="355">
      <c r="A355" s="5"/>
      <c r="B355" s="5"/>
      <c r="C355" s="7" t="s">
        <v>32</v>
      </c>
      <c r="D355" s="7" t="s">
        <v>199</v>
      </c>
      <c r="E355" s="9">
        <v>6427.0</v>
      </c>
      <c r="F355" s="7">
        <v>0.0</v>
      </c>
      <c r="G355" s="7" t="s">
        <v>1037</v>
      </c>
      <c r="H355" s="7" t="s">
        <v>74</v>
      </c>
      <c r="I355" s="15">
        <f t="array" ref="I355">INDEX(CC!C:C,MATCH(1,(CC!A:A=H355)*(CC!B:B=J355),0))</f>
        <v>1502</v>
      </c>
      <c r="J355" s="7" t="s">
        <v>25</v>
      </c>
      <c r="K355" s="9">
        <v>6427.0</v>
      </c>
    </row>
    <row r="356">
      <c r="A356" s="5"/>
      <c r="B356" s="5"/>
      <c r="C356" s="7" t="s">
        <v>32</v>
      </c>
      <c r="D356" s="7" t="s">
        <v>104</v>
      </c>
      <c r="E356" s="9">
        <v>1500.0</v>
      </c>
      <c r="F356" s="7">
        <v>0.0</v>
      </c>
      <c r="G356" s="7" t="s">
        <v>1037</v>
      </c>
      <c r="H356" s="7" t="s">
        <v>74</v>
      </c>
      <c r="I356" s="15">
        <f t="array" ref="I356">INDEX(CC!C:C,MATCH(1,(CC!A:A=H356)*(CC!B:B=J356),0))</f>
        <v>1502</v>
      </c>
      <c r="J356" s="7" t="s">
        <v>25</v>
      </c>
      <c r="K356" s="9">
        <v>1500.0</v>
      </c>
    </row>
    <row r="357">
      <c r="A357" s="5"/>
      <c r="B357" s="5"/>
      <c r="C357" s="7" t="s">
        <v>32</v>
      </c>
      <c r="D357" s="7" t="s">
        <v>112</v>
      </c>
      <c r="E357" s="9">
        <v>9634.81</v>
      </c>
      <c r="F357" s="7">
        <v>0.0</v>
      </c>
      <c r="G357" s="7" t="s">
        <v>1037</v>
      </c>
      <c r="H357" s="7" t="s">
        <v>74</v>
      </c>
      <c r="I357" s="15">
        <f t="array" ref="I357">INDEX(CC!C:C,MATCH(1,(CC!A:A=H357)*(CC!B:B=J357),0))</f>
        <v>1503</v>
      </c>
      <c r="J357" s="7" t="s">
        <v>44</v>
      </c>
      <c r="K357" s="9">
        <v>9634.81</v>
      </c>
    </row>
    <row r="358">
      <c r="A358" s="5"/>
      <c r="B358" s="5"/>
      <c r="C358" s="7" t="s">
        <v>32</v>
      </c>
      <c r="D358" s="7" t="s">
        <v>126</v>
      </c>
      <c r="E358" s="7">
        <v>36.29</v>
      </c>
      <c r="F358" s="7">
        <v>0.0</v>
      </c>
      <c r="G358" s="7" t="s">
        <v>1037</v>
      </c>
      <c r="H358" s="7" t="s">
        <v>74</v>
      </c>
      <c r="I358" s="15">
        <f t="array" ref="I358">INDEX(CC!C:C,MATCH(1,(CC!A:A=H358)*(CC!B:B=J358),0))</f>
        <v>1502</v>
      </c>
      <c r="J358" s="7" t="s">
        <v>25</v>
      </c>
      <c r="K358" s="7">
        <v>36.29</v>
      </c>
    </row>
    <row r="359">
      <c r="A359" s="5"/>
      <c r="B359" s="5"/>
      <c r="C359" s="7" t="s">
        <v>32</v>
      </c>
      <c r="D359" s="7" t="s">
        <v>137</v>
      </c>
      <c r="E359" s="9">
        <v>6748.35</v>
      </c>
      <c r="F359" s="7">
        <v>0.0</v>
      </c>
      <c r="G359" s="7" t="s">
        <v>1037</v>
      </c>
      <c r="H359" s="7" t="s">
        <v>74</v>
      </c>
      <c r="I359" s="15">
        <f t="array" ref="I359">INDEX(CC!C:C,MATCH(1,(CC!A:A=H359)*(CC!B:B=J359),0))</f>
        <v>1502</v>
      </c>
      <c r="J359" s="7" t="s">
        <v>25</v>
      </c>
      <c r="K359" s="9">
        <v>6748.35</v>
      </c>
    </row>
    <row r="360">
      <c r="A360" s="5"/>
      <c r="B360" s="7" t="s">
        <v>29</v>
      </c>
      <c r="C360" s="7" t="s">
        <v>899</v>
      </c>
      <c r="D360" s="7" t="s">
        <v>307</v>
      </c>
      <c r="E360" s="9">
        <v>1700.0</v>
      </c>
      <c r="F360" s="7">
        <v>0.0</v>
      </c>
      <c r="G360" s="7" t="s">
        <v>1042</v>
      </c>
      <c r="H360" s="7" t="s">
        <v>55</v>
      </c>
      <c r="I360" s="15">
        <f t="array" ref="I360">INDEX(CC!C:C,MATCH(1,(CC!A:A=H360)*(CC!B:B=J360),0))</f>
        <v>902</v>
      </c>
      <c r="J360" s="7" t="s">
        <v>25</v>
      </c>
      <c r="K360" s="9">
        <v>1700.0</v>
      </c>
    </row>
    <row r="361">
      <c r="A361" s="5"/>
      <c r="B361" s="5"/>
      <c r="C361" s="7" t="s">
        <v>899</v>
      </c>
      <c r="D361" s="7" t="s">
        <v>82</v>
      </c>
      <c r="E361" s="7">
        <v>300.0</v>
      </c>
      <c r="F361" s="7">
        <v>0.0</v>
      </c>
      <c r="G361" s="7" t="s">
        <v>1042</v>
      </c>
      <c r="H361" s="7" t="s">
        <v>55</v>
      </c>
      <c r="I361" s="15">
        <f t="array" ref="I361">INDEX(CC!C:C,MATCH(1,(CC!A:A=H361)*(CC!B:B=J361),0))</f>
        <v>902</v>
      </c>
      <c r="J361" s="7" t="s">
        <v>25</v>
      </c>
      <c r="K361" s="7">
        <v>300.0</v>
      </c>
    </row>
    <row r="362">
      <c r="A362" s="5"/>
      <c r="B362" s="5"/>
      <c r="C362" s="7" t="s">
        <v>899</v>
      </c>
      <c r="D362" s="7" t="s">
        <v>199</v>
      </c>
      <c r="E362" s="9">
        <v>3765.79</v>
      </c>
      <c r="F362" s="7">
        <v>0.0</v>
      </c>
      <c r="G362" s="7" t="s">
        <v>1042</v>
      </c>
      <c r="H362" s="7" t="s">
        <v>55</v>
      </c>
      <c r="I362" s="15">
        <f t="array" ref="I362">INDEX(CC!C:C,MATCH(1,(CC!A:A=H362)*(CC!B:B=J362),0))</f>
        <v>902</v>
      </c>
      <c r="J362" s="7" t="s">
        <v>25</v>
      </c>
      <c r="K362" s="9">
        <v>3765.79</v>
      </c>
    </row>
    <row r="363">
      <c r="A363" s="5"/>
      <c r="B363" s="5"/>
      <c r="C363" s="7" t="s">
        <v>899</v>
      </c>
      <c r="D363" s="7" t="s">
        <v>901</v>
      </c>
      <c r="E363" s="9">
        <v>2350.0</v>
      </c>
      <c r="F363" s="7">
        <v>0.0</v>
      </c>
      <c r="G363" s="7" t="s">
        <v>1042</v>
      </c>
      <c r="H363" s="7" t="s">
        <v>55</v>
      </c>
      <c r="I363" s="15">
        <f t="array" ref="I363">INDEX(CC!C:C,MATCH(1,(CC!A:A=H363)*(CC!B:B=J363),0))</f>
        <v>902</v>
      </c>
      <c r="J363" s="7" t="s">
        <v>25</v>
      </c>
      <c r="K363" s="9">
        <v>2350.0</v>
      </c>
    </row>
    <row r="364">
      <c r="A364" s="5"/>
      <c r="B364" s="5"/>
      <c r="C364" s="7" t="s">
        <v>899</v>
      </c>
      <c r="D364" s="7" t="s">
        <v>126</v>
      </c>
      <c r="E364" s="7">
        <v>35.0</v>
      </c>
      <c r="F364" s="7">
        <v>0.0</v>
      </c>
      <c r="G364" s="7" t="s">
        <v>1042</v>
      </c>
      <c r="H364" s="7" t="s">
        <v>55</v>
      </c>
      <c r="I364" s="15">
        <f t="array" ref="I364">INDEX(CC!C:C,MATCH(1,(CC!A:A=H364)*(CC!B:B=J364),0))</f>
        <v>902</v>
      </c>
      <c r="J364" s="7" t="s">
        <v>25</v>
      </c>
      <c r="K364" s="7">
        <v>35.0</v>
      </c>
    </row>
    <row r="365">
      <c r="A365" s="5"/>
      <c r="B365" s="5"/>
      <c r="C365" s="7" t="s">
        <v>899</v>
      </c>
      <c r="D365" s="7" t="s">
        <v>137</v>
      </c>
      <c r="E365" s="9">
        <v>2300.0</v>
      </c>
      <c r="F365" s="7">
        <v>0.0</v>
      </c>
      <c r="G365" s="7" t="s">
        <v>1042</v>
      </c>
      <c r="H365" s="7" t="s">
        <v>55</v>
      </c>
      <c r="I365" s="15">
        <f t="array" ref="I365">INDEX(CC!C:C,MATCH(1,(CC!A:A=H365)*(CC!B:B=J365),0))</f>
        <v>902</v>
      </c>
      <c r="J365" s="7" t="s">
        <v>25</v>
      </c>
      <c r="K365" s="9">
        <v>2300.0</v>
      </c>
    </row>
    <row r="366">
      <c r="A366" s="5"/>
      <c r="B366" s="5"/>
      <c r="C366" s="7" t="s">
        <v>899</v>
      </c>
      <c r="D366" s="7" t="s">
        <v>104</v>
      </c>
      <c r="E366" s="9">
        <v>2500.0</v>
      </c>
      <c r="F366" s="7">
        <v>0.0</v>
      </c>
      <c r="G366" s="7" t="s">
        <v>1042</v>
      </c>
      <c r="H366" s="7" t="s">
        <v>55</v>
      </c>
      <c r="I366" s="15">
        <f t="array" ref="I366">INDEX(CC!C:C,MATCH(1,(CC!A:A=H366)*(CC!B:B=J366),0))</f>
        <v>902</v>
      </c>
      <c r="J366" s="7" t="s">
        <v>25</v>
      </c>
      <c r="K366" s="9">
        <v>2500.0</v>
      </c>
    </row>
    <row r="367">
      <c r="A367" s="5"/>
      <c r="B367" s="7" t="s">
        <v>29</v>
      </c>
      <c r="C367" s="7" t="s">
        <v>306</v>
      </c>
      <c r="D367" s="7" t="s">
        <v>307</v>
      </c>
      <c r="E367" s="9">
        <v>1695.33</v>
      </c>
      <c r="F367" s="7">
        <v>0.0</v>
      </c>
      <c r="G367" s="7" t="s">
        <v>1044</v>
      </c>
      <c r="H367" s="7" t="s">
        <v>55</v>
      </c>
      <c r="I367" s="15">
        <f t="array" ref="I367">INDEX(CC!C:C,MATCH(1,(CC!A:A=H367)*(CC!B:B=J367),0))</f>
        <v>902</v>
      </c>
      <c r="J367" s="7" t="s">
        <v>25</v>
      </c>
      <c r="K367" s="9">
        <v>1695.33</v>
      </c>
    </row>
    <row r="368">
      <c r="A368" s="5"/>
      <c r="B368" s="5"/>
      <c r="C368" s="7" t="s">
        <v>306</v>
      </c>
      <c r="D368" s="7" t="s">
        <v>82</v>
      </c>
      <c r="E368" s="7">
        <v>326.62</v>
      </c>
      <c r="F368" s="7">
        <v>0.0</v>
      </c>
      <c r="G368" s="7" t="s">
        <v>1044</v>
      </c>
      <c r="H368" s="7" t="s">
        <v>55</v>
      </c>
      <c r="I368" s="15">
        <f t="array" ref="I368">INDEX(CC!C:C,MATCH(1,(CC!A:A=H368)*(CC!B:B=J368),0))</f>
        <v>902</v>
      </c>
      <c r="J368" s="7" t="s">
        <v>25</v>
      </c>
      <c r="K368" s="7">
        <v>326.62</v>
      </c>
    </row>
    <row r="369">
      <c r="A369" s="5"/>
      <c r="B369" s="5"/>
      <c r="C369" s="7" t="s">
        <v>306</v>
      </c>
      <c r="D369" s="7" t="s">
        <v>199</v>
      </c>
      <c r="E369" s="9">
        <v>1353.15</v>
      </c>
      <c r="F369" s="7">
        <v>0.0</v>
      </c>
      <c r="G369" s="7" t="s">
        <v>1044</v>
      </c>
      <c r="H369" s="7" t="s">
        <v>55</v>
      </c>
      <c r="I369" s="15">
        <f t="array" ref="I369">INDEX(CC!C:C,MATCH(1,(CC!A:A=H369)*(CC!B:B=J369),0))</f>
        <v>902</v>
      </c>
      <c r="J369" s="7" t="s">
        <v>25</v>
      </c>
      <c r="K369" s="9">
        <v>1353.15</v>
      </c>
    </row>
    <row r="370">
      <c r="A370" s="5"/>
      <c r="B370" s="5"/>
      <c r="C370" s="7" t="s">
        <v>306</v>
      </c>
      <c r="D370" s="7" t="s">
        <v>112</v>
      </c>
      <c r="E370" s="9">
        <v>6742.91</v>
      </c>
      <c r="F370" s="7">
        <v>0.0</v>
      </c>
      <c r="G370" s="7" t="s">
        <v>1044</v>
      </c>
      <c r="H370" s="7" t="s">
        <v>55</v>
      </c>
      <c r="I370" s="15">
        <f t="array" ref="I370">INDEX(CC!C:C,MATCH(1,(CC!A:A=H370)*(CC!B:B=J370),0))</f>
        <v>903</v>
      </c>
      <c r="J370" s="7" t="s">
        <v>44</v>
      </c>
      <c r="K370" s="9">
        <v>6742.91</v>
      </c>
    </row>
    <row r="371">
      <c r="A371" s="5"/>
      <c r="B371" s="5"/>
      <c r="C371" s="7" t="s">
        <v>306</v>
      </c>
      <c r="D371" s="7" t="s">
        <v>360</v>
      </c>
      <c r="E371" s="9">
        <v>4263.96</v>
      </c>
      <c r="F371" s="7">
        <v>0.0</v>
      </c>
      <c r="G371" s="7" t="s">
        <v>1044</v>
      </c>
      <c r="H371" s="7" t="s">
        <v>55</v>
      </c>
      <c r="I371" s="15">
        <f t="array" ref="I371">INDEX(CC!C:C,MATCH(1,(CC!A:A=H371)*(CC!B:B=J371),0))</f>
        <v>903</v>
      </c>
      <c r="J371" s="7" t="s">
        <v>44</v>
      </c>
      <c r="K371" s="9">
        <v>4263.96</v>
      </c>
    </row>
    <row r="372">
      <c r="A372" s="5"/>
      <c r="B372" s="5"/>
      <c r="C372" s="7" t="s">
        <v>306</v>
      </c>
      <c r="D372" s="7" t="s">
        <v>126</v>
      </c>
      <c r="E372" s="7">
        <v>35.0</v>
      </c>
      <c r="F372" s="7">
        <v>0.0</v>
      </c>
      <c r="G372" s="7" t="s">
        <v>1044</v>
      </c>
      <c r="H372" s="7" t="s">
        <v>55</v>
      </c>
      <c r="I372" s="15">
        <f t="array" ref="I372">INDEX(CC!C:C,MATCH(1,(CC!A:A=H372)*(CC!B:B=J372),0))</f>
        <v>902</v>
      </c>
      <c r="J372" s="7" t="s">
        <v>25</v>
      </c>
      <c r="K372" s="7">
        <v>35.0</v>
      </c>
    </row>
    <row r="373">
      <c r="A373" s="5"/>
      <c r="B373" s="5"/>
      <c r="C373" s="7" t="s">
        <v>306</v>
      </c>
      <c r="D373" s="7" t="s">
        <v>137</v>
      </c>
      <c r="E373" s="9">
        <v>1282.64</v>
      </c>
      <c r="F373" s="7">
        <v>0.0</v>
      </c>
      <c r="G373" s="7" t="s">
        <v>1044</v>
      </c>
      <c r="H373" s="7" t="s">
        <v>55</v>
      </c>
      <c r="I373" s="15">
        <f t="array" ref="I373">INDEX(CC!C:C,MATCH(1,(CC!A:A=H373)*(CC!B:B=J373),0))</f>
        <v>902</v>
      </c>
      <c r="J373" s="7" t="s">
        <v>25</v>
      </c>
      <c r="K373" s="9">
        <v>1282.64</v>
      </c>
    </row>
    <row r="374">
      <c r="A374" s="5"/>
      <c r="B374" s="7" t="s">
        <v>29</v>
      </c>
      <c r="C374" s="7" t="s">
        <v>936</v>
      </c>
      <c r="D374" s="7" t="s">
        <v>307</v>
      </c>
      <c r="E374" s="9">
        <v>1800.0</v>
      </c>
      <c r="F374" s="7">
        <v>0.0</v>
      </c>
      <c r="G374" s="7" t="s">
        <v>1048</v>
      </c>
      <c r="H374" s="7" t="s">
        <v>55</v>
      </c>
      <c r="I374" s="15">
        <f t="array" ref="I374">INDEX(CC!C:C,MATCH(1,(CC!A:A=H374)*(CC!B:B=J374),0))</f>
        <v>902</v>
      </c>
      <c r="J374" s="7" t="s">
        <v>25</v>
      </c>
      <c r="K374" s="9">
        <v>1800.0</v>
      </c>
    </row>
    <row r="375">
      <c r="A375" s="5"/>
      <c r="B375" s="5"/>
      <c r="C375" s="7" t="s">
        <v>936</v>
      </c>
      <c r="D375" s="7" t="s">
        <v>82</v>
      </c>
      <c r="E375" s="7">
        <v>350.0</v>
      </c>
      <c r="F375" s="7">
        <v>0.0</v>
      </c>
      <c r="G375" s="7" t="s">
        <v>1048</v>
      </c>
      <c r="H375" s="7" t="s">
        <v>55</v>
      </c>
      <c r="I375" s="15">
        <f t="array" ref="I375">INDEX(CC!C:C,MATCH(1,(CC!A:A=H375)*(CC!B:B=J375),0))</f>
        <v>902</v>
      </c>
      <c r="J375" s="7" t="s">
        <v>25</v>
      </c>
      <c r="K375" s="7">
        <v>350.0</v>
      </c>
    </row>
    <row r="376">
      <c r="A376" s="5"/>
      <c r="B376" s="5"/>
      <c r="C376" s="7" t="s">
        <v>936</v>
      </c>
      <c r="D376" s="7" t="s">
        <v>199</v>
      </c>
      <c r="E376" s="9">
        <v>1800.0</v>
      </c>
      <c r="F376" s="7">
        <v>0.0</v>
      </c>
      <c r="G376" s="7" t="s">
        <v>1048</v>
      </c>
      <c r="H376" s="7" t="s">
        <v>55</v>
      </c>
      <c r="I376" s="15">
        <f t="array" ref="I376">INDEX(CC!C:C,MATCH(1,(CC!A:A=H376)*(CC!B:B=J376),0))</f>
        <v>902</v>
      </c>
      <c r="J376" s="7" t="s">
        <v>25</v>
      </c>
      <c r="K376" s="9">
        <v>1800.0</v>
      </c>
    </row>
    <row r="377">
      <c r="A377" s="5"/>
      <c r="B377" s="5"/>
      <c r="C377" s="7" t="s">
        <v>936</v>
      </c>
      <c r="D377" s="7" t="s">
        <v>679</v>
      </c>
      <c r="E377" s="9">
        <v>1200.0</v>
      </c>
      <c r="F377" s="7">
        <v>0.0</v>
      </c>
      <c r="G377" s="7" t="s">
        <v>1048</v>
      </c>
      <c r="H377" s="7" t="s">
        <v>55</v>
      </c>
      <c r="I377" s="15">
        <f t="array" ref="I377">INDEX(CC!C:C,MATCH(1,(CC!A:A=H377)*(CC!B:B=J377),0))</f>
        <v>902</v>
      </c>
      <c r="J377" s="7" t="s">
        <v>25</v>
      </c>
      <c r="K377" s="9">
        <v>1200.0</v>
      </c>
    </row>
    <row r="378">
      <c r="A378" s="5"/>
      <c r="B378" s="5"/>
      <c r="C378" s="7" t="s">
        <v>936</v>
      </c>
      <c r="D378" s="7" t="s">
        <v>126</v>
      </c>
      <c r="E378" s="7">
        <v>35.0</v>
      </c>
      <c r="F378" s="7">
        <v>0.0</v>
      </c>
      <c r="G378" s="7" t="s">
        <v>1048</v>
      </c>
      <c r="H378" s="7" t="s">
        <v>55</v>
      </c>
      <c r="I378" s="15">
        <f t="array" ref="I378">INDEX(CC!C:C,MATCH(1,(CC!A:A=H378)*(CC!B:B=J378),0))</f>
        <v>902</v>
      </c>
      <c r="J378" s="7" t="s">
        <v>25</v>
      </c>
      <c r="K378" s="7">
        <v>35.0</v>
      </c>
    </row>
    <row r="379">
      <c r="A379" s="5"/>
      <c r="B379" s="5"/>
      <c r="C379" s="7" t="s">
        <v>936</v>
      </c>
      <c r="D379" s="7" t="s">
        <v>137</v>
      </c>
      <c r="E379" s="9">
        <v>3300.0</v>
      </c>
      <c r="F379" s="7">
        <v>0.0</v>
      </c>
      <c r="G379" s="7" t="s">
        <v>1048</v>
      </c>
      <c r="H379" s="7" t="s">
        <v>55</v>
      </c>
      <c r="I379" s="15">
        <f t="array" ref="I379">INDEX(CC!C:C,MATCH(1,(CC!A:A=H379)*(CC!B:B=J379),0))</f>
        <v>902</v>
      </c>
      <c r="J379" s="7" t="s">
        <v>25</v>
      </c>
      <c r="K379" s="9">
        <v>3300.0</v>
      </c>
    </row>
    <row r="380">
      <c r="A380" s="5"/>
      <c r="B380" s="7" t="s">
        <v>29</v>
      </c>
      <c r="C380" s="7" t="s">
        <v>331</v>
      </c>
      <c r="D380" s="7" t="s">
        <v>33</v>
      </c>
      <c r="E380" s="7">
        <v>0.01</v>
      </c>
      <c r="F380" s="7">
        <v>0.0</v>
      </c>
      <c r="G380" s="7" t="s">
        <v>1049</v>
      </c>
      <c r="H380" s="7" t="s">
        <v>385</v>
      </c>
      <c r="I380" s="15">
        <f t="array" ref="I380">INDEX(CC!C:C,MATCH(1,(CC!A:A=H380)*(CC!B:B=J380),0))</f>
        <v>502</v>
      </c>
      <c r="J380" s="7" t="s">
        <v>25</v>
      </c>
      <c r="K380" s="7">
        <v>0.01</v>
      </c>
    </row>
    <row r="381">
      <c r="A381" s="5"/>
      <c r="B381" s="7" t="s">
        <v>29</v>
      </c>
      <c r="C381" s="7" t="s">
        <v>79</v>
      </c>
      <c r="D381" s="7" t="s">
        <v>307</v>
      </c>
      <c r="E381" s="9">
        <v>1555.35</v>
      </c>
      <c r="F381" s="7">
        <v>0.0</v>
      </c>
      <c r="G381" s="7" t="s">
        <v>1050</v>
      </c>
      <c r="H381" s="7" t="s">
        <v>395</v>
      </c>
      <c r="I381" s="15">
        <f t="array" ref="I381">INDEX(CC!C:C,MATCH(1,(CC!A:A=H381)*(CC!B:B=J381),0))</f>
        <v>1102</v>
      </c>
      <c r="J381" s="7" t="s">
        <v>25</v>
      </c>
      <c r="K381" s="9">
        <v>1555.35</v>
      </c>
    </row>
    <row r="382">
      <c r="A382" s="5"/>
      <c r="B382" s="5"/>
      <c r="C382" s="7" t="s">
        <v>79</v>
      </c>
      <c r="D382" s="7" t="s">
        <v>82</v>
      </c>
      <c r="E382" s="7">
        <v>339.06</v>
      </c>
      <c r="F382" s="7">
        <v>0.0</v>
      </c>
      <c r="G382" s="7" t="s">
        <v>1050</v>
      </c>
      <c r="H382" s="7" t="s">
        <v>395</v>
      </c>
      <c r="I382" s="15">
        <f t="array" ref="I382">INDEX(CC!C:C,MATCH(1,(CC!A:A=H382)*(CC!B:B=J382),0))</f>
        <v>1102</v>
      </c>
      <c r="J382" s="7" t="s">
        <v>25</v>
      </c>
      <c r="K382" s="7">
        <v>339.06</v>
      </c>
    </row>
    <row r="383">
      <c r="A383" s="5"/>
      <c r="B383" s="5"/>
      <c r="C383" s="7" t="s">
        <v>79</v>
      </c>
      <c r="D383" s="7" t="s">
        <v>277</v>
      </c>
      <c r="E383" s="9">
        <v>5902.14</v>
      </c>
      <c r="F383" s="7">
        <v>0.0</v>
      </c>
      <c r="G383" s="7" t="s">
        <v>1050</v>
      </c>
      <c r="H383" s="7" t="s">
        <v>395</v>
      </c>
      <c r="I383" s="15">
        <f t="array" ref="I383">INDEX(CC!C:C,MATCH(1,(CC!A:A=H383)*(CC!B:B=J383),0))</f>
        <v>1102</v>
      </c>
      <c r="J383" s="7" t="s">
        <v>25</v>
      </c>
      <c r="K383" s="9">
        <v>5902.14</v>
      </c>
    </row>
    <row r="384">
      <c r="A384" s="5"/>
      <c r="B384" s="5"/>
      <c r="C384" s="7" t="s">
        <v>79</v>
      </c>
      <c r="D384" s="7" t="s">
        <v>112</v>
      </c>
      <c r="E384" s="9">
        <v>19127.58</v>
      </c>
      <c r="F384" s="7">
        <v>0.0</v>
      </c>
      <c r="G384" s="7" t="s">
        <v>1050</v>
      </c>
      <c r="H384" s="7" t="s">
        <v>395</v>
      </c>
      <c r="I384" s="15">
        <f t="array" ref="I384">INDEX(CC!C:C,MATCH(1,(CC!A:A=H384)*(CC!B:B=J384),0))</f>
        <v>1103</v>
      </c>
      <c r="J384" s="7" t="s">
        <v>44</v>
      </c>
      <c r="K384" s="9">
        <v>19127.58</v>
      </c>
    </row>
    <row r="385">
      <c r="A385" s="5"/>
      <c r="B385" s="5"/>
      <c r="C385" s="7" t="s">
        <v>79</v>
      </c>
      <c r="D385" s="7" t="s">
        <v>126</v>
      </c>
      <c r="E385" s="7">
        <v>36.29</v>
      </c>
      <c r="F385" s="7">
        <v>0.0</v>
      </c>
      <c r="G385" s="7" t="s">
        <v>1050</v>
      </c>
      <c r="H385" s="7" t="s">
        <v>395</v>
      </c>
      <c r="I385" s="15">
        <f t="array" ref="I385">INDEX(CC!C:C,MATCH(1,(CC!A:A=H385)*(CC!B:B=J385),0))</f>
        <v>1102</v>
      </c>
      <c r="J385" s="7" t="s">
        <v>25</v>
      </c>
      <c r="K385" s="7">
        <v>36.29</v>
      </c>
    </row>
    <row r="386">
      <c r="A386" s="5"/>
      <c r="B386" s="5"/>
      <c r="C386" s="7" t="s">
        <v>79</v>
      </c>
      <c r="D386" s="7" t="s">
        <v>137</v>
      </c>
      <c r="E386" s="9">
        <v>13064.94</v>
      </c>
      <c r="F386" s="7">
        <v>0.0</v>
      </c>
      <c r="G386" s="7" t="s">
        <v>1050</v>
      </c>
      <c r="H386" s="7" t="s">
        <v>395</v>
      </c>
      <c r="I386" s="15">
        <f t="array" ref="I386">INDEX(CC!C:C,MATCH(1,(CC!A:A=H386)*(CC!B:B=J386),0))</f>
        <v>1102</v>
      </c>
      <c r="J386" s="7" t="s">
        <v>25</v>
      </c>
      <c r="K386" s="9">
        <v>13064.94</v>
      </c>
    </row>
    <row r="387">
      <c r="A387" s="5"/>
      <c r="B387" s="5"/>
      <c r="C387" s="7" t="s">
        <v>79</v>
      </c>
      <c r="D387" s="7" t="s">
        <v>470</v>
      </c>
      <c r="E387" s="9">
        <v>6169.0</v>
      </c>
      <c r="F387" s="7">
        <v>0.0</v>
      </c>
      <c r="G387" s="7" t="s">
        <v>1050</v>
      </c>
      <c r="H387" s="7" t="s">
        <v>395</v>
      </c>
      <c r="I387" s="15">
        <f t="array" ref="I387">INDEX(CC!C:C,MATCH(1,(CC!A:A=H387)*(CC!B:B=J387),0))</f>
        <v>1103</v>
      </c>
      <c r="J387" s="7" t="s">
        <v>44</v>
      </c>
      <c r="K387" s="9">
        <v>6169.0</v>
      </c>
    </row>
    <row r="388">
      <c r="A388" s="5"/>
      <c r="B388" s="7" t="s">
        <v>29</v>
      </c>
      <c r="C388" s="7" t="s">
        <v>306</v>
      </c>
      <c r="D388" s="7" t="s">
        <v>33</v>
      </c>
      <c r="E388" s="9">
        <v>4200.0</v>
      </c>
      <c r="F388" s="7">
        <v>0.0</v>
      </c>
      <c r="G388" s="7" t="s">
        <v>1054</v>
      </c>
      <c r="H388" s="7" t="s">
        <v>55</v>
      </c>
      <c r="I388" s="15">
        <f t="array" ref="I388">INDEX(CC!C:C,MATCH(1,(CC!A:A=H388)*(CC!B:B=J388),0))</f>
        <v>902</v>
      </c>
      <c r="J388" s="7" t="s">
        <v>25</v>
      </c>
      <c r="K388" s="9">
        <v>4200.0</v>
      </c>
    </row>
    <row r="389">
      <c r="A389" s="5"/>
      <c r="B389" s="7" t="s">
        <v>29</v>
      </c>
      <c r="C389" s="7" t="s">
        <v>331</v>
      </c>
      <c r="D389" s="7" t="s">
        <v>33</v>
      </c>
      <c r="E389" s="7">
        <v>0.01</v>
      </c>
      <c r="F389" s="7">
        <v>0.0</v>
      </c>
      <c r="G389" s="7" t="s">
        <v>1055</v>
      </c>
      <c r="H389" s="7" t="s">
        <v>40</v>
      </c>
      <c r="I389" s="15">
        <f t="array" ref="I389">INDEX(CC!C:C,MATCH(1,(CC!A:A=H389)*(CC!B:B=J389),0))</f>
        <v>602</v>
      </c>
      <c r="J389" s="7" t="s">
        <v>25</v>
      </c>
      <c r="K389" s="7">
        <v>0.01</v>
      </c>
    </row>
    <row r="390">
      <c r="A390" s="5"/>
      <c r="B390" s="7" t="s">
        <v>29</v>
      </c>
      <c r="C390" s="7" t="s">
        <v>975</v>
      </c>
      <c r="D390" s="7" t="s">
        <v>82</v>
      </c>
      <c r="E390" s="7">
        <v>350.0</v>
      </c>
      <c r="F390" s="7">
        <v>0.0</v>
      </c>
      <c r="G390" s="7" t="s">
        <v>1057</v>
      </c>
      <c r="H390" s="7" t="s">
        <v>554</v>
      </c>
      <c r="I390" s="15">
        <f t="array" ref="I390">INDEX(CC!C:C,MATCH(1,(CC!A:A=H390)*(CC!B:B=J390),0))</f>
        <v>1702</v>
      </c>
      <c r="J390" s="7" t="s">
        <v>25</v>
      </c>
      <c r="K390" s="7">
        <v>350.0</v>
      </c>
    </row>
    <row r="391">
      <c r="A391" s="5"/>
      <c r="B391" s="5"/>
      <c r="C391" s="7" t="s">
        <v>975</v>
      </c>
      <c r="D391" s="7" t="s">
        <v>124</v>
      </c>
      <c r="E391" s="7">
        <v>100.0</v>
      </c>
      <c r="F391" s="7">
        <v>0.0</v>
      </c>
      <c r="G391" s="7" t="s">
        <v>1057</v>
      </c>
      <c r="H391" s="7" t="s">
        <v>554</v>
      </c>
      <c r="I391" s="15">
        <f t="array" ref="I391">INDEX(CC!C:C,MATCH(1,(CC!A:A=H391)*(CC!B:B=J391),0))</f>
        <v>1702</v>
      </c>
      <c r="J391" s="7" t="s">
        <v>25</v>
      </c>
      <c r="K391" s="7">
        <v>100.0</v>
      </c>
    </row>
    <row r="392">
      <c r="A392" s="5"/>
      <c r="B392" s="5"/>
      <c r="C392" s="7" t="s">
        <v>975</v>
      </c>
      <c r="D392" s="7" t="s">
        <v>199</v>
      </c>
      <c r="E392" s="9">
        <v>4701.45</v>
      </c>
      <c r="F392" s="7">
        <v>0.0</v>
      </c>
      <c r="G392" s="7" t="s">
        <v>1057</v>
      </c>
      <c r="H392" s="7" t="s">
        <v>554</v>
      </c>
      <c r="I392" s="15">
        <f t="array" ref="I392">INDEX(CC!C:C,MATCH(1,(CC!A:A=H392)*(CC!B:B=J392),0))</f>
        <v>1702</v>
      </c>
      <c r="J392" s="7" t="s">
        <v>25</v>
      </c>
      <c r="K392" s="9">
        <v>4701.45</v>
      </c>
    </row>
    <row r="393">
      <c r="A393" s="5"/>
      <c r="B393" s="5"/>
      <c r="C393" s="7" t="s">
        <v>975</v>
      </c>
      <c r="D393" s="7" t="s">
        <v>126</v>
      </c>
      <c r="E393" s="7">
        <v>35.0</v>
      </c>
      <c r="F393" s="7">
        <v>0.0</v>
      </c>
      <c r="G393" s="7" t="s">
        <v>1057</v>
      </c>
      <c r="H393" s="7" t="s">
        <v>554</v>
      </c>
      <c r="I393" s="15">
        <f t="array" ref="I393">INDEX(CC!C:C,MATCH(1,(CC!A:A=H393)*(CC!B:B=J393),0))</f>
        <v>1702</v>
      </c>
      <c r="J393" s="7" t="s">
        <v>25</v>
      </c>
      <c r="K393" s="7">
        <v>35.0</v>
      </c>
    </row>
    <row r="394">
      <c r="A394" s="5"/>
      <c r="B394" s="5"/>
      <c r="C394" s="7" t="s">
        <v>975</v>
      </c>
      <c r="D394" s="7" t="s">
        <v>137</v>
      </c>
      <c r="E394" s="9">
        <v>3600.0</v>
      </c>
      <c r="F394" s="7">
        <v>0.0</v>
      </c>
      <c r="G394" s="7" t="s">
        <v>1057</v>
      </c>
      <c r="H394" s="7" t="s">
        <v>554</v>
      </c>
      <c r="I394" s="15">
        <f t="array" ref="I394">INDEX(CC!C:C,MATCH(1,(CC!A:A=H394)*(CC!B:B=J394),0))</f>
        <v>1702</v>
      </c>
      <c r="J394" s="7" t="s">
        <v>25</v>
      </c>
      <c r="K394" s="9">
        <v>3600.0</v>
      </c>
    </row>
    <row r="395">
      <c r="A395" s="5"/>
      <c r="B395" s="7" t="s">
        <v>29</v>
      </c>
      <c r="C395" s="7" t="s">
        <v>1030</v>
      </c>
      <c r="D395" s="7" t="s">
        <v>33</v>
      </c>
      <c r="E395" s="9">
        <v>1900.0</v>
      </c>
      <c r="F395" s="7">
        <v>0.0</v>
      </c>
      <c r="G395" s="7" t="s">
        <v>1031</v>
      </c>
      <c r="H395" s="7" t="s">
        <v>40</v>
      </c>
      <c r="I395" s="15">
        <f t="array" ref="I395">INDEX(CC!C:C,MATCH(1,(CC!A:A=H395)*(CC!B:B=J395),0))</f>
        <v>602</v>
      </c>
      <c r="J395" s="7" t="s">
        <v>25</v>
      </c>
      <c r="K395" s="9">
        <v>1900.0</v>
      </c>
    </row>
    <row r="396">
      <c r="A396" s="5"/>
      <c r="B396" s="7" t="s">
        <v>29</v>
      </c>
      <c r="C396" s="7" t="s">
        <v>1058</v>
      </c>
      <c r="D396" s="7" t="s">
        <v>307</v>
      </c>
      <c r="E396" s="9">
        <v>1730.71</v>
      </c>
      <c r="F396" s="7">
        <v>0.0</v>
      </c>
      <c r="G396" s="7" t="s">
        <v>1059</v>
      </c>
      <c r="H396" s="7" t="s">
        <v>74</v>
      </c>
      <c r="I396" s="15">
        <f t="array" ref="I396">INDEX(CC!C:C,MATCH(1,(CC!A:A=H396)*(CC!B:B=J396),0))</f>
        <v>1502</v>
      </c>
      <c r="J396" s="7" t="s">
        <v>25</v>
      </c>
      <c r="K396" s="9">
        <v>1730.71</v>
      </c>
    </row>
    <row r="397">
      <c r="A397" s="5"/>
      <c r="B397" s="5"/>
      <c r="C397" s="7" t="s">
        <v>1058</v>
      </c>
      <c r="D397" s="7" t="s">
        <v>82</v>
      </c>
      <c r="E397" s="7">
        <v>324.51</v>
      </c>
      <c r="F397" s="7">
        <v>0.0</v>
      </c>
      <c r="G397" s="7" t="s">
        <v>1059</v>
      </c>
      <c r="H397" s="7" t="s">
        <v>74</v>
      </c>
      <c r="I397" s="15">
        <f t="array" ref="I397">INDEX(CC!C:C,MATCH(1,(CC!A:A=H397)*(CC!B:B=J397),0))</f>
        <v>1502</v>
      </c>
      <c r="J397" s="7" t="s">
        <v>25</v>
      </c>
      <c r="K397" s="7">
        <v>324.51</v>
      </c>
    </row>
    <row r="398">
      <c r="A398" s="5"/>
      <c r="B398" s="5"/>
      <c r="C398" s="7" t="s">
        <v>1058</v>
      </c>
      <c r="D398" s="7" t="s">
        <v>199</v>
      </c>
      <c r="E398" s="9">
        <v>8182.22</v>
      </c>
      <c r="F398" s="7">
        <v>0.0</v>
      </c>
      <c r="G398" s="7" t="s">
        <v>1059</v>
      </c>
      <c r="H398" s="7" t="s">
        <v>74</v>
      </c>
      <c r="I398" s="15">
        <f t="array" ref="I398">INDEX(CC!C:C,MATCH(1,(CC!A:A=H398)*(CC!B:B=J398),0))</f>
        <v>1502</v>
      </c>
      <c r="J398" s="7" t="s">
        <v>25</v>
      </c>
      <c r="K398" s="9">
        <v>8182.22</v>
      </c>
    </row>
    <row r="399">
      <c r="A399" s="5"/>
      <c r="B399" s="5"/>
      <c r="C399" s="7" t="s">
        <v>1058</v>
      </c>
      <c r="D399" s="7" t="s">
        <v>104</v>
      </c>
      <c r="E399" s="9">
        <v>2500.0</v>
      </c>
      <c r="F399" s="7">
        <v>0.0</v>
      </c>
      <c r="G399" s="7" t="s">
        <v>1059</v>
      </c>
      <c r="H399" s="7" t="s">
        <v>74</v>
      </c>
      <c r="I399" s="15">
        <f t="array" ref="I399">INDEX(CC!C:C,MATCH(1,(CC!A:A=H399)*(CC!B:B=J399),0))</f>
        <v>1502</v>
      </c>
      <c r="J399" s="7" t="s">
        <v>25</v>
      </c>
      <c r="K399" s="9">
        <v>2500.0</v>
      </c>
    </row>
    <row r="400">
      <c r="A400" s="5"/>
      <c r="B400" s="5"/>
      <c r="C400" s="7" t="s">
        <v>1058</v>
      </c>
      <c r="D400" s="7" t="s">
        <v>126</v>
      </c>
      <c r="E400" s="7">
        <v>35.0</v>
      </c>
      <c r="F400" s="7">
        <v>0.0</v>
      </c>
      <c r="G400" s="7" t="s">
        <v>1059</v>
      </c>
      <c r="H400" s="7" t="s">
        <v>74</v>
      </c>
      <c r="I400" s="15">
        <f t="array" ref="I400">INDEX(CC!C:C,MATCH(1,(CC!A:A=H400)*(CC!B:B=J400),0))</f>
        <v>1502</v>
      </c>
      <c r="J400" s="7" t="s">
        <v>25</v>
      </c>
      <c r="K400" s="7">
        <v>35.0</v>
      </c>
    </row>
    <row r="401">
      <c r="A401" s="5"/>
      <c r="B401" s="5"/>
      <c r="C401" s="7" t="s">
        <v>1058</v>
      </c>
      <c r="D401" s="7" t="s">
        <v>137</v>
      </c>
      <c r="E401" s="9">
        <v>4602.5</v>
      </c>
      <c r="F401" s="7">
        <v>0.0</v>
      </c>
      <c r="G401" s="7" t="s">
        <v>1059</v>
      </c>
      <c r="H401" s="7" t="s">
        <v>74</v>
      </c>
      <c r="I401" s="15">
        <f t="array" ref="I401">INDEX(CC!C:C,MATCH(1,(CC!A:A=H401)*(CC!B:B=J401),0))</f>
        <v>1502</v>
      </c>
      <c r="J401" s="7" t="s">
        <v>25</v>
      </c>
      <c r="K401" s="9">
        <v>4602.5</v>
      </c>
    </row>
    <row r="402">
      <c r="A402" s="5"/>
      <c r="B402" s="7" t="s">
        <v>29</v>
      </c>
      <c r="C402" s="7" t="s">
        <v>331</v>
      </c>
      <c r="D402" s="7" t="s">
        <v>33</v>
      </c>
      <c r="E402" s="7">
        <v>0.01</v>
      </c>
      <c r="F402" s="7">
        <v>0.0</v>
      </c>
      <c r="G402" s="7" t="s">
        <v>1061</v>
      </c>
      <c r="H402" s="7" t="s">
        <v>385</v>
      </c>
      <c r="I402" s="15">
        <f t="array" ref="I402">INDEX(CC!C:C,MATCH(1,(CC!A:A=H402)*(CC!B:B=J402),0))</f>
        <v>502</v>
      </c>
      <c r="J402" s="7" t="s">
        <v>25</v>
      </c>
      <c r="K402" s="7">
        <v>0.01</v>
      </c>
    </row>
    <row r="403">
      <c r="A403" s="5"/>
      <c r="B403" s="7" t="s">
        <v>29</v>
      </c>
      <c r="C403" s="7" t="s">
        <v>391</v>
      </c>
      <c r="D403" s="7" t="s">
        <v>307</v>
      </c>
      <c r="E403" s="9">
        <v>1555.35</v>
      </c>
      <c r="F403" s="7">
        <v>0.0</v>
      </c>
      <c r="G403" s="7" t="s">
        <v>1062</v>
      </c>
      <c r="H403" s="7" t="s">
        <v>395</v>
      </c>
      <c r="I403" s="15">
        <f t="array" ref="I403">INDEX(CC!C:C,MATCH(1,(CC!A:A=H403)*(CC!B:B=J403),0))</f>
        <v>1102</v>
      </c>
      <c r="J403" s="7" t="s">
        <v>25</v>
      </c>
      <c r="K403" s="9">
        <v>1555.35</v>
      </c>
    </row>
    <row r="404">
      <c r="A404" s="5"/>
      <c r="B404" s="5"/>
      <c r="C404" s="7" t="s">
        <v>391</v>
      </c>
      <c r="D404" s="7" t="s">
        <v>82</v>
      </c>
      <c r="E404" s="7">
        <v>339.06</v>
      </c>
      <c r="F404" s="7">
        <v>0.0</v>
      </c>
      <c r="G404" s="7" t="s">
        <v>1062</v>
      </c>
      <c r="H404" s="7" t="s">
        <v>395</v>
      </c>
      <c r="I404" s="15">
        <f t="array" ref="I404">INDEX(CC!C:C,MATCH(1,(CC!A:A=H404)*(CC!B:B=J404),0))</f>
        <v>1102</v>
      </c>
      <c r="J404" s="7" t="s">
        <v>25</v>
      </c>
      <c r="K404" s="7">
        <v>339.06</v>
      </c>
    </row>
    <row r="405">
      <c r="A405" s="5"/>
      <c r="B405" s="5"/>
      <c r="C405" s="7" t="s">
        <v>391</v>
      </c>
      <c r="D405" s="7" t="s">
        <v>277</v>
      </c>
      <c r="E405" s="9">
        <v>3262.14</v>
      </c>
      <c r="F405" s="7">
        <v>0.0</v>
      </c>
      <c r="G405" s="7" t="s">
        <v>1062</v>
      </c>
      <c r="H405" s="7" t="s">
        <v>395</v>
      </c>
      <c r="I405" s="15">
        <f t="array" ref="I405">INDEX(CC!C:C,MATCH(1,(CC!A:A=H405)*(CC!B:B=J405),0))</f>
        <v>1102</v>
      </c>
      <c r="J405" s="7" t="s">
        <v>25</v>
      </c>
      <c r="K405" s="9">
        <v>3262.14</v>
      </c>
    </row>
    <row r="406">
      <c r="A406" s="5"/>
      <c r="B406" s="5"/>
      <c r="C406" s="7" t="s">
        <v>391</v>
      </c>
      <c r="D406" s="7" t="s">
        <v>112</v>
      </c>
      <c r="E406" s="9">
        <v>7877.79</v>
      </c>
      <c r="F406" s="7">
        <v>0.0</v>
      </c>
      <c r="G406" s="7" t="s">
        <v>1062</v>
      </c>
      <c r="H406" s="7" t="s">
        <v>395</v>
      </c>
      <c r="I406" s="15">
        <f t="array" ref="I406">INDEX(CC!C:C,MATCH(1,(CC!A:A=H406)*(CC!B:B=J406),0))</f>
        <v>1103</v>
      </c>
      <c r="J406" s="7" t="s">
        <v>44</v>
      </c>
      <c r="K406" s="9">
        <v>7877.79</v>
      </c>
    </row>
    <row r="407">
      <c r="A407" s="5"/>
      <c r="B407" s="5"/>
      <c r="C407" s="7" t="s">
        <v>391</v>
      </c>
      <c r="D407" s="7" t="s">
        <v>126</v>
      </c>
      <c r="E407" s="7">
        <v>36.29</v>
      </c>
      <c r="F407" s="7">
        <v>0.0</v>
      </c>
      <c r="G407" s="7" t="s">
        <v>1062</v>
      </c>
      <c r="H407" s="7" t="s">
        <v>395</v>
      </c>
      <c r="I407" s="15">
        <f t="array" ref="I407">INDEX(CC!C:C,MATCH(1,(CC!A:A=H407)*(CC!B:B=J407),0))</f>
        <v>1102</v>
      </c>
      <c r="J407" s="7" t="s">
        <v>25</v>
      </c>
      <c r="K407" s="7">
        <v>36.29</v>
      </c>
    </row>
    <row r="408">
      <c r="A408" s="5"/>
      <c r="B408" s="5"/>
      <c r="C408" s="7" t="s">
        <v>391</v>
      </c>
      <c r="D408" s="7" t="s">
        <v>137</v>
      </c>
      <c r="E408" s="9">
        <v>7123.5</v>
      </c>
      <c r="F408" s="7">
        <v>0.0</v>
      </c>
      <c r="G408" s="7" t="s">
        <v>1062</v>
      </c>
      <c r="H408" s="7" t="s">
        <v>395</v>
      </c>
      <c r="I408" s="15">
        <f t="array" ref="I408">INDEX(CC!C:C,MATCH(1,(CC!A:A=H408)*(CC!B:B=J408),0))</f>
        <v>1102</v>
      </c>
      <c r="J408" s="7" t="s">
        <v>25</v>
      </c>
      <c r="K408" s="9">
        <v>7123.5</v>
      </c>
    </row>
    <row r="409">
      <c r="A409" s="5"/>
      <c r="B409" s="5"/>
      <c r="C409" s="7" t="s">
        <v>391</v>
      </c>
      <c r="D409" s="7" t="s">
        <v>470</v>
      </c>
      <c r="E409" s="9">
        <v>2149.0</v>
      </c>
      <c r="F409" s="7">
        <v>0.0</v>
      </c>
      <c r="G409" s="7" t="s">
        <v>1062</v>
      </c>
      <c r="H409" s="7" t="s">
        <v>395</v>
      </c>
      <c r="I409" s="15">
        <f t="array" ref="I409">INDEX(CC!C:C,MATCH(1,(CC!A:A=H409)*(CC!B:B=J409),0))</f>
        <v>1103</v>
      </c>
      <c r="J409" s="7" t="s">
        <v>44</v>
      </c>
      <c r="K409" s="9">
        <v>2149.0</v>
      </c>
    </row>
    <row r="410">
      <c r="A410" s="5"/>
      <c r="B410" s="7" t="s">
        <v>29</v>
      </c>
      <c r="C410" s="7" t="s">
        <v>32</v>
      </c>
      <c r="D410" s="7" t="s">
        <v>33</v>
      </c>
      <c r="E410" s="9">
        <v>6000.0</v>
      </c>
      <c r="F410" s="7">
        <v>0.0</v>
      </c>
      <c r="G410" s="7" t="s">
        <v>968</v>
      </c>
      <c r="H410" s="7" t="s">
        <v>40</v>
      </c>
      <c r="I410" s="15">
        <f t="array" ref="I410">INDEX(CC!C:C,MATCH(1,(CC!A:A=H410)*(CC!B:B=J410),0))</f>
        <v>602</v>
      </c>
      <c r="J410" s="7" t="s">
        <v>25</v>
      </c>
      <c r="K410" s="9">
        <v>6000.0</v>
      </c>
    </row>
    <row r="411">
      <c r="A411" s="5"/>
      <c r="B411" s="7" t="s">
        <v>29</v>
      </c>
      <c r="C411" s="7" t="s">
        <v>331</v>
      </c>
      <c r="D411" s="7" t="s">
        <v>33</v>
      </c>
      <c r="E411" s="7">
        <v>0.01</v>
      </c>
      <c r="F411" s="7">
        <v>0.0</v>
      </c>
      <c r="G411" s="7" t="s">
        <v>1066</v>
      </c>
      <c r="H411" s="7" t="s">
        <v>40</v>
      </c>
      <c r="I411" s="15">
        <f t="array" ref="I411">INDEX(CC!C:C,MATCH(1,(CC!A:A=H411)*(CC!B:B=J411),0))</f>
        <v>602</v>
      </c>
      <c r="J411" s="7" t="s">
        <v>25</v>
      </c>
      <c r="K411" s="7">
        <v>0.01</v>
      </c>
    </row>
    <row r="412">
      <c r="A412" s="5"/>
      <c r="B412" s="7" t="s">
        <v>29</v>
      </c>
      <c r="C412" s="7" t="s">
        <v>331</v>
      </c>
      <c r="D412" s="7" t="s">
        <v>33</v>
      </c>
      <c r="E412" s="7">
        <v>0.01</v>
      </c>
      <c r="F412" s="7">
        <v>0.0</v>
      </c>
      <c r="G412" s="7" t="s">
        <v>1067</v>
      </c>
      <c r="H412" s="7" t="s">
        <v>385</v>
      </c>
      <c r="I412" s="15">
        <f t="array" ref="I412">INDEX(CC!C:C,MATCH(1,(CC!A:A=H412)*(CC!B:B=J412),0))</f>
        <v>502</v>
      </c>
      <c r="J412" s="7" t="s">
        <v>25</v>
      </c>
      <c r="K412" s="7">
        <v>0.01</v>
      </c>
    </row>
    <row r="413">
      <c r="A413" s="5"/>
      <c r="B413" s="7" t="s">
        <v>29</v>
      </c>
      <c r="C413" s="7" t="s">
        <v>32</v>
      </c>
      <c r="D413" s="7" t="s">
        <v>307</v>
      </c>
      <c r="E413" s="7">
        <v>945.65</v>
      </c>
      <c r="F413" s="7">
        <v>0.0</v>
      </c>
      <c r="G413" s="7" t="s">
        <v>968</v>
      </c>
      <c r="H413" s="7" t="s">
        <v>74</v>
      </c>
      <c r="I413" s="15">
        <f t="array" ref="I413">INDEX(CC!C:C,MATCH(1,(CC!A:A=H413)*(CC!B:B=J413),0))</f>
        <v>1502</v>
      </c>
      <c r="J413" s="7" t="s">
        <v>25</v>
      </c>
      <c r="K413" s="7">
        <v>945.65</v>
      </c>
    </row>
    <row r="414">
      <c r="A414" s="5"/>
      <c r="B414" s="5"/>
      <c r="C414" s="7" t="s">
        <v>32</v>
      </c>
      <c r="D414" s="7" t="s">
        <v>82</v>
      </c>
      <c r="E414" s="7">
        <v>362.91</v>
      </c>
      <c r="F414" s="7">
        <v>0.0</v>
      </c>
      <c r="G414" s="7" t="s">
        <v>968</v>
      </c>
      <c r="H414" s="7" t="s">
        <v>74</v>
      </c>
      <c r="I414" s="15">
        <f t="array" ref="I414">INDEX(CC!C:C,MATCH(1,(CC!A:A=H414)*(CC!B:B=J414),0))</f>
        <v>1502</v>
      </c>
      <c r="J414" s="7" t="s">
        <v>25</v>
      </c>
      <c r="K414" s="7">
        <v>362.91</v>
      </c>
    </row>
    <row r="415">
      <c r="A415" s="5"/>
      <c r="B415" s="5"/>
      <c r="C415" s="7" t="s">
        <v>32</v>
      </c>
      <c r="D415" s="7" t="s">
        <v>199</v>
      </c>
      <c r="E415" s="9">
        <v>2839.6</v>
      </c>
      <c r="F415" s="7">
        <v>0.0</v>
      </c>
      <c r="G415" s="7" t="s">
        <v>968</v>
      </c>
      <c r="H415" s="7" t="s">
        <v>74</v>
      </c>
      <c r="I415" s="15">
        <f t="array" ref="I415">INDEX(CC!C:C,MATCH(1,(CC!A:A=H415)*(CC!B:B=J415),0))</f>
        <v>1502</v>
      </c>
      <c r="J415" s="7" t="s">
        <v>25</v>
      </c>
      <c r="K415" s="9">
        <v>2839.6</v>
      </c>
    </row>
    <row r="416">
      <c r="A416" s="5"/>
      <c r="B416" s="5"/>
      <c r="C416" s="7" t="s">
        <v>32</v>
      </c>
      <c r="D416" s="7" t="s">
        <v>104</v>
      </c>
      <c r="E416" s="9">
        <v>1500.0</v>
      </c>
      <c r="F416" s="7">
        <v>0.0</v>
      </c>
      <c r="G416" s="7" t="s">
        <v>968</v>
      </c>
      <c r="H416" s="7" t="s">
        <v>74</v>
      </c>
      <c r="I416" s="15">
        <f t="array" ref="I416">INDEX(CC!C:C,MATCH(1,(CC!A:A=H416)*(CC!B:B=J416),0))</f>
        <v>1502</v>
      </c>
      <c r="J416" s="7" t="s">
        <v>25</v>
      </c>
      <c r="K416" s="9">
        <v>1500.0</v>
      </c>
    </row>
    <row r="417">
      <c r="A417" s="5"/>
      <c r="B417" s="5"/>
      <c r="C417" s="7" t="s">
        <v>32</v>
      </c>
      <c r="D417" s="7" t="s">
        <v>112</v>
      </c>
      <c r="E417" s="9">
        <v>9085.2</v>
      </c>
      <c r="F417" s="7">
        <v>0.0</v>
      </c>
      <c r="G417" s="7" t="s">
        <v>968</v>
      </c>
      <c r="H417" s="7" t="s">
        <v>74</v>
      </c>
      <c r="I417" s="15">
        <f t="array" ref="I417">INDEX(CC!C:C,MATCH(1,(CC!A:A=H417)*(CC!B:B=J417),0))</f>
        <v>1503</v>
      </c>
      <c r="J417" s="7" t="s">
        <v>44</v>
      </c>
      <c r="K417" s="9">
        <v>9085.2</v>
      </c>
    </row>
    <row r="418">
      <c r="A418" s="5"/>
      <c r="B418" s="5"/>
      <c r="C418" s="7" t="s">
        <v>32</v>
      </c>
      <c r="D418" s="7" t="s">
        <v>126</v>
      </c>
      <c r="E418" s="7">
        <v>36.29</v>
      </c>
      <c r="F418" s="7">
        <v>0.0</v>
      </c>
      <c r="G418" s="7" t="s">
        <v>968</v>
      </c>
      <c r="H418" s="7" t="s">
        <v>74</v>
      </c>
      <c r="I418" s="15">
        <f t="array" ref="I418">INDEX(CC!C:C,MATCH(1,(CC!A:A=H418)*(CC!B:B=J418),0))</f>
        <v>1502</v>
      </c>
      <c r="J418" s="7" t="s">
        <v>25</v>
      </c>
      <c r="K418" s="7">
        <v>36.29</v>
      </c>
    </row>
    <row r="419">
      <c r="A419" s="5"/>
      <c r="B419" s="5"/>
      <c r="C419" s="7" t="s">
        <v>32</v>
      </c>
      <c r="D419" s="7" t="s">
        <v>137</v>
      </c>
      <c r="E419" s="9">
        <v>2981.58</v>
      </c>
      <c r="F419" s="7">
        <v>0.0</v>
      </c>
      <c r="G419" s="7" t="s">
        <v>968</v>
      </c>
      <c r="H419" s="7" t="s">
        <v>74</v>
      </c>
      <c r="I419" s="15">
        <f t="array" ref="I419">INDEX(CC!C:C,MATCH(1,(CC!A:A=H419)*(CC!B:B=J419),0))</f>
        <v>1502</v>
      </c>
      <c r="J419" s="7" t="s">
        <v>25</v>
      </c>
      <c r="K419" s="9">
        <v>2981.58</v>
      </c>
    </row>
    <row r="420">
      <c r="A420" s="5"/>
      <c r="B420" s="7" t="s">
        <v>29</v>
      </c>
      <c r="C420" s="7" t="s">
        <v>982</v>
      </c>
      <c r="D420" s="7" t="s">
        <v>983</v>
      </c>
      <c r="E420" s="9">
        <v>12000.0</v>
      </c>
      <c r="F420" s="7">
        <v>0.0</v>
      </c>
      <c r="G420" s="7" t="s">
        <v>1068</v>
      </c>
      <c r="H420" s="7" t="s">
        <v>539</v>
      </c>
      <c r="I420" s="15">
        <f t="array" ref="I420">INDEX(CC!C:C,MATCH(1,(CC!A:A=H420)*(CC!B:B=J420),0))</f>
        <v>1302</v>
      </c>
      <c r="J420" s="7" t="s">
        <v>25</v>
      </c>
      <c r="K420" s="9">
        <v>12000.0</v>
      </c>
    </row>
    <row r="421">
      <c r="A421" s="5"/>
      <c r="B421" s="5"/>
      <c r="C421" s="7" t="s">
        <v>982</v>
      </c>
      <c r="D421" s="7" t="s">
        <v>199</v>
      </c>
      <c r="E421" s="9">
        <v>3200.0</v>
      </c>
      <c r="F421" s="7">
        <v>0.0</v>
      </c>
      <c r="G421" s="7" t="s">
        <v>1068</v>
      </c>
      <c r="H421" s="7" t="s">
        <v>539</v>
      </c>
      <c r="I421" s="15">
        <f t="array" ref="I421">INDEX(CC!C:C,MATCH(1,(CC!A:A=H421)*(CC!B:B=J421),0))</f>
        <v>1302</v>
      </c>
      <c r="J421" s="7" t="s">
        <v>25</v>
      </c>
      <c r="K421" s="9">
        <v>3200.0</v>
      </c>
    </row>
    <row r="422">
      <c r="A422" s="5"/>
      <c r="B422" s="5"/>
      <c r="C422" s="7" t="s">
        <v>982</v>
      </c>
      <c r="D422" s="7" t="s">
        <v>348</v>
      </c>
      <c r="E422" s="9">
        <v>6500.0</v>
      </c>
      <c r="F422" s="7">
        <v>0.0</v>
      </c>
      <c r="G422" s="7" t="s">
        <v>1068</v>
      </c>
      <c r="H422" s="7" t="s">
        <v>539</v>
      </c>
      <c r="I422" s="15">
        <f t="array" ref="I422">INDEX(CC!C:C,MATCH(1,(CC!A:A=H422)*(CC!B:B=J422),0))</f>
        <v>1302</v>
      </c>
      <c r="J422" s="7" t="s">
        <v>25</v>
      </c>
      <c r="K422" s="9">
        <v>6500.0</v>
      </c>
    </row>
    <row r="423">
      <c r="A423" s="5"/>
      <c r="B423" s="5"/>
      <c r="C423" s="7" t="s">
        <v>982</v>
      </c>
      <c r="D423" s="7" t="s">
        <v>126</v>
      </c>
      <c r="E423" s="7">
        <v>20.0</v>
      </c>
      <c r="F423" s="7">
        <v>0.0</v>
      </c>
      <c r="G423" s="7" t="s">
        <v>1068</v>
      </c>
      <c r="H423" s="7" t="s">
        <v>539</v>
      </c>
      <c r="I423" s="15">
        <f t="array" ref="I423">INDEX(CC!C:C,MATCH(1,(CC!A:A=H423)*(CC!B:B=J423),0))</f>
        <v>1302</v>
      </c>
      <c r="J423" s="7" t="s">
        <v>25</v>
      </c>
      <c r="K423" s="7">
        <v>20.0</v>
      </c>
    </row>
    <row r="424">
      <c r="A424" s="5"/>
      <c r="B424" s="7" t="s">
        <v>29</v>
      </c>
      <c r="C424" s="7" t="s">
        <v>331</v>
      </c>
      <c r="D424" s="7" t="s">
        <v>33</v>
      </c>
      <c r="E424" s="7">
        <v>0.01</v>
      </c>
      <c r="F424" s="7">
        <v>0.0</v>
      </c>
      <c r="G424" s="7" t="s">
        <v>1066</v>
      </c>
      <c r="H424" s="7" t="s">
        <v>40</v>
      </c>
      <c r="I424" s="15">
        <f t="array" ref="I424">INDEX(CC!C:C,MATCH(1,(CC!A:A=H424)*(CC!B:B=J424),0))</f>
        <v>602</v>
      </c>
      <c r="J424" s="7" t="s">
        <v>25</v>
      </c>
      <c r="K424" s="7">
        <v>0.01</v>
      </c>
    </row>
    <row r="425">
      <c r="A425" s="5"/>
      <c r="B425" s="7" t="s">
        <v>29</v>
      </c>
      <c r="C425" s="7" t="s">
        <v>1069</v>
      </c>
      <c r="D425" s="7" t="s">
        <v>82</v>
      </c>
      <c r="E425" s="7">
        <v>70.0</v>
      </c>
      <c r="F425" s="7">
        <v>0.0</v>
      </c>
      <c r="G425" s="7" t="s">
        <v>1070</v>
      </c>
      <c r="H425" s="7" t="s">
        <v>539</v>
      </c>
      <c r="I425" s="15">
        <f t="array" ref="I425">INDEX(CC!C:C,MATCH(1,(CC!A:A=H425)*(CC!B:B=J425),0))</f>
        <v>1302</v>
      </c>
      <c r="J425" s="7" t="s">
        <v>25</v>
      </c>
      <c r="K425" s="7">
        <v>70.0</v>
      </c>
    </row>
    <row r="426">
      <c r="A426" s="5"/>
      <c r="B426" s="5"/>
      <c r="C426" s="7" t="s">
        <v>1069</v>
      </c>
      <c r="D426" s="7" t="s">
        <v>126</v>
      </c>
      <c r="E426" s="7">
        <v>20.0</v>
      </c>
      <c r="F426" s="7">
        <v>0.0</v>
      </c>
      <c r="G426" s="7" t="s">
        <v>1070</v>
      </c>
      <c r="H426" s="7" t="s">
        <v>539</v>
      </c>
      <c r="I426" s="15">
        <f t="array" ref="I426">INDEX(CC!C:C,MATCH(1,(CC!A:A=H426)*(CC!B:B=J426),0))</f>
        <v>1302</v>
      </c>
      <c r="J426" s="7" t="s">
        <v>25</v>
      </c>
      <c r="K426" s="7">
        <v>20.0</v>
      </c>
    </row>
    <row r="427">
      <c r="A427" s="5"/>
      <c r="B427" s="5"/>
      <c r="C427" s="7" t="s">
        <v>1069</v>
      </c>
      <c r="D427" s="7" t="s">
        <v>137</v>
      </c>
      <c r="E427" s="9">
        <v>4500.0</v>
      </c>
      <c r="F427" s="7">
        <v>0.0</v>
      </c>
      <c r="G427" s="7" t="s">
        <v>1070</v>
      </c>
      <c r="H427" s="7" t="s">
        <v>539</v>
      </c>
      <c r="I427" s="15">
        <f t="array" ref="I427">INDEX(CC!C:C,MATCH(1,(CC!A:A=H427)*(CC!B:B=J427),0))</f>
        <v>1302</v>
      </c>
      <c r="J427" s="7" t="s">
        <v>25</v>
      </c>
      <c r="K427" s="9">
        <v>4500.0</v>
      </c>
    </row>
    <row r="428">
      <c r="A428" s="5"/>
      <c r="B428" s="7" t="s">
        <v>29</v>
      </c>
      <c r="C428" s="7" t="s">
        <v>79</v>
      </c>
      <c r="D428" s="7" t="s">
        <v>307</v>
      </c>
      <c r="E428" s="9">
        <v>1555.35</v>
      </c>
      <c r="F428" s="7">
        <v>0.0</v>
      </c>
      <c r="G428" s="7" t="s">
        <v>1071</v>
      </c>
      <c r="H428" s="7" t="s">
        <v>395</v>
      </c>
      <c r="I428" s="15">
        <f t="array" ref="I428">INDEX(CC!C:C,MATCH(1,(CC!A:A=H428)*(CC!B:B=J428),0))</f>
        <v>1102</v>
      </c>
      <c r="J428" s="7" t="s">
        <v>25</v>
      </c>
      <c r="K428" s="9">
        <v>1555.35</v>
      </c>
    </row>
    <row r="429">
      <c r="A429" s="5"/>
      <c r="B429" s="5"/>
      <c r="C429" s="7" t="s">
        <v>79</v>
      </c>
      <c r="D429" s="7" t="s">
        <v>82</v>
      </c>
      <c r="E429" s="7">
        <v>339.06</v>
      </c>
      <c r="F429" s="7">
        <v>0.0</v>
      </c>
      <c r="G429" s="7" t="s">
        <v>1071</v>
      </c>
      <c r="H429" s="7" t="s">
        <v>395</v>
      </c>
      <c r="I429" s="15">
        <f t="array" ref="I429">INDEX(CC!C:C,MATCH(1,(CC!A:A=H429)*(CC!B:B=J429),0))</f>
        <v>1102</v>
      </c>
      <c r="J429" s="7" t="s">
        <v>25</v>
      </c>
      <c r="K429" s="7">
        <v>339.06</v>
      </c>
    </row>
    <row r="430">
      <c r="A430" s="5"/>
      <c r="B430" s="5"/>
      <c r="C430" s="7" t="s">
        <v>79</v>
      </c>
      <c r="D430" s="7" t="s">
        <v>112</v>
      </c>
      <c r="E430" s="9">
        <v>27096.52</v>
      </c>
      <c r="F430" s="7">
        <v>0.0</v>
      </c>
      <c r="G430" s="7" t="s">
        <v>1071</v>
      </c>
      <c r="H430" s="7" t="s">
        <v>395</v>
      </c>
      <c r="I430" s="15">
        <f t="array" ref="I430">INDEX(CC!C:C,MATCH(1,(CC!A:A=H430)*(CC!B:B=J430),0))</f>
        <v>1103</v>
      </c>
      <c r="J430" s="7" t="s">
        <v>44</v>
      </c>
      <c r="K430" s="9">
        <v>27096.52</v>
      </c>
    </row>
    <row r="431">
      <c r="A431" s="5"/>
      <c r="B431" s="5"/>
      <c r="C431" s="7" t="s">
        <v>79</v>
      </c>
      <c r="D431" s="7" t="s">
        <v>348</v>
      </c>
      <c r="E431" s="7">
        <v>550.0</v>
      </c>
      <c r="F431" s="7">
        <v>0.0</v>
      </c>
      <c r="G431" s="7" t="s">
        <v>1071</v>
      </c>
      <c r="H431" s="7" t="s">
        <v>395</v>
      </c>
      <c r="I431" s="15">
        <f t="array" ref="I431">INDEX(CC!C:C,MATCH(1,(CC!A:A=H431)*(CC!B:B=J431),0))</f>
        <v>1103</v>
      </c>
      <c r="J431" s="7" t="s">
        <v>44</v>
      </c>
      <c r="K431" s="7">
        <v>550.0</v>
      </c>
    </row>
    <row r="432">
      <c r="A432" s="5"/>
      <c r="B432" s="5"/>
      <c r="C432" s="7" t="s">
        <v>79</v>
      </c>
      <c r="D432" s="7" t="s">
        <v>126</v>
      </c>
      <c r="E432" s="7">
        <v>36.29</v>
      </c>
      <c r="F432" s="7">
        <v>0.0</v>
      </c>
      <c r="G432" s="7" t="s">
        <v>1071</v>
      </c>
      <c r="H432" s="7" t="s">
        <v>395</v>
      </c>
      <c r="I432" s="15">
        <f t="array" ref="I432">INDEX(CC!C:C,MATCH(1,(CC!A:A=H432)*(CC!B:B=J432),0))</f>
        <v>1102</v>
      </c>
      <c r="J432" s="7" t="s">
        <v>25</v>
      </c>
      <c r="K432" s="7">
        <v>36.29</v>
      </c>
    </row>
    <row r="433">
      <c r="A433" s="5"/>
      <c r="B433" s="5"/>
      <c r="C433" s="7" t="s">
        <v>79</v>
      </c>
      <c r="D433" s="7" t="s">
        <v>137</v>
      </c>
      <c r="E433" s="9">
        <v>6532.47</v>
      </c>
      <c r="F433" s="7">
        <v>0.0</v>
      </c>
      <c r="G433" s="7" t="s">
        <v>1071</v>
      </c>
      <c r="H433" s="7" t="s">
        <v>395</v>
      </c>
      <c r="I433" s="15">
        <f t="array" ref="I433">INDEX(CC!C:C,MATCH(1,(CC!A:A=H433)*(CC!B:B=J433),0))</f>
        <v>1102</v>
      </c>
      <c r="J433" s="7" t="s">
        <v>25</v>
      </c>
      <c r="K433" s="9">
        <v>6532.47</v>
      </c>
    </row>
    <row r="434">
      <c r="A434" s="5"/>
      <c r="B434" s="5"/>
      <c r="C434" s="7" t="s">
        <v>79</v>
      </c>
      <c r="D434" s="7" t="s">
        <v>470</v>
      </c>
      <c r="E434" s="9">
        <v>2149.0</v>
      </c>
      <c r="F434" s="7">
        <v>0.0</v>
      </c>
      <c r="G434" s="7" t="s">
        <v>1071</v>
      </c>
      <c r="H434" s="7" t="s">
        <v>395</v>
      </c>
      <c r="I434" s="15">
        <f t="array" ref="I434">INDEX(CC!C:C,MATCH(1,(CC!A:A=H434)*(CC!B:B=J434),0))</f>
        <v>1103</v>
      </c>
      <c r="J434" s="7" t="s">
        <v>44</v>
      </c>
      <c r="K434" s="9">
        <v>2149.0</v>
      </c>
    </row>
    <row r="435">
      <c r="A435" s="5"/>
      <c r="B435" s="7" t="s">
        <v>29</v>
      </c>
      <c r="C435" s="7" t="s">
        <v>148</v>
      </c>
      <c r="D435" s="7" t="s">
        <v>104</v>
      </c>
      <c r="E435" s="9">
        <v>1000.0</v>
      </c>
      <c r="F435" s="7">
        <v>0.0</v>
      </c>
      <c r="G435" s="7" t="s">
        <v>1073</v>
      </c>
      <c r="H435" s="7" t="s">
        <v>74</v>
      </c>
      <c r="I435" s="15">
        <f t="array" ref="I435">INDEX(CC!C:C,MATCH(1,(CC!A:A=H435)*(CC!B:B=J435),0))</f>
        <v>1502</v>
      </c>
      <c r="J435" s="7" t="s">
        <v>25</v>
      </c>
      <c r="K435" s="9">
        <v>1000.0</v>
      </c>
    </row>
    <row r="436">
      <c r="A436" s="5"/>
      <c r="B436" s="5"/>
      <c r="C436" s="7" t="s">
        <v>148</v>
      </c>
      <c r="D436" s="7" t="s">
        <v>126</v>
      </c>
      <c r="E436" s="7">
        <v>30.0</v>
      </c>
      <c r="F436" s="7">
        <v>0.0</v>
      </c>
      <c r="G436" s="7" t="s">
        <v>1073</v>
      </c>
      <c r="H436" s="7" t="s">
        <v>74</v>
      </c>
      <c r="I436" s="15">
        <f t="array" ref="I436">INDEX(CC!C:C,MATCH(1,(CC!A:A=H436)*(CC!B:B=J436),0))</f>
        <v>1502</v>
      </c>
      <c r="J436" s="7" t="s">
        <v>25</v>
      </c>
      <c r="K436" s="7">
        <v>30.0</v>
      </c>
    </row>
    <row r="437">
      <c r="A437" s="5"/>
      <c r="B437" s="7" t="s">
        <v>29</v>
      </c>
      <c r="C437" s="7" t="s">
        <v>148</v>
      </c>
      <c r="D437" s="7" t="s">
        <v>1074</v>
      </c>
      <c r="E437" s="7">
        <v>300.0</v>
      </c>
      <c r="F437" s="7">
        <v>0.0</v>
      </c>
      <c r="G437" s="7" t="s">
        <v>1075</v>
      </c>
      <c r="H437" s="7" t="s">
        <v>74</v>
      </c>
      <c r="I437" s="15">
        <f t="array" ref="I437">INDEX(CC!C:C,MATCH(1,(CC!A:A=H437)*(CC!B:B=J437),0))</f>
        <v>1502</v>
      </c>
      <c r="J437" s="7" t="s">
        <v>25</v>
      </c>
      <c r="K437" s="7">
        <v>300.0</v>
      </c>
    </row>
    <row r="438">
      <c r="A438" s="5"/>
      <c r="B438" s="5"/>
      <c r="C438" s="7" t="s">
        <v>148</v>
      </c>
      <c r="D438" s="7" t="s">
        <v>104</v>
      </c>
      <c r="E438" s="9">
        <v>1000.0</v>
      </c>
      <c r="F438" s="7">
        <v>0.0</v>
      </c>
      <c r="G438" s="7" t="s">
        <v>1075</v>
      </c>
      <c r="H438" s="7" t="s">
        <v>74</v>
      </c>
      <c r="I438" s="15">
        <f t="array" ref="I438">INDEX(CC!C:C,MATCH(1,(CC!A:A=H438)*(CC!B:B=J438),0))</f>
        <v>1502</v>
      </c>
      <c r="J438" s="7" t="s">
        <v>25</v>
      </c>
      <c r="K438" s="9">
        <v>1000.0</v>
      </c>
    </row>
    <row r="439">
      <c r="A439" s="5"/>
      <c r="B439" s="5"/>
      <c r="C439" s="7" t="s">
        <v>148</v>
      </c>
      <c r="D439" s="7" t="s">
        <v>126</v>
      </c>
      <c r="E439" s="7">
        <v>30.0</v>
      </c>
      <c r="F439" s="7">
        <v>0.0</v>
      </c>
      <c r="G439" s="7" t="s">
        <v>1075</v>
      </c>
      <c r="H439" s="7" t="s">
        <v>74</v>
      </c>
      <c r="I439" s="15">
        <f t="array" ref="I439">INDEX(CC!C:C,MATCH(1,(CC!A:A=H439)*(CC!B:B=J439),0))</f>
        <v>1502</v>
      </c>
      <c r="J439" s="7" t="s">
        <v>25</v>
      </c>
      <c r="K439" s="7">
        <v>30.0</v>
      </c>
    </row>
    <row r="440">
      <c r="A440" s="5"/>
      <c r="B440" s="7" t="s">
        <v>29</v>
      </c>
      <c r="C440" s="7" t="s">
        <v>549</v>
      </c>
      <c r="D440" s="7" t="s">
        <v>126</v>
      </c>
      <c r="E440" s="7">
        <v>35.0</v>
      </c>
      <c r="F440" s="7">
        <v>0.0</v>
      </c>
      <c r="G440" s="7" t="s">
        <v>1078</v>
      </c>
      <c r="H440" s="7" t="s">
        <v>551</v>
      </c>
      <c r="I440" s="15">
        <f t="array" ref="I440">INDEX(CC!C:C,MATCH(1,(CC!A:A=H440)*(CC!B:B=J440),0))</f>
        <v>1202</v>
      </c>
      <c r="J440" s="7" t="s">
        <v>25</v>
      </c>
      <c r="K440" s="7">
        <v>35.0</v>
      </c>
    </row>
    <row r="441">
      <c r="A441" s="5"/>
      <c r="B441" s="5"/>
      <c r="C441" s="7" t="s">
        <v>549</v>
      </c>
      <c r="D441" s="7" t="s">
        <v>137</v>
      </c>
      <c r="E441" s="9">
        <v>18083.54</v>
      </c>
      <c r="F441" s="7">
        <v>0.0</v>
      </c>
      <c r="G441" s="7" t="s">
        <v>1078</v>
      </c>
      <c r="H441" s="7" t="s">
        <v>551</v>
      </c>
      <c r="I441" s="15">
        <f t="array" ref="I441">INDEX(CC!C:C,MATCH(1,(CC!A:A=H441)*(CC!B:B=J441),0))</f>
        <v>1202</v>
      </c>
      <c r="J441" s="7" t="s">
        <v>25</v>
      </c>
      <c r="K441" s="9">
        <v>18083.54</v>
      </c>
    </row>
    <row r="442">
      <c r="A442" s="5"/>
      <c r="B442" s="7" t="s">
        <v>29</v>
      </c>
      <c r="C442" s="7" t="s">
        <v>1079</v>
      </c>
      <c r="D442" s="7" t="s">
        <v>307</v>
      </c>
      <c r="E442" s="9">
        <v>1762.73</v>
      </c>
      <c r="F442" s="7">
        <v>0.0</v>
      </c>
      <c r="G442" s="7" t="s">
        <v>1080</v>
      </c>
      <c r="H442" s="7" t="s">
        <v>74</v>
      </c>
      <c r="I442" s="15">
        <f t="array" ref="I442">INDEX(CC!C:C,MATCH(1,(CC!A:A=H442)*(CC!B:B=J442),0))</f>
        <v>1502</v>
      </c>
      <c r="J442" s="7" t="s">
        <v>25</v>
      </c>
      <c r="K442" s="9">
        <v>1762.73</v>
      </c>
    </row>
    <row r="443">
      <c r="A443" s="5"/>
      <c r="B443" s="5"/>
      <c r="C443" s="7" t="s">
        <v>1079</v>
      </c>
      <c r="D443" s="7" t="s">
        <v>82</v>
      </c>
      <c r="E443" s="7">
        <v>362.91</v>
      </c>
      <c r="F443" s="7">
        <v>0.0</v>
      </c>
      <c r="G443" s="7" t="s">
        <v>1080</v>
      </c>
      <c r="H443" s="7" t="s">
        <v>74</v>
      </c>
      <c r="I443" s="15">
        <f t="array" ref="I443">INDEX(CC!C:C,MATCH(1,(CC!A:A=H443)*(CC!B:B=J443),0))</f>
        <v>1502</v>
      </c>
      <c r="J443" s="7" t="s">
        <v>25</v>
      </c>
      <c r="K443" s="7">
        <v>362.91</v>
      </c>
    </row>
    <row r="444">
      <c r="A444" s="5"/>
      <c r="B444" s="5"/>
      <c r="C444" s="7" t="s">
        <v>1079</v>
      </c>
      <c r="D444" s="7" t="s">
        <v>199</v>
      </c>
      <c r="E444" s="9">
        <v>2748.34</v>
      </c>
      <c r="F444" s="7">
        <v>0.0</v>
      </c>
      <c r="G444" s="7" t="s">
        <v>1080</v>
      </c>
      <c r="H444" s="7" t="s">
        <v>74</v>
      </c>
      <c r="I444" s="15">
        <f t="array" ref="I444">INDEX(CC!C:C,MATCH(1,(CC!A:A=H444)*(CC!B:B=J444),0))</f>
        <v>1502</v>
      </c>
      <c r="J444" s="7" t="s">
        <v>25</v>
      </c>
      <c r="K444" s="9">
        <v>2748.34</v>
      </c>
    </row>
    <row r="445">
      <c r="A445" s="5"/>
      <c r="B445" s="5"/>
      <c r="C445" s="7" t="s">
        <v>1079</v>
      </c>
      <c r="D445" s="7" t="s">
        <v>104</v>
      </c>
      <c r="E445" s="9">
        <v>2500.0</v>
      </c>
      <c r="F445" s="7">
        <v>0.0</v>
      </c>
      <c r="G445" s="7" t="s">
        <v>1080</v>
      </c>
      <c r="H445" s="7" t="s">
        <v>74</v>
      </c>
      <c r="I445" s="15">
        <f t="array" ref="I445">INDEX(CC!C:C,MATCH(1,(CC!A:A=H445)*(CC!B:B=J445),0))</f>
        <v>1502</v>
      </c>
      <c r="J445" s="7" t="s">
        <v>25</v>
      </c>
      <c r="K445" s="9">
        <v>2500.0</v>
      </c>
    </row>
    <row r="446">
      <c r="A446" s="5"/>
      <c r="B446" s="5"/>
      <c r="C446" s="7" t="s">
        <v>1079</v>
      </c>
      <c r="D446" s="7" t="s">
        <v>126</v>
      </c>
      <c r="E446" s="7">
        <v>36.29</v>
      </c>
      <c r="F446" s="7">
        <v>0.0</v>
      </c>
      <c r="G446" s="7" t="s">
        <v>1080</v>
      </c>
      <c r="H446" s="7" t="s">
        <v>74</v>
      </c>
      <c r="I446" s="15">
        <f t="array" ref="I446">INDEX(CC!C:C,MATCH(1,(CC!A:A=H446)*(CC!B:B=J446),0))</f>
        <v>1502</v>
      </c>
      <c r="J446" s="7" t="s">
        <v>25</v>
      </c>
      <c r="K446" s="7">
        <v>36.29</v>
      </c>
    </row>
    <row r="447">
      <c r="A447" s="5"/>
      <c r="B447" s="5"/>
      <c r="C447" s="7" t="s">
        <v>1079</v>
      </c>
      <c r="D447" s="7" t="s">
        <v>137</v>
      </c>
      <c r="E447" s="9">
        <v>3200.0</v>
      </c>
      <c r="F447" s="7">
        <v>0.0</v>
      </c>
      <c r="G447" s="7" t="s">
        <v>1080</v>
      </c>
      <c r="H447" s="7" t="s">
        <v>74</v>
      </c>
      <c r="I447" s="15">
        <f t="array" ref="I447">INDEX(CC!C:C,MATCH(1,(CC!A:A=H447)*(CC!B:B=J447),0))</f>
        <v>1502</v>
      </c>
      <c r="J447" s="7" t="s">
        <v>25</v>
      </c>
      <c r="K447" s="9">
        <v>3200.0</v>
      </c>
    </row>
    <row r="448">
      <c r="A448" s="5"/>
      <c r="B448" s="7" t="s">
        <v>29</v>
      </c>
      <c r="C448" s="7" t="s">
        <v>549</v>
      </c>
      <c r="D448" s="7" t="s">
        <v>126</v>
      </c>
      <c r="E448" s="7">
        <v>35.0</v>
      </c>
      <c r="F448" s="7">
        <v>0.0</v>
      </c>
      <c r="G448" s="7" t="s">
        <v>1082</v>
      </c>
      <c r="H448" s="7" t="s">
        <v>551</v>
      </c>
      <c r="I448" s="15">
        <f t="array" ref="I448">INDEX(CC!C:C,MATCH(1,(CC!A:A=H448)*(CC!B:B=J448),0))</f>
        <v>1202</v>
      </c>
      <c r="J448" s="7" t="s">
        <v>25</v>
      </c>
      <c r="K448" s="7">
        <v>35.0</v>
      </c>
    </row>
    <row r="449">
      <c r="A449" s="5"/>
      <c r="B449" s="5"/>
      <c r="C449" s="7" t="s">
        <v>549</v>
      </c>
      <c r="D449" s="7" t="s">
        <v>137</v>
      </c>
      <c r="E449" s="9">
        <v>4520.88</v>
      </c>
      <c r="F449" s="7">
        <v>0.0</v>
      </c>
      <c r="G449" s="7" t="s">
        <v>1082</v>
      </c>
      <c r="H449" s="7" t="s">
        <v>551</v>
      </c>
      <c r="I449" s="15">
        <f t="array" ref="I449">INDEX(CC!C:C,MATCH(1,(CC!A:A=H449)*(CC!B:B=J449),0))</f>
        <v>1202</v>
      </c>
      <c r="J449" s="7" t="s">
        <v>25</v>
      </c>
      <c r="K449" s="9">
        <v>4520.88</v>
      </c>
    </row>
    <row r="450">
      <c r="A450" s="5"/>
      <c r="B450" s="7" t="s">
        <v>29</v>
      </c>
      <c r="C450" s="7" t="s">
        <v>549</v>
      </c>
      <c r="D450" s="7" t="s">
        <v>126</v>
      </c>
      <c r="E450" s="7">
        <v>35.0</v>
      </c>
      <c r="F450" s="7">
        <v>0.0</v>
      </c>
      <c r="G450" s="7" t="s">
        <v>1083</v>
      </c>
      <c r="H450" s="7" t="s">
        <v>551</v>
      </c>
      <c r="I450" s="15">
        <f t="array" ref="I450">INDEX(CC!C:C,MATCH(1,(CC!A:A=H450)*(CC!B:B=J450),0))</f>
        <v>1202</v>
      </c>
      <c r="J450" s="7" t="s">
        <v>25</v>
      </c>
      <c r="K450" s="7">
        <v>35.0</v>
      </c>
    </row>
    <row r="451">
      <c r="A451" s="34"/>
      <c r="B451" s="35" t="s">
        <v>29</v>
      </c>
      <c r="C451" s="35" t="s">
        <v>578</v>
      </c>
      <c r="D451" s="35" t="s">
        <v>579</v>
      </c>
      <c r="E451" s="36">
        <v>60368.0</v>
      </c>
      <c r="F451" s="35">
        <v>0.0</v>
      </c>
      <c r="G451" s="35" t="s">
        <v>580</v>
      </c>
      <c r="H451" s="35" t="s">
        <v>581</v>
      </c>
      <c r="I451" s="15">
        <f t="array" ref="I451">INDEX(CC!C:C,MATCH(1,(CC!A:A=H451)*(CC!B:B=J451),0))</f>
        <v>202</v>
      </c>
      <c r="J451" s="35" t="s">
        <v>25</v>
      </c>
      <c r="K451" s="36">
        <v>23162.0</v>
      </c>
    </row>
    <row r="452">
      <c r="A452" s="34"/>
      <c r="B452" s="34"/>
      <c r="C452" s="35" t="s">
        <v>578</v>
      </c>
      <c r="D452" s="35" t="s">
        <v>579</v>
      </c>
      <c r="E452" s="37"/>
      <c r="F452" s="34"/>
      <c r="G452" s="35" t="s">
        <v>580</v>
      </c>
      <c r="H452" s="35" t="s">
        <v>1032</v>
      </c>
      <c r="I452" s="15">
        <f t="array" ref="I452">INDEX(CC!C:C,MATCH(1,(CC!A:A=H452)*(CC!B:B=J452),0))</f>
        <v>302</v>
      </c>
      <c r="J452" s="35" t="s">
        <v>25</v>
      </c>
      <c r="K452" s="36">
        <v>37206.0</v>
      </c>
    </row>
    <row r="453">
      <c r="A453" s="5"/>
      <c r="B453" s="7" t="s">
        <v>29</v>
      </c>
      <c r="C453" s="7" t="s">
        <v>331</v>
      </c>
      <c r="D453" s="7" t="s">
        <v>33</v>
      </c>
      <c r="E453" s="7">
        <v>0.01</v>
      </c>
      <c r="F453" s="7">
        <v>0.0</v>
      </c>
      <c r="G453" s="7" t="s">
        <v>1084</v>
      </c>
      <c r="H453" s="7" t="s">
        <v>385</v>
      </c>
      <c r="I453" s="15">
        <f t="array" ref="I453">INDEX(CC!C:C,MATCH(1,(CC!A:A=H453)*(CC!B:B=J453),0))</f>
        <v>502</v>
      </c>
      <c r="J453" s="7" t="s">
        <v>25</v>
      </c>
      <c r="K453" s="7">
        <v>0.01</v>
      </c>
    </row>
    <row r="454">
      <c r="A454" s="5"/>
      <c r="B454" s="7" t="s">
        <v>29</v>
      </c>
      <c r="C454" s="7" t="s">
        <v>79</v>
      </c>
      <c r="D454" s="7" t="s">
        <v>307</v>
      </c>
      <c r="E454" s="9">
        <v>1555.35</v>
      </c>
      <c r="F454" s="7">
        <v>0.0</v>
      </c>
      <c r="G454" s="7" t="s">
        <v>1085</v>
      </c>
      <c r="H454" s="7" t="s">
        <v>395</v>
      </c>
      <c r="I454" s="15">
        <f t="array" ref="I454">INDEX(CC!C:C,MATCH(1,(CC!A:A=H454)*(CC!B:B=J454),0))</f>
        <v>1102</v>
      </c>
      <c r="J454" s="7" t="s">
        <v>25</v>
      </c>
      <c r="K454" s="9">
        <v>1555.35</v>
      </c>
    </row>
    <row r="455">
      <c r="A455" s="5"/>
      <c r="B455" s="5"/>
      <c r="C455" s="7" t="s">
        <v>79</v>
      </c>
      <c r="D455" s="7" t="s">
        <v>82</v>
      </c>
      <c r="E455" s="7">
        <v>339.06</v>
      </c>
      <c r="F455" s="7">
        <v>0.0</v>
      </c>
      <c r="G455" s="7" t="s">
        <v>1085</v>
      </c>
      <c r="H455" s="7" t="s">
        <v>395</v>
      </c>
      <c r="I455" s="15">
        <f t="array" ref="I455">INDEX(CC!C:C,MATCH(1,(CC!A:A=H455)*(CC!B:B=J455),0))</f>
        <v>1102</v>
      </c>
      <c r="J455" s="7" t="s">
        <v>25</v>
      </c>
      <c r="K455" s="7">
        <v>339.06</v>
      </c>
    </row>
    <row r="456">
      <c r="A456" s="5"/>
      <c r="B456" s="5"/>
      <c r="C456" s="7" t="s">
        <v>79</v>
      </c>
      <c r="D456" s="7" t="s">
        <v>901</v>
      </c>
      <c r="E456" s="9">
        <v>2350.0</v>
      </c>
      <c r="F456" s="7">
        <v>0.0</v>
      </c>
      <c r="G456" s="7" t="s">
        <v>1085</v>
      </c>
      <c r="H456" s="7" t="s">
        <v>395</v>
      </c>
      <c r="I456" s="15">
        <f t="array" ref="I456">INDEX(CC!C:C,MATCH(1,(CC!A:A=H456)*(CC!B:B=J456),0))</f>
        <v>1102</v>
      </c>
      <c r="J456" s="7" t="s">
        <v>25</v>
      </c>
      <c r="K456" s="9">
        <v>2350.0</v>
      </c>
    </row>
    <row r="457">
      <c r="A457" s="5"/>
      <c r="B457" s="5"/>
      <c r="C457" s="7" t="s">
        <v>79</v>
      </c>
      <c r="D457" s="7" t="s">
        <v>112</v>
      </c>
      <c r="E457" s="9">
        <v>17780.79</v>
      </c>
      <c r="F457" s="7">
        <v>0.0</v>
      </c>
      <c r="G457" s="7" t="s">
        <v>1085</v>
      </c>
      <c r="H457" s="7" t="s">
        <v>395</v>
      </c>
      <c r="I457" s="15">
        <f t="array" ref="I457">INDEX(CC!C:C,MATCH(1,(CC!A:A=H457)*(CC!B:B=J457),0))</f>
        <v>1103</v>
      </c>
      <c r="J457" s="7" t="s">
        <v>44</v>
      </c>
      <c r="K457" s="9">
        <v>17780.79</v>
      </c>
    </row>
    <row r="458">
      <c r="A458" s="5"/>
      <c r="B458" s="5"/>
      <c r="C458" s="7" t="s">
        <v>79</v>
      </c>
      <c r="D458" s="7" t="s">
        <v>126</v>
      </c>
      <c r="E458" s="7">
        <v>36.29</v>
      </c>
      <c r="F458" s="7">
        <v>0.0</v>
      </c>
      <c r="G458" s="7" t="s">
        <v>1085</v>
      </c>
      <c r="H458" s="7" t="s">
        <v>395</v>
      </c>
      <c r="I458" s="15">
        <f t="array" ref="I458">INDEX(CC!C:C,MATCH(1,(CC!A:A=H458)*(CC!B:B=J458),0))</f>
        <v>1102</v>
      </c>
      <c r="J458" s="7" t="s">
        <v>25</v>
      </c>
      <c r="K458" s="7">
        <v>36.29</v>
      </c>
    </row>
    <row r="459">
      <c r="A459" s="5"/>
      <c r="B459" s="5"/>
      <c r="C459" s="7" t="s">
        <v>79</v>
      </c>
      <c r="D459" s="7" t="s">
        <v>137</v>
      </c>
      <c r="E459" s="9">
        <v>6532.47</v>
      </c>
      <c r="F459" s="7">
        <v>0.0</v>
      </c>
      <c r="G459" s="7" t="s">
        <v>1085</v>
      </c>
      <c r="H459" s="7" t="s">
        <v>395</v>
      </c>
      <c r="I459" s="15">
        <f t="array" ref="I459">INDEX(CC!C:C,MATCH(1,(CC!A:A=H459)*(CC!B:B=J459),0))</f>
        <v>1102</v>
      </c>
      <c r="J459" s="7" t="s">
        <v>25</v>
      </c>
      <c r="K459" s="9">
        <v>6532.47</v>
      </c>
    </row>
    <row r="460">
      <c r="A460" s="5"/>
      <c r="B460" s="5"/>
      <c r="C460" s="7" t="s">
        <v>79</v>
      </c>
      <c r="D460" s="7" t="s">
        <v>470</v>
      </c>
      <c r="E460" s="9">
        <v>3000.0</v>
      </c>
      <c r="F460" s="7">
        <v>0.0</v>
      </c>
      <c r="G460" s="7" t="s">
        <v>1085</v>
      </c>
      <c r="H460" s="7" t="s">
        <v>395</v>
      </c>
      <c r="I460" s="15">
        <f t="array" ref="I460">INDEX(CC!C:C,MATCH(1,(CC!A:A=H460)*(CC!B:B=J460),0))</f>
        <v>1103</v>
      </c>
      <c r="J460" s="7" t="s">
        <v>44</v>
      </c>
      <c r="K460" s="9">
        <v>3000.0</v>
      </c>
    </row>
    <row r="461">
      <c r="A461" s="34"/>
      <c r="B461" s="35" t="s">
        <v>29</v>
      </c>
      <c r="C461" s="35" t="s">
        <v>578</v>
      </c>
      <c r="D461" s="35" t="s">
        <v>579</v>
      </c>
      <c r="E461" s="36">
        <v>75688.63</v>
      </c>
      <c r="F461" s="35">
        <v>0.0</v>
      </c>
      <c r="G461" s="35" t="s">
        <v>580</v>
      </c>
      <c r="H461" s="35" t="s">
        <v>581</v>
      </c>
      <c r="I461" s="15">
        <f t="array" ref="I461">INDEX(CC!C:C,MATCH(1,(CC!A:A=H461)*(CC!B:B=J461),0))</f>
        <v>202</v>
      </c>
      <c r="J461" s="35" t="s">
        <v>25</v>
      </c>
      <c r="K461" s="36">
        <v>75688.63</v>
      </c>
    </row>
    <row r="462">
      <c r="A462" s="34"/>
      <c r="B462" s="34"/>
      <c r="C462" s="35" t="s">
        <v>578</v>
      </c>
      <c r="D462" s="35" t="s">
        <v>579</v>
      </c>
      <c r="E462" s="37"/>
      <c r="F462" s="34"/>
      <c r="G462" s="34"/>
      <c r="H462" s="34"/>
      <c r="I462" s="15" t="str">
        <f t="array" ref="I462">INDEX(CC!C:C,MATCH(1,(CC!A:A=H462)*(CC!B:B=J462),0))</f>
        <v/>
      </c>
      <c r="J462" s="34"/>
      <c r="K462" s="37"/>
    </row>
    <row r="463">
      <c r="A463" s="5"/>
      <c r="B463" s="7" t="s">
        <v>29</v>
      </c>
      <c r="C463" s="7" t="s">
        <v>549</v>
      </c>
      <c r="D463" s="7" t="s">
        <v>126</v>
      </c>
      <c r="E463" s="7">
        <v>35.0</v>
      </c>
      <c r="F463" s="7">
        <v>0.0</v>
      </c>
      <c r="G463" s="7" t="s">
        <v>1086</v>
      </c>
      <c r="H463" s="7" t="s">
        <v>551</v>
      </c>
      <c r="I463" s="15">
        <f t="array" ref="I463">INDEX(CC!C:C,MATCH(1,(CC!A:A=H463)*(CC!B:B=J463),0))</f>
        <v>1202</v>
      </c>
      <c r="J463" s="7" t="s">
        <v>25</v>
      </c>
      <c r="K463" s="7">
        <v>35.0</v>
      </c>
    </row>
    <row r="464">
      <c r="A464" s="5"/>
      <c r="B464" s="5"/>
      <c r="C464" s="7" t="s">
        <v>549</v>
      </c>
      <c r="D464" s="7" t="s">
        <v>137</v>
      </c>
      <c r="E464" s="9">
        <v>4520.88</v>
      </c>
      <c r="F464" s="7">
        <v>0.0</v>
      </c>
      <c r="G464" s="7" t="s">
        <v>1086</v>
      </c>
      <c r="H464" s="7" t="s">
        <v>551</v>
      </c>
      <c r="I464" s="15">
        <f t="array" ref="I464">INDEX(CC!C:C,MATCH(1,(CC!A:A=H464)*(CC!B:B=J464),0))</f>
        <v>1202</v>
      </c>
      <c r="J464" s="7" t="s">
        <v>25</v>
      </c>
      <c r="K464" s="9">
        <v>4520.88</v>
      </c>
    </row>
    <row r="465">
      <c r="A465" s="5"/>
      <c r="B465" s="7" t="s">
        <v>29</v>
      </c>
      <c r="C465" s="7" t="s">
        <v>32</v>
      </c>
      <c r="D465" s="7" t="s">
        <v>307</v>
      </c>
      <c r="E465" s="7">
        <v>945.65</v>
      </c>
      <c r="F465" s="7">
        <v>0.0</v>
      </c>
      <c r="G465" s="7" t="s">
        <v>1087</v>
      </c>
      <c r="H465" s="7" t="s">
        <v>74</v>
      </c>
      <c r="I465" s="15">
        <f t="array" ref="I465">INDEX(CC!C:C,MATCH(1,(CC!A:A=H465)*(CC!B:B=J465),0))</f>
        <v>1502</v>
      </c>
      <c r="J465" s="7" t="s">
        <v>25</v>
      </c>
      <c r="K465" s="7">
        <v>945.65</v>
      </c>
    </row>
    <row r="466">
      <c r="A466" s="5"/>
      <c r="B466" s="5"/>
      <c r="C466" s="7" t="s">
        <v>32</v>
      </c>
      <c r="D466" s="7" t="s">
        <v>82</v>
      </c>
      <c r="E466" s="7">
        <v>362.91</v>
      </c>
      <c r="F466" s="7">
        <v>0.0</v>
      </c>
      <c r="G466" s="7" t="s">
        <v>1087</v>
      </c>
      <c r="H466" s="7" t="s">
        <v>74</v>
      </c>
      <c r="I466" s="15">
        <f t="array" ref="I466">INDEX(CC!C:C,MATCH(1,(CC!A:A=H466)*(CC!B:B=J466),0))</f>
        <v>1502</v>
      </c>
      <c r="J466" s="7" t="s">
        <v>25</v>
      </c>
      <c r="K466" s="7">
        <v>362.91</v>
      </c>
    </row>
    <row r="467">
      <c r="A467" s="5"/>
      <c r="B467" s="5"/>
      <c r="C467" s="7" t="s">
        <v>32</v>
      </c>
      <c r="D467" s="7" t="s">
        <v>199</v>
      </c>
      <c r="E467" s="9">
        <v>2064.92</v>
      </c>
      <c r="F467" s="7">
        <v>0.0</v>
      </c>
      <c r="G467" s="7" t="s">
        <v>1087</v>
      </c>
      <c r="H467" s="7" t="s">
        <v>74</v>
      </c>
      <c r="I467" s="15">
        <f t="array" ref="I467">INDEX(CC!C:C,MATCH(1,(CC!A:A=H467)*(CC!B:B=J467),0))</f>
        <v>1502</v>
      </c>
      <c r="J467" s="7" t="s">
        <v>25</v>
      </c>
      <c r="K467" s="9">
        <v>2064.92</v>
      </c>
    </row>
    <row r="468">
      <c r="A468" s="5"/>
      <c r="B468" s="5"/>
      <c r="C468" s="7" t="s">
        <v>32</v>
      </c>
      <c r="D468" s="7" t="s">
        <v>104</v>
      </c>
      <c r="E468" s="9">
        <v>1500.0</v>
      </c>
      <c r="F468" s="7">
        <v>0.0</v>
      </c>
      <c r="G468" s="7" t="s">
        <v>1087</v>
      </c>
      <c r="H468" s="7" t="s">
        <v>74</v>
      </c>
      <c r="I468" s="15">
        <f t="array" ref="I468">INDEX(CC!C:C,MATCH(1,(CC!A:A=H468)*(CC!B:B=J468),0))</f>
        <v>1502</v>
      </c>
      <c r="J468" s="7" t="s">
        <v>25</v>
      </c>
      <c r="K468" s="9">
        <v>1500.0</v>
      </c>
    </row>
    <row r="469">
      <c r="A469" s="5"/>
      <c r="B469" s="5"/>
      <c r="C469" s="7" t="s">
        <v>32</v>
      </c>
      <c r="D469" s="7" t="s">
        <v>112</v>
      </c>
      <c r="E469" s="9">
        <v>7263.02</v>
      </c>
      <c r="F469" s="7">
        <v>0.0</v>
      </c>
      <c r="G469" s="7" t="s">
        <v>1087</v>
      </c>
      <c r="H469" s="7" t="s">
        <v>74</v>
      </c>
      <c r="I469" s="15">
        <f t="array" ref="I469">INDEX(CC!C:C,MATCH(1,(CC!A:A=H469)*(CC!B:B=J469),0))</f>
        <v>1502</v>
      </c>
      <c r="J469" s="7" t="s">
        <v>25</v>
      </c>
      <c r="K469" s="9">
        <v>7263.02</v>
      </c>
    </row>
    <row r="470">
      <c r="A470" s="5"/>
      <c r="B470" s="5"/>
      <c r="C470" s="7" t="s">
        <v>32</v>
      </c>
      <c r="D470" s="7" t="s">
        <v>126</v>
      </c>
      <c r="E470" s="7">
        <v>36.29</v>
      </c>
      <c r="F470" s="7">
        <v>0.0</v>
      </c>
      <c r="G470" s="7" t="s">
        <v>1087</v>
      </c>
      <c r="H470" s="7" t="s">
        <v>74</v>
      </c>
      <c r="I470" s="15">
        <f t="array" ref="I470">INDEX(CC!C:C,MATCH(1,(CC!A:A=H470)*(CC!B:B=J470),0))</f>
        <v>1502</v>
      </c>
      <c r="J470" s="7" t="s">
        <v>25</v>
      </c>
      <c r="K470" s="7">
        <v>36.29</v>
      </c>
    </row>
    <row r="471">
      <c r="A471" s="5"/>
      <c r="B471" s="5"/>
      <c r="C471" s="7" t="s">
        <v>32</v>
      </c>
      <c r="D471" s="7" t="s">
        <v>137</v>
      </c>
      <c r="E471" s="9">
        <v>2168.17</v>
      </c>
      <c r="F471" s="7">
        <v>0.0</v>
      </c>
      <c r="G471" s="7" t="s">
        <v>1087</v>
      </c>
      <c r="H471" s="7" t="s">
        <v>74</v>
      </c>
      <c r="I471" s="15">
        <f t="array" ref="I471">INDEX(CC!C:C,MATCH(1,(CC!A:A=H471)*(CC!B:B=J471),0))</f>
        <v>1502</v>
      </c>
      <c r="J471" s="7" t="s">
        <v>25</v>
      </c>
      <c r="K471" s="9">
        <v>2168.17</v>
      </c>
    </row>
    <row r="472">
      <c r="A472" s="5"/>
      <c r="B472" s="7" t="s">
        <v>29</v>
      </c>
      <c r="C472" s="7" t="s">
        <v>1089</v>
      </c>
      <c r="D472" s="7" t="s">
        <v>126</v>
      </c>
      <c r="E472" s="7">
        <v>0.01</v>
      </c>
      <c r="F472" s="7">
        <v>0.0</v>
      </c>
      <c r="G472" s="7" t="s">
        <v>1090</v>
      </c>
      <c r="H472" s="7" t="s">
        <v>539</v>
      </c>
      <c r="I472" s="15">
        <f t="array" ref="I472">INDEX(CC!C:C,MATCH(1,(CC!A:A=H472)*(CC!B:B=J472),0))</f>
        <v>1302</v>
      </c>
      <c r="J472" s="7" t="s">
        <v>25</v>
      </c>
      <c r="K472" s="7">
        <v>0.01</v>
      </c>
    </row>
    <row r="473">
      <c r="A473" s="5"/>
      <c r="B473" s="7" t="s">
        <v>29</v>
      </c>
      <c r="C473" s="7" t="s">
        <v>549</v>
      </c>
      <c r="D473" s="7" t="s">
        <v>126</v>
      </c>
      <c r="E473" s="7">
        <v>35.0</v>
      </c>
      <c r="F473" s="7">
        <v>0.0</v>
      </c>
      <c r="G473" s="7" t="s">
        <v>1091</v>
      </c>
      <c r="H473" s="7" t="s">
        <v>551</v>
      </c>
      <c r="I473" s="15">
        <f t="array" ref="I473">INDEX(CC!C:C,MATCH(1,(CC!A:A=H473)*(CC!B:B=J473),0))</f>
        <v>1202</v>
      </c>
      <c r="J473" s="7" t="s">
        <v>25</v>
      </c>
      <c r="K473" s="7">
        <v>35.0</v>
      </c>
    </row>
    <row r="474">
      <c r="A474" s="5"/>
      <c r="B474" s="5"/>
      <c r="C474" s="7" t="s">
        <v>549</v>
      </c>
      <c r="D474" s="7" t="s">
        <v>137</v>
      </c>
      <c r="E474" s="9">
        <v>11302.21</v>
      </c>
      <c r="F474" s="7">
        <v>0.0</v>
      </c>
      <c r="G474" s="7" t="s">
        <v>1091</v>
      </c>
      <c r="H474" s="7" t="s">
        <v>551</v>
      </c>
      <c r="I474" s="15">
        <f t="array" ref="I474">INDEX(CC!C:C,MATCH(1,(CC!A:A=H474)*(CC!B:B=J474),0))</f>
        <v>1202</v>
      </c>
      <c r="J474" s="7" t="s">
        <v>25</v>
      </c>
      <c r="K474" s="9">
        <v>11302.21</v>
      </c>
    </row>
    <row r="475">
      <c r="A475" s="5"/>
      <c r="B475" s="7" t="s">
        <v>29</v>
      </c>
      <c r="C475" s="7" t="s">
        <v>331</v>
      </c>
      <c r="D475" s="7" t="s">
        <v>33</v>
      </c>
      <c r="E475" s="7">
        <v>0.01</v>
      </c>
      <c r="F475" s="7">
        <v>0.0</v>
      </c>
      <c r="G475" s="7" t="s">
        <v>1102</v>
      </c>
      <c r="H475" s="7" t="s">
        <v>385</v>
      </c>
      <c r="I475" s="15">
        <f t="array" ref="I475">INDEX(CC!C:C,MATCH(1,(CC!A:A=H475)*(CC!B:B=J475),0))</f>
        <v>502</v>
      </c>
      <c r="J475" s="7" t="s">
        <v>25</v>
      </c>
      <c r="K475" s="7">
        <v>0.01</v>
      </c>
    </row>
    <row r="476">
      <c r="A476" s="5"/>
      <c r="B476" s="7" t="s">
        <v>29</v>
      </c>
      <c r="C476" s="7" t="s">
        <v>699</v>
      </c>
      <c r="D476" s="7" t="s">
        <v>277</v>
      </c>
      <c r="E476" s="7">
        <v>650.0</v>
      </c>
      <c r="F476" s="7">
        <v>0.0</v>
      </c>
      <c r="G476" s="7" t="s">
        <v>1105</v>
      </c>
      <c r="H476" s="7" t="s">
        <v>554</v>
      </c>
      <c r="I476" s="15">
        <f t="array" ref="I476">INDEX(CC!C:C,MATCH(1,(CC!A:A=H476)*(CC!B:B=J476),0))</f>
        <v>1702</v>
      </c>
      <c r="J476" s="7" t="s">
        <v>25</v>
      </c>
      <c r="K476" s="7">
        <v>650.0</v>
      </c>
    </row>
    <row r="477">
      <c r="A477" s="5"/>
      <c r="B477" s="5"/>
      <c r="C477" s="7" t="s">
        <v>699</v>
      </c>
      <c r="D477" s="7" t="s">
        <v>104</v>
      </c>
      <c r="E477" s="9">
        <v>1000.0</v>
      </c>
      <c r="F477" s="7">
        <v>0.0</v>
      </c>
      <c r="G477" s="7" t="s">
        <v>1105</v>
      </c>
      <c r="H477" s="7" t="s">
        <v>554</v>
      </c>
      <c r="I477" s="15">
        <f t="array" ref="I477">INDEX(CC!C:C,MATCH(1,(CC!A:A=H477)*(CC!B:B=J477),0))</f>
        <v>1702</v>
      </c>
      <c r="J477" s="7" t="s">
        <v>25</v>
      </c>
      <c r="K477" s="9">
        <v>1000.0</v>
      </c>
    </row>
    <row r="478">
      <c r="A478" s="5"/>
      <c r="B478" s="5"/>
      <c r="C478" s="7" t="s">
        <v>699</v>
      </c>
      <c r="D478" s="7" t="s">
        <v>126</v>
      </c>
      <c r="E478" s="7">
        <v>21.8</v>
      </c>
      <c r="F478" s="7">
        <v>0.0</v>
      </c>
      <c r="G478" s="7" t="s">
        <v>1105</v>
      </c>
      <c r="H478" s="7" t="s">
        <v>554</v>
      </c>
      <c r="I478" s="15">
        <f t="array" ref="I478">INDEX(CC!C:C,MATCH(1,(CC!A:A=H478)*(CC!B:B=J478),0))</f>
        <v>1702</v>
      </c>
      <c r="J478" s="7" t="s">
        <v>25</v>
      </c>
      <c r="K478" s="7">
        <v>21.8</v>
      </c>
    </row>
    <row r="479">
      <c r="A479" s="5"/>
      <c r="B479" s="5"/>
      <c r="C479" s="7" t="s">
        <v>699</v>
      </c>
      <c r="D479" s="7" t="s">
        <v>137</v>
      </c>
      <c r="E479" s="9">
        <v>7194.0</v>
      </c>
      <c r="F479" s="7">
        <v>0.0</v>
      </c>
      <c r="G479" s="7" t="s">
        <v>1105</v>
      </c>
      <c r="H479" s="7" t="s">
        <v>554</v>
      </c>
      <c r="I479" s="15">
        <f t="array" ref="I479">INDEX(CC!C:C,MATCH(1,(CC!A:A=H479)*(CC!B:B=J479),0))</f>
        <v>1702</v>
      </c>
      <c r="J479" s="7" t="s">
        <v>25</v>
      </c>
      <c r="K479" s="9">
        <v>7194.0</v>
      </c>
    </row>
    <row r="480">
      <c r="A480" s="5"/>
      <c r="B480" s="7" t="s">
        <v>29</v>
      </c>
      <c r="C480" s="7" t="s">
        <v>306</v>
      </c>
      <c r="D480" s="7" t="s">
        <v>33</v>
      </c>
      <c r="E480" s="9">
        <v>17276.96</v>
      </c>
      <c r="F480" s="7">
        <v>0.0</v>
      </c>
      <c r="G480" s="7" t="s">
        <v>1108</v>
      </c>
      <c r="H480" s="7" t="s">
        <v>554</v>
      </c>
      <c r="I480" s="15">
        <f t="array" ref="I480">INDEX(CC!C:C,MATCH(1,(CC!A:A=H480)*(CC!B:B=J480),0))</f>
        <v>1702</v>
      </c>
      <c r="J480" s="7" t="s">
        <v>25</v>
      </c>
      <c r="K480" s="9">
        <v>17276.96</v>
      </c>
    </row>
    <row r="481">
      <c r="A481" s="5"/>
      <c r="B481" s="7" t="s">
        <v>29</v>
      </c>
      <c r="C481" s="7" t="s">
        <v>79</v>
      </c>
      <c r="D481" s="7" t="s">
        <v>307</v>
      </c>
      <c r="E481" s="9">
        <v>1555.35</v>
      </c>
      <c r="F481" s="7">
        <v>0.0</v>
      </c>
      <c r="G481" s="7" t="s">
        <v>1109</v>
      </c>
      <c r="H481" s="7" t="s">
        <v>395</v>
      </c>
      <c r="I481" s="15">
        <f t="array" ref="I481">INDEX(CC!C:C,MATCH(1,(CC!A:A=H481)*(CC!B:B=J481),0))</f>
        <v>1102</v>
      </c>
      <c r="J481" s="7" t="s">
        <v>25</v>
      </c>
      <c r="K481" s="9">
        <v>1555.35</v>
      </c>
    </row>
    <row r="482">
      <c r="A482" s="5"/>
      <c r="B482" s="5"/>
      <c r="C482" s="7" t="s">
        <v>79</v>
      </c>
      <c r="D482" s="7" t="s">
        <v>82</v>
      </c>
      <c r="E482" s="7">
        <v>339.06</v>
      </c>
      <c r="F482" s="7">
        <v>0.0</v>
      </c>
      <c r="G482" s="7" t="s">
        <v>1109</v>
      </c>
      <c r="H482" s="7" t="s">
        <v>395</v>
      </c>
      <c r="I482" s="15">
        <f t="array" ref="I482">INDEX(CC!C:C,MATCH(1,(CC!A:A=H482)*(CC!B:B=J482),0))</f>
        <v>1102</v>
      </c>
      <c r="J482" s="7" t="s">
        <v>25</v>
      </c>
      <c r="K482" s="7">
        <v>339.06</v>
      </c>
    </row>
    <row r="483">
      <c r="A483" s="5"/>
      <c r="B483" s="5"/>
      <c r="C483" s="7" t="s">
        <v>79</v>
      </c>
      <c r="D483" s="7" t="s">
        <v>1111</v>
      </c>
      <c r="E483" s="7">
        <v>750.0</v>
      </c>
      <c r="F483" s="7">
        <v>0.0</v>
      </c>
      <c r="G483" s="7" t="s">
        <v>1109</v>
      </c>
      <c r="H483" s="7" t="s">
        <v>395</v>
      </c>
      <c r="I483" s="15">
        <f t="array" ref="I483">INDEX(CC!C:C,MATCH(1,(CC!A:A=H483)*(CC!B:B=J483),0))</f>
        <v>1102</v>
      </c>
      <c r="J483" s="7" t="s">
        <v>25</v>
      </c>
      <c r="K483" s="7">
        <v>750.0</v>
      </c>
    </row>
    <row r="484">
      <c r="A484" s="5"/>
      <c r="B484" s="5"/>
      <c r="C484" s="7" t="s">
        <v>79</v>
      </c>
      <c r="D484" s="7" t="s">
        <v>901</v>
      </c>
      <c r="E484" s="9">
        <v>2350.0</v>
      </c>
      <c r="F484" s="7">
        <v>0.0</v>
      </c>
      <c r="G484" s="7" t="s">
        <v>1109</v>
      </c>
      <c r="H484" s="7" t="s">
        <v>395</v>
      </c>
      <c r="I484" s="15">
        <f t="array" ref="I484">INDEX(CC!C:C,MATCH(1,(CC!A:A=H484)*(CC!B:B=J484),0))</f>
        <v>1102</v>
      </c>
      <c r="J484" s="7" t="s">
        <v>25</v>
      </c>
      <c r="K484" s="9">
        <v>2350.0</v>
      </c>
    </row>
    <row r="485">
      <c r="A485" s="5"/>
      <c r="B485" s="5"/>
      <c r="C485" s="7" t="s">
        <v>79</v>
      </c>
      <c r="D485" s="7" t="s">
        <v>112</v>
      </c>
      <c r="E485" s="9">
        <v>15755.58</v>
      </c>
      <c r="F485" s="7">
        <v>0.0</v>
      </c>
      <c r="G485" s="7" t="s">
        <v>1109</v>
      </c>
      <c r="H485" s="7" t="s">
        <v>395</v>
      </c>
      <c r="I485" s="15">
        <f t="array" ref="I485">INDEX(CC!C:C,MATCH(1,(CC!A:A=H485)*(CC!B:B=J485),0))</f>
        <v>1103</v>
      </c>
      <c r="J485" s="7" t="s">
        <v>44</v>
      </c>
      <c r="K485" s="9">
        <v>15755.58</v>
      </c>
    </row>
    <row r="486">
      <c r="A486" s="5"/>
      <c r="B486" s="5"/>
      <c r="C486" s="7" t="s">
        <v>79</v>
      </c>
      <c r="D486" s="7" t="s">
        <v>126</v>
      </c>
      <c r="E486" s="7">
        <v>36.29</v>
      </c>
      <c r="F486" s="7">
        <v>0.0</v>
      </c>
      <c r="G486" s="7" t="s">
        <v>1109</v>
      </c>
      <c r="H486" s="7" t="s">
        <v>395</v>
      </c>
      <c r="I486" s="15">
        <f t="array" ref="I486">INDEX(CC!C:C,MATCH(1,(CC!A:A=H486)*(CC!B:B=J486),0))</f>
        <v>1102</v>
      </c>
      <c r="J486" s="7" t="s">
        <v>25</v>
      </c>
      <c r="K486" s="7">
        <v>36.29</v>
      </c>
    </row>
    <row r="487">
      <c r="A487" s="5"/>
      <c r="B487" s="5"/>
      <c r="C487" s="7" t="s">
        <v>79</v>
      </c>
      <c r="D487" s="7" t="s">
        <v>137</v>
      </c>
      <c r="E487" s="9">
        <v>13064.94</v>
      </c>
      <c r="F487" s="7">
        <v>0.0</v>
      </c>
      <c r="G487" s="7" t="s">
        <v>1109</v>
      </c>
      <c r="H487" s="7" t="s">
        <v>395</v>
      </c>
      <c r="I487" s="15">
        <f t="array" ref="I487">INDEX(CC!C:C,MATCH(1,(CC!A:A=H487)*(CC!B:B=J487),0))</f>
        <v>1102</v>
      </c>
      <c r="J487" s="7" t="s">
        <v>25</v>
      </c>
      <c r="K487" s="9">
        <v>13064.94</v>
      </c>
    </row>
    <row r="488">
      <c r="A488" s="5"/>
      <c r="B488" s="5"/>
      <c r="C488" s="7" t="s">
        <v>79</v>
      </c>
      <c r="D488" s="7" t="s">
        <v>470</v>
      </c>
      <c r="E488" s="9">
        <v>4298.0</v>
      </c>
      <c r="F488" s="7">
        <v>0.0</v>
      </c>
      <c r="G488" s="7" t="s">
        <v>1109</v>
      </c>
      <c r="H488" s="7" t="s">
        <v>395</v>
      </c>
      <c r="I488" s="15">
        <f t="array" ref="I488">INDEX(CC!C:C,MATCH(1,(CC!A:A=H488)*(CC!B:B=J488),0))</f>
        <v>1103</v>
      </c>
      <c r="J488" s="7" t="s">
        <v>44</v>
      </c>
      <c r="K488" s="9">
        <v>4298.0</v>
      </c>
    </row>
    <row r="489">
      <c r="A489" s="5"/>
      <c r="B489" s="7" t="s">
        <v>29</v>
      </c>
      <c r="C489" s="7" t="s">
        <v>618</v>
      </c>
      <c r="D489" s="7" t="s">
        <v>307</v>
      </c>
      <c r="E489" s="9">
        <v>1555.35</v>
      </c>
      <c r="F489" s="7">
        <v>0.0</v>
      </c>
      <c r="G489" s="7" t="s">
        <v>1123</v>
      </c>
      <c r="H489" s="7" t="s">
        <v>551</v>
      </c>
      <c r="I489" s="15">
        <f t="array" ref="I489">INDEX(CC!C:C,MATCH(1,(CC!A:A=H489)*(CC!B:B=J489),0))</f>
        <v>1202</v>
      </c>
      <c r="J489" s="7" t="s">
        <v>25</v>
      </c>
      <c r="K489" s="9">
        <v>1555.35</v>
      </c>
    </row>
    <row r="490">
      <c r="A490" s="5"/>
      <c r="B490" s="5"/>
      <c r="C490" s="7" t="s">
        <v>618</v>
      </c>
      <c r="D490" s="7" t="s">
        <v>82</v>
      </c>
      <c r="E490" s="7">
        <v>339.07</v>
      </c>
      <c r="F490" s="7">
        <v>0.0</v>
      </c>
      <c r="G490" s="7" t="s">
        <v>1123</v>
      </c>
      <c r="H490" s="7" t="s">
        <v>551</v>
      </c>
      <c r="I490" s="15">
        <f t="array" ref="I490">INDEX(CC!C:C,MATCH(1,(CC!A:A=H490)*(CC!B:B=J490),0))</f>
        <v>1202</v>
      </c>
      <c r="J490" s="7" t="s">
        <v>25</v>
      </c>
      <c r="K490" s="7">
        <v>339.07</v>
      </c>
    </row>
    <row r="491">
      <c r="A491" s="5"/>
      <c r="B491" s="5"/>
      <c r="C491" s="7" t="s">
        <v>618</v>
      </c>
      <c r="D491" s="7" t="s">
        <v>112</v>
      </c>
      <c r="E491" s="9">
        <v>14667.9</v>
      </c>
      <c r="F491" s="7">
        <v>0.0</v>
      </c>
      <c r="G491" s="7" t="s">
        <v>1123</v>
      </c>
      <c r="H491" s="7" t="s">
        <v>551</v>
      </c>
      <c r="I491" s="15">
        <f t="array" ref="I491">INDEX(CC!C:C,MATCH(1,(CC!A:A=H491)*(CC!B:B=J491),0))</f>
        <v>1203</v>
      </c>
      <c r="J491" s="7" t="s">
        <v>44</v>
      </c>
      <c r="K491" s="9">
        <v>14667.9</v>
      </c>
    </row>
    <row r="492">
      <c r="A492" s="5"/>
      <c r="B492" s="5"/>
      <c r="C492" s="7" t="s">
        <v>618</v>
      </c>
      <c r="D492" s="7" t="s">
        <v>855</v>
      </c>
      <c r="E492" s="9">
        <v>2835.08</v>
      </c>
      <c r="F492" s="7">
        <v>0.0</v>
      </c>
      <c r="G492" s="7" t="s">
        <v>1123</v>
      </c>
      <c r="H492" s="7" t="s">
        <v>551</v>
      </c>
      <c r="I492" s="15">
        <f t="array" ref="I492">INDEX(CC!C:C,MATCH(1,(CC!A:A=H492)*(CC!B:B=J492),0))</f>
        <v>1203</v>
      </c>
      <c r="J492" s="7" t="s">
        <v>44</v>
      </c>
      <c r="K492" s="9">
        <v>2835.08</v>
      </c>
    </row>
    <row r="493">
      <c r="A493" s="5"/>
      <c r="B493" s="5"/>
      <c r="C493" s="7" t="s">
        <v>618</v>
      </c>
      <c r="D493" s="7" t="s">
        <v>360</v>
      </c>
      <c r="E493" s="9">
        <v>1600.0</v>
      </c>
      <c r="F493" s="7">
        <v>0.0</v>
      </c>
      <c r="G493" s="7" t="s">
        <v>1123</v>
      </c>
      <c r="H493" s="7" t="s">
        <v>551</v>
      </c>
      <c r="I493" s="15">
        <f t="array" ref="I493">INDEX(CC!C:C,MATCH(1,(CC!A:A=H493)*(CC!B:B=J493),0))</f>
        <v>1203</v>
      </c>
      <c r="J493" s="7" t="s">
        <v>44</v>
      </c>
      <c r="K493" s="9">
        <v>1600.0</v>
      </c>
    </row>
    <row r="494">
      <c r="A494" s="5"/>
      <c r="B494" s="5"/>
      <c r="C494" s="7" t="s">
        <v>618</v>
      </c>
      <c r="D494" s="7" t="s">
        <v>126</v>
      </c>
      <c r="E494" s="7">
        <v>36.29</v>
      </c>
      <c r="F494" s="7">
        <v>0.0</v>
      </c>
      <c r="G494" s="7" t="s">
        <v>1123</v>
      </c>
      <c r="H494" s="7" t="s">
        <v>551</v>
      </c>
      <c r="I494" s="15">
        <f t="array" ref="I494">INDEX(CC!C:C,MATCH(1,(CC!A:A=H494)*(CC!B:B=J494),0))</f>
        <v>1202</v>
      </c>
      <c r="J494" s="7" t="s">
        <v>25</v>
      </c>
      <c r="K494" s="7">
        <v>36.29</v>
      </c>
    </row>
    <row r="495">
      <c r="A495" s="5"/>
      <c r="B495" s="5"/>
      <c r="C495" s="7" t="s">
        <v>618</v>
      </c>
      <c r="D495" s="7" t="s">
        <v>137</v>
      </c>
      <c r="E495" s="9">
        <v>7076.84</v>
      </c>
      <c r="F495" s="7">
        <v>0.0</v>
      </c>
      <c r="G495" s="7" t="s">
        <v>1123</v>
      </c>
      <c r="H495" s="7" t="s">
        <v>551</v>
      </c>
      <c r="I495" s="15">
        <f t="array" ref="I495">INDEX(CC!C:C,MATCH(1,(CC!A:A=H495)*(CC!B:B=J495),0))</f>
        <v>1202</v>
      </c>
      <c r="J495" s="7" t="s">
        <v>25</v>
      </c>
      <c r="K495" s="9">
        <v>7076.84</v>
      </c>
    </row>
    <row r="496">
      <c r="A496" s="5"/>
      <c r="B496" s="5"/>
      <c r="C496" s="7" t="s">
        <v>618</v>
      </c>
      <c r="D496" s="7" t="s">
        <v>1127</v>
      </c>
      <c r="E496" s="9">
        <v>3922.32</v>
      </c>
      <c r="F496" s="7">
        <v>0.0</v>
      </c>
      <c r="G496" s="7" t="s">
        <v>1123</v>
      </c>
      <c r="H496" s="7" t="s">
        <v>551</v>
      </c>
      <c r="I496" s="15">
        <f t="array" ref="I496">INDEX(CC!C:C,MATCH(1,(CC!A:A=H496)*(CC!B:B=J496),0))</f>
        <v>1202</v>
      </c>
      <c r="J496" s="7" t="s">
        <v>25</v>
      </c>
      <c r="K496" s="9">
        <v>3922.32</v>
      </c>
    </row>
    <row r="497">
      <c r="A497" s="5"/>
      <c r="B497" s="7" t="s">
        <v>29</v>
      </c>
      <c r="C497" s="7" t="s">
        <v>79</v>
      </c>
      <c r="D497" s="7" t="s">
        <v>126</v>
      </c>
      <c r="E497" s="7">
        <v>1.0</v>
      </c>
      <c r="F497" s="7">
        <v>0.0</v>
      </c>
      <c r="G497" s="7" t="s">
        <v>1129</v>
      </c>
      <c r="H497" s="7" t="s">
        <v>551</v>
      </c>
      <c r="I497" s="15">
        <f t="array" ref="I497">INDEX(CC!C:C,MATCH(1,(CC!A:A=H497)*(CC!B:B=J497),0))</f>
        <v>1202</v>
      </c>
      <c r="J497" s="7" t="s">
        <v>25</v>
      </c>
      <c r="K497" s="7">
        <v>1.0</v>
      </c>
    </row>
    <row r="498">
      <c r="A498" s="5"/>
      <c r="B498" s="7" t="s">
        <v>29</v>
      </c>
      <c r="C498" s="7" t="s">
        <v>975</v>
      </c>
      <c r="D498" s="7" t="s">
        <v>82</v>
      </c>
      <c r="E498" s="7">
        <v>350.0</v>
      </c>
      <c r="F498" s="7">
        <v>0.0</v>
      </c>
      <c r="G498" s="7" t="s">
        <v>1131</v>
      </c>
      <c r="H498" s="7" t="s">
        <v>74</v>
      </c>
      <c r="I498" s="15">
        <f t="array" ref="I498">INDEX(CC!C:C,MATCH(1,(CC!A:A=H498)*(CC!B:B=J498),0))</f>
        <v>1502</v>
      </c>
      <c r="J498" s="7" t="s">
        <v>25</v>
      </c>
      <c r="K498" s="7">
        <v>350.0</v>
      </c>
    </row>
    <row r="499">
      <c r="A499" s="5"/>
      <c r="B499" s="5"/>
      <c r="C499" s="7" t="s">
        <v>975</v>
      </c>
      <c r="D499" s="7" t="s">
        <v>199</v>
      </c>
      <c r="E499" s="9">
        <v>1768.95</v>
      </c>
      <c r="F499" s="7">
        <v>0.0</v>
      </c>
      <c r="G499" s="7" t="s">
        <v>1131</v>
      </c>
      <c r="H499" s="7" t="s">
        <v>74</v>
      </c>
      <c r="I499" s="15">
        <f t="array" ref="I499">INDEX(CC!C:C,MATCH(1,(CC!A:A=H499)*(CC!B:B=J499),0))</f>
        <v>1502</v>
      </c>
      <c r="J499" s="7" t="s">
        <v>25</v>
      </c>
      <c r="K499" s="9">
        <v>1768.95</v>
      </c>
    </row>
    <row r="500">
      <c r="A500" s="5"/>
      <c r="B500" s="5"/>
      <c r="C500" s="7" t="s">
        <v>975</v>
      </c>
      <c r="D500" s="7" t="s">
        <v>126</v>
      </c>
      <c r="E500" s="7">
        <v>35.0</v>
      </c>
      <c r="F500" s="7">
        <v>0.0</v>
      </c>
      <c r="G500" s="7" t="s">
        <v>1131</v>
      </c>
      <c r="H500" s="7" t="s">
        <v>74</v>
      </c>
      <c r="I500" s="15">
        <f t="array" ref="I500">INDEX(CC!C:C,MATCH(1,(CC!A:A=H500)*(CC!B:B=J500),0))</f>
        <v>1502</v>
      </c>
      <c r="J500" s="7" t="s">
        <v>25</v>
      </c>
      <c r="K500" s="7">
        <v>35.0</v>
      </c>
    </row>
    <row r="501">
      <c r="A501" s="5"/>
      <c r="B501" s="5"/>
      <c r="C501" s="7" t="s">
        <v>975</v>
      </c>
      <c r="D501" s="7" t="s">
        <v>137</v>
      </c>
      <c r="E501" s="9">
        <v>3200.0</v>
      </c>
      <c r="F501" s="7">
        <v>0.0</v>
      </c>
      <c r="G501" s="7" t="s">
        <v>1131</v>
      </c>
      <c r="H501" s="7" t="s">
        <v>74</v>
      </c>
      <c r="I501" s="15">
        <f t="array" ref="I501">INDEX(CC!C:C,MATCH(1,(CC!A:A=H501)*(CC!B:B=J501),0))</f>
        <v>1502</v>
      </c>
      <c r="J501" s="7" t="s">
        <v>25</v>
      </c>
      <c r="K501" s="9">
        <v>3200.0</v>
      </c>
    </row>
    <row r="502">
      <c r="A502" s="5"/>
      <c r="B502" s="5"/>
      <c r="C502" s="7" t="s">
        <v>975</v>
      </c>
      <c r="D502" s="7" t="s">
        <v>124</v>
      </c>
      <c r="E502" s="7">
        <v>100.0</v>
      </c>
      <c r="F502" s="7">
        <v>0.0</v>
      </c>
      <c r="G502" s="7" t="s">
        <v>1131</v>
      </c>
      <c r="H502" s="7" t="s">
        <v>74</v>
      </c>
      <c r="I502" s="15">
        <f t="array" ref="I502">INDEX(CC!C:C,MATCH(1,(CC!A:A=H502)*(CC!B:B=J502),0))</f>
        <v>1502</v>
      </c>
      <c r="J502" s="7" t="s">
        <v>25</v>
      </c>
      <c r="K502" s="7">
        <v>100.0</v>
      </c>
    </row>
    <row r="503">
      <c r="A503" s="5"/>
      <c r="B503" s="7" t="s">
        <v>29</v>
      </c>
      <c r="C503" s="7" t="s">
        <v>32</v>
      </c>
      <c r="D503" s="7" t="s">
        <v>307</v>
      </c>
      <c r="E503" s="7">
        <v>945.65</v>
      </c>
      <c r="F503" s="7">
        <v>0.0</v>
      </c>
      <c r="G503" s="7" t="s">
        <v>1134</v>
      </c>
      <c r="H503" s="7" t="s">
        <v>74</v>
      </c>
      <c r="I503" s="15">
        <f t="array" ref="I503">INDEX(CC!C:C,MATCH(1,(CC!A:A=H503)*(CC!B:B=J503),0))</f>
        <v>1502</v>
      </c>
      <c r="J503" s="7" t="s">
        <v>25</v>
      </c>
      <c r="K503" s="7">
        <v>945.65</v>
      </c>
    </row>
    <row r="504">
      <c r="A504" s="5"/>
      <c r="B504" s="5"/>
      <c r="C504" s="7" t="s">
        <v>32</v>
      </c>
      <c r="D504" s="7" t="s">
        <v>82</v>
      </c>
      <c r="E504" s="7">
        <v>362.91</v>
      </c>
      <c r="F504" s="7">
        <v>0.0</v>
      </c>
      <c r="G504" s="7" t="s">
        <v>1134</v>
      </c>
      <c r="H504" s="7" t="s">
        <v>74</v>
      </c>
      <c r="I504" s="15">
        <f t="array" ref="I504">INDEX(CC!C:C,MATCH(1,(CC!A:A=H504)*(CC!B:B=J504),0))</f>
        <v>1502</v>
      </c>
      <c r="J504" s="7" t="s">
        <v>25</v>
      </c>
      <c r="K504" s="7">
        <v>362.91</v>
      </c>
    </row>
    <row r="505">
      <c r="A505" s="5"/>
      <c r="B505" s="5"/>
      <c r="C505" s="7" t="s">
        <v>32</v>
      </c>
      <c r="D505" s="7" t="s">
        <v>199</v>
      </c>
      <c r="E505" s="9">
        <v>1536.68</v>
      </c>
      <c r="F505" s="7">
        <v>0.0</v>
      </c>
      <c r="G505" s="7" t="s">
        <v>1134</v>
      </c>
      <c r="H505" s="7" t="s">
        <v>74</v>
      </c>
      <c r="I505" s="15">
        <f t="array" ref="I505">INDEX(CC!C:C,MATCH(1,(CC!A:A=H505)*(CC!B:B=J505),0))</f>
        <v>1502</v>
      </c>
      <c r="J505" s="7" t="s">
        <v>25</v>
      </c>
      <c r="K505" s="9">
        <v>1536.68</v>
      </c>
    </row>
    <row r="506">
      <c r="A506" s="5"/>
      <c r="B506" s="5"/>
      <c r="C506" s="7" t="s">
        <v>32</v>
      </c>
      <c r="D506" s="7" t="s">
        <v>104</v>
      </c>
      <c r="E506" s="9">
        <v>1500.0</v>
      </c>
      <c r="F506" s="7">
        <v>0.0</v>
      </c>
      <c r="G506" s="7" t="s">
        <v>1134</v>
      </c>
      <c r="H506" s="7" t="s">
        <v>74</v>
      </c>
      <c r="I506" s="15">
        <f t="array" ref="I506">INDEX(CC!C:C,MATCH(1,(CC!A:A=H506)*(CC!B:B=J506),0))</f>
        <v>1502</v>
      </c>
      <c r="J506" s="7" t="s">
        <v>25</v>
      </c>
      <c r="K506" s="9">
        <v>1500.0</v>
      </c>
    </row>
    <row r="507">
      <c r="A507" s="5"/>
      <c r="B507" s="5"/>
      <c r="C507" s="7" t="s">
        <v>32</v>
      </c>
      <c r="D507" s="7" t="s">
        <v>112</v>
      </c>
      <c r="E507" s="9">
        <v>4677.4</v>
      </c>
      <c r="F507" s="7">
        <v>0.0</v>
      </c>
      <c r="G507" s="7" t="s">
        <v>1134</v>
      </c>
      <c r="H507" s="7" t="s">
        <v>74</v>
      </c>
      <c r="I507" s="15">
        <f t="array" ref="I507">INDEX(CC!C:C,MATCH(1,(CC!A:A=H507)*(CC!B:B=J507),0))</f>
        <v>1502</v>
      </c>
      <c r="J507" s="7" t="s">
        <v>25</v>
      </c>
      <c r="K507" s="9">
        <v>4677.4</v>
      </c>
    </row>
    <row r="508">
      <c r="A508" s="5"/>
      <c r="B508" s="5"/>
      <c r="C508" s="7" t="s">
        <v>32</v>
      </c>
      <c r="D508" s="7" t="s">
        <v>126</v>
      </c>
      <c r="E508" s="7">
        <v>36.29</v>
      </c>
      <c r="F508" s="7">
        <v>0.0</v>
      </c>
      <c r="G508" s="7" t="s">
        <v>1134</v>
      </c>
      <c r="H508" s="7" t="s">
        <v>74</v>
      </c>
      <c r="I508" s="15">
        <f t="array" ref="I508">INDEX(CC!C:C,MATCH(1,(CC!A:A=H508)*(CC!B:B=J508),0))</f>
        <v>1502</v>
      </c>
      <c r="J508" s="7" t="s">
        <v>25</v>
      </c>
      <c r="K508" s="7">
        <v>36.29</v>
      </c>
    </row>
    <row r="509">
      <c r="A509" s="5"/>
      <c r="B509" s="5"/>
      <c r="C509" s="7" t="s">
        <v>32</v>
      </c>
      <c r="D509" s="7" t="s">
        <v>137</v>
      </c>
      <c r="E509" s="7">
        <v>927.05</v>
      </c>
      <c r="F509" s="7">
        <v>0.0</v>
      </c>
      <c r="G509" s="7" t="s">
        <v>1134</v>
      </c>
      <c r="H509" s="7" t="s">
        <v>74</v>
      </c>
      <c r="I509" s="15">
        <f t="array" ref="I509">INDEX(CC!C:C,MATCH(1,(CC!A:A=H509)*(CC!B:B=J509),0))</f>
        <v>1502</v>
      </c>
      <c r="J509" s="7" t="s">
        <v>25</v>
      </c>
      <c r="K509" s="7">
        <v>927.05</v>
      </c>
    </row>
    <row r="510">
      <c r="A510" s="5"/>
      <c r="B510" s="7" t="s">
        <v>29</v>
      </c>
      <c r="C510" s="7" t="s">
        <v>672</v>
      </c>
      <c r="D510" s="7" t="s">
        <v>199</v>
      </c>
      <c r="E510" s="9">
        <v>2950.0</v>
      </c>
      <c r="F510" s="7">
        <v>0.0</v>
      </c>
      <c r="G510" s="7" t="s">
        <v>1136</v>
      </c>
      <c r="H510" s="7" t="s">
        <v>84</v>
      </c>
      <c r="I510" s="15">
        <f t="array" ref="I510">INDEX(CC!C:C,MATCH(1,(CC!A:A=H510)*(CC!B:B=J510),0))</f>
        <v>1002</v>
      </c>
      <c r="J510" s="7" t="s">
        <v>25</v>
      </c>
      <c r="K510" s="9">
        <v>2950.0</v>
      </c>
    </row>
    <row r="511">
      <c r="A511" s="5"/>
      <c r="B511" s="5"/>
      <c r="C511" s="7" t="s">
        <v>672</v>
      </c>
      <c r="D511" s="7" t="s">
        <v>112</v>
      </c>
      <c r="E511" s="9">
        <v>5281.21</v>
      </c>
      <c r="F511" s="7">
        <v>0.0</v>
      </c>
      <c r="G511" s="7" t="s">
        <v>1136</v>
      </c>
      <c r="H511" s="7" t="s">
        <v>84</v>
      </c>
      <c r="I511" s="15">
        <f t="array" ref="I511">INDEX(CC!C:C,MATCH(1,(CC!A:A=H511)*(CC!B:B=J511),0))</f>
        <v>1002</v>
      </c>
      <c r="J511" s="7" t="s">
        <v>25</v>
      </c>
      <c r="K511" s="9">
        <v>5281.21</v>
      </c>
    </row>
    <row r="512">
      <c r="A512" s="5"/>
      <c r="B512" s="5"/>
      <c r="C512" s="7" t="s">
        <v>672</v>
      </c>
      <c r="D512" s="7" t="s">
        <v>679</v>
      </c>
      <c r="E512" s="9">
        <v>1450.0</v>
      </c>
      <c r="F512" s="7">
        <v>0.0</v>
      </c>
      <c r="G512" s="7" t="s">
        <v>1136</v>
      </c>
      <c r="H512" s="7" t="s">
        <v>84</v>
      </c>
      <c r="I512" s="15">
        <f t="array" ref="I512">INDEX(CC!C:C,MATCH(1,(CC!A:A=H512)*(CC!B:B=J512),0))</f>
        <v>1002</v>
      </c>
      <c r="J512" s="7" t="s">
        <v>25</v>
      </c>
      <c r="K512" s="9">
        <v>1450.0</v>
      </c>
    </row>
    <row r="513">
      <c r="A513" s="5"/>
      <c r="B513" s="5"/>
      <c r="C513" s="7" t="s">
        <v>672</v>
      </c>
      <c r="D513" s="7" t="s">
        <v>126</v>
      </c>
      <c r="E513" s="7">
        <v>20.0</v>
      </c>
      <c r="F513" s="7">
        <v>0.0</v>
      </c>
      <c r="G513" s="7" t="s">
        <v>1136</v>
      </c>
      <c r="H513" s="7" t="s">
        <v>84</v>
      </c>
      <c r="I513" s="15">
        <f t="array" ref="I513">INDEX(CC!C:C,MATCH(1,(CC!A:A=H513)*(CC!B:B=J513),0))</f>
        <v>1002</v>
      </c>
      <c r="J513" s="7" t="s">
        <v>25</v>
      </c>
      <c r="K513" s="7">
        <v>20.0</v>
      </c>
    </row>
    <row r="514">
      <c r="A514" s="5"/>
      <c r="B514" s="5"/>
      <c r="C514" s="7" t="s">
        <v>672</v>
      </c>
      <c r="D514" s="7" t="s">
        <v>137</v>
      </c>
      <c r="E514" s="9">
        <v>5964.26</v>
      </c>
      <c r="F514" s="7">
        <v>0.0</v>
      </c>
      <c r="G514" s="7" t="s">
        <v>1136</v>
      </c>
      <c r="H514" s="7" t="s">
        <v>84</v>
      </c>
      <c r="I514" s="15">
        <f t="array" ref="I514">INDEX(CC!C:C,MATCH(1,(CC!A:A=H514)*(CC!B:B=J514),0))</f>
        <v>1002</v>
      </c>
      <c r="J514" s="7" t="s">
        <v>25</v>
      </c>
      <c r="K514" s="9">
        <v>5964.26</v>
      </c>
    </row>
    <row r="515">
      <c r="A515" s="5"/>
      <c r="B515" s="7" t="s">
        <v>29</v>
      </c>
      <c r="C515" s="7" t="s">
        <v>1137</v>
      </c>
      <c r="D515" s="7" t="s">
        <v>33</v>
      </c>
      <c r="E515" s="9">
        <v>1900.0</v>
      </c>
      <c r="F515" s="7">
        <v>0.0</v>
      </c>
      <c r="G515" s="7" t="s">
        <v>1138</v>
      </c>
      <c r="H515" s="7" t="s">
        <v>40</v>
      </c>
      <c r="I515" s="15">
        <f t="array" ref="I515">INDEX(CC!C:C,MATCH(1,(CC!A:A=H515)*(CC!B:B=J515),0))</f>
        <v>602</v>
      </c>
      <c r="J515" s="7" t="s">
        <v>25</v>
      </c>
      <c r="K515" s="9">
        <v>1900.0</v>
      </c>
    </row>
    <row r="516">
      <c r="A516" s="5"/>
      <c r="B516" s="7" t="s">
        <v>29</v>
      </c>
      <c r="C516" s="7" t="s">
        <v>331</v>
      </c>
      <c r="D516" s="7" t="s">
        <v>33</v>
      </c>
      <c r="E516" s="7">
        <v>0.01</v>
      </c>
      <c r="F516" s="7">
        <v>0.0</v>
      </c>
      <c r="G516" s="7" t="s">
        <v>1143</v>
      </c>
      <c r="H516" s="7" t="s">
        <v>385</v>
      </c>
      <c r="I516" s="15">
        <f t="array" ref="I516">INDEX(CC!C:C,MATCH(1,(CC!A:A=H516)*(CC!B:B=J516),0))</f>
        <v>502</v>
      </c>
      <c r="J516" s="7" t="s">
        <v>25</v>
      </c>
      <c r="K516" s="7">
        <v>0.01</v>
      </c>
    </row>
    <row r="517">
      <c r="A517" s="5"/>
      <c r="B517" s="7" t="s">
        <v>29</v>
      </c>
      <c r="C517" s="7" t="s">
        <v>699</v>
      </c>
      <c r="D517" s="7" t="s">
        <v>104</v>
      </c>
      <c r="E517" s="9">
        <v>1000.0</v>
      </c>
      <c r="F517" s="7">
        <v>0.0</v>
      </c>
      <c r="G517" s="7" t="s">
        <v>1151</v>
      </c>
      <c r="H517" s="7" t="s">
        <v>554</v>
      </c>
      <c r="I517" s="15">
        <f t="array" ref="I517">INDEX(CC!C:C,MATCH(1,(CC!A:A=H517)*(CC!B:B=J517),0))</f>
        <v>1702</v>
      </c>
      <c r="J517" s="7" t="s">
        <v>25</v>
      </c>
      <c r="K517" s="9">
        <v>1000.0</v>
      </c>
    </row>
    <row r="518">
      <c r="A518" s="5"/>
      <c r="B518" s="5"/>
      <c r="C518" s="7" t="s">
        <v>699</v>
      </c>
      <c r="D518" s="7" t="s">
        <v>126</v>
      </c>
      <c r="E518" s="7">
        <v>21.8</v>
      </c>
      <c r="F518" s="7">
        <v>0.0</v>
      </c>
      <c r="G518" s="7" t="s">
        <v>1151</v>
      </c>
      <c r="H518" s="7" t="s">
        <v>554</v>
      </c>
      <c r="I518" s="15">
        <f t="array" ref="I518">INDEX(CC!C:C,MATCH(1,(CC!A:A=H518)*(CC!B:B=J518),0))</f>
        <v>1702</v>
      </c>
      <c r="J518" s="7" t="s">
        <v>25</v>
      </c>
      <c r="K518" s="7">
        <v>21.8</v>
      </c>
    </row>
    <row r="519">
      <c r="A519" s="5"/>
      <c r="B519" s="5"/>
      <c r="C519" s="7" t="s">
        <v>699</v>
      </c>
      <c r="D519" s="7" t="s">
        <v>137</v>
      </c>
      <c r="E519" s="9">
        <v>7194.0</v>
      </c>
      <c r="F519" s="7">
        <v>0.0</v>
      </c>
      <c r="G519" s="7" t="s">
        <v>1151</v>
      </c>
      <c r="H519" s="7" t="s">
        <v>554</v>
      </c>
      <c r="I519" s="15">
        <f t="array" ref="I519">INDEX(CC!C:C,MATCH(1,(CC!A:A=H519)*(CC!B:B=J519),0))</f>
        <v>1702</v>
      </c>
      <c r="J519" s="7" t="s">
        <v>25</v>
      </c>
      <c r="K519" s="9">
        <v>7194.0</v>
      </c>
    </row>
    <row r="520">
      <c r="A520" s="5"/>
      <c r="B520" s="7" t="s">
        <v>29</v>
      </c>
      <c r="C520" s="7" t="s">
        <v>956</v>
      </c>
      <c r="D520" s="7" t="s">
        <v>112</v>
      </c>
      <c r="E520" s="9">
        <v>3537.14</v>
      </c>
      <c r="F520" s="7">
        <v>0.0</v>
      </c>
      <c r="G520" s="7" t="s">
        <v>1193</v>
      </c>
      <c r="H520" s="7" t="s">
        <v>84</v>
      </c>
      <c r="I520" s="15">
        <f t="array" ref="I520">INDEX(CC!C:C,MATCH(1,(CC!A:A=H520)*(CC!B:B=J520),0))</f>
        <v>1002</v>
      </c>
      <c r="J520" s="7" t="s">
        <v>25</v>
      </c>
      <c r="K520" s="9">
        <v>3537.14</v>
      </c>
    </row>
    <row r="521">
      <c r="A521" s="5"/>
      <c r="B521" s="5"/>
      <c r="C521" s="7" t="s">
        <v>956</v>
      </c>
      <c r="D521" s="7" t="s">
        <v>137</v>
      </c>
      <c r="E521" s="9">
        <v>3310.46</v>
      </c>
      <c r="F521" s="7">
        <v>0.0</v>
      </c>
      <c r="G521" s="7" t="s">
        <v>1193</v>
      </c>
      <c r="H521" s="7" t="s">
        <v>84</v>
      </c>
      <c r="I521" s="15">
        <f t="array" ref="I521">INDEX(CC!C:C,MATCH(1,(CC!A:A=H521)*(CC!B:B=J521),0))</f>
        <v>1002</v>
      </c>
      <c r="J521" s="7" t="s">
        <v>25</v>
      </c>
      <c r="K521" s="9">
        <v>3310.46</v>
      </c>
    </row>
    <row r="522">
      <c r="A522" s="5"/>
      <c r="B522" s="7" t="s">
        <v>29</v>
      </c>
      <c r="C522" s="7" t="s">
        <v>699</v>
      </c>
      <c r="D522" s="7" t="s">
        <v>565</v>
      </c>
      <c r="E522" s="9">
        <v>4692.24</v>
      </c>
      <c r="F522" s="7">
        <v>0.0</v>
      </c>
      <c r="G522" s="7" t="s">
        <v>1198</v>
      </c>
      <c r="H522" s="7" t="s">
        <v>539</v>
      </c>
      <c r="I522" s="15">
        <f t="array" ref="I522">INDEX(CC!C:C,MATCH(1,(CC!A:A=H522)*(CC!B:B=J522),0))</f>
        <v>1302</v>
      </c>
      <c r="J522" s="7" t="s">
        <v>25</v>
      </c>
      <c r="K522" s="9">
        <v>4692.24</v>
      </c>
    </row>
    <row r="523">
      <c r="A523" s="5"/>
      <c r="B523" s="5"/>
      <c r="C523" s="7" t="s">
        <v>699</v>
      </c>
      <c r="D523" s="7" t="s">
        <v>126</v>
      </c>
      <c r="E523" s="7">
        <v>21.8</v>
      </c>
      <c r="F523" s="7">
        <v>0.0</v>
      </c>
      <c r="G523" s="7" t="s">
        <v>1198</v>
      </c>
      <c r="H523" s="7" t="s">
        <v>539</v>
      </c>
      <c r="I523" s="15">
        <f t="array" ref="I523">INDEX(CC!C:C,MATCH(1,(CC!A:A=H523)*(CC!B:B=J523),0))</f>
        <v>1302</v>
      </c>
      <c r="J523" s="7" t="s">
        <v>25</v>
      </c>
      <c r="K523" s="7">
        <v>21.8</v>
      </c>
    </row>
    <row r="524">
      <c r="A524" s="5"/>
      <c r="B524" s="5"/>
      <c r="C524" s="7" t="s">
        <v>699</v>
      </c>
      <c r="D524" s="7" t="s">
        <v>137</v>
      </c>
      <c r="E524" s="9">
        <v>3270.0</v>
      </c>
      <c r="F524" s="7">
        <v>0.0</v>
      </c>
      <c r="G524" s="7" t="s">
        <v>1198</v>
      </c>
      <c r="H524" s="7" t="s">
        <v>539</v>
      </c>
      <c r="I524" s="15">
        <f t="array" ref="I524">INDEX(CC!C:C,MATCH(1,(CC!A:A=H524)*(CC!B:B=J524),0))</f>
        <v>1302</v>
      </c>
      <c r="J524" s="7" t="s">
        <v>25</v>
      </c>
      <c r="K524" s="9">
        <v>3270.0</v>
      </c>
    </row>
    <row r="525">
      <c r="A525" s="5"/>
      <c r="B525" s="5"/>
      <c r="C525" s="7" t="s">
        <v>699</v>
      </c>
      <c r="D525" s="7" t="s">
        <v>717</v>
      </c>
      <c r="E525" s="9">
        <v>1279.7</v>
      </c>
      <c r="F525" s="7">
        <v>0.0</v>
      </c>
      <c r="G525" s="7" t="s">
        <v>1198</v>
      </c>
      <c r="H525" s="7" t="s">
        <v>539</v>
      </c>
      <c r="I525" s="15">
        <f t="array" ref="I525">INDEX(CC!C:C,MATCH(1,(CC!A:A=H525)*(CC!B:B=J525),0))</f>
        <v>1302</v>
      </c>
      <c r="J525" s="7" t="s">
        <v>25</v>
      </c>
      <c r="K525" s="9">
        <v>1279.7</v>
      </c>
    </row>
    <row r="526">
      <c r="A526" s="18">
        <v>17.3288</v>
      </c>
      <c r="B526" s="18" t="s">
        <v>244</v>
      </c>
      <c r="C526" s="18" t="s">
        <v>246</v>
      </c>
      <c r="D526" s="18" t="s">
        <v>543</v>
      </c>
      <c r="E526" s="19">
        <v>92364.4</v>
      </c>
      <c r="F526" s="18">
        <v>0.0</v>
      </c>
      <c r="G526" s="18" t="s">
        <v>544</v>
      </c>
      <c r="H526" s="18" t="s">
        <v>250</v>
      </c>
      <c r="I526" s="20">
        <f t="array" ref="I526">INDEX(CC!C:C,MATCH(1,(CC!A:A=H526)*(CC!B:B=J526),0))</f>
        <v>1402</v>
      </c>
      <c r="J526" s="18" t="s">
        <v>25</v>
      </c>
      <c r="K526" s="19">
        <f t="shared" ref="K526:K528" si="4">(E526-F526)*$A$526</f>
        <v>1600564.215</v>
      </c>
    </row>
    <row r="527">
      <c r="A527" s="21"/>
      <c r="B527" s="21"/>
      <c r="C527" s="18" t="s">
        <v>246</v>
      </c>
      <c r="D527" s="18" t="s">
        <v>543</v>
      </c>
      <c r="E527" s="19">
        <v>13491.4</v>
      </c>
      <c r="F527" s="18">
        <v>0.0</v>
      </c>
      <c r="G527" s="18" t="s">
        <v>544</v>
      </c>
      <c r="H527" s="18" t="s">
        <v>250</v>
      </c>
      <c r="I527" s="20">
        <f t="array" ref="I527">INDEX(CC!C:C,MATCH(1,(CC!A:A=H527)*(CC!B:B=J527),0))</f>
        <v>1402</v>
      </c>
      <c r="J527" s="18" t="s">
        <v>25</v>
      </c>
      <c r="K527" s="19">
        <f t="shared" si="4"/>
        <v>233789.7723</v>
      </c>
    </row>
    <row r="528">
      <c r="A528" s="21"/>
      <c r="B528" s="21"/>
      <c r="C528" s="18" t="s">
        <v>246</v>
      </c>
      <c r="D528" s="18" t="s">
        <v>543</v>
      </c>
      <c r="E528" s="19">
        <v>1577.52</v>
      </c>
      <c r="F528" s="18">
        <v>0.0</v>
      </c>
      <c r="G528" s="18" t="s">
        <v>544</v>
      </c>
      <c r="H528" s="18" t="s">
        <v>250</v>
      </c>
      <c r="I528" s="20">
        <f t="array" ref="I528">INDEX(CC!C:C,MATCH(1,(CC!A:A=H528)*(CC!B:B=J528),0))</f>
        <v>1402</v>
      </c>
      <c r="J528" s="18" t="s">
        <v>25</v>
      </c>
      <c r="K528" s="19">
        <f t="shared" si="4"/>
        <v>27336.52858</v>
      </c>
    </row>
    <row r="529">
      <c r="A529" s="5"/>
      <c r="B529" s="7" t="s">
        <v>29</v>
      </c>
      <c r="C529" s="7" t="s">
        <v>956</v>
      </c>
      <c r="D529" s="7" t="s">
        <v>112</v>
      </c>
      <c r="E529" s="9">
        <v>3524.32</v>
      </c>
      <c r="F529" s="7">
        <v>0.0</v>
      </c>
      <c r="G529" s="7" t="s">
        <v>1200</v>
      </c>
      <c r="H529" s="7" t="s">
        <v>84</v>
      </c>
      <c r="I529" s="15">
        <f t="array" ref="I529">INDEX(CC!C:C,MATCH(1,(CC!A:A=H529)*(CC!B:B=J529),0))</f>
        <v>1002</v>
      </c>
      <c r="J529" s="7" t="s">
        <v>25</v>
      </c>
      <c r="K529" s="9">
        <v>3524.32</v>
      </c>
    </row>
    <row r="530">
      <c r="A530" s="5"/>
      <c r="B530" s="5"/>
      <c r="C530" s="7" t="s">
        <v>956</v>
      </c>
      <c r="D530" s="7" t="s">
        <v>137</v>
      </c>
      <c r="E530" s="9">
        <v>3334.16</v>
      </c>
      <c r="F530" s="7">
        <v>0.0</v>
      </c>
      <c r="G530" s="7" t="s">
        <v>1200</v>
      </c>
      <c r="H530" s="7" t="s">
        <v>84</v>
      </c>
      <c r="I530" s="15">
        <f t="array" ref="I530">INDEX(CC!C:C,MATCH(1,(CC!A:A=H530)*(CC!B:B=J530),0))</f>
        <v>1002</v>
      </c>
      <c r="J530" s="7" t="s">
        <v>25</v>
      </c>
      <c r="K530" s="9">
        <v>3334.16</v>
      </c>
    </row>
    <row r="531">
      <c r="A531" s="5"/>
      <c r="B531" s="7" t="s">
        <v>29</v>
      </c>
      <c r="C531" s="7" t="s">
        <v>930</v>
      </c>
      <c r="D531" s="7" t="s">
        <v>307</v>
      </c>
      <c r="E531" s="9">
        <v>1730.71</v>
      </c>
      <c r="F531" s="7">
        <v>0.0</v>
      </c>
      <c r="G531" s="7" t="s">
        <v>1203</v>
      </c>
      <c r="H531" s="7" t="s">
        <v>554</v>
      </c>
      <c r="I531" s="15">
        <f t="array" ref="I531">INDEX(CC!C:C,MATCH(1,(CC!A:A=H531)*(CC!B:B=J531),0))</f>
        <v>1702</v>
      </c>
      <c r="J531" s="7" t="s">
        <v>25</v>
      </c>
      <c r="K531" s="9">
        <v>1730.71</v>
      </c>
    </row>
    <row r="532">
      <c r="A532" s="5"/>
      <c r="B532" s="5"/>
      <c r="C532" s="7" t="s">
        <v>930</v>
      </c>
      <c r="D532" s="7" t="s">
        <v>82</v>
      </c>
      <c r="E532" s="7">
        <v>324.51</v>
      </c>
      <c r="F532" s="7">
        <v>0.0</v>
      </c>
      <c r="G532" s="7" t="s">
        <v>1203</v>
      </c>
      <c r="H532" s="7" t="s">
        <v>554</v>
      </c>
      <c r="I532" s="15">
        <f t="array" ref="I532">INDEX(CC!C:C,MATCH(1,(CC!A:A=H532)*(CC!B:B=J532),0))</f>
        <v>1702</v>
      </c>
      <c r="J532" s="7" t="s">
        <v>25</v>
      </c>
      <c r="K532" s="7">
        <v>324.51</v>
      </c>
    </row>
    <row r="533">
      <c r="A533" s="5"/>
      <c r="B533" s="5"/>
      <c r="C533" s="7" t="s">
        <v>930</v>
      </c>
      <c r="D533" s="7" t="s">
        <v>199</v>
      </c>
      <c r="E533" s="9">
        <v>7994.03</v>
      </c>
      <c r="F533" s="7">
        <v>0.0</v>
      </c>
      <c r="G533" s="7" t="s">
        <v>1203</v>
      </c>
      <c r="H533" s="7" t="s">
        <v>554</v>
      </c>
      <c r="I533" s="15">
        <f t="array" ref="I533">INDEX(CC!C:C,MATCH(1,(CC!A:A=H533)*(CC!B:B=J533),0))</f>
        <v>1702</v>
      </c>
      <c r="J533" s="7" t="s">
        <v>25</v>
      </c>
      <c r="K533" s="9">
        <v>7994.03</v>
      </c>
    </row>
    <row r="534">
      <c r="A534" s="5"/>
      <c r="B534" s="5"/>
      <c r="C534" s="7" t="s">
        <v>930</v>
      </c>
      <c r="D534" s="7" t="s">
        <v>104</v>
      </c>
      <c r="E534" s="9">
        <v>2500.0</v>
      </c>
      <c r="F534" s="7">
        <v>0.0</v>
      </c>
      <c r="G534" s="7" t="s">
        <v>1203</v>
      </c>
      <c r="H534" s="7" t="s">
        <v>554</v>
      </c>
      <c r="I534" s="15">
        <f t="array" ref="I534">INDEX(CC!C:C,MATCH(1,(CC!A:A=H534)*(CC!B:B=J534),0))</f>
        <v>1702</v>
      </c>
      <c r="J534" s="7" t="s">
        <v>25</v>
      </c>
      <c r="K534" s="9">
        <v>2500.0</v>
      </c>
    </row>
    <row r="535">
      <c r="A535" s="5"/>
      <c r="B535" s="5"/>
      <c r="C535" s="7" t="s">
        <v>930</v>
      </c>
      <c r="D535" s="7" t="s">
        <v>558</v>
      </c>
      <c r="E535" s="7">
        <v>683.61</v>
      </c>
      <c r="F535" s="7">
        <v>0.0</v>
      </c>
      <c r="G535" s="7" t="s">
        <v>1203</v>
      </c>
      <c r="H535" s="7" t="s">
        <v>554</v>
      </c>
      <c r="I535" s="15">
        <f t="array" ref="I535">INDEX(CC!C:C,MATCH(1,(CC!A:A=H535)*(CC!B:B=J535),0))</f>
        <v>1702</v>
      </c>
      <c r="J535" s="7" t="s">
        <v>25</v>
      </c>
      <c r="K535" s="7">
        <v>683.61</v>
      </c>
    </row>
    <row r="536">
      <c r="A536" s="5"/>
      <c r="B536" s="5"/>
      <c r="C536" s="7" t="s">
        <v>930</v>
      </c>
      <c r="D536" s="7" t="s">
        <v>126</v>
      </c>
      <c r="E536" s="7">
        <v>35.0</v>
      </c>
      <c r="F536" s="7">
        <v>0.0</v>
      </c>
      <c r="G536" s="7" t="s">
        <v>1203</v>
      </c>
      <c r="H536" s="7" t="s">
        <v>554</v>
      </c>
      <c r="I536" s="15">
        <f t="array" ref="I536">INDEX(CC!C:C,MATCH(1,(CC!A:A=H536)*(CC!B:B=J536),0))</f>
        <v>1702</v>
      </c>
      <c r="J536" s="7" t="s">
        <v>25</v>
      </c>
      <c r="K536" s="7">
        <v>35.0</v>
      </c>
    </row>
    <row r="537">
      <c r="A537" s="5"/>
      <c r="B537" s="5"/>
      <c r="C537" s="7" t="s">
        <v>930</v>
      </c>
      <c r="D537" s="7" t="s">
        <v>137</v>
      </c>
      <c r="E537" s="9">
        <v>4496.64</v>
      </c>
      <c r="F537" s="7">
        <v>0.0</v>
      </c>
      <c r="G537" s="7" t="s">
        <v>1203</v>
      </c>
      <c r="H537" s="7" t="s">
        <v>554</v>
      </c>
      <c r="I537" s="15">
        <f t="array" ref="I537">INDEX(CC!C:C,MATCH(1,(CC!A:A=H537)*(CC!B:B=J537),0))</f>
        <v>1702</v>
      </c>
      <c r="J537" s="7" t="s">
        <v>25</v>
      </c>
      <c r="K537" s="9">
        <v>4496.64</v>
      </c>
    </row>
    <row r="538">
      <c r="A538" s="5"/>
      <c r="B538" s="7" t="s">
        <v>29</v>
      </c>
      <c r="C538" s="7" t="s">
        <v>930</v>
      </c>
      <c r="D538" s="7" t="s">
        <v>33</v>
      </c>
      <c r="E538" s="9">
        <v>4200.0</v>
      </c>
      <c r="F538" s="7">
        <v>0.0</v>
      </c>
      <c r="G538" s="7" t="s">
        <v>1207</v>
      </c>
      <c r="H538" s="7" t="s">
        <v>40</v>
      </c>
      <c r="I538" s="15">
        <f t="array" ref="I538">INDEX(CC!C:C,MATCH(1,(CC!A:A=H538)*(CC!B:B=J538),0))</f>
        <v>602</v>
      </c>
      <c r="J538" s="7" t="s">
        <v>25</v>
      </c>
      <c r="K538" s="9">
        <v>4200.0</v>
      </c>
    </row>
    <row r="539">
      <c r="A539" s="5"/>
      <c r="B539" s="7" t="s">
        <v>29</v>
      </c>
      <c r="C539" s="7" t="s">
        <v>699</v>
      </c>
      <c r="D539" s="7" t="s">
        <v>565</v>
      </c>
      <c r="E539" s="9">
        <v>4688.83</v>
      </c>
      <c r="F539" s="7">
        <v>0.0</v>
      </c>
      <c r="G539" s="7" t="s">
        <v>1208</v>
      </c>
      <c r="H539" s="7" t="s">
        <v>539</v>
      </c>
      <c r="I539" s="15">
        <f t="array" ref="I539">INDEX(CC!C:C,MATCH(1,(CC!A:A=H539)*(CC!B:B=J539),0))</f>
        <v>1302</v>
      </c>
      <c r="J539" s="7" t="s">
        <v>25</v>
      </c>
      <c r="K539" s="9">
        <v>4688.83</v>
      </c>
    </row>
    <row r="540">
      <c r="A540" s="5"/>
      <c r="B540" s="5"/>
      <c r="C540" s="7" t="s">
        <v>699</v>
      </c>
      <c r="D540" s="7" t="s">
        <v>566</v>
      </c>
      <c r="E540" s="7">
        <v>511.51</v>
      </c>
      <c r="F540" s="7">
        <v>0.0</v>
      </c>
      <c r="G540" s="7" t="s">
        <v>1208</v>
      </c>
      <c r="H540" s="7" t="s">
        <v>539</v>
      </c>
      <c r="I540" s="15">
        <f t="array" ref="I540">INDEX(CC!C:C,MATCH(1,(CC!A:A=H540)*(CC!B:B=J540),0))</f>
        <v>1302</v>
      </c>
      <c r="J540" s="7" t="s">
        <v>25</v>
      </c>
      <c r="K540" s="7">
        <v>511.51</v>
      </c>
    </row>
    <row r="541">
      <c r="A541" s="5"/>
      <c r="B541" s="5"/>
      <c r="C541" s="7" t="s">
        <v>699</v>
      </c>
      <c r="D541" s="7" t="s">
        <v>126</v>
      </c>
      <c r="E541" s="7">
        <v>21.8</v>
      </c>
      <c r="F541" s="7">
        <v>0.0</v>
      </c>
      <c r="G541" s="7" t="s">
        <v>1208</v>
      </c>
      <c r="H541" s="7" t="s">
        <v>539</v>
      </c>
      <c r="I541" s="15">
        <f t="array" ref="I541">INDEX(CC!C:C,MATCH(1,(CC!A:A=H541)*(CC!B:B=J541),0))</f>
        <v>1302</v>
      </c>
      <c r="J541" s="7" t="s">
        <v>25</v>
      </c>
      <c r="K541" s="7">
        <v>21.8</v>
      </c>
    </row>
    <row r="542">
      <c r="A542" s="5"/>
      <c r="B542" s="5"/>
      <c r="C542" s="7" t="s">
        <v>699</v>
      </c>
      <c r="D542" s="7" t="s">
        <v>137</v>
      </c>
      <c r="E542" s="9">
        <v>3270.0</v>
      </c>
      <c r="F542" s="7">
        <v>0.0</v>
      </c>
      <c r="G542" s="7" t="s">
        <v>1208</v>
      </c>
      <c r="H542" s="7" t="s">
        <v>539</v>
      </c>
      <c r="I542" s="15">
        <f t="array" ref="I542">INDEX(CC!C:C,MATCH(1,(CC!A:A=H542)*(CC!B:B=J542),0))</f>
        <v>1302</v>
      </c>
      <c r="J542" s="7" t="s">
        <v>25</v>
      </c>
      <c r="K542" s="9">
        <v>3270.0</v>
      </c>
    </row>
    <row r="543">
      <c r="A543" s="5"/>
      <c r="B543" s="7" t="s">
        <v>29</v>
      </c>
      <c r="C543" s="7" t="s">
        <v>956</v>
      </c>
      <c r="D543" s="7" t="s">
        <v>112</v>
      </c>
      <c r="E543" s="9">
        <v>3592.51</v>
      </c>
      <c r="F543" s="7">
        <v>0.0</v>
      </c>
      <c r="G543" s="7" t="s">
        <v>1210</v>
      </c>
      <c r="H543" s="7" t="s">
        <v>84</v>
      </c>
      <c r="I543" s="15">
        <f t="array" ref="I543">INDEX(CC!C:C,MATCH(1,(CC!A:A=H543)*(CC!B:B=J543),0))</f>
        <v>1002</v>
      </c>
      <c r="J543" s="7" t="s">
        <v>25</v>
      </c>
      <c r="K543" s="9">
        <v>3592.51</v>
      </c>
    </row>
    <row r="544">
      <c r="A544" s="5"/>
      <c r="B544" s="5"/>
      <c r="C544" s="7" t="s">
        <v>956</v>
      </c>
      <c r="D544" s="7" t="s">
        <v>137</v>
      </c>
      <c r="E544" s="9">
        <v>3387.1</v>
      </c>
      <c r="F544" s="7">
        <v>0.0</v>
      </c>
      <c r="G544" s="7" t="s">
        <v>1210</v>
      </c>
      <c r="H544" s="7" t="s">
        <v>84</v>
      </c>
      <c r="I544" s="15">
        <f t="array" ref="I544">INDEX(CC!C:C,MATCH(1,(CC!A:A=H544)*(CC!B:B=J544),0))</f>
        <v>1002</v>
      </c>
      <c r="J544" s="7" t="s">
        <v>25</v>
      </c>
      <c r="K544" s="9">
        <v>3387.1</v>
      </c>
    </row>
    <row r="545">
      <c r="A545" s="5"/>
      <c r="B545" s="7" t="s">
        <v>29</v>
      </c>
      <c r="C545" s="7" t="s">
        <v>32</v>
      </c>
      <c r="D545" s="7" t="s">
        <v>307</v>
      </c>
      <c r="E545" s="7">
        <v>945.65</v>
      </c>
      <c r="F545" s="7">
        <v>0.0</v>
      </c>
      <c r="G545" s="7" t="s">
        <v>1211</v>
      </c>
      <c r="H545" s="7" t="s">
        <v>551</v>
      </c>
      <c r="I545" s="15">
        <f t="array" ref="I545">INDEX(CC!C:C,MATCH(1,(CC!A:A=H545)*(CC!B:B=J545),0))</f>
        <v>1202</v>
      </c>
      <c r="J545" s="7" t="s">
        <v>25</v>
      </c>
      <c r="K545" s="7">
        <v>945.65</v>
      </c>
    </row>
    <row r="546">
      <c r="A546" s="5"/>
      <c r="B546" s="5"/>
      <c r="C546" s="7" t="s">
        <v>32</v>
      </c>
      <c r="D546" s="7" t="s">
        <v>82</v>
      </c>
      <c r="E546" s="7">
        <v>362.92</v>
      </c>
      <c r="F546" s="7">
        <v>0.0</v>
      </c>
      <c r="G546" s="7" t="s">
        <v>1211</v>
      </c>
      <c r="H546" s="7" t="s">
        <v>551</v>
      </c>
      <c r="I546" s="15">
        <f t="array" ref="I546">INDEX(CC!C:C,MATCH(1,(CC!A:A=H546)*(CC!B:B=J546),0))</f>
        <v>1202</v>
      </c>
      <c r="J546" s="7" t="s">
        <v>25</v>
      </c>
      <c r="K546" s="7">
        <v>362.92</v>
      </c>
    </row>
    <row r="547">
      <c r="A547" s="5"/>
      <c r="B547" s="5"/>
      <c r="C547" s="7" t="s">
        <v>32</v>
      </c>
      <c r="D547" s="7" t="s">
        <v>199</v>
      </c>
      <c r="E547" s="9">
        <v>4075.37</v>
      </c>
      <c r="F547" s="7">
        <v>0.0</v>
      </c>
      <c r="G547" s="7" t="s">
        <v>1211</v>
      </c>
      <c r="H547" s="7" t="s">
        <v>551</v>
      </c>
      <c r="I547" s="15">
        <f t="array" ref="I547">INDEX(CC!C:C,MATCH(1,(CC!A:A=H547)*(CC!B:B=J547),0))</f>
        <v>1202</v>
      </c>
      <c r="J547" s="7" t="s">
        <v>25</v>
      </c>
      <c r="K547" s="9">
        <v>4075.37</v>
      </c>
    </row>
    <row r="548">
      <c r="A548" s="5"/>
      <c r="B548" s="5"/>
      <c r="C548" s="7" t="s">
        <v>32</v>
      </c>
      <c r="D548" s="7" t="s">
        <v>104</v>
      </c>
      <c r="E548" s="9">
        <v>1500.0</v>
      </c>
      <c r="F548" s="7">
        <v>0.0</v>
      </c>
      <c r="G548" s="7" t="s">
        <v>1211</v>
      </c>
      <c r="H548" s="7" t="s">
        <v>551</v>
      </c>
      <c r="I548" s="15">
        <f t="array" ref="I548">INDEX(CC!C:C,MATCH(1,(CC!A:A=H548)*(CC!B:B=J548),0))</f>
        <v>1202</v>
      </c>
      <c r="J548" s="7" t="s">
        <v>25</v>
      </c>
      <c r="K548" s="9">
        <v>1500.0</v>
      </c>
    </row>
    <row r="549">
      <c r="A549" s="5"/>
      <c r="B549" s="5"/>
      <c r="C549" s="7" t="s">
        <v>32</v>
      </c>
      <c r="D549" s="7" t="s">
        <v>126</v>
      </c>
      <c r="E549" s="7">
        <v>36.29</v>
      </c>
      <c r="F549" s="7">
        <v>0.0</v>
      </c>
      <c r="G549" s="7" t="s">
        <v>1211</v>
      </c>
      <c r="H549" s="7" t="s">
        <v>551</v>
      </c>
      <c r="I549" s="15">
        <f t="array" ref="I549">INDEX(CC!C:C,MATCH(1,(CC!A:A=H549)*(CC!B:B=J549),0))</f>
        <v>1202</v>
      </c>
      <c r="J549" s="7" t="s">
        <v>25</v>
      </c>
      <c r="K549" s="7">
        <v>36.29</v>
      </c>
    </row>
    <row r="550">
      <c r="A550" s="5"/>
      <c r="B550" s="5"/>
      <c r="C550" s="7" t="s">
        <v>32</v>
      </c>
      <c r="D550" s="7" t="s">
        <v>137</v>
      </c>
      <c r="E550" s="9">
        <v>4279.14</v>
      </c>
      <c r="F550" s="7">
        <v>0.0</v>
      </c>
      <c r="G550" s="7" t="s">
        <v>1211</v>
      </c>
      <c r="H550" s="7" t="s">
        <v>551</v>
      </c>
      <c r="I550" s="15">
        <f t="array" ref="I550">INDEX(CC!C:C,MATCH(1,(CC!A:A=H550)*(CC!B:B=J550),0))</f>
        <v>1202</v>
      </c>
      <c r="J550" s="7" t="s">
        <v>25</v>
      </c>
      <c r="K550" s="9">
        <v>4279.14</v>
      </c>
    </row>
    <row r="551">
      <c r="A551" s="5"/>
      <c r="B551" s="7" t="s">
        <v>29</v>
      </c>
      <c r="C551" s="7" t="s">
        <v>975</v>
      </c>
      <c r="D551" s="7" t="s">
        <v>33</v>
      </c>
      <c r="E551" s="9">
        <v>1900.0</v>
      </c>
      <c r="F551" s="7">
        <v>0.0</v>
      </c>
      <c r="G551" s="7" t="s">
        <v>1131</v>
      </c>
      <c r="H551" s="7" t="s">
        <v>40</v>
      </c>
      <c r="I551" s="15">
        <f t="array" ref="I551">INDEX(CC!C:C,MATCH(1,(CC!A:A=H551)*(CC!B:B=J551),0))</f>
        <v>602</v>
      </c>
      <c r="J551" s="7" t="s">
        <v>25</v>
      </c>
      <c r="K551" s="9">
        <v>1900.0</v>
      </c>
    </row>
    <row r="552">
      <c r="A552" s="5"/>
      <c r="B552" s="7" t="s">
        <v>29</v>
      </c>
      <c r="C552" s="7" t="s">
        <v>549</v>
      </c>
      <c r="D552" s="7" t="s">
        <v>126</v>
      </c>
      <c r="E552" s="7">
        <v>35.0</v>
      </c>
      <c r="F552" s="7">
        <v>0.0</v>
      </c>
      <c r="G552" s="7" t="s">
        <v>1213</v>
      </c>
      <c r="H552" s="7" t="s">
        <v>551</v>
      </c>
      <c r="I552" s="15">
        <f t="array" ref="I552">INDEX(CC!C:C,MATCH(1,(CC!A:A=H552)*(CC!B:B=J552),0))</f>
        <v>1202</v>
      </c>
      <c r="J552" s="7" t="s">
        <v>25</v>
      </c>
      <c r="K552" s="7">
        <v>35.0</v>
      </c>
    </row>
    <row r="553">
      <c r="A553" s="5"/>
      <c r="B553" s="5"/>
      <c r="C553" s="7" t="s">
        <v>549</v>
      </c>
      <c r="D553" s="7" t="s">
        <v>137</v>
      </c>
      <c r="E553" s="9">
        <v>4520.88</v>
      </c>
      <c r="F553" s="7">
        <v>0.0</v>
      </c>
      <c r="G553" s="7" t="s">
        <v>1213</v>
      </c>
      <c r="H553" s="7" t="s">
        <v>551</v>
      </c>
      <c r="I553" s="15">
        <f t="array" ref="I553">INDEX(CC!C:C,MATCH(1,(CC!A:A=H553)*(CC!B:B=J553),0))</f>
        <v>1202</v>
      </c>
      <c r="J553" s="7" t="s">
        <v>25</v>
      </c>
      <c r="K553" s="9">
        <v>4520.88</v>
      </c>
    </row>
    <row r="554">
      <c r="A554" s="5"/>
      <c r="B554" s="7" t="s">
        <v>29</v>
      </c>
      <c r="C554" s="7" t="s">
        <v>549</v>
      </c>
      <c r="D554" s="7" t="s">
        <v>126</v>
      </c>
      <c r="E554" s="7">
        <v>35.0</v>
      </c>
      <c r="F554" s="7">
        <v>0.0</v>
      </c>
      <c r="G554" s="7" t="s">
        <v>1214</v>
      </c>
      <c r="H554" s="7" t="s">
        <v>551</v>
      </c>
      <c r="I554" s="15">
        <f t="array" ref="I554">INDEX(CC!C:C,MATCH(1,(CC!A:A=H554)*(CC!B:B=J554),0))</f>
        <v>1202</v>
      </c>
      <c r="J554" s="7" t="s">
        <v>25</v>
      </c>
      <c r="K554" s="7">
        <v>35.0</v>
      </c>
    </row>
    <row r="555">
      <c r="A555" s="5"/>
      <c r="B555" s="5"/>
      <c r="C555" s="7" t="s">
        <v>549</v>
      </c>
      <c r="D555" s="7" t="s">
        <v>137</v>
      </c>
      <c r="E555" s="9">
        <v>7911.55</v>
      </c>
      <c r="F555" s="7">
        <v>0.0</v>
      </c>
      <c r="G555" s="7" t="s">
        <v>1214</v>
      </c>
      <c r="H555" s="7" t="s">
        <v>551</v>
      </c>
      <c r="I555" s="15">
        <f t="array" ref="I555">INDEX(CC!C:C,MATCH(1,(CC!A:A=H555)*(CC!B:B=J555),0))</f>
        <v>1202</v>
      </c>
      <c r="J555" s="7" t="s">
        <v>25</v>
      </c>
      <c r="K555" s="9">
        <v>7911.55</v>
      </c>
    </row>
    <row r="556">
      <c r="A556" s="5"/>
      <c r="B556" s="7" t="s">
        <v>29</v>
      </c>
      <c r="C556" s="7" t="s">
        <v>79</v>
      </c>
      <c r="D556" s="7" t="s">
        <v>307</v>
      </c>
      <c r="E556" s="9">
        <v>1555.35</v>
      </c>
      <c r="F556" s="7">
        <v>0.0</v>
      </c>
      <c r="G556" s="7" t="s">
        <v>1215</v>
      </c>
      <c r="H556" s="7" t="s">
        <v>551</v>
      </c>
      <c r="I556" s="15">
        <f t="array" ref="I556">INDEX(CC!C:C,MATCH(1,(CC!A:A=H556)*(CC!B:B=J556),0))</f>
        <v>1202</v>
      </c>
      <c r="J556" s="7" t="s">
        <v>25</v>
      </c>
      <c r="K556" s="9">
        <v>1555.35</v>
      </c>
    </row>
    <row r="557">
      <c r="A557" s="5"/>
      <c r="B557" s="5"/>
      <c r="C557" s="7" t="s">
        <v>79</v>
      </c>
      <c r="D557" s="7" t="s">
        <v>82</v>
      </c>
      <c r="E557" s="7">
        <v>339.06</v>
      </c>
      <c r="F557" s="7">
        <v>0.0</v>
      </c>
      <c r="G557" s="7" t="s">
        <v>1215</v>
      </c>
      <c r="H557" s="7" t="s">
        <v>551</v>
      </c>
      <c r="I557" s="15">
        <f t="array" ref="I557">INDEX(CC!C:C,MATCH(1,(CC!A:A=H557)*(CC!B:B=J557),0))</f>
        <v>1202</v>
      </c>
      <c r="J557" s="7" t="s">
        <v>25</v>
      </c>
      <c r="K557" s="7">
        <v>339.06</v>
      </c>
    </row>
    <row r="558">
      <c r="A558" s="5"/>
      <c r="B558" s="5"/>
      <c r="C558" s="7" t="s">
        <v>79</v>
      </c>
      <c r="D558" s="7" t="s">
        <v>126</v>
      </c>
      <c r="E558" s="7">
        <v>36.29</v>
      </c>
      <c r="F558" s="7">
        <v>0.0</v>
      </c>
      <c r="G558" s="7" t="s">
        <v>1215</v>
      </c>
      <c r="H558" s="7" t="s">
        <v>551</v>
      </c>
      <c r="I558" s="15">
        <f t="array" ref="I558">INDEX(CC!C:C,MATCH(1,(CC!A:A=H558)*(CC!B:B=J558),0))</f>
        <v>1202</v>
      </c>
      <c r="J558" s="7" t="s">
        <v>25</v>
      </c>
      <c r="K558" s="7">
        <v>36.29</v>
      </c>
    </row>
    <row r="559">
      <c r="A559" s="5"/>
      <c r="B559" s="5"/>
      <c r="C559" s="7" t="s">
        <v>79</v>
      </c>
      <c r="D559" s="7" t="s">
        <v>137</v>
      </c>
      <c r="E559" s="9">
        <v>6532.47</v>
      </c>
      <c r="F559" s="7">
        <v>0.0</v>
      </c>
      <c r="G559" s="7" t="s">
        <v>1215</v>
      </c>
      <c r="H559" s="7" t="s">
        <v>551</v>
      </c>
      <c r="I559" s="15">
        <f t="array" ref="I559">INDEX(CC!C:C,MATCH(1,(CC!A:A=H559)*(CC!B:B=J559),0))</f>
        <v>1202</v>
      </c>
      <c r="J559" s="7" t="s">
        <v>25</v>
      </c>
      <c r="K559" s="9">
        <v>6532.47</v>
      </c>
    </row>
    <row r="560">
      <c r="A560" s="5"/>
      <c r="B560" s="7" t="s">
        <v>29</v>
      </c>
      <c r="C560" s="7" t="s">
        <v>930</v>
      </c>
      <c r="D560" s="7" t="s">
        <v>33</v>
      </c>
      <c r="E560" s="9">
        <v>35650.0</v>
      </c>
      <c r="F560" s="7">
        <v>0.0</v>
      </c>
      <c r="G560" s="7" t="s">
        <v>1203</v>
      </c>
      <c r="H560" s="7" t="s">
        <v>554</v>
      </c>
      <c r="I560" s="15">
        <f t="array" ref="I560">INDEX(CC!C:C,MATCH(1,(CC!A:A=H560)*(CC!B:B=J560),0))</f>
        <v>1702</v>
      </c>
      <c r="J560" s="7" t="s">
        <v>25</v>
      </c>
      <c r="K560" s="9">
        <v>35650.0</v>
      </c>
    </row>
    <row r="561">
      <c r="A561" s="5"/>
      <c r="B561" s="7" t="s">
        <v>29</v>
      </c>
      <c r="C561" s="7" t="s">
        <v>331</v>
      </c>
      <c r="D561" s="7" t="s">
        <v>33</v>
      </c>
      <c r="E561" s="7">
        <v>0.01</v>
      </c>
      <c r="F561" s="7">
        <v>0.0</v>
      </c>
      <c r="G561" s="7" t="s">
        <v>1216</v>
      </c>
      <c r="H561" s="7" t="s">
        <v>385</v>
      </c>
      <c r="I561" s="15">
        <f t="array" ref="I561">INDEX(CC!C:C,MATCH(1,(CC!A:A=H561)*(CC!B:B=J561),0))</f>
        <v>502</v>
      </c>
      <c r="J561" s="7" t="s">
        <v>25</v>
      </c>
      <c r="K561" s="7">
        <v>0.01</v>
      </c>
    </row>
    <row r="562">
      <c r="A562" s="5"/>
      <c r="B562" s="7" t="s">
        <v>29</v>
      </c>
      <c r="C562" s="7" t="s">
        <v>306</v>
      </c>
      <c r="D562" s="7" t="s">
        <v>307</v>
      </c>
      <c r="E562" s="9">
        <v>1695.33</v>
      </c>
      <c r="F562" s="7">
        <v>0.0</v>
      </c>
      <c r="G562" s="7" t="s">
        <v>1218</v>
      </c>
      <c r="H562" s="7" t="s">
        <v>74</v>
      </c>
      <c r="I562" s="15">
        <f t="array" ref="I562">INDEX(CC!C:C,MATCH(1,(CC!A:A=H562)*(CC!B:B=J562),0))</f>
        <v>1502</v>
      </c>
      <c r="J562" s="7" t="s">
        <v>25</v>
      </c>
      <c r="K562" s="9">
        <v>1695.33</v>
      </c>
    </row>
    <row r="563">
      <c r="A563" s="5"/>
      <c r="B563" s="5"/>
      <c r="C563" s="7" t="s">
        <v>306</v>
      </c>
      <c r="D563" s="7" t="s">
        <v>82</v>
      </c>
      <c r="E563" s="7">
        <v>326.62</v>
      </c>
      <c r="F563" s="7">
        <v>0.0</v>
      </c>
      <c r="G563" s="7" t="s">
        <v>1218</v>
      </c>
      <c r="H563" s="7" t="s">
        <v>74</v>
      </c>
      <c r="I563" s="15">
        <f t="array" ref="I563">INDEX(CC!C:C,MATCH(1,(CC!A:A=H563)*(CC!B:B=J563),0))</f>
        <v>1502</v>
      </c>
      <c r="J563" s="7" t="s">
        <v>25</v>
      </c>
      <c r="K563" s="7">
        <v>326.62</v>
      </c>
    </row>
    <row r="564">
      <c r="A564" s="5"/>
      <c r="B564" s="5"/>
      <c r="C564" s="7" t="s">
        <v>306</v>
      </c>
      <c r="D564" s="7" t="s">
        <v>199</v>
      </c>
      <c r="E564" s="9">
        <v>2637.67</v>
      </c>
      <c r="F564" s="7">
        <v>0.0</v>
      </c>
      <c r="G564" s="7" t="s">
        <v>1218</v>
      </c>
      <c r="H564" s="7" t="s">
        <v>74</v>
      </c>
      <c r="I564" s="15">
        <f t="array" ref="I564">INDEX(CC!C:C,MATCH(1,(CC!A:A=H564)*(CC!B:B=J564),0))</f>
        <v>1502</v>
      </c>
      <c r="J564" s="7" t="s">
        <v>25</v>
      </c>
      <c r="K564" s="9">
        <v>2637.67</v>
      </c>
    </row>
    <row r="565">
      <c r="A565" s="5"/>
      <c r="B565" s="5"/>
      <c r="C565" s="7" t="s">
        <v>306</v>
      </c>
      <c r="D565" s="7" t="s">
        <v>112</v>
      </c>
      <c r="E565" s="9">
        <v>13934.33</v>
      </c>
      <c r="F565" s="7">
        <v>0.0</v>
      </c>
      <c r="G565" s="7" t="s">
        <v>1218</v>
      </c>
      <c r="H565" s="7" t="s">
        <v>74</v>
      </c>
      <c r="I565" s="15">
        <f t="array" ref="I565">INDEX(CC!C:C,MATCH(1,(CC!A:A=H565)*(CC!B:B=J565),0))</f>
        <v>1502</v>
      </c>
      <c r="J565" s="7" t="s">
        <v>25</v>
      </c>
      <c r="K565" s="9">
        <v>13934.33</v>
      </c>
    </row>
    <row r="566">
      <c r="A566" s="5"/>
      <c r="B566" s="5"/>
      <c r="C566" s="7" t="s">
        <v>306</v>
      </c>
      <c r="D566" s="7" t="s">
        <v>348</v>
      </c>
      <c r="E566" s="9">
        <v>1488.0</v>
      </c>
      <c r="F566" s="7">
        <v>0.0</v>
      </c>
      <c r="G566" s="7" t="s">
        <v>1218</v>
      </c>
      <c r="H566" s="7" t="s">
        <v>74</v>
      </c>
      <c r="I566" s="15">
        <f t="array" ref="I566">INDEX(CC!C:C,MATCH(1,(CC!A:A=H566)*(CC!B:B=J566),0))</f>
        <v>1502</v>
      </c>
      <c r="J566" s="7" t="s">
        <v>25</v>
      </c>
      <c r="K566" s="9">
        <v>1488.0</v>
      </c>
    </row>
    <row r="567">
      <c r="A567" s="5"/>
      <c r="B567" s="5"/>
      <c r="C567" s="7" t="s">
        <v>306</v>
      </c>
      <c r="D567" s="7" t="s">
        <v>360</v>
      </c>
      <c r="E567" s="9">
        <v>2835.0</v>
      </c>
      <c r="F567" s="7">
        <v>0.0</v>
      </c>
      <c r="G567" s="7" t="s">
        <v>1218</v>
      </c>
      <c r="H567" s="7" t="s">
        <v>74</v>
      </c>
      <c r="I567" s="15">
        <f t="array" ref="I567">INDEX(CC!C:C,MATCH(1,(CC!A:A=H567)*(CC!B:B=J567),0))</f>
        <v>1502</v>
      </c>
      <c r="J567" s="7" t="s">
        <v>25</v>
      </c>
      <c r="K567" s="9">
        <v>2835.0</v>
      </c>
    </row>
    <row r="568">
      <c r="A568" s="5"/>
      <c r="B568" s="5"/>
      <c r="C568" s="7" t="s">
        <v>306</v>
      </c>
      <c r="D568" s="7" t="s">
        <v>126</v>
      </c>
      <c r="E568" s="7">
        <v>35.0</v>
      </c>
      <c r="F568" s="7">
        <v>0.0</v>
      </c>
      <c r="G568" s="7" t="s">
        <v>1218</v>
      </c>
      <c r="H568" s="7" t="s">
        <v>74</v>
      </c>
      <c r="I568" s="15">
        <f t="array" ref="I568">INDEX(CC!C:C,MATCH(1,(CC!A:A=H568)*(CC!B:B=J568),0))</f>
        <v>1502</v>
      </c>
      <c r="J568" s="7" t="s">
        <v>25</v>
      </c>
      <c r="K568" s="7">
        <v>35.0</v>
      </c>
    </row>
    <row r="569">
      <c r="A569" s="5"/>
      <c r="B569" s="5"/>
      <c r="C569" s="7" t="s">
        <v>306</v>
      </c>
      <c r="D569" s="7" t="s">
        <v>137</v>
      </c>
      <c r="E569" s="9">
        <v>1384.78</v>
      </c>
      <c r="F569" s="7">
        <v>0.0</v>
      </c>
      <c r="G569" s="7" t="s">
        <v>1218</v>
      </c>
      <c r="H569" s="7" t="s">
        <v>74</v>
      </c>
      <c r="I569" s="15">
        <f t="array" ref="I569">INDEX(CC!C:C,MATCH(1,(CC!A:A=H569)*(CC!B:B=J569),0))</f>
        <v>1502</v>
      </c>
      <c r="J569" s="7" t="s">
        <v>25</v>
      </c>
      <c r="K569" s="9">
        <v>1384.78</v>
      </c>
    </row>
    <row r="570">
      <c r="A570" s="5"/>
      <c r="B570" s="7" t="s">
        <v>29</v>
      </c>
      <c r="C570" s="7" t="s">
        <v>537</v>
      </c>
      <c r="D570" s="7" t="s">
        <v>307</v>
      </c>
      <c r="E570" s="9">
        <v>1414.86</v>
      </c>
      <c r="F570" s="7">
        <v>0.0</v>
      </c>
      <c r="G570" s="7" t="s">
        <v>1221</v>
      </c>
      <c r="H570" s="7" t="s">
        <v>84</v>
      </c>
      <c r="I570" s="15">
        <f t="array" ref="I570">INDEX(CC!C:C,MATCH(1,(CC!A:A=H570)*(CC!B:B=J570),0))</f>
        <v>1002</v>
      </c>
      <c r="J570" s="7" t="s">
        <v>25</v>
      </c>
      <c r="K570" s="9">
        <v>1414.86</v>
      </c>
    </row>
    <row r="571">
      <c r="A571" s="5"/>
      <c r="B571" s="5"/>
      <c r="C571" s="7" t="s">
        <v>537</v>
      </c>
      <c r="D571" s="7" t="s">
        <v>82</v>
      </c>
      <c r="E571" s="7">
        <v>353.71</v>
      </c>
      <c r="F571" s="7">
        <v>0.0</v>
      </c>
      <c r="G571" s="7" t="s">
        <v>1221</v>
      </c>
      <c r="H571" s="7" t="s">
        <v>84</v>
      </c>
      <c r="I571" s="15">
        <f t="array" ref="I571">INDEX(CC!C:C,MATCH(1,(CC!A:A=H571)*(CC!B:B=J571),0))</f>
        <v>1002</v>
      </c>
      <c r="J571" s="7" t="s">
        <v>25</v>
      </c>
      <c r="K571" s="7">
        <v>353.71</v>
      </c>
    </row>
    <row r="572">
      <c r="A572" s="5"/>
      <c r="B572" s="5"/>
      <c r="C572" s="7" t="s">
        <v>537</v>
      </c>
      <c r="D572" s="7" t="s">
        <v>199</v>
      </c>
      <c r="E572" s="9">
        <v>2097.52</v>
      </c>
      <c r="F572" s="7">
        <v>0.0</v>
      </c>
      <c r="G572" s="7" t="s">
        <v>1221</v>
      </c>
      <c r="H572" s="7" t="s">
        <v>84</v>
      </c>
      <c r="I572" s="15">
        <f t="array" ref="I572">INDEX(CC!C:C,MATCH(1,(CC!A:A=H572)*(CC!B:B=J572),0))</f>
        <v>1002</v>
      </c>
      <c r="J572" s="7" t="s">
        <v>25</v>
      </c>
      <c r="K572" s="9">
        <v>2097.52</v>
      </c>
    </row>
    <row r="573">
      <c r="A573" s="5"/>
      <c r="B573" s="5"/>
      <c r="C573" s="7" t="s">
        <v>537</v>
      </c>
      <c r="D573" s="7" t="s">
        <v>104</v>
      </c>
      <c r="E573" s="9">
        <v>2500.0</v>
      </c>
      <c r="F573" s="7">
        <v>0.0</v>
      </c>
      <c r="G573" s="7" t="s">
        <v>1221</v>
      </c>
      <c r="H573" s="7" t="s">
        <v>84</v>
      </c>
      <c r="I573" s="15">
        <f t="array" ref="I573">INDEX(CC!C:C,MATCH(1,(CC!A:A=H573)*(CC!B:B=J573),0))</f>
        <v>1002</v>
      </c>
      <c r="J573" s="7" t="s">
        <v>25</v>
      </c>
      <c r="K573" s="9">
        <v>2500.0</v>
      </c>
    </row>
    <row r="574">
      <c r="A574" s="5"/>
      <c r="B574" s="5"/>
      <c r="C574" s="7" t="s">
        <v>537</v>
      </c>
      <c r="D574" s="7" t="s">
        <v>112</v>
      </c>
      <c r="E574" s="9">
        <v>5814.48</v>
      </c>
      <c r="F574" s="7">
        <v>0.0</v>
      </c>
      <c r="G574" s="7" t="s">
        <v>1221</v>
      </c>
      <c r="H574" s="7" t="s">
        <v>84</v>
      </c>
      <c r="I574" s="15">
        <f t="array" ref="I574">INDEX(CC!C:C,MATCH(1,(CC!A:A=H574)*(CC!B:B=J574),0))</f>
        <v>1002</v>
      </c>
      <c r="J574" s="7" t="s">
        <v>25</v>
      </c>
      <c r="K574" s="9">
        <v>5814.48</v>
      </c>
    </row>
    <row r="575">
      <c r="A575" s="5"/>
      <c r="B575" s="5"/>
      <c r="C575" s="7" t="s">
        <v>537</v>
      </c>
      <c r="D575" s="7" t="s">
        <v>679</v>
      </c>
      <c r="E575" s="7">
        <v>700.0</v>
      </c>
      <c r="F575" s="7">
        <v>0.0</v>
      </c>
      <c r="G575" s="7" t="s">
        <v>1221</v>
      </c>
      <c r="H575" s="7" t="s">
        <v>84</v>
      </c>
      <c r="I575" s="15">
        <f t="array" ref="I575">INDEX(CC!C:C,MATCH(1,(CC!A:A=H575)*(CC!B:B=J575),0))</f>
        <v>1002</v>
      </c>
      <c r="J575" s="7" t="s">
        <v>25</v>
      </c>
      <c r="K575" s="7">
        <v>700.0</v>
      </c>
    </row>
    <row r="576">
      <c r="A576" s="5"/>
      <c r="B576" s="5"/>
      <c r="C576" s="7" t="s">
        <v>537</v>
      </c>
      <c r="D576" s="7" t="s">
        <v>126</v>
      </c>
      <c r="E576" s="7">
        <v>35.0</v>
      </c>
      <c r="F576" s="7">
        <v>0.0</v>
      </c>
      <c r="G576" s="7" t="s">
        <v>1221</v>
      </c>
      <c r="H576" s="7" t="s">
        <v>84</v>
      </c>
      <c r="I576" s="15">
        <f t="array" ref="I576">INDEX(CC!C:C,MATCH(1,(CC!A:A=H576)*(CC!B:B=J576),0))</f>
        <v>1002</v>
      </c>
      <c r="J576" s="7" t="s">
        <v>25</v>
      </c>
      <c r="K576" s="7">
        <v>35.0</v>
      </c>
    </row>
    <row r="577">
      <c r="A577" s="5"/>
      <c r="B577" s="5"/>
      <c r="C577" s="7" t="s">
        <v>537</v>
      </c>
      <c r="D577" s="7" t="s">
        <v>137</v>
      </c>
      <c r="E577" s="9">
        <v>1768.57</v>
      </c>
      <c r="F577" s="7">
        <v>0.0</v>
      </c>
      <c r="G577" s="7" t="s">
        <v>1221</v>
      </c>
      <c r="H577" s="7" t="s">
        <v>84</v>
      </c>
      <c r="I577" s="15">
        <f t="array" ref="I577">INDEX(CC!C:C,MATCH(1,(CC!A:A=H577)*(CC!B:B=J577),0))</f>
        <v>1002</v>
      </c>
      <c r="J577" s="7" t="s">
        <v>25</v>
      </c>
      <c r="K577" s="9">
        <v>1768.57</v>
      </c>
    </row>
    <row r="578">
      <c r="A578" s="18">
        <v>17.0638</v>
      </c>
      <c r="B578" s="18" t="s">
        <v>244</v>
      </c>
      <c r="C578" s="18" t="s">
        <v>246</v>
      </c>
      <c r="D578" s="18" t="s">
        <v>1259</v>
      </c>
      <c r="E578" s="19">
        <v>3150.0</v>
      </c>
      <c r="F578" s="18">
        <v>0.0</v>
      </c>
      <c r="G578" s="18" t="s">
        <v>1260</v>
      </c>
      <c r="H578" s="18" t="s">
        <v>250</v>
      </c>
      <c r="I578" s="20">
        <f t="array" ref="I578">INDEX(CC!C:C,MATCH(1,(CC!A:A=H578)*(CC!B:B=J578),0))</f>
        <v>1402</v>
      </c>
      <c r="J578" s="18" t="s">
        <v>25</v>
      </c>
      <c r="K578" s="19">
        <f>(E578-F578)*$A$578</f>
        <v>53750.97</v>
      </c>
    </row>
    <row r="579">
      <c r="A579" s="34"/>
      <c r="B579" s="35" t="s">
        <v>29</v>
      </c>
      <c r="C579" s="35" t="s">
        <v>578</v>
      </c>
      <c r="D579" s="35" t="s">
        <v>579</v>
      </c>
      <c r="E579" s="36">
        <v>66300.32</v>
      </c>
      <c r="F579" s="35">
        <v>0.0</v>
      </c>
      <c r="G579" s="35" t="s">
        <v>580</v>
      </c>
      <c r="H579" s="35" t="s">
        <v>581</v>
      </c>
      <c r="I579" s="15">
        <f t="array" ref="I579">INDEX(CC!C:C,MATCH(1,(CC!A:A=H579)*(CC!B:B=J579),0))</f>
        <v>202</v>
      </c>
      <c r="J579" s="35" t="s">
        <v>25</v>
      </c>
      <c r="K579" s="36">
        <v>27249.0</v>
      </c>
    </row>
    <row r="580">
      <c r="A580" s="34"/>
      <c r="B580" s="34"/>
      <c r="C580" s="35" t="s">
        <v>578</v>
      </c>
      <c r="D580" s="35" t="s">
        <v>579</v>
      </c>
      <c r="E580" s="37"/>
      <c r="F580" s="34"/>
      <c r="G580" s="35" t="s">
        <v>580</v>
      </c>
      <c r="H580" s="35" t="s">
        <v>1032</v>
      </c>
      <c r="I580" s="15">
        <f t="array" ref="I580">INDEX(CC!C:C,MATCH(1,(CC!A:A=H580)*(CC!B:B=J580),0))</f>
        <v>302</v>
      </c>
      <c r="J580" s="35" t="s">
        <v>25</v>
      </c>
      <c r="K580" s="36">
        <v>39051.33</v>
      </c>
    </row>
    <row r="581">
      <c r="A581" s="5"/>
      <c r="B581" s="7" t="s">
        <v>29</v>
      </c>
      <c r="C581" s="7" t="s">
        <v>549</v>
      </c>
      <c r="D581" s="7" t="s">
        <v>277</v>
      </c>
      <c r="E581" s="9">
        <v>1300.0</v>
      </c>
      <c r="F581" s="7">
        <v>0.0</v>
      </c>
      <c r="G581" s="7" t="s">
        <v>1271</v>
      </c>
      <c r="H581" s="7" t="s">
        <v>551</v>
      </c>
      <c r="I581" s="15">
        <f t="array" ref="I581">INDEX(CC!C:C,MATCH(1,(CC!A:A=H581)*(CC!B:B=J581),0))</f>
        <v>1202</v>
      </c>
      <c r="J581" s="7" t="s">
        <v>25</v>
      </c>
      <c r="K581" s="9">
        <v>1300.0</v>
      </c>
    </row>
    <row r="582">
      <c r="A582" s="5"/>
      <c r="B582" s="5"/>
      <c r="C582" s="7" t="s">
        <v>549</v>
      </c>
      <c r="D582" s="7" t="s">
        <v>126</v>
      </c>
      <c r="E582" s="7">
        <v>35.0</v>
      </c>
      <c r="F582" s="7">
        <v>0.0</v>
      </c>
      <c r="G582" s="7" t="s">
        <v>1271</v>
      </c>
      <c r="H582" s="7" t="s">
        <v>551</v>
      </c>
      <c r="I582" s="15">
        <f t="array" ref="I582">INDEX(CC!C:C,MATCH(1,(CC!A:A=H582)*(CC!B:B=J582),0))</f>
        <v>1202</v>
      </c>
      <c r="J582" s="7" t="s">
        <v>25</v>
      </c>
      <c r="K582" s="7">
        <v>35.0</v>
      </c>
    </row>
    <row r="583">
      <c r="A583" s="5"/>
      <c r="B583" s="5"/>
      <c r="C583" s="7" t="s">
        <v>549</v>
      </c>
      <c r="D583" s="7" t="s">
        <v>137</v>
      </c>
      <c r="E583" s="9">
        <v>7911.55</v>
      </c>
      <c r="F583" s="7">
        <v>0.0</v>
      </c>
      <c r="G583" s="7" t="s">
        <v>1271</v>
      </c>
      <c r="H583" s="7" t="s">
        <v>551</v>
      </c>
      <c r="I583" s="15">
        <f t="array" ref="I583">INDEX(CC!C:C,MATCH(1,(CC!A:A=H583)*(CC!B:B=J583),0))</f>
        <v>1202</v>
      </c>
      <c r="J583" s="7" t="s">
        <v>25</v>
      </c>
      <c r="K583" s="9">
        <v>7911.55</v>
      </c>
    </row>
    <row r="584">
      <c r="A584" s="5"/>
      <c r="B584" s="7" t="s">
        <v>29</v>
      </c>
      <c r="C584" s="7" t="s">
        <v>306</v>
      </c>
      <c r="D584" s="7" t="s">
        <v>33</v>
      </c>
      <c r="E584" s="9">
        <v>2600.0</v>
      </c>
      <c r="F584" s="7">
        <v>0.0</v>
      </c>
      <c r="G584" s="7" t="s">
        <v>1279</v>
      </c>
      <c r="H584" s="7" t="s">
        <v>40</v>
      </c>
      <c r="I584" s="15">
        <f t="array" ref="I584">INDEX(CC!C:C,MATCH(1,(CC!A:A=H584)*(CC!B:B=J584),0))</f>
        <v>602</v>
      </c>
      <c r="J584" s="7" t="s">
        <v>25</v>
      </c>
      <c r="K584" s="9">
        <v>2600.0</v>
      </c>
    </row>
    <row r="585">
      <c r="A585" s="5"/>
      <c r="B585" s="7" t="s">
        <v>29</v>
      </c>
      <c r="C585" s="7" t="s">
        <v>1284</v>
      </c>
      <c r="D585" s="7" t="s">
        <v>33</v>
      </c>
      <c r="E585" s="9">
        <v>10603.45</v>
      </c>
      <c r="F585" s="7">
        <v>0.0</v>
      </c>
      <c r="G585" s="7" t="s">
        <v>1285</v>
      </c>
      <c r="H585" s="7" t="s">
        <v>554</v>
      </c>
      <c r="I585" s="15">
        <f t="array" ref="I585">INDEX(CC!C:C,MATCH(1,(CC!A:A=H585)*(CC!B:B=J585),0))</f>
        <v>1702</v>
      </c>
      <c r="J585" s="7" t="s">
        <v>25</v>
      </c>
      <c r="K585" s="9">
        <v>10603.45</v>
      </c>
    </row>
    <row r="586">
      <c r="A586" s="5"/>
      <c r="B586" s="7" t="s">
        <v>29</v>
      </c>
      <c r="C586" s="7" t="s">
        <v>32</v>
      </c>
      <c r="D586" s="7" t="s">
        <v>33</v>
      </c>
      <c r="E586" s="9">
        <v>6000.0</v>
      </c>
      <c r="F586" s="7">
        <v>0.0</v>
      </c>
      <c r="G586" s="7" t="s">
        <v>1066</v>
      </c>
      <c r="H586" s="7" t="s">
        <v>40</v>
      </c>
      <c r="I586" s="15">
        <f t="array" ref="I586">INDEX(CC!C:C,MATCH(1,(CC!A:A=H586)*(CC!B:B=J586),0))</f>
        <v>602</v>
      </c>
      <c r="J586" s="7" t="s">
        <v>25</v>
      </c>
      <c r="K586" s="9">
        <v>6000.0</v>
      </c>
    </row>
    <row r="587">
      <c r="A587" s="5"/>
      <c r="B587" s="7" t="s">
        <v>29</v>
      </c>
      <c r="C587" s="7" t="s">
        <v>699</v>
      </c>
      <c r="D587" s="7" t="s">
        <v>104</v>
      </c>
      <c r="E587" s="9">
        <v>1000.0</v>
      </c>
      <c r="F587" s="7">
        <v>0.0</v>
      </c>
      <c r="G587" s="7" t="s">
        <v>1294</v>
      </c>
      <c r="H587" s="7" t="s">
        <v>554</v>
      </c>
      <c r="I587" s="15">
        <f t="array" ref="I587">INDEX(CC!C:C,MATCH(1,(CC!A:A=H587)*(CC!B:B=J587),0))</f>
        <v>1702</v>
      </c>
      <c r="J587" s="7" t="s">
        <v>25</v>
      </c>
      <c r="K587" s="9">
        <v>1000.0</v>
      </c>
    </row>
    <row r="588">
      <c r="A588" s="5"/>
      <c r="B588" s="5"/>
      <c r="C588" s="7" t="s">
        <v>699</v>
      </c>
      <c r="D588" s="7" t="s">
        <v>126</v>
      </c>
      <c r="E588" s="7">
        <v>21.8</v>
      </c>
      <c r="F588" s="7">
        <v>0.0</v>
      </c>
      <c r="G588" s="7" t="s">
        <v>1294</v>
      </c>
      <c r="H588" s="7" t="s">
        <v>554</v>
      </c>
      <c r="I588" s="15">
        <f t="array" ref="I588">INDEX(CC!C:C,MATCH(1,(CC!A:A=H588)*(CC!B:B=J588),0))</f>
        <v>1702</v>
      </c>
      <c r="J588" s="7" t="s">
        <v>25</v>
      </c>
      <c r="K588" s="7">
        <v>21.8</v>
      </c>
    </row>
    <row r="589">
      <c r="A589" s="5"/>
      <c r="B589" s="5"/>
      <c r="C589" s="7" t="s">
        <v>699</v>
      </c>
      <c r="D589" s="7" t="s">
        <v>137</v>
      </c>
      <c r="E589" s="9">
        <v>7194.0</v>
      </c>
      <c r="F589" s="7">
        <v>0.0</v>
      </c>
      <c r="G589" s="7" t="s">
        <v>1294</v>
      </c>
      <c r="H589" s="7" t="s">
        <v>554</v>
      </c>
      <c r="I589" s="15">
        <f t="array" ref="I589">INDEX(CC!C:C,MATCH(1,(CC!A:A=H589)*(CC!B:B=J589),0))</f>
        <v>1702</v>
      </c>
      <c r="J589" s="7" t="s">
        <v>25</v>
      </c>
      <c r="K589" s="9">
        <v>7194.0</v>
      </c>
    </row>
    <row r="590">
      <c r="A590" s="5"/>
      <c r="B590" s="7" t="s">
        <v>29</v>
      </c>
      <c r="C590" s="7" t="s">
        <v>168</v>
      </c>
      <c r="D590" s="7" t="s">
        <v>82</v>
      </c>
      <c r="E590" s="9">
        <v>3567.3</v>
      </c>
      <c r="F590" s="7">
        <v>0.0</v>
      </c>
      <c r="G590" s="7" t="s">
        <v>1306</v>
      </c>
      <c r="H590" s="7" t="s">
        <v>84</v>
      </c>
      <c r="I590" s="15">
        <f t="array" ref="I590">INDEX(CC!C:C,MATCH(1,(CC!A:A=H590)*(CC!B:B=J590),0))</f>
        <v>1002</v>
      </c>
      <c r="J590" s="7" t="s">
        <v>25</v>
      </c>
      <c r="K590" s="9">
        <v>3567.3</v>
      </c>
    </row>
    <row r="591">
      <c r="A591" s="5"/>
      <c r="B591" s="5"/>
      <c r="C591" s="7" t="s">
        <v>168</v>
      </c>
      <c r="D591" s="7" t="s">
        <v>112</v>
      </c>
      <c r="E591" s="7">
        <v>623.8</v>
      </c>
      <c r="F591" s="7">
        <v>0.0</v>
      </c>
      <c r="G591" s="7" t="s">
        <v>1306</v>
      </c>
      <c r="H591" s="7" t="s">
        <v>84</v>
      </c>
      <c r="I591" s="15">
        <f t="array" ref="I591">INDEX(CC!C:C,MATCH(1,(CC!A:A=H591)*(CC!B:B=J591),0))</f>
        <v>1002</v>
      </c>
      <c r="J591" s="7" t="s">
        <v>25</v>
      </c>
      <c r="K591" s="7">
        <v>623.8</v>
      </c>
    </row>
    <row r="592">
      <c r="A592" s="5"/>
      <c r="B592" s="5"/>
      <c r="C592" s="7" t="s">
        <v>168</v>
      </c>
      <c r="D592" s="7" t="s">
        <v>126</v>
      </c>
      <c r="E592" s="7">
        <v>35.0</v>
      </c>
      <c r="F592" s="7">
        <v>0.0</v>
      </c>
      <c r="G592" s="7" t="s">
        <v>1306</v>
      </c>
      <c r="H592" s="7" t="s">
        <v>84</v>
      </c>
      <c r="I592" s="15">
        <f t="array" ref="I592">INDEX(CC!C:C,MATCH(1,(CC!A:A=H592)*(CC!B:B=J592),0))</f>
        <v>1002</v>
      </c>
      <c r="J592" s="7" t="s">
        <v>25</v>
      </c>
      <c r="K592" s="7">
        <v>35.0</v>
      </c>
    </row>
    <row r="593">
      <c r="A593" s="5"/>
      <c r="B593" s="5"/>
      <c r="C593" s="7" t="s">
        <v>168</v>
      </c>
      <c r="D593" s="7" t="s">
        <v>137</v>
      </c>
      <c r="E593" s="7">
        <v>813.72</v>
      </c>
      <c r="F593" s="7">
        <v>0.0</v>
      </c>
      <c r="G593" s="7" t="s">
        <v>1306</v>
      </c>
      <c r="H593" s="7" t="s">
        <v>84</v>
      </c>
      <c r="I593" s="15">
        <f t="array" ref="I593">INDEX(CC!C:C,MATCH(1,(CC!A:A=H593)*(CC!B:B=J593),0))</f>
        <v>1002</v>
      </c>
      <c r="J593" s="7" t="s">
        <v>25</v>
      </c>
      <c r="K593" s="7">
        <v>813.72</v>
      </c>
    </row>
    <row r="594">
      <c r="A594" s="5"/>
      <c r="B594" s="7" t="s">
        <v>29</v>
      </c>
      <c r="C594" s="7" t="s">
        <v>32</v>
      </c>
      <c r="D594" s="7" t="s">
        <v>307</v>
      </c>
      <c r="E594" s="7">
        <v>945.65</v>
      </c>
      <c r="F594" s="7">
        <v>0.0</v>
      </c>
      <c r="G594" s="7" t="s">
        <v>1066</v>
      </c>
      <c r="H594" s="7" t="s">
        <v>74</v>
      </c>
      <c r="I594" s="15">
        <f t="array" ref="I594">INDEX(CC!C:C,MATCH(1,(CC!A:A=H594)*(CC!B:B=J594),0))</f>
        <v>1502</v>
      </c>
      <c r="J594" s="7" t="s">
        <v>25</v>
      </c>
      <c r="K594" s="7">
        <v>945.65</v>
      </c>
    </row>
    <row r="595">
      <c r="A595" s="5"/>
      <c r="B595" s="5"/>
      <c r="C595" s="7" t="s">
        <v>32</v>
      </c>
      <c r="D595" s="7" t="s">
        <v>82</v>
      </c>
      <c r="E595" s="7">
        <v>362.91</v>
      </c>
      <c r="F595" s="7">
        <v>0.0</v>
      </c>
      <c r="G595" s="7" t="s">
        <v>1066</v>
      </c>
      <c r="H595" s="7" t="s">
        <v>74</v>
      </c>
      <c r="I595" s="15">
        <f t="array" ref="I595">INDEX(CC!C:C,MATCH(1,(CC!A:A=H595)*(CC!B:B=J595),0))</f>
        <v>1502</v>
      </c>
      <c r="J595" s="7" t="s">
        <v>25</v>
      </c>
      <c r="K595" s="7">
        <v>362.91</v>
      </c>
    </row>
    <row r="596">
      <c r="A596" s="5"/>
      <c r="B596" s="5"/>
      <c r="C596" s="7" t="s">
        <v>32</v>
      </c>
      <c r="D596" s="7" t="s">
        <v>199</v>
      </c>
      <c r="E596" s="9">
        <v>1536.68</v>
      </c>
      <c r="F596" s="7">
        <v>0.0</v>
      </c>
      <c r="G596" s="7" t="s">
        <v>1066</v>
      </c>
      <c r="H596" s="7" t="s">
        <v>74</v>
      </c>
      <c r="I596" s="15">
        <f t="array" ref="I596">INDEX(CC!C:C,MATCH(1,(CC!A:A=H596)*(CC!B:B=J596),0))</f>
        <v>1502</v>
      </c>
      <c r="J596" s="7" t="s">
        <v>25</v>
      </c>
      <c r="K596" s="9">
        <v>1536.68</v>
      </c>
    </row>
    <row r="597">
      <c r="A597" s="5"/>
      <c r="B597" s="5"/>
      <c r="C597" s="7" t="s">
        <v>32</v>
      </c>
      <c r="D597" s="7" t="s">
        <v>104</v>
      </c>
      <c r="E597" s="9">
        <v>1500.0</v>
      </c>
      <c r="F597" s="7">
        <v>0.0</v>
      </c>
      <c r="G597" s="7" t="s">
        <v>1066</v>
      </c>
      <c r="H597" s="7" t="s">
        <v>74</v>
      </c>
      <c r="I597" s="15">
        <f t="array" ref="I597">INDEX(CC!C:C,MATCH(1,(CC!A:A=H597)*(CC!B:B=J597),0))</f>
        <v>1502</v>
      </c>
      <c r="J597" s="7" t="s">
        <v>25</v>
      </c>
      <c r="K597" s="9">
        <v>1500.0</v>
      </c>
    </row>
    <row r="598">
      <c r="A598" s="5"/>
      <c r="B598" s="5"/>
      <c r="C598" s="7" t="s">
        <v>32</v>
      </c>
      <c r="D598" s="7" t="s">
        <v>112</v>
      </c>
      <c r="E598" s="9">
        <v>6843.67</v>
      </c>
      <c r="F598" s="7">
        <v>0.0</v>
      </c>
      <c r="G598" s="7" t="s">
        <v>1066</v>
      </c>
      <c r="H598" s="7" t="s">
        <v>74</v>
      </c>
      <c r="I598" s="15">
        <f t="array" ref="I598">INDEX(CC!C:C,MATCH(1,(CC!A:A=H598)*(CC!B:B=J598),0))</f>
        <v>1502</v>
      </c>
      <c r="J598" s="7" t="s">
        <v>25</v>
      </c>
      <c r="K598" s="9">
        <v>6843.67</v>
      </c>
    </row>
    <row r="599">
      <c r="A599" s="5"/>
      <c r="B599" s="5"/>
      <c r="C599" s="7" t="s">
        <v>32</v>
      </c>
      <c r="D599" s="7" t="s">
        <v>126</v>
      </c>
      <c r="E599" s="7">
        <v>36.29</v>
      </c>
      <c r="F599" s="7">
        <v>0.0</v>
      </c>
      <c r="G599" s="7" t="s">
        <v>1066</v>
      </c>
      <c r="H599" s="7" t="s">
        <v>74</v>
      </c>
      <c r="I599" s="15">
        <f t="array" ref="I599">INDEX(CC!C:C,MATCH(1,(CC!A:A=H599)*(CC!B:B=J599),0))</f>
        <v>1502</v>
      </c>
      <c r="J599" s="7" t="s">
        <v>25</v>
      </c>
      <c r="K599" s="7">
        <v>36.29</v>
      </c>
    </row>
    <row r="600">
      <c r="A600" s="5"/>
      <c r="B600" s="5"/>
      <c r="C600" s="7" t="s">
        <v>32</v>
      </c>
      <c r="D600" s="7" t="s">
        <v>137</v>
      </c>
      <c r="E600" s="9">
        <v>1566.28</v>
      </c>
      <c r="F600" s="7">
        <v>0.0</v>
      </c>
      <c r="G600" s="7" t="s">
        <v>1066</v>
      </c>
      <c r="H600" s="7" t="s">
        <v>74</v>
      </c>
      <c r="I600" s="15">
        <f t="array" ref="I600">INDEX(CC!C:C,MATCH(1,(CC!A:A=H600)*(CC!B:B=J600),0))</f>
        <v>1502</v>
      </c>
      <c r="J600" s="7" t="s">
        <v>25</v>
      </c>
      <c r="K600" s="9">
        <v>1566.28</v>
      </c>
    </row>
    <row r="601">
      <c r="A601" s="5"/>
      <c r="B601" s="7" t="s">
        <v>29</v>
      </c>
      <c r="C601" s="7" t="s">
        <v>148</v>
      </c>
      <c r="D601" s="7" t="s">
        <v>1074</v>
      </c>
      <c r="E601" s="7">
        <v>300.0</v>
      </c>
      <c r="F601" s="7">
        <v>0.0</v>
      </c>
      <c r="G601" s="7" t="s">
        <v>1115</v>
      </c>
      <c r="H601" s="7" t="s">
        <v>74</v>
      </c>
      <c r="I601" s="15">
        <f t="array" ref="I601">INDEX(CC!C:C,MATCH(1,(CC!A:A=H601)*(CC!B:B=J601),0))</f>
        <v>1502</v>
      </c>
      <c r="J601" s="7" t="s">
        <v>25</v>
      </c>
      <c r="K601" s="7">
        <v>300.0</v>
      </c>
    </row>
    <row r="602">
      <c r="A602" s="5"/>
      <c r="B602" s="5"/>
      <c r="C602" s="7" t="s">
        <v>148</v>
      </c>
      <c r="D602" s="7" t="s">
        <v>104</v>
      </c>
      <c r="E602" s="9">
        <v>1000.0</v>
      </c>
      <c r="F602" s="7">
        <v>0.0</v>
      </c>
      <c r="G602" s="7" t="s">
        <v>1115</v>
      </c>
      <c r="H602" s="7" t="s">
        <v>74</v>
      </c>
      <c r="I602" s="15">
        <f t="array" ref="I602">INDEX(CC!C:C,MATCH(1,(CC!A:A=H602)*(CC!B:B=J602),0))</f>
        <v>1502</v>
      </c>
      <c r="J602" s="7" t="s">
        <v>25</v>
      </c>
      <c r="K602" s="9">
        <v>1000.0</v>
      </c>
    </row>
    <row r="603">
      <c r="A603" s="5"/>
      <c r="B603" s="5"/>
      <c r="C603" s="7" t="s">
        <v>148</v>
      </c>
      <c r="D603" s="7" t="s">
        <v>126</v>
      </c>
      <c r="E603" s="7">
        <v>30.0</v>
      </c>
      <c r="F603" s="7">
        <v>0.0</v>
      </c>
      <c r="G603" s="7" t="s">
        <v>1115</v>
      </c>
      <c r="H603" s="7" t="s">
        <v>74</v>
      </c>
      <c r="I603" s="15">
        <f t="array" ref="I603">INDEX(CC!C:C,MATCH(1,(CC!A:A=H603)*(CC!B:B=J603),0))</f>
        <v>1502</v>
      </c>
      <c r="J603" s="7" t="s">
        <v>25</v>
      </c>
      <c r="K603" s="7">
        <v>30.0</v>
      </c>
    </row>
    <row r="604">
      <c r="A604" s="5"/>
      <c r="B604" s="7" t="s">
        <v>29</v>
      </c>
      <c r="C604" s="7" t="s">
        <v>331</v>
      </c>
      <c r="D604" s="7" t="s">
        <v>33</v>
      </c>
      <c r="E604" s="7">
        <v>0.01</v>
      </c>
      <c r="F604" s="7">
        <v>0.0</v>
      </c>
      <c r="G604" s="7" t="s">
        <v>1335</v>
      </c>
      <c r="H604" s="7" t="s">
        <v>40</v>
      </c>
      <c r="I604" s="15">
        <f t="array" ref="I604">INDEX(CC!C:C,MATCH(1,(CC!A:A=H604)*(CC!B:B=J604),0))</f>
        <v>602</v>
      </c>
      <c r="J604" s="7" t="s">
        <v>25</v>
      </c>
      <c r="K604" s="7">
        <v>0.01</v>
      </c>
    </row>
    <row r="605">
      <c r="A605" s="5"/>
      <c r="B605" s="7" t="s">
        <v>29</v>
      </c>
      <c r="C605" s="7" t="s">
        <v>930</v>
      </c>
      <c r="D605" s="7" t="s">
        <v>307</v>
      </c>
      <c r="E605" s="9">
        <v>1730.71</v>
      </c>
      <c r="F605" s="7">
        <v>0.0</v>
      </c>
      <c r="G605" s="7" t="s">
        <v>1207</v>
      </c>
      <c r="H605" s="7" t="s">
        <v>55</v>
      </c>
      <c r="I605" s="15">
        <f t="array" ref="I605">INDEX(CC!C:C,MATCH(1,(CC!A:A=H605)*(CC!B:B=J605),0))</f>
        <v>902</v>
      </c>
      <c r="J605" s="7" t="s">
        <v>25</v>
      </c>
      <c r="K605" s="9">
        <v>1730.71</v>
      </c>
    </row>
    <row r="606">
      <c r="A606" s="5"/>
      <c r="B606" s="5"/>
      <c r="C606" s="7" t="s">
        <v>930</v>
      </c>
      <c r="D606" s="7" t="s">
        <v>82</v>
      </c>
      <c r="E606" s="7">
        <v>324.13</v>
      </c>
      <c r="F606" s="7">
        <v>0.0</v>
      </c>
      <c r="G606" s="7" t="s">
        <v>1207</v>
      </c>
      <c r="H606" s="7" t="s">
        <v>55</v>
      </c>
      <c r="I606" s="15">
        <f t="array" ref="I606">INDEX(CC!C:C,MATCH(1,(CC!A:A=H606)*(CC!B:B=J606),0))</f>
        <v>902</v>
      </c>
      <c r="J606" s="7" t="s">
        <v>25</v>
      </c>
      <c r="K606" s="7">
        <v>324.13</v>
      </c>
    </row>
    <row r="607">
      <c r="A607" s="5"/>
      <c r="B607" s="5"/>
      <c r="C607" s="7" t="s">
        <v>930</v>
      </c>
      <c r="D607" s="7" t="s">
        <v>199</v>
      </c>
      <c r="E607" s="9">
        <v>1730.71</v>
      </c>
      <c r="F607" s="7">
        <v>0.0</v>
      </c>
      <c r="G607" s="7" t="s">
        <v>1207</v>
      </c>
      <c r="H607" s="7" t="s">
        <v>55</v>
      </c>
      <c r="I607" s="15">
        <f t="array" ref="I607">INDEX(CC!C:C,MATCH(1,(CC!A:A=H607)*(CC!B:B=J607),0))</f>
        <v>902</v>
      </c>
      <c r="J607" s="7" t="s">
        <v>25</v>
      </c>
      <c r="K607" s="9">
        <v>1730.71</v>
      </c>
    </row>
    <row r="608">
      <c r="A608" s="5"/>
      <c r="B608" s="5"/>
      <c r="C608" s="7" t="s">
        <v>930</v>
      </c>
      <c r="D608" s="7" t="s">
        <v>104</v>
      </c>
      <c r="E608" s="9">
        <v>2500.0</v>
      </c>
      <c r="F608" s="7">
        <v>0.0</v>
      </c>
      <c r="G608" s="7" t="s">
        <v>1207</v>
      </c>
      <c r="H608" s="7" t="s">
        <v>55</v>
      </c>
      <c r="I608" s="15">
        <f t="array" ref="I608">INDEX(CC!C:C,MATCH(1,(CC!A:A=H608)*(CC!B:B=J608),0))</f>
        <v>902</v>
      </c>
      <c r="J608" s="7" t="s">
        <v>25</v>
      </c>
      <c r="K608" s="9">
        <v>2500.0</v>
      </c>
    </row>
    <row r="609">
      <c r="A609" s="5"/>
      <c r="B609" s="5"/>
      <c r="C609" s="7" t="s">
        <v>930</v>
      </c>
      <c r="D609" s="7" t="s">
        <v>126</v>
      </c>
      <c r="E609" s="7">
        <v>35.0</v>
      </c>
      <c r="F609" s="7">
        <v>0.0</v>
      </c>
      <c r="G609" s="7" t="s">
        <v>1207</v>
      </c>
      <c r="H609" s="7" t="s">
        <v>55</v>
      </c>
      <c r="I609" s="15">
        <f t="array" ref="I609">INDEX(CC!C:C,MATCH(1,(CC!A:A=H609)*(CC!B:B=J609),0))</f>
        <v>902</v>
      </c>
      <c r="J609" s="7" t="s">
        <v>25</v>
      </c>
      <c r="K609" s="7">
        <v>35.0</v>
      </c>
    </row>
    <row r="610">
      <c r="A610" s="5"/>
      <c r="B610" s="5"/>
      <c r="C610" s="7" t="s">
        <v>930</v>
      </c>
      <c r="D610" s="7" t="s">
        <v>137</v>
      </c>
      <c r="E610" s="9">
        <v>3245.08</v>
      </c>
      <c r="F610" s="7">
        <v>0.0</v>
      </c>
      <c r="G610" s="7" t="s">
        <v>1207</v>
      </c>
      <c r="H610" s="7" t="s">
        <v>55</v>
      </c>
      <c r="I610" s="15">
        <f t="array" ref="I610">INDEX(CC!C:C,MATCH(1,(CC!A:A=H610)*(CC!B:B=J610),0))</f>
        <v>902</v>
      </c>
      <c r="J610" s="7" t="s">
        <v>25</v>
      </c>
      <c r="K610" s="9">
        <v>3245.08</v>
      </c>
    </row>
    <row r="611">
      <c r="A611" s="5"/>
      <c r="B611" s="7" t="s">
        <v>29</v>
      </c>
      <c r="C611" s="7" t="s">
        <v>1137</v>
      </c>
      <c r="D611" s="7" t="s">
        <v>307</v>
      </c>
      <c r="E611" s="9">
        <v>1700.0</v>
      </c>
      <c r="F611" s="7">
        <v>0.0</v>
      </c>
      <c r="G611" s="7" t="s">
        <v>1138</v>
      </c>
      <c r="H611" s="7" t="s">
        <v>74</v>
      </c>
      <c r="I611" s="15">
        <f t="array" ref="I611">INDEX(CC!C:C,MATCH(1,(CC!A:A=H611)*(CC!B:B=J611),0))</f>
        <v>1502</v>
      </c>
      <c r="J611" s="7" t="s">
        <v>25</v>
      </c>
      <c r="K611" s="9">
        <v>1700.0</v>
      </c>
    </row>
    <row r="612">
      <c r="A612" s="5"/>
      <c r="B612" s="5"/>
      <c r="C612" s="7" t="s">
        <v>1137</v>
      </c>
      <c r="D612" s="7" t="s">
        <v>82</v>
      </c>
      <c r="E612" s="7">
        <v>350.0</v>
      </c>
      <c r="F612" s="7">
        <v>0.0</v>
      </c>
      <c r="G612" s="7" t="s">
        <v>1138</v>
      </c>
      <c r="H612" s="7" t="s">
        <v>74</v>
      </c>
      <c r="I612" s="15">
        <f t="array" ref="I612">INDEX(CC!C:C,MATCH(1,(CC!A:A=H612)*(CC!B:B=J612),0))</f>
        <v>1502</v>
      </c>
      <c r="J612" s="7" t="s">
        <v>25</v>
      </c>
      <c r="K612" s="7">
        <v>350.0</v>
      </c>
    </row>
    <row r="613">
      <c r="A613" s="5"/>
      <c r="B613" s="5"/>
      <c r="C613" s="7" t="s">
        <v>1137</v>
      </c>
      <c r="D613" s="7" t="s">
        <v>199</v>
      </c>
      <c r="E613" s="9">
        <v>1700.0</v>
      </c>
      <c r="F613" s="7">
        <v>0.0</v>
      </c>
      <c r="G613" s="7" t="s">
        <v>1138</v>
      </c>
      <c r="H613" s="7" t="s">
        <v>74</v>
      </c>
      <c r="I613" s="15">
        <f t="array" ref="I613">INDEX(CC!C:C,MATCH(1,(CC!A:A=H613)*(CC!B:B=J613),0))</f>
        <v>1502</v>
      </c>
      <c r="J613" s="7" t="s">
        <v>25</v>
      </c>
      <c r="K613" s="9">
        <v>1700.0</v>
      </c>
    </row>
    <row r="614">
      <c r="A614" s="5"/>
      <c r="B614" s="5"/>
      <c r="C614" s="7" t="s">
        <v>1137</v>
      </c>
      <c r="D614" s="7" t="s">
        <v>104</v>
      </c>
      <c r="E614" s="9">
        <v>2500.0</v>
      </c>
      <c r="F614" s="7">
        <v>0.0</v>
      </c>
      <c r="G614" s="7" t="s">
        <v>1138</v>
      </c>
      <c r="H614" s="7" t="s">
        <v>74</v>
      </c>
      <c r="I614" s="15">
        <f t="array" ref="I614">INDEX(CC!C:C,MATCH(1,(CC!A:A=H614)*(CC!B:B=J614),0))</f>
        <v>1502</v>
      </c>
      <c r="J614" s="7" t="s">
        <v>25</v>
      </c>
      <c r="K614" s="9">
        <v>2500.0</v>
      </c>
    </row>
    <row r="615">
      <c r="A615" s="5"/>
      <c r="B615" s="5"/>
      <c r="C615" s="7" t="s">
        <v>1137</v>
      </c>
      <c r="D615" s="7" t="s">
        <v>126</v>
      </c>
      <c r="E615" s="7">
        <v>35.0</v>
      </c>
      <c r="F615" s="7">
        <v>0.0</v>
      </c>
      <c r="G615" s="7" t="s">
        <v>1138</v>
      </c>
      <c r="H615" s="7" t="s">
        <v>74</v>
      </c>
      <c r="I615" s="15">
        <f t="array" ref="I615">INDEX(CC!C:C,MATCH(1,(CC!A:A=H615)*(CC!B:B=J615),0))</f>
        <v>1502</v>
      </c>
      <c r="J615" s="7" t="s">
        <v>25</v>
      </c>
      <c r="K615" s="7">
        <v>35.0</v>
      </c>
    </row>
    <row r="616">
      <c r="A616" s="5"/>
      <c r="B616" s="5"/>
      <c r="C616" s="7" t="s">
        <v>1137</v>
      </c>
      <c r="D616" s="7" t="s">
        <v>137</v>
      </c>
      <c r="E616" s="9">
        <v>3200.0</v>
      </c>
      <c r="F616" s="7">
        <v>0.0</v>
      </c>
      <c r="G616" s="7" t="s">
        <v>1138</v>
      </c>
      <c r="H616" s="7" t="s">
        <v>74</v>
      </c>
      <c r="I616" s="15">
        <f t="array" ref="I616">INDEX(CC!C:C,MATCH(1,(CC!A:A=H616)*(CC!B:B=J616),0))</f>
        <v>1502</v>
      </c>
      <c r="J616" s="7" t="s">
        <v>25</v>
      </c>
      <c r="K616" s="9">
        <v>3200.0</v>
      </c>
    </row>
    <row r="617">
      <c r="A617" s="5"/>
      <c r="B617" s="7" t="s">
        <v>29</v>
      </c>
      <c r="C617" s="7" t="s">
        <v>1363</v>
      </c>
      <c r="D617" s="7" t="s">
        <v>307</v>
      </c>
      <c r="E617" s="7">
        <v>324.51</v>
      </c>
      <c r="F617" s="7">
        <v>0.0</v>
      </c>
      <c r="G617" s="7" t="s">
        <v>1364</v>
      </c>
      <c r="H617" s="7" t="s">
        <v>554</v>
      </c>
      <c r="I617" s="15">
        <f t="array" ref="I617">INDEX(CC!C:C,MATCH(1,(CC!A:A=H617)*(CC!B:B=J617),0))</f>
        <v>1702</v>
      </c>
      <c r="J617" s="7" t="s">
        <v>25</v>
      </c>
      <c r="K617" s="7">
        <v>324.51</v>
      </c>
    </row>
    <row r="618">
      <c r="A618" s="5"/>
      <c r="B618" s="5"/>
      <c r="C618" s="7" t="s">
        <v>1363</v>
      </c>
      <c r="D618" s="7" t="s">
        <v>104</v>
      </c>
      <c r="E618" s="9">
        <v>2500.0</v>
      </c>
      <c r="F618" s="7">
        <v>0.0</v>
      </c>
      <c r="G618" s="7" t="s">
        <v>1364</v>
      </c>
      <c r="H618" s="7" t="s">
        <v>554</v>
      </c>
      <c r="I618" s="15">
        <f t="array" ref="I618">INDEX(CC!C:C,MATCH(1,(CC!A:A=H618)*(CC!B:B=J618),0))</f>
        <v>1702</v>
      </c>
      <c r="J618" s="7" t="s">
        <v>25</v>
      </c>
      <c r="K618" s="9">
        <v>2500.0</v>
      </c>
    </row>
    <row r="619">
      <c r="A619" s="5"/>
      <c r="B619" s="5"/>
      <c r="C619" s="7" t="s">
        <v>1363</v>
      </c>
      <c r="D619" s="7" t="s">
        <v>126</v>
      </c>
      <c r="E619" s="7">
        <v>35.0</v>
      </c>
      <c r="F619" s="7">
        <v>0.0</v>
      </c>
      <c r="G619" s="7" t="s">
        <v>1364</v>
      </c>
      <c r="H619" s="7" t="s">
        <v>554</v>
      </c>
      <c r="I619" s="15">
        <f t="array" ref="I619">INDEX(CC!C:C,MATCH(1,(CC!A:A=H619)*(CC!B:B=J619),0))</f>
        <v>1702</v>
      </c>
      <c r="J619" s="7" t="s">
        <v>25</v>
      </c>
      <c r="K619" s="7">
        <v>35.0</v>
      </c>
    </row>
    <row r="620">
      <c r="A620" s="5"/>
      <c r="B620" s="5"/>
      <c r="C620" s="7" t="s">
        <v>1363</v>
      </c>
      <c r="D620" s="7" t="s">
        <v>137</v>
      </c>
      <c r="E620" s="9">
        <v>4326.78</v>
      </c>
      <c r="F620" s="7">
        <v>0.0</v>
      </c>
      <c r="G620" s="7" t="s">
        <v>1364</v>
      </c>
      <c r="H620" s="7" t="s">
        <v>554</v>
      </c>
      <c r="I620" s="15">
        <f t="array" ref="I620">INDEX(CC!C:C,MATCH(1,(CC!A:A=H620)*(CC!B:B=J620),0))</f>
        <v>1702</v>
      </c>
      <c r="J620" s="7" t="s">
        <v>25</v>
      </c>
      <c r="K620" s="9">
        <v>4326.78</v>
      </c>
    </row>
    <row r="621">
      <c r="A621" s="5"/>
      <c r="B621" s="7" t="s">
        <v>29</v>
      </c>
      <c r="C621" s="7" t="s">
        <v>306</v>
      </c>
      <c r="D621" s="7" t="s">
        <v>307</v>
      </c>
      <c r="E621" s="9">
        <v>1695.33</v>
      </c>
      <c r="F621" s="7">
        <v>0.0</v>
      </c>
      <c r="G621" s="7" t="s">
        <v>1367</v>
      </c>
      <c r="H621" s="7" t="s">
        <v>74</v>
      </c>
      <c r="I621" s="15">
        <f t="array" ref="I621">INDEX(CC!C:C,MATCH(1,(CC!A:A=H621)*(CC!B:B=J621),0))</f>
        <v>1502</v>
      </c>
      <c r="J621" s="7" t="s">
        <v>25</v>
      </c>
      <c r="K621" s="9">
        <v>1695.33</v>
      </c>
    </row>
    <row r="622">
      <c r="A622" s="5"/>
      <c r="B622" s="5"/>
      <c r="C622" s="7" t="s">
        <v>306</v>
      </c>
      <c r="D622" s="7" t="s">
        <v>82</v>
      </c>
      <c r="E622" s="7">
        <v>326.62</v>
      </c>
      <c r="F622" s="7">
        <v>0.0</v>
      </c>
      <c r="G622" s="7" t="s">
        <v>1367</v>
      </c>
      <c r="H622" s="7" t="s">
        <v>74</v>
      </c>
      <c r="I622" s="15">
        <f t="array" ref="I622">INDEX(CC!C:C,MATCH(1,(CC!A:A=H622)*(CC!B:B=J622),0))</f>
        <v>1502</v>
      </c>
      <c r="J622" s="7" t="s">
        <v>25</v>
      </c>
      <c r="K622" s="7">
        <v>326.62</v>
      </c>
    </row>
    <row r="623">
      <c r="A623" s="5"/>
      <c r="B623" s="5"/>
      <c r="C623" s="7" t="s">
        <v>306</v>
      </c>
      <c r="D623" s="7" t="s">
        <v>199</v>
      </c>
      <c r="E623" s="9">
        <v>4277.05</v>
      </c>
      <c r="F623" s="7">
        <v>0.0</v>
      </c>
      <c r="G623" s="7" t="s">
        <v>1367</v>
      </c>
      <c r="H623" s="7" t="s">
        <v>74</v>
      </c>
      <c r="I623" s="15">
        <f t="array" ref="I623">INDEX(CC!C:C,MATCH(1,(CC!A:A=H623)*(CC!B:B=J623),0))</f>
        <v>1502</v>
      </c>
      <c r="J623" s="7" t="s">
        <v>25</v>
      </c>
      <c r="K623" s="9">
        <v>4277.05</v>
      </c>
    </row>
    <row r="624">
      <c r="A624" s="5"/>
      <c r="B624" s="5"/>
      <c r="C624" s="7" t="s">
        <v>306</v>
      </c>
      <c r="D624" s="7" t="s">
        <v>112</v>
      </c>
      <c r="E624" s="9">
        <v>12596.31</v>
      </c>
      <c r="F624" s="7">
        <v>0.0</v>
      </c>
      <c r="G624" s="7" t="s">
        <v>1367</v>
      </c>
      <c r="H624" s="7" t="s">
        <v>74</v>
      </c>
      <c r="I624" s="15">
        <f t="array" ref="I624">INDEX(CC!C:C,MATCH(1,(CC!A:A=H624)*(CC!B:B=J624),0))</f>
        <v>1502</v>
      </c>
      <c r="J624" s="7" t="s">
        <v>25</v>
      </c>
      <c r="K624" s="9">
        <v>12596.31</v>
      </c>
    </row>
    <row r="625">
      <c r="A625" s="5"/>
      <c r="B625" s="5"/>
      <c r="C625" s="7" t="s">
        <v>306</v>
      </c>
      <c r="D625" s="7" t="s">
        <v>348</v>
      </c>
      <c r="E625" s="9">
        <v>1802.0</v>
      </c>
      <c r="F625" s="7">
        <v>0.0</v>
      </c>
      <c r="G625" s="7" t="s">
        <v>1367</v>
      </c>
      <c r="H625" s="7" t="s">
        <v>74</v>
      </c>
      <c r="I625" s="15">
        <f t="array" ref="I625">INDEX(CC!C:C,MATCH(1,(CC!A:A=H625)*(CC!B:B=J625),0))</f>
        <v>1502</v>
      </c>
      <c r="J625" s="7" t="s">
        <v>25</v>
      </c>
      <c r="K625" s="9">
        <v>1802.0</v>
      </c>
    </row>
    <row r="626">
      <c r="A626" s="5"/>
      <c r="B626" s="5"/>
      <c r="C626" s="7" t="s">
        <v>306</v>
      </c>
      <c r="D626" s="7" t="s">
        <v>360</v>
      </c>
      <c r="E626" s="9">
        <v>2835.0</v>
      </c>
      <c r="F626" s="7">
        <v>0.0</v>
      </c>
      <c r="G626" s="7" t="s">
        <v>1367</v>
      </c>
      <c r="H626" s="7" t="s">
        <v>74</v>
      </c>
      <c r="I626" s="15">
        <f t="array" ref="I626">INDEX(CC!C:C,MATCH(1,(CC!A:A=H626)*(CC!B:B=J626),0))</f>
        <v>1502</v>
      </c>
      <c r="J626" s="7" t="s">
        <v>25</v>
      </c>
      <c r="K626" s="9">
        <v>2835.0</v>
      </c>
    </row>
    <row r="627">
      <c r="A627" s="5"/>
      <c r="B627" s="5"/>
      <c r="C627" s="7" t="s">
        <v>306</v>
      </c>
      <c r="D627" s="7" t="s">
        <v>126</v>
      </c>
      <c r="E627" s="7">
        <v>35.0</v>
      </c>
      <c r="F627" s="7">
        <v>0.0</v>
      </c>
      <c r="G627" s="7" t="s">
        <v>1367</v>
      </c>
      <c r="H627" s="7" t="s">
        <v>74</v>
      </c>
      <c r="I627" s="15">
        <f t="array" ref="I627">INDEX(CC!C:C,MATCH(1,(CC!A:A=H627)*(CC!B:B=J627),0))</f>
        <v>1502</v>
      </c>
      <c r="J627" s="7" t="s">
        <v>25</v>
      </c>
      <c r="K627" s="7">
        <v>35.0</v>
      </c>
    </row>
    <row r="628">
      <c r="A628" s="5"/>
      <c r="B628" s="5"/>
      <c r="C628" s="7" t="s">
        <v>306</v>
      </c>
      <c r="D628" s="7" t="s">
        <v>137</v>
      </c>
      <c r="E628" s="9">
        <v>2245.45</v>
      </c>
      <c r="F628" s="7">
        <v>0.0</v>
      </c>
      <c r="G628" s="7" t="s">
        <v>1367</v>
      </c>
      <c r="H628" s="7" t="s">
        <v>74</v>
      </c>
      <c r="I628" s="15">
        <f t="array" ref="I628">INDEX(CC!C:C,MATCH(1,(CC!A:A=H628)*(CC!B:B=J628),0))</f>
        <v>1502</v>
      </c>
      <c r="J628" s="7" t="s">
        <v>25</v>
      </c>
      <c r="K628" s="9">
        <v>2245.45</v>
      </c>
    </row>
    <row r="629">
      <c r="A629" s="5"/>
      <c r="B629" s="7" t="s">
        <v>29</v>
      </c>
      <c r="C629" s="7" t="s">
        <v>246</v>
      </c>
      <c r="D629" s="7" t="s">
        <v>33</v>
      </c>
      <c r="E629" s="9">
        <v>1169345.0</v>
      </c>
      <c r="F629" s="7">
        <v>0.0</v>
      </c>
      <c r="G629" s="7" t="s">
        <v>1378</v>
      </c>
      <c r="H629" s="7" t="s">
        <v>250</v>
      </c>
      <c r="I629" s="15">
        <f t="array" ref="I629">INDEX(CC!C:C,MATCH(1,(CC!A:A=H629)*(CC!B:B=J629),0))</f>
        <v>1402</v>
      </c>
      <c r="J629" s="7" t="s">
        <v>25</v>
      </c>
      <c r="K629" s="9">
        <v>1169345.0</v>
      </c>
    </row>
    <row r="630">
      <c r="A630" s="5"/>
      <c r="B630" s="5"/>
      <c r="C630" s="7" t="s">
        <v>246</v>
      </c>
      <c r="D630" s="7" t="s">
        <v>137</v>
      </c>
      <c r="E630" s="9">
        <v>137344.32</v>
      </c>
      <c r="F630" s="7">
        <v>0.0</v>
      </c>
      <c r="G630" s="7" t="s">
        <v>1378</v>
      </c>
      <c r="H630" s="7" t="s">
        <v>250</v>
      </c>
      <c r="I630" s="15">
        <f t="array" ref="I630">INDEX(CC!C:C,MATCH(1,(CC!A:A=H630)*(CC!B:B=J630),0))</f>
        <v>1402</v>
      </c>
      <c r="J630" s="7" t="s">
        <v>25</v>
      </c>
      <c r="K630" s="9">
        <v>137344.32</v>
      </c>
    </row>
    <row r="631">
      <c r="A631" s="5"/>
      <c r="B631" s="5"/>
      <c r="C631" s="7" t="s">
        <v>246</v>
      </c>
      <c r="D631" s="7" t="s">
        <v>974</v>
      </c>
      <c r="E631" s="9">
        <v>54980.0</v>
      </c>
      <c r="F631" s="7">
        <v>0.0</v>
      </c>
      <c r="G631" s="7" t="s">
        <v>1378</v>
      </c>
      <c r="H631" s="7" t="s">
        <v>250</v>
      </c>
      <c r="I631" s="15">
        <f t="array" ref="I631">INDEX(CC!C:C,MATCH(1,(CC!A:A=H631)*(CC!B:B=J631),0))</f>
        <v>1402</v>
      </c>
      <c r="J631" s="7" t="s">
        <v>25</v>
      </c>
      <c r="K631" s="9">
        <v>54980.0</v>
      </c>
    </row>
    <row r="632">
      <c r="A632" s="5"/>
      <c r="B632" s="7" t="s">
        <v>29</v>
      </c>
      <c r="C632" s="7" t="s">
        <v>331</v>
      </c>
      <c r="D632" s="7" t="s">
        <v>33</v>
      </c>
      <c r="E632" s="7">
        <v>0.01</v>
      </c>
      <c r="F632" s="7">
        <v>0.0</v>
      </c>
      <c r="G632" s="7" t="s">
        <v>1379</v>
      </c>
      <c r="H632" s="7" t="s">
        <v>40</v>
      </c>
      <c r="I632" s="15">
        <f t="array" ref="I632">INDEX(CC!C:C,MATCH(1,(CC!A:A=H632)*(CC!B:B=J632),0))</f>
        <v>602</v>
      </c>
      <c r="J632" s="7" t="s">
        <v>25</v>
      </c>
      <c r="K632" s="7">
        <v>0.01</v>
      </c>
    </row>
    <row r="633">
      <c r="A633" s="5"/>
      <c r="B633" s="7" t="s">
        <v>29</v>
      </c>
      <c r="C633" s="7" t="s">
        <v>306</v>
      </c>
      <c r="D633" s="7" t="s">
        <v>33</v>
      </c>
      <c r="E633" s="9">
        <v>2600.0</v>
      </c>
      <c r="F633" s="7">
        <v>0.0</v>
      </c>
      <c r="G633" s="7" t="s">
        <v>1380</v>
      </c>
      <c r="H633" s="7" t="s">
        <v>40</v>
      </c>
      <c r="I633" s="15">
        <f t="array" ref="I633">INDEX(CC!C:C,MATCH(1,(CC!A:A=H633)*(CC!B:B=J633),0))</f>
        <v>602</v>
      </c>
      <c r="J633" s="7" t="s">
        <v>25</v>
      </c>
      <c r="K633" s="9">
        <v>2600.0</v>
      </c>
    </row>
    <row r="634">
      <c r="A634" s="5"/>
      <c r="B634" s="7" t="s">
        <v>29</v>
      </c>
      <c r="C634" s="7" t="s">
        <v>537</v>
      </c>
      <c r="D634" s="7" t="s">
        <v>1385</v>
      </c>
      <c r="E634" s="9">
        <v>93750.0</v>
      </c>
      <c r="F634" s="7">
        <v>0.0</v>
      </c>
      <c r="G634" s="7" t="s">
        <v>1386</v>
      </c>
      <c r="H634" s="7" t="s">
        <v>74</v>
      </c>
      <c r="I634" s="15">
        <f t="array" ref="I634">INDEX(CC!C:C,MATCH(1,(CC!A:A=H634)*(CC!B:B=J634),0))</f>
        <v>1502</v>
      </c>
      <c r="J634" s="7" t="s">
        <v>25</v>
      </c>
      <c r="K634" s="9">
        <v>93750.0</v>
      </c>
    </row>
    <row r="635">
      <c r="A635" s="5"/>
      <c r="B635" s="5"/>
      <c r="C635" s="7" t="s">
        <v>537</v>
      </c>
      <c r="D635" s="7" t="s">
        <v>1390</v>
      </c>
      <c r="E635" s="9">
        <v>17250.0</v>
      </c>
      <c r="F635" s="7">
        <v>0.0</v>
      </c>
      <c r="G635" s="7" t="s">
        <v>1386</v>
      </c>
      <c r="H635" s="7" t="s">
        <v>74</v>
      </c>
      <c r="I635" s="15">
        <f t="array" ref="I635">INDEX(CC!C:C,MATCH(1,(CC!A:A=H635)*(CC!B:B=J635),0))</f>
        <v>1502</v>
      </c>
      <c r="J635" s="7" t="s">
        <v>25</v>
      </c>
      <c r="K635" s="9">
        <v>17250.0</v>
      </c>
    </row>
    <row r="636">
      <c r="A636" s="5"/>
      <c r="B636" s="7" t="s">
        <v>29</v>
      </c>
      <c r="C636" s="7" t="s">
        <v>699</v>
      </c>
      <c r="D636" s="7" t="s">
        <v>565</v>
      </c>
      <c r="E636" s="9">
        <v>4681.0</v>
      </c>
      <c r="F636" s="7">
        <v>0.0</v>
      </c>
      <c r="G636" s="7" t="s">
        <v>1393</v>
      </c>
      <c r="H636" s="7" t="s">
        <v>1159</v>
      </c>
      <c r="I636" s="15">
        <f t="array" ref="I636">INDEX(CC!C:C,MATCH(1,(CC!A:A=H636)*(CC!B:B=J636),0))</f>
        <v>802</v>
      </c>
      <c r="J636" s="7" t="s">
        <v>25</v>
      </c>
      <c r="K636" s="9">
        <v>4681.0</v>
      </c>
    </row>
    <row r="637">
      <c r="A637" s="5"/>
      <c r="B637" s="5"/>
      <c r="C637" s="7" t="s">
        <v>699</v>
      </c>
      <c r="D637" s="7" t="s">
        <v>126</v>
      </c>
      <c r="E637" s="7">
        <v>21.8</v>
      </c>
      <c r="F637" s="7">
        <v>0.0</v>
      </c>
      <c r="G637" s="7" t="s">
        <v>1393</v>
      </c>
      <c r="H637" s="7" t="s">
        <v>1159</v>
      </c>
      <c r="I637" s="15">
        <f t="array" ref="I637">INDEX(CC!C:C,MATCH(1,(CC!A:A=H637)*(CC!B:B=J637),0))</f>
        <v>802</v>
      </c>
      <c r="J637" s="7" t="s">
        <v>25</v>
      </c>
      <c r="K637" s="7">
        <v>21.8</v>
      </c>
    </row>
    <row r="638">
      <c r="A638" s="5"/>
      <c r="B638" s="5"/>
      <c r="C638" s="7" t="s">
        <v>699</v>
      </c>
      <c r="D638" s="7" t="s">
        <v>137</v>
      </c>
      <c r="E638" s="9">
        <v>3270.0</v>
      </c>
      <c r="F638" s="7">
        <v>0.0</v>
      </c>
      <c r="G638" s="7" t="s">
        <v>1393</v>
      </c>
      <c r="H638" s="7" t="s">
        <v>1159</v>
      </c>
      <c r="I638" s="15">
        <f t="array" ref="I638">INDEX(CC!C:C,MATCH(1,(CC!A:A=H638)*(CC!B:B=J638),0))</f>
        <v>802</v>
      </c>
      <c r="J638" s="7" t="s">
        <v>25</v>
      </c>
      <c r="K638" s="9">
        <v>3270.0</v>
      </c>
    </row>
    <row r="639">
      <c r="A639" s="5"/>
      <c r="B639" s="7" t="s">
        <v>29</v>
      </c>
      <c r="C639" s="7" t="s">
        <v>1014</v>
      </c>
      <c r="D639" s="7" t="s">
        <v>307</v>
      </c>
      <c r="E639" s="9">
        <v>1800.0</v>
      </c>
      <c r="F639" s="7">
        <v>0.0</v>
      </c>
      <c r="G639" s="7" t="s">
        <v>1015</v>
      </c>
      <c r="H639" s="7" t="s">
        <v>74</v>
      </c>
      <c r="I639" s="15">
        <f t="array" ref="I639">INDEX(CC!C:C,MATCH(1,(CC!A:A=H639)*(CC!B:B=J639),0))</f>
        <v>1502</v>
      </c>
      <c r="J639" s="7" t="s">
        <v>25</v>
      </c>
      <c r="K639" s="9">
        <v>1800.0</v>
      </c>
    </row>
    <row r="640">
      <c r="A640" s="5"/>
      <c r="B640" s="5"/>
      <c r="C640" s="7" t="s">
        <v>1014</v>
      </c>
      <c r="D640" s="7" t="s">
        <v>82</v>
      </c>
      <c r="E640" s="7">
        <v>350.0</v>
      </c>
      <c r="F640" s="7">
        <v>0.0</v>
      </c>
      <c r="G640" s="7" t="s">
        <v>1015</v>
      </c>
      <c r="H640" s="7" t="s">
        <v>74</v>
      </c>
      <c r="I640" s="15">
        <f t="array" ref="I640">INDEX(CC!C:C,MATCH(1,(CC!A:A=H640)*(CC!B:B=J640),0))</f>
        <v>1502</v>
      </c>
      <c r="J640" s="7" t="s">
        <v>25</v>
      </c>
      <c r="K640" s="7">
        <v>350.0</v>
      </c>
    </row>
    <row r="641">
      <c r="A641" s="5"/>
      <c r="B641" s="5"/>
      <c r="C641" s="7" t="s">
        <v>1014</v>
      </c>
      <c r="D641" s="7" t="s">
        <v>1017</v>
      </c>
      <c r="E641" s="9">
        <v>4000.0</v>
      </c>
      <c r="F641" s="7">
        <v>0.0</v>
      </c>
      <c r="G641" s="7" t="s">
        <v>1015</v>
      </c>
      <c r="H641" s="7" t="s">
        <v>74</v>
      </c>
      <c r="I641" s="15">
        <f t="array" ref="I641">INDEX(CC!C:C,MATCH(1,(CC!A:A=H641)*(CC!B:B=J641),0))</f>
        <v>1502</v>
      </c>
      <c r="J641" s="7" t="s">
        <v>25</v>
      </c>
      <c r="K641" s="9">
        <v>4000.0</v>
      </c>
    </row>
    <row r="642">
      <c r="A642" s="5"/>
      <c r="B642" s="5"/>
      <c r="C642" s="7" t="s">
        <v>1014</v>
      </c>
      <c r="D642" s="7" t="s">
        <v>199</v>
      </c>
      <c r="E642" s="9">
        <v>1800.0</v>
      </c>
      <c r="F642" s="7">
        <v>0.0</v>
      </c>
      <c r="G642" s="7" t="s">
        <v>1015</v>
      </c>
      <c r="H642" s="7" t="s">
        <v>74</v>
      </c>
      <c r="I642" s="15">
        <f t="array" ref="I642">INDEX(CC!C:C,MATCH(1,(CC!A:A=H642)*(CC!B:B=J642),0))</f>
        <v>1502</v>
      </c>
      <c r="J642" s="7" t="s">
        <v>25</v>
      </c>
      <c r="K642" s="9">
        <v>1800.0</v>
      </c>
    </row>
    <row r="643">
      <c r="A643" s="5"/>
      <c r="B643" s="5"/>
      <c r="C643" s="7" t="s">
        <v>1014</v>
      </c>
      <c r="D643" s="7" t="s">
        <v>1020</v>
      </c>
      <c r="E643" s="7">
        <v>379.0</v>
      </c>
      <c r="F643" s="7">
        <v>0.0</v>
      </c>
      <c r="G643" s="7" t="s">
        <v>1015</v>
      </c>
      <c r="H643" s="7" t="s">
        <v>74</v>
      </c>
      <c r="I643" s="15">
        <f t="array" ref="I643">INDEX(CC!C:C,MATCH(1,(CC!A:A=H643)*(CC!B:B=J643),0))</f>
        <v>1502</v>
      </c>
      <c r="J643" s="7" t="s">
        <v>25</v>
      </c>
      <c r="K643" s="7">
        <v>379.0</v>
      </c>
    </row>
    <row r="644">
      <c r="A644" s="5"/>
      <c r="B644" s="5"/>
      <c r="C644" s="7" t="s">
        <v>1014</v>
      </c>
      <c r="D644" s="7" t="s">
        <v>679</v>
      </c>
      <c r="E644" s="9">
        <v>3200.0</v>
      </c>
      <c r="F644" s="7">
        <v>0.0</v>
      </c>
      <c r="G644" s="7" t="s">
        <v>1015</v>
      </c>
      <c r="H644" s="7" t="s">
        <v>74</v>
      </c>
      <c r="I644" s="15">
        <f t="array" ref="I644">INDEX(CC!C:C,MATCH(1,(CC!A:A=H644)*(CC!B:B=J644),0))</f>
        <v>1502</v>
      </c>
      <c r="J644" s="7" t="s">
        <v>25</v>
      </c>
      <c r="K644" s="9">
        <v>3200.0</v>
      </c>
    </row>
    <row r="645">
      <c r="A645" s="5"/>
      <c r="B645" s="5"/>
      <c r="C645" s="7" t="s">
        <v>1014</v>
      </c>
      <c r="D645" s="7" t="s">
        <v>126</v>
      </c>
      <c r="E645" s="7">
        <v>35.0</v>
      </c>
      <c r="F645" s="7">
        <v>0.0</v>
      </c>
      <c r="G645" s="7" t="s">
        <v>1015</v>
      </c>
      <c r="H645" s="7" t="s">
        <v>74</v>
      </c>
      <c r="I645" s="15">
        <f t="array" ref="I645">INDEX(CC!C:C,MATCH(1,(CC!A:A=H645)*(CC!B:B=J645),0))</f>
        <v>1502</v>
      </c>
      <c r="J645" s="7" t="s">
        <v>25</v>
      </c>
      <c r="K645" s="7">
        <v>35.0</v>
      </c>
    </row>
    <row r="646">
      <c r="A646" s="5"/>
      <c r="B646" s="5"/>
      <c r="C646" s="7" t="s">
        <v>1014</v>
      </c>
      <c r="D646" s="7" t="s">
        <v>137</v>
      </c>
      <c r="E646" s="9">
        <v>3300.0</v>
      </c>
      <c r="F646" s="7">
        <v>0.0</v>
      </c>
      <c r="G646" s="7" t="s">
        <v>1015</v>
      </c>
      <c r="H646" s="7" t="s">
        <v>74</v>
      </c>
      <c r="I646" s="15">
        <f t="array" ref="I646">INDEX(CC!C:C,MATCH(1,(CC!A:A=H646)*(CC!B:B=J646),0))</f>
        <v>1502</v>
      </c>
      <c r="J646" s="7" t="s">
        <v>25</v>
      </c>
      <c r="K646" s="9">
        <v>3300.0</v>
      </c>
    </row>
    <row r="647">
      <c r="A647" s="5"/>
      <c r="B647" s="7" t="s">
        <v>29</v>
      </c>
      <c r="C647" s="7" t="s">
        <v>699</v>
      </c>
      <c r="D647" s="7" t="s">
        <v>277</v>
      </c>
      <c r="E647" s="9">
        <v>1500.0</v>
      </c>
      <c r="F647" s="7">
        <v>0.0</v>
      </c>
      <c r="G647" s="7" t="s">
        <v>1402</v>
      </c>
      <c r="H647" s="7" t="s">
        <v>1159</v>
      </c>
      <c r="I647" s="15">
        <f t="array" ref="I647">INDEX(CC!C:C,MATCH(1,(CC!A:A=H647)*(CC!B:B=J647),0))</f>
        <v>802</v>
      </c>
      <c r="J647" s="7" t="s">
        <v>25</v>
      </c>
      <c r="K647" s="9">
        <v>1500.0</v>
      </c>
    </row>
    <row r="648">
      <c r="A648" s="5"/>
      <c r="B648" s="5"/>
      <c r="C648" s="7" t="s">
        <v>699</v>
      </c>
      <c r="D648" s="7" t="s">
        <v>565</v>
      </c>
      <c r="E648" s="9">
        <v>4692.24</v>
      </c>
      <c r="F648" s="7">
        <v>0.0</v>
      </c>
      <c r="G648" s="7" t="s">
        <v>1402</v>
      </c>
      <c r="H648" s="7" t="s">
        <v>1159</v>
      </c>
      <c r="I648" s="15">
        <f t="array" ref="I648">INDEX(CC!C:C,MATCH(1,(CC!A:A=H648)*(CC!B:B=J648),0))</f>
        <v>802</v>
      </c>
      <c r="J648" s="7" t="s">
        <v>25</v>
      </c>
      <c r="K648" s="9">
        <v>4692.24</v>
      </c>
    </row>
    <row r="649">
      <c r="A649" s="5"/>
      <c r="B649" s="5"/>
      <c r="C649" s="7" t="s">
        <v>699</v>
      </c>
      <c r="D649" s="7" t="s">
        <v>126</v>
      </c>
      <c r="E649" s="7">
        <v>21.8</v>
      </c>
      <c r="F649" s="7">
        <v>0.0</v>
      </c>
      <c r="G649" s="7" t="s">
        <v>1402</v>
      </c>
      <c r="H649" s="7" t="s">
        <v>1159</v>
      </c>
      <c r="I649" s="15">
        <f t="array" ref="I649">INDEX(CC!C:C,MATCH(1,(CC!A:A=H649)*(CC!B:B=J649),0))</f>
        <v>802</v>
      </c>
      <c r="J649" s="7" t="s">
        <v>25</v>
      </c>
      <c r="K649" s="7">
        <v>21.8</v>
      </c>
    </row>
    <row r="650">
      <c r="A650" s="5"/>
      <c r="B650" s="5"/>
      <c r="C650" s="7" t="s">
        <v>699</v>
      </c>
      <c r="D650" s="7" t="s">
        <v>137</v>
      </c>
      <c r="E650" s="9">
        <v>3270.0</v>
      </c>
      <c r="F650" s="7">
        <v>0.0</v>
      </c>
      <c r="G650" s="7" t="s">
        <v>1402</v>
      </c>
      <c r="H650" s="7" t="s">
        <v>1159</v>
      </c>
      <c r="I650" s="15">
        <f t="array" ref="I650">INDEX(CC!C:C,MATCH(1,(CC!A:A=H650)*(CC!B:B=J650),0))</f>
        <v>802</v>
      </c>
      <c r="J650" s="7" t="s">
        <v>25</v>
      </c>
      <c r="K650" s="9">
        <v>3270.0</v>
      </c>
    </row>
    <row r="651">
      <c r="A651" s="5"/>
      <c r="B651" s="7" t="s">
        <v>29</v>
      </c>
      <c r="C651" s="7" t="s">
        <v>331</v>
      </c>
      <c r="D651" s="7" t="s">
        <v>33</v>
      </c>
      <c r="E651" s="7">
        <v>0.01</v>
      </c>
      <c r="F651" s="7">
        <v>0.0</v>
      </c>
      <c r="G651" s="7" t="s">
        <v>1421</v>
      </c>
      <c r="H651" s="7" t="s">
        <v>385</v>
      </c>
      <c r="I651" s="15">
        <f t="array" ref="I651">INDEX(CC!C:C,MATCH(1,(CC!A:A=H651)*(CC!B:B=J651),0))</f>
        <v>502</v>
      </c>
      <c r="J651" s="7" t="s">
        <v>25</v>
      </c>
      <c r="K651" s="7">
        <v>0.01</v>
      </c>
    </row>
    <row r="652">
      <c r="A652" s="5"/>
      <c r="B652" s="7" t="s">
        <v>29</v>
      </c>
      <c r="C652" s="7" t="s">
        <v>306</v>
      </c>
      <c r="D652" s="7" t="s">
        <v>33</v>
      </c>
      <c r="E652" s="9">
        <v>2600.0</v>
      </c>
      <c r="F652" s="7">
        <v>0.0</v>
      </c>
      <c r="G652" s="7" t="s">
        <v>1423</v>
      </c>
      <c r="H652" s="7" t="s">
        <v>40</v>
      </c>
      <c r="I652" s="15">
        <f t="array" ref="I652">INDEX(CC!C:C,MATCH(1,(CC!A:A=H652)*(CC!B:B=J652),0))</f>
        <v>602</v>
      </c>
      <c r="J652" s="7" t="s">
        <v>25</v>
      </c>
      <c r="K652" s="9">
        <v>2600.0</v>
      </c>
    </row>
    <row r="653">
      <c r="A653" s="5"/>
      <c r="B653" s="7" t="s">
        <v>29</v>
      </c>
      <c r="C653" s="7" t="s">
        <v>699</v>
      </c>
      <c r="D653" s="7" t="s">
        <v>277</v>
      </c>
      <c r="E653" s="9">
        <v>1500.0</v>
      </c>
      <c r="F653" s="7">
        <v>0.0</v>
      </c>
      <c r="G653" s="7" t="s">
        <v>1427</v>
      </c>
      <c r="H653" s="7" t="s">
        <v>1159</v>
      </c>
      <c r="I653" s="15">
        <f t="array" ref="I653">INDEX(CC!C:C,MATCH(1,(CC!A:A=H653)*(CC!B:B=J653),0))</f>
        <v>802</v>
      </c>
      <c r="J653" s="7" t="s">
        <v>25</v>
      </c>
      <c r="K653" s="9">
        <v>1500.0</v>
      </c>
    </row>
    <row r="654">
      <c r="A654" s="5"/>
      <c r="B654" s="5"/>
      <c r="C654" s="7" t="s">
        <v>699</v>
      </c>
      <c r="D654" s="7" t="s">
        <v>565</v>
      </c>
      <c r="E654" s="9">
        <v>4681.0</v>
      </c>
      <c r="F654" s="7">
        <v>0.0</v>
      </c>
      <c r="G654" s="7" t="s">
        <v>1427</v>
      </c>
      <c r="H654" s="7" t="s">
        <v>1159</v>
      </c>
      <c r="I654" s="15">
        <f t="array" ref="I654">INDEX(CC!C:C,MATCH(1,(CC!A:A=H654)*(CC!B:B=J654),0))</f>
        <v>802</v>
      </c>
      <c r="J654" s="7" t="s">
        <v>25</v>
      </c>
      <c r="K654" s="9">
        <v>4681.0</v>
      </c>
    </row>
    <row r="655">
      <c r="A655" s="5"/>
      <c r="B655" s="5"/>
      <c r="C655" s="7" t="s">
        <v>699</v>
      </c>
      <c r="D655" s="7" t="s">
        <v>126</v>
      </c>
      <c r="E655" s="7">
        <v>21.8</v>
      </c>
      <c r="F655" s="7">
        <v>0.0</v>
      </c>
      <c r="G655" s="7" t="s">
        <v>1427</v>
      </c>
      <c r="H655" s="7" t="s">
        <v>1159</v>
      </c>
      <c r="I655" s="15">
        <f t="array" ref="I655">INDEX(CC!C:C,MATCH(1,(CC!A:A=H655)*(CC!B:B=J655),0))</f>
        <v>802</v>
      </c>
      <c r="J655" s="7" t="s">
        <v>25</v>
      </c>
      <c r="K655" s="7">
        <v>21.8</v>
      </c>
    </row>
    <row r="656">
      <c r="A656" s="5"/>
      <c r="B656" s="5"/>
      <c r="C656" s="7" t="s">
        <v>699</v>
      </c>
      <c r="D656" s="7" t="s">
        <v>137</v>
      </c>
      <c r="E656" s="9">
        <v>3270.0</v>
      </c>
      <c r="F656" s="7">
        <v>0.0</v>
      </c>
      <c r="G656" s="7" t="s">
        <v>1427</v>
      </c>
      <c r="H656" s="7" t="s">
        <v>1159</v>
      </c>
      <c r="I656" s="15">
        <f t="array" ref="I656">INDEX(CC!C:C,MATCH(1,(CC!A:A=H656)*(CC!B:B=J656),0))</f>
        <v>802</v>
      </c>
      <c r="J656" s="7" t="s">
        <v>25</v>
      </c>
      <c r="K656" s="9">
        <v>3270.0</v>
      </c>
    </row>
    <row r="657">
      <c r="A657" s="5"/>
      <c r="B657" s="7" t="s">
        <v>29</v>
      </c>
      <c r="C657" s="7" t="s">
        <v>306</v>
      </c>
      <c r="D657" s="7" t="s">
        <v>307</v>
      </c>
      <c r="E657" s="9">
        <v>1695.33</v>
      </c>
      <c r="F657" s="7">
        <v>0.0</v>
      </c>
      <c r="G657" s="7" t="s">
        <v>1432</v>
      </c>
      <c r="H657" s="7" t="s">
        <v>74</v>
      </c>
      <c r="I657" s="15">
        <f t="array" ref="I657">INDEX(CC!C:C,MATCH(1,(CC!A:A=H657)*(CC!B:B=J657),0))</f>
        <v>1502</v>
      </c>
      <c r="J657" s="7" t="s">
        <v>25</v>
      </c>
      <c r="K657" s="9">
        <v>1695.33</v>
      </c>
    </row>
    <row r="658">
      <c r="A658" s="5"/>
      <c r="B658" s="5"/>
      <c r="C658" s="7" t="s">
        <v>306</v>
      </c>
      <c r="D658" s="7" t="s">
        <v>82</v>
      </c>
      <c r="E658" s="7">
        <v>326.62</v>
      </c>
      <c r="F658" s="7">
        <v>0.0</v>
      </c>
      <c r="G658" s="7" t="s">
        <v>1432</v>
      </c>
      <c r="H658" s="7" t="s">
        <v>74</v>
      </c>
      <c r="I658" s="15">
        <f t="array" ref="I658">INDEX(CC!C:C,MATCH(1,(CC!A:A=H658)*(CC!B:B=J658),0))</f>
        <v>1502</v>
      </c>
      <c r="J658" s="7" t="s">
        <v>25</v>
      </c>
      <c r="K658" s="7">
        <v>326.62</v>
      </c>
    </row>
    <row r="659">
      <c r="A659" s="5"/>
      <c r="B659" s="5"/>
      <c r="C659" s="7" t="s">
        <v>306</v>
      </c>
      <c r="D659" s="7" t="s">
        <v>199</v>
      </c>
      <c r="E659" s="9">
        <v>1353.15</v>
      </c>
      <c r="F659" s="7">
        <v>0.0</v>
      </c>
      <c r="G659" s="7" t="s">
        <v>1432</v>
      </c>
      <c r="H659" s="7" t="s">
        <v>74</v>
      </c>
      <c r="I659" s="15">
        <f t="array" ref="I659">INDEX(CC!C:C,MATCH(1,(CC!A:A=H659)*(CC!B:B=J659),0))</f>
        <v>1502</v>
      </c>
      <c r="J659" s="7" t="s">
        <v>25</v>
      </c>
      <c r="K659" s="9">
        <v>1353.15</v>
      </c>
    </row>
    <row r="660">
      <c r="A660" s="5"/>
      <c r="B660" s="5"/>
      <c r="C660" s="7" t="s">
        <v>306</v>
      </c>
      <c r="D660" s="7" t="s">
        <v>112</v>
      </c>
      <c r="E660" s="9">
        <v>2719.58</v>
      </c>
      <c r="F660" s="7">
        <v>0.0</v>
      </c>
      <c r="G660" s="7" t="s">
        <v>1432</v>
      </c>
      <c r="H660" s="7" t="s">
        <v>74</v>
      </c>
      <c r="I660" s="15">
        <f t="array" ref="I660">INDEX(CC!C:C,MATCH(1,(CC!A:A=H660)*(CC!B:B=J660),0))</f>
        <v>1502</v>
      </c>
      <c r="J660" s="7" t="s">
        <v>25</v>
      </c>
      <c r="K660" s="9">
        <v>2719.58</v>
      </c>
    </row>
    <row r="661">
      <c r="A661" s="5"/>
      <c r="B661" s="5"/>
      <c r="C661" s="7" t="s">
        <v>306</v>
      </c>
      <c r="D661" s="7" t="s">
        <v>348</v>
      </c>
      <c r="E661" s="7">
        <v>427.55</v>
      </c>
      <c r="F661" s="7">
        <v>0.0</v>
      </c>
      <c r="G661" s="7" t="s">
        <v>1432</v>
      </c>
      <c r="H661" s="7" t="s">
        <v>74</v>
      </c>
      <c r="I661" s="15">
        <f t="array" ref="I661">INDEX(CC!C:C,MATCH(1,(CC!A:A=H661)*(CC!B:B=J661),0))</f>
        <v>1502</v>
      </c>
      <c r="J661" s="7" t="s">
        <v>25</v>
      </c>
      <c r="K661" s="7">
        <v>427.55</v>
      </c>
    </row>
    <row r="662">
      <c r="A662" s="5"/>
      <c r="B662" s="5"/>
      <c r="C662" s="7" t="s">
        <v>306</v>
      </c>
      <c r="D662" s="7" t="s">
        <v>360</v>
      </c>
      <c r="E662" s="7">
        <v>593.83</v>
      </c>
      <c r="F662" s="7">
        <v>0.0</v>
      </c>
      <c r="G662" s="7" t="s">
        <v>1432</v>
      </c>
      <c r="H662" s="7" t="s">
        <v>74</v>
      </c>
      <c r="I662" s="15">
        <f t="array" ref="I662">INDEX(CC!C:C,MATCH(1,(CC!A:A=H662)*(CC!B:B=J662),0))</f>
        <v>1502</v>
      </c>
      <c r="J662" s="7" t="s">
        <v>25</v>
      </c>
      <c r="K662" s="7">
        <v>593.83</v>
      </c>
    </row>
    <row r="663">
      <c r="A663" s="5"/>
      <c r="B663" s="5"/>
      <c r="C663" s="7" t="s">
        <v>306</v>
      </c>
      <c r="D663" s="7" t="s">
        <v>126</v>
      </c>
      <c r="E663" s="7">
        <v>35.0</v>
      </c>
      <c r="F663" s="7">
        <v>0.0</v>
      </c>
      <c r="G663" s="7" t="s">
        <v>1432</v>
      </c>
      <c r="H663" s="7" t="s">
        <v>74</v>
      </c>
      <c r="I663" s="15">
        <f t="array" ref="I663">INDEX(CC!C:C,MATCH(1,(CC!A:A=H663)*(CC!B:B=J663),0))</f>
        <v>1502</v>
      </c>
      <c r="J663" s="7" t="s">
        <v>25</v>
      </c>
      <c r="K663" s="7">
        <v>35.0</v>
      </c>
    </row>
    <row r="664">
      <c r="A664" s="5"/>
      <c r="B664" s="5"/>
      <c r="C664" s="7" t="s">
        <v>306</v>
      </c>
      <c r="D664" s="7" t="s">
        <v>137</v>
      </c>
      <c r="E664" s="9">
        <v>1282.64</v>
      </c>
      <c r="F664" s="7">
        <v>0.0</v>
      </c>
      <c r="G664" s="7" t="s">
        <v>1432</v>
      </c>
      <c r="H664" s="7" t="s">
        <v>74</v>
      </c>
      <c r="I664" s="15">
        <f t="array" ref="I664">INDEX(CC!C:C,MATCH(1,(CC!A:A=H664)*(CC!B:B=J664),0))</f>
        <v>1502</v>
      </c>
      <c r="J664" s="7" t="s">
        <v>25</v>
      </c>
      <c r="K664" s="9">
        <v>1282.64</v>
      </c>
    </row>
    <row r="665">
      <c r="A665" s="5"/>
      <c r="B665" s="7" t="s">
        <v>29</v>
      </c>
      <c r="C665" s="7" t="s">
        <v>148</v>
      </c>
      <c r="D665" s="7" t="s">
        <v>126</v>
      </c>
      <c r="E665" s="7">
        <v>30.0</v>
      </c>
      <c r="F665" s="7">
        <v>0.0</v>
      </c>
      <c r="G665" s="7" t="s">
        <v>1117</v>
      </c>
      <c r="H665" s="7" t="s">
        <v>74</v>
      </c>
      <c r="I665" s="15">
        <f t="array" ref="I665">INDEX(CC!C:C,MATCH(1,(CC!A:A=H665)*(CC!B:B=J665),0))</f>
        <v>1502</v>
      </c>
      <c r="J665" s="7" t="s">
        <v>25</v>
      </c>
      <c r="K665" s="7">
        <v>30.0</v>
      </c>
    </row>
    <row r="666">
      <c r="A666" s="87">
        <v>2128.0</v>
      </c>
      <c r="B666" s="5"/>
      <c r="C666" s="88" t="s">
        <v>1460</v>
      </c>
      <c r="D666" s="7" t="s">
        <v>33</v>
      </c>
      <c r="E666" s="9">
        <v>1900.0</v>
      </c>
      <c r="F666" s="7">
        <v>0.0</v>
      </c>
      <c r="G666" s="7" t="s">
        <v>1436</v>
      </c>
      <c r="H666" s="7" t="s">
        <v>40</v>
      </c>
      <c r="I666" s="15">
        <f t="array" ref="I666">INDEX(CC!C:C,MATCH(1,(CC!A:A=H666)*(CC!B:B=J666),0))</f>
        <v>602</v>
      </c>
      <c r="J666" s="7" t="s">
        <v>25</v>
      </c>
      <c r="K666" s="9">
        <v>1900.0</v>
      </c>
    </row>
    <row r="667">
      <c r="A667" s="9">
        <v>1194.8</v>
      </c>
      <c r="B667" s="5"/>
      <c r="C667" s="7" t="s">
        <v>148</v>
      </c>
      <c r="D667" s="7" t="s">
        <v>104</v>
      </c>
      <c r="E667" s="9">
        <v>1000.0</v>
      </c>
      <c r="F667" s="7">
        <v>0.0</v>
      </c>
      <c r="G667" s="7" t="s">
        <v>1120</v>
      </c>
      <c r="H667" s="7" t="s">
        <v>55</v>
      </c>
      <c r="I667" s="15">
        <f t="array" ref="I667">INDEX(CC!C:C,MATCH(1,(CC!A:A=H667)*(CC!B:B=J667),0))</f>
        <v>902</v>
      </c>
      <c r="J667" s="7" t="s">
        <v>25</v>
      </c>
      <c r="K667" s="9">
        <v>1000.0</v>
      </c>
    </row>
    <row r="668">
      <c r="A668" s="5"/>
      <c r="B668" s="5"/>
      <c r="C668" s="7" t="s">
        <v>148</v>
      </c>
      <c r="D668" s="7" t="s">
        <v>126</v>
      </c>
      <c r="E668" s="7">
        <v>30.0</v>
      </c>
      <c r="F668" s="7">
        <v>0.0</v>
      </c>
      <c r="G668" s="7" t="s">
        <v>1120</v>
      </c>
      <c r="H668" s="7" t="s">
        <v>55</v>
      </c>
      <c r="I668" s="15">
        <f t="array" ref="I668">INDEX(CC!C:C,MATCH(1,(CC!A:A=H668)*(CC!B:B=J668),0))</f>
        <v>902</v>
      </c>
      <c r="J668" s="7" t="s">
        <v>25</v>
      </c>
      <c r="K668" s="7">
        <v>30.0</v>
      </c>
    </row>
    <row r="669">
      <c r="A669" s="7">
        <v>69479.65</v>
      </c>
      <c r="B669" s="5"/>
      <c r="C669" s="7" t="s">
        <v>1467</v>
      </c>
      <c r="D669" s="7" t="s">
        <v>1468</v>
      </c>
      <c r="E669" s="9">
        <v>53619.31</v>
      </c>
      <c r="F669" s="7">
        <v>0.0</v>
      </c>
      <c r="G669" s="7" t="s">
        <v>1469</v>
      </c>
      <c r="H669" s="7" t="s">
        <v>601</v>
      </c>
      <c r="I669" s="15">
        <f t="array" ref="I669">INDEX(CC!C:C,MATCH(1,(CC!A:A=H669)*(CC!B:B=J669),0))</f>
        <v>402</v>
      </c>
      <c r="J669" s="7" t="s">
        <v>25</v>
      </c>
      <c r="K669" s="9">
        <v>53619.31</v>
      </c>
    </row>
    <row r="670">
      <c r="A670" s="5"/>
      <c r="B670" s="5"/>
      <c r="C670" s="7" t="s">
        <v>1467</v>
      </c>
      <c r="D670" s="7" t="s">
        <v>1470</v>
      </c>
      <c r="E670" s="9">
        <v>5089.41</v>
      </c>
      <c r="F670" s="7">
        <v>0.0</v>
      </c>
      <c r="G670" s="7" t="s">
        <v>1469</v>
      </c>
      <c r="H670" s="7" t="s">
        <v>601</v>
      </c>
      <c r="I670" s="15">
        <f t="array" ref="I670">INDEX(CC!C:C,MATCH(1,(CC!A:A=H670)*(CC!B:B=J670),0))</f>
        <v>402</v>
      </c>
      <c r="J670" s="7" t="s">
        <v>25</v>
      </c>
      <c r="K670" s="9">
        <v>5089.41</v>
      </c>
    </row>
    <row r="671">
      <c r="A671" s="5"/>
      <c r="B671" s="5"/>
      <c r="C671" s="7" t="s">
        <v>1467</v>
      </c>
      <c r="D671" s="7" t="s">
        <v>142</v>
      </c>
      <c r="E671" s="7">
        <v>763.41</v>
      </c>
      <c r="F671" s="7">
        <v>0.0</v>
      </c>
      <c r="G671" s="7" t="s">
        <v>1469</v>
      </c>
      <c r="H671" s="7" t="s">
        <v>601</v>
      </c>
      <c r="I671" s="15">
        <f t="array" ref="I671">INDEX(CC!C:C,MATCH(1,(CC!A:A=H671)*(CC!B:B=J671),0))</f>
        <v>402</v>
      </c>
      <c r="J671" s="7" t="s">
        <v>25</v>
      </c>
      <c r="K671" s="7">
        <v>763.41</v>
      </c>
    </row>
    <row r="672">
      <c r="A672" s="5"/>
      <c r="B672" s="5"/>
      <c r="C672" s="7" t="s">
        <v>1467</v>
      </c>
      <c r="D672" s="7" t="s">
        <v>277</v>
      </c>
      <c r="E672" s="7">
        <v>424.12</v>
      </c>
      <c r="F672" s="7">
        <v>0.0</v>
      </c>
      <c r="G672" s="7" t="s">
        <v>1469</v>
      </c>
      <c r="H672" s="7" t="s">
        <v>601</v>
      </c>
      <c r="I672" s="15">
        <f t="array" ref="I672">INDEX(CC!C:C,MATCH(1,(CC!A:A=H672)*(CC!B:B=J672),0))</f>
        <v>402</v>
      </c>
      <c r="J672" s="7" t="s">
        <v>25</v>
      </c>
      <c r="K672" s="7">
        <v>424.12</v>
      </c>
    </row>
    <row r="673">
      <c r="A673" s="7">
        <v>95400.16</v>
      </c>
      <c r="B673" s="5"/>
      <c r="C673" s="7" t="s">
        <v>599</v>
      </c>
      <c r="D673" s="7" t="s">
        <v>112</v>
      </c>
      <c r="E673" s="9">
        <v>2500.0</v>
      </c>
      <c r="F673" s="7">
        <v>0.0</v>
      </c>
      <c r="G673" s="7" t="s">
        <v>1312</v>
      </c>
      <c r="H673" s="7" t="s">
        <v>84</v>
      </c>
      <c r="I673" s="15">
        <f t="array" ref="I673">INDEX(CC!C:C,MATCH(1,(CC!A:A=H673)*(CC!B:B=J673),0))</f>
        <v>1002</v>
      </c>
      <c r="J673" s="7" t="s">
        <v>25</v>
      </c>
      <c r="K673" s="9">
        <v>2500.0</v>
      </c>
    </row>
    <row r="674">
      <c r="A674" s="5"/>
      <c r="B674" s="5"/>
      <c r="C674" s="7" t="s">
        <v>599</v>
      </c>
      <c r="D674" s="7" t="s">
        <v>137</v>
      </c>
      <c r="E674" s="9">
        <v>79741.52</v>
      </c>
      <c r="F674" s="7">
        <v>0.0</v>
      </c>
      <c r="G674" s="7" t="s">
        <v>1312</v>
      </c>
      <c r="H674" s="7" t="s">
        <v>84</v>
      </c>
      <c r="I674" s="15">
        <f t="array" ref="I674">INDEX(CC!C:C,MATCH(1,(CC!A:A=H674)*(CC!B:B=J674),0))</f>
        <v>1002</v>
      </c>
      <c r="J674" s="7" t="s">
        <v>25</v>
      </c>
      <c r="K674" s="9">
        <v>79741.52</v>
      </c>
    </row>
    <row r="675">
      <c r="A675" s="7">
        <v>4704.0</v>
      </c>
      <c r="B675" s="5"/>
      <c r="C675" s="7" t="s">
        <v>1137</v>
      </c>
      <c r="D675" s="7" t="s">
        <v>33</v>
      </c>
      <c r="E675" s="9">
        <v>4200.0</v>
      </c>
      <c r="F675" s="7">
        <v>0.0</v>
      </c>
      <c r="G675" s="7" t="s">
        <v>1273</v>
      </c>
      <c r="H675" s="7" t="s">
        <v>40</v>
      </c>
      <c r="I675" s="15">
        <f t="array" ref="I675">INDEX(CC!C:C,MATCH(1,(CC!A:A=H675)*(CC!B:B=J675),0))</f>
        <v>602</v>
      </c>
      <c r="J675" s="7" t="s">
        <v>25</v>
      </c>
      <c r="K675" s="9">
        <v>4200.0</v>
      </c>
    </row>
    <row r="676">
      <c r="A676" s="7">
        <v>9530.33</v>
      </c>
      <c r="B676" s="5"/>
      <c r="C676" s="7" t="s">
        <v>699</v>
      </c>
      <c r="D676" s="7" t="s">
        <v>104</v>
      </c>
      <c r="E676" s="9">
        <v>1000.0</v>
      </c>
      <c r="F676" s="7">
        <v>0.0</v>
      </c>
      <c r="G676" s="7" t="s">
        <v>1478</v>
      </c>
      <c r="H676" s="7" t="s">
        <v>554</v>
      </c>
      <c r="I676" s="15">
        <f t="array" ref="I676">INDEX(CC!C:C,MATCH(1,(CC!A:A=H676)*(CC!B:B=J676),0))</f>
        <v>1702</v>
      </c>
      <c r="J676" s="7" t="s">
        <v>25</v>
      </c>
      <c r="K676" s="9">
        <v>1000.0</v>
      </c>
    </row>
    <row r="677">
      <c r="A677" s="5"/>
      <c r="B677" s="5"/>
      <c r="C677" s="7" t="s">
        <v>699</v>
      </c>
      <c r="D677" s="7" t="s">
        <v>126</v>
      </c>
      <c r="E677" s="7">
        <v>21.8</v>
      </c>
      <c r="F677" s="7">
        <v>0.0</v>
      </c>
      <c r="G677" s="7" t="s">
        <v>1478</v>
      </c>
      <c r="H677" s="7" t="s">
        <v>554</v>
      </c>
      <c r="I677" s="15">
        <f t="array" ref="I677">INDEX(CC!C:C,MATCH(1,(CC!A:A=H677)*(CC!B:B=J677),0))</f>
        <v>1702</v>
      </c>
      <c r="J677" s="7" t="s">
        <v>25</v>
      </c>
      <c r="K677" s="7">
        <v>21.8</v>
      </c>
    </row>
    <row r="678">
      <c r="A678" s="5"/>
      <c r="B678" s="5"/>
      <c r="C678" s="7" t="s">
        <v>699</v>
      </c>
      <c r="D678" s="7" t="s">
        <v>137</v>
      </c>
      <c r="E678" s="9">
        <v>7194.0</v>
      </c>
      <c r="F678" s="7">
        <v>0.0</v>
      </c>
      <c r="G678" s="7" t="s">
        <v>1478</v>
      </c>
      <c r="H678" s="7" t="s">
        <v>554</v>
      </c>
      <c r="I678" s="15">
        <f t="array" ref="I678">INDEX(CC!C:C,MATCH(1,(CC!A:A=H678)*(CC!B:B=J678),0))</f>
        <v>1702</v>
      </c>
      <c r="J678" s="7" t="s">
        <v>25</v>
      </c>
      <c r="K678" s="9">
        <v>7194.0</v>
      </c>
    </row>
    <row r="679">
      <c r="A679" s="7">
        <v>13068.77</v>
      </c>
      <c r="B679" s="5"/>
      <c r="C679" s="7" t="s">
        <v>32</v>
      </c>
      <c r="D679" s="7" t="s">
        <v>307</v>
      </c>
      <c r="E679" s="7">
        <v>945.65</v>
      </c>
      <c r="F679" s="7">
        <v>0.0</v>
      </c>
      <c r="G679" s="7" t="s">
        <v>1446</v>
      </c>
      <c r="H679" s="7" t="s">
        <v>74</v>
      </c>
      <c r="I679" s="15">
        <f t="array" ref="I679">INDEX(CC!C:C,MATCH(1,(CC!A:A=H679)*(CC!B:B=J679),0))</f>
        <v>1502</v>
      </c>
      <c r="J679" s="7" t="s">
        <v>25</v>
      </c>
      <c r="K679" s="7">
        <v>945.65</v>
      </c>
    </row>
    <row r="680">
      <c r="A680" s="5"/>
      <c r="B680" s="5"/>
      <c r="C680" s="7" t="s">
        <v>32</v>
      </c>
      <c r="D680" s="7" t="s">
        <v>82</v>
      </c>
      <c r="E680" s="7">
        <v>362.91</v>
      </c>
      <c r="F680" s="7">
        <v>0.0</v>
      </c>
      <c r="G680" s="7" t="s">
        <v>1446</v>
      </c>
      <c r="H680" s="7" t="s">
        <v>74</v>
      </c>
      <c r="I680" s="15">
        <f t="array" ref="I680">INDEX(CC!C:C,MATCH(1,(CC!A:A=H680)*(CC!B:B=J680),0))</f>
        <v>1502</v>
      </c>
      <c r="J680" s="7" t="s">
        <v>25</v>
      </c>
      <c r="K680" s="7">
        <v>362.91</v>
      </c>
    </row>
    <row r="681">
      <c r="A681" s="5"/>
      <c r="B681" s="5"/>
      <c r="C681" s="7" t="s">
        <v>32</v>
      </c>
      <c r="D681" s="7" t="s">
        <v>199</v>
      </c>
      <c r="E681" s="9">
        <v>1536.68</v>
      </c>
      <c r="F681" s="7">
        <v>0.0</v>
      </c>
      <c r="G681" s="7" t="s">
        <v>1446</v>
      </c>
      <c r="H681" s="7" t="s">
        <v>74</v>
      </c>
      <c r="I681" s="15">
        <f t="array" ref="I681">INDEX(CC!C:C,MATCH(1,(CC!A:A=H681)*(CC!B:B=J681),0))</f>
        <v>1502</v>
      </c>
      <c r="J681" s="7" t="s">
        <v>25</v>
      </c>
      <c r="K681" s="9">
        <v>1536.68</v>
      </c>
    </row>
    <row r="682">
      <c r="A682" s="5"/>
      <c r="B682" s="5"/>
      <c r="C682" s="7" t="s">
        <v>32</v>
      </c>
      <c r="D682" s="7" t="s">
        <v>104</v>
      </c>
      <c r="E682" s="9">
        <v>1500.0</v>
      </c>
      <c r="F682" s="7">
        <v>0.0</v>
      </c>
      <c r="G682" s="7" t="s">
        <v>1446</v>
      </c>
      <c r="H682" s="7" t="s">
        <v>74</v>
      </c>
      <c r="I682" s="15">
        <f t="array" ref="I682">INDEX(CC!C:C,MATCH(1,(CC!A:A=H682)*(CC!B:B=J682),0))</f>
        <v>1502</v>
      </c>
      <c r="J682" s="7" t="s">
        <v>25</v>
      </c>
      <c r="K682" s="9">
        <v>1500.0</v>
      </c>
    </row>
    <row r="683">
      <c r="A683" s="5"/>
      <c r="B683" s="5"/>
      <c r="C683" s="7" t="s">
        <v>32</v>
      </c>
      <c r="D683" s="7" t="s">
        <v>112</v>
      </c>
      <c r="E683" s="9">
        <v>5331.0</v>
      </c>
      <c r="F683" s="7">
        <v>0.0</v>
      </c>
      <c r="G683" s="7" t="s">
        <v>1446</v>
      </c>
      <c r="H683" s="7" t="s">
        <v>74</v>
      </c>
      <c r="I683" s="15">
        <f t="array" ref="I683">INDEX(CC!C:C,MATCH(1,(CC!A:A=H683)*(CC!B:B=J683),0))</f>
        <v>1502</v>
      </c>
      <c r="J683" s="7" t="s">
        <v>25</v>
      </c>
      <c r="K683" s="9">
        <v>5331.0</v>
      </c>
    </row>
    <row r="684">
      <c r="A684" s="5"/>
      <c r="B684" s="5"/>
      <c r="C684" s="7" t="s">
        <v>32</v>
      </c>
      <c r="D684" s="7" t="s">
        <v>126</v>
      </c>
      <c r="E684" s="7">
        <v>36.29</v>
      </c>
      <c r="F684" s="7">
        <v>0.0</v>
      </c>
      <c r="G684" s="7" t="s">
        <v>1446</v>
      </c>
      <c r="H684" s="7" t="s">
        <v>74</v>
      </c>
      <c r="I684" s="15">
        <f t="array" ref="I684">INDEX(CC!C:C,MATCH(1,(CC!A:A=H684)*(CC!B:B=J684),0))</f>
        <v>1502</v>
      </c>
      <c r="J684" s="7" t="s">
        <v>25</v>
      </c>
      <c r="K684" s="7">
        <v>36.29</v>
      </c>
    </row>
    <row r="685">
      <c r="A685" s="5"/>
      <c r="B685" s="5"/>
      <c r="C685" s="7" t="s">
        <v>32</v>
      </c>
      <c r="D685" s="7" t="s">
        <v>137</v>
      </c>
      <c r="E685" s="9">
        <v>1553.65</v>
      </c>
      <c r="F685" s="7">
        <v>0.0</v>
      </c>
      <c r="G685" s="7" t="s">
        <v>1446</v>
      </c>
      <c r="H685" s="7" t="s">
        <v>74</v>
      </c>
      <c r="I685" s="15">
        <f t="array" ref="I685">INDEX(CC!C:C,MATCH(1,(CC!A:A=H685)*(CC!B:B=J685),0))</f>
        <v>1502</v>
      </c>
      <c r="J685" s="7" t="s">
        <v>25</v>
      </c>
      <c r="K685" s="9">
        <v>1553.65</v>
      </c>
    </row>
    <row r="686">
      <c r="A686" s="88">
        <v>8734.8</v>
      </c>
      <c r="B686" s="5"/>
      <c r="C686" s="88" t="s">
        <v>1460</v>
      </c>
      <c r="D686" s="7" t="s">
        <v>307</v>
      </c>
      <c r="E686" s="9">
        <v>1500.0</v>
      </c>
      <c r="F686" s="7">
        <v>0.0</v>
      </c>
      <c r="G686" s="7" t="s">
        <v>1438</v>
      </c>
      <c r="H686" s="7" t="s">
        <v>74</v>
      </c>
      <c r="I686" s="15">
        <f t="array" ref="I686">INDEX(CC!C:C,MATCH(1,(CC!A:A=H686)*(CC!B:B=J686),0))</f>
        <v>1502</v>
      </c>
      <c r="J686" s="7" t="s">
        <v>25</v>
      </c>
      <c r="K686" s="9">
        <v>1500.0</v>
      </c>
    </row>
    <row r="687">
      <c r="A687" s="5"/>
      <c r="B687" s="5"/>
      <c r="C687" s="88" t="s">
        <v>1460</v>
      </c>
      <c r="D687" s="7" t="s">
        <v>82</v>
      </c>
      <c r="E687" s="7">
        <v>300.0</v>
      </c>
      <c r="F687" s="7">
        <v>0.0</v>
      </c>
      <c r="G687" s="7" t="s">
        <v>1438</v>
      </c>
      <c r="H687" s="7" t="s">
        <v>74</v>
      </c>
      <c r="I687" s="15">
        <f t="array" ref="I687">INDEX(CC!C:C,MATCH(1,(CC!A:A=H687)*(CC!B:B=J687),0))</f>
        <v>1502</v>
      </c>
      <c r="J687" s="7" t="s">
        <v>25</v>
      </c>
      <c r="K687" s="7">
        <v>300.0</v>
      </c>
    </row>
    <row r="688">
      <c r="A688" s="5"/>
      <c r="B688" s="5"/>
      <c r="C688" s="88" t="s">
        <v>1460</v>
      </c>
      <c r="D688" s="7" t="s">
        <v>199</v>
      </c>
      <c r="E688" s="9">
        <v>1500.0</v>
      </c>
      <c r="F688" s="7">
        <v>0.0</v>
      </c>
      <c r="G688" s="7" t="s">
        <v>1438</v>
      </c>
      <c r="H688" s="7" t="s">
        <v>74</v>
      </c>
      <c r="I688" s="15">
        <f t="array" ref="I688">INDEX(CC!C:C,MATCH(1,(CC!A:A=H688)*(CC!B:B=J688),0))</f>
        <v>1502</v>
      </c>
      <c r="J688" s="7" t="s">
        <v>25</v>
      </c>
      <c r="K688" s="9">
        <v>1500.0</v>
      </c>
    </row>
    <row r="689">
      <c r="A689" s="5"/>
      <c r="B689" s="5"/>
      <c r="C689" s="88" t="s">
        <v>1460</v>
      </c>
      <c r="D689" s="7" t="s">
        <v>104</v>
      </c>
      <c r="E689" s="9">
        <v>1500.0</v>
      </c>
      <c r="F689" s="7">
        <v>0.0</v>
      </c>
      <c r="G689" s="7" t="s">
        <v>1438</v>
      </c>
      <c r="H689" s="7" t="s">
        <v>74</v>
      </c>
      <c r="I689" s="15">
        <f t="array" ref="I689">INDEX(CC!C:C,MATCH(1,(CC!A:A=H689)*(CC!B:B=J689),0))</f>
        <v>1502</v>
      </c>
      <c r="J689" s="7" t="s">
        <v>25</v>
      </c>
      <c r="K689" s="9">
        <v>1500.0</v>
      </c>
    </row>
    <row r="690">
      <c r="A690" s="5"/>
      <c r="B690" s="5"/>
      <c r="C690" s="88" t="s">
        <v>1460</v>
      </c>
      <c r="D690" s="7" t="s">
        <v>126</v>
      </c>
      <c r="E690" s="7">
        <v>30.0</v>
      </c>
      <c r="F690" s="7">
        <v>0.0</v>
      </c>
      <c r="G690" s="7" t="s">
        <v>1438</v>
      </c>
      <c r="H690" s="7" t="s">
        <v>74</v>
      </c>
      <c r="I690" s="15">
        <f t="array" ref="I690">INDEX(CC!C:C,MATCH(1,(CC!A:A=H690)*(CC!B:B=J690),0))</f>
        <v>1502</v>
      </c>
      <c r="J690" s="7" t="s">
        <v>25</v>
      </c>
      <c r="K690" s="7">
        <v>30.0</v>
      </c>
    </row>
    <row r="691">
      <c r="A691" s="5"/>
      <c r="B691" s="5"/>
      <c r="C691" s="88" t="s">
        <v>1460</v>
      </c>
      <c r="D691" s="7" t="s">
        <v>137</v>
      </c>
      <c r="E691" s="9">
        <v>2700.0</v>
      </c>
      <c r="F691" s="7">
        <v>0.0</v>
      </c>
      <c r="G691" s="7" t="s">
        <v>1438</v>
      </c>
      <c r="H691" s="7" t="s">
        <v>74</v>
      </c>
      <c r="I691" s="15">
        <f t="array" ref="I691">INDEX(CC!C:C,MATCH(1,(CC!A:A=H691)*(CC!B:B=J691),0))</f>
        <v>1502</v>
      </c>
      <c r="J691" s="7" t="s">
        <v>25</v>
      </c>
      <c r="K691" s="9">
        <v>2700.0</v>
      </c>
    </row>
    <row r="692">
      <c r="A692" s="7">
        <v>0.01</v>
      </c>
      <c r="B692" s="5"/>
      <c r="C692" s="7" t="s">
        <v>699</v>
      </c>
      <c r="D692" s="7" t="s">
        <v>137</v>
      </c>
      <c r="E692" s="7">
        <v>0.01</v>
      </c>
      <c r="F692" s="7">
        <v>0.0</v>
      </c>
      <c r="G692" s="7" t="s">
        <v>1305</v>
      </c>
      <c r="H692" s="7" t="s">
        <v>554</v>
      </c>
      <c r="I692" s="15">
        <f t="array" ref="I692">INDEX(CC!C:C,MATCH(1,(CC!A:A=H692)*(CC!B:B=J692),0))</f>
        <v>1702</v>
      </c>
      <c r="J692" s="7" t="s">
        <v>25</v>
      </c>
      <c r="K692" s="7">
        <v>0.01</v>
      </c>
    </row>
    <row r="693">
      <c r="A693" s="7">
        <v>11002.6</v>
      </c>
      <c r="B693" s="5"/>
      <c r="C693" s="7" t="s">
        <v>1137</v>
      </c>
      <c r="D693" s="7" t="s">
        <v>307</v>
      </c>
      <c r="E693" s="9">
        <v>1700.0</v>
      </c>
      <c r="F693" s="7">
        <v>0.0</v>
      </c>
      <c r="G693" s="7" t="s">
        <v>1273</v>
      </c>
      <c r="H693" s="7" t="s">
        <v>55</v>
      </c>
      <c r="I693" s="15">
        <f t="array" ref="I693">INDEX(CC!C:C,MATCH(1,(CC!A:A=H693)*(CC!B:B=J693),0))</f>
        <v>902</v>
      </c>
      <c r="J693" s="7" t="s">
        <v>25</v>
      </c>
      <c r="K693" s="9">
        <v>1700.0</v>
      </c>
    </row>
    <row r="694">
      <c r="A694" s="5"/>
      <c r="B694" s="5"/>
      <c r="C694" s="7" t="s">
        <v>1137</v>
      </c>
      <c r="D694" s="7" t="s">
        <v>82</v>
      </c>
      <c r="E694" s="7">
        <v>350.0</v>
      </c>
      <c r="F694" s="7">
        <v>0.0</v>
      </c>
      <c r="G694" s="7" t="s">
        <v>1273</v>
      </c>
      <c r="H694" s="7" t="s">
        <v>55</v>
      </c>
      <c r="I694" s="15">
        <f t="array" ref="I694">INDEX(CC!C:C,MATCH(1,(CC!A:A=H694)*(CC!B:B=J694),0))</f>
        <v>902</v>
      </c>
      <c r="J694" s="7" t="s">
        <v>25</v>
      </c>
      <c r="K694" s="7">
        <v>350.0</v>
      </c>
    </row>
    <row r="695">
      <c r="A695" s="5"/>
      <c r="B695" s="5"/>
      <c r="C695" s="7" t="s">
        <v>1137</v>
      </c>
      <c r="D695" s="7" t="s">
        <v>199</v>
      </c>
      <c r="E695" s="9">
        <v>1700.0</v>
      </c>
      <c r="F695" s="7">
        <v>0.0</v>
      </c>
      <c r="G695" s="7" t="s">
        <v>1273</v>
      </c>
      <c r="H695" s="7" t="s">
        <v>55</v>
      </c>
      <c r="I695" s="15">
        <f t="array" ref="I695">INDEX(CC!C:C,MATCH(1,(CC!A:A=H695)*(CC!B:B=J695),0))</f>
        <v>902</v>
      </c>
      <c r="J695" s="7" t="s">
        <v>25</v>
      </c>
      <c r="K695" s="9">
        <v>1700.0</v>
      </c>
    </row>
    <row r="696">
      <c r="A696" s="5"/>
      <c r="B696" s="5"/>
      <c r="C696" s="7" t="s">
        <v>1137</v>
      </c>
      <c r="D696" s="7" t="s">
        <v>104</v>
      </c>
      <c r="E696" s="9">
        <v>2500.0</v>
      </c>
      <c r="F696" s="7">
        <v>0.0</v>
      </c>
      <c r="G696" s="7" t="s">
        <v>1273</v>
      </c>
      <c r="H696" s="7" t="s">
        <v>55</v>
      </c>
      <c r="I696" s="15">
        <f t="array" ref="I696">INDEX(CC!C:C,MATCH(1,(CC!A:A=H696)*(CC!B:B=J696),0))</f>
        <v>902</v>
      </c>
      <c r="J696" s="7" t="s">
        <v>25</v>
      </c>
      <c r="K696" s="9">
        <v>2500.0</v>
      </c>
    </row>
    <row r="697">
      <c r="A697" s="5"/>
      <c r="B697" s="5"/>
      <c r="C697" s="7" t="s">
        <v>1137</v>
      </c>
      <c r="D697" s="7" t="s">
        <v>126</v>
      </c>
      <c r="E697" s="7">
        <v>35.0</v>
      </c>
      <c r="F697" s="7">
        <v>0.0</v>
      </c>
      <c r="G697" s="7" t="s">
        <v>1273</v>
      </c>
      <c r="H697" s="7" t="s">
        <v>55</v>
      </c>
      <c r="I697" s="15">
        <f t="array" ref="I697">INDEX(CC!C:C,MATCH(1,(CC!A:A=H697)*(CC!B:B=J697),0))</f>
        <v>902</v>
      </c>
      <c r="J697" s="7" t="s">
        <v>25</v>
      </c>
      <c r="K697" s="7">
        <v>35.0</v>
      </c>
    </row>
    <row r="698">
      <c r="A698" s="5"/>
      <c r="B698" s="5"/>
      <c r="C698" s="7" t="s">
        <v>1137</v>
      </c>
      <c r="D698" s="7" t="s">
        <v>137</v>
      </c>
      <c r="E698" s="9">
        <v>3200.0</v>
      </c>
      <c r="F698" s="7">
        <v>0.0</v>
      </c>
      <c r="G698" s="7" t="s">
        <v>1273</v>
      </c>
      <c r="H698" s="7" t="s">
        <v>55</v>
      </c>
      <c r="I698" s="15">
        <f t="array" ref="I698">INDEX(CC!C:C,MATCH(1,(CC!A:A=H698)*(CC!B:B=J698),0))</f>
        <v>902</v>
      </c>
      <c r="J698" s="7" t="s">
        <v>25</v>
      </c>
      <c r="K698" s="9">
        <v>3200.0</v>
      </c>
    </row>
    <row r="699">
      <c r="A699" s="7">
        <v>44938.98</v>
      </c>
      <c r="B699" s="5"/>
      <c r="C699" s="7" t="s">
        <v>32</v>
      </c>
      <c r="D699" s="7" t="s">
        <v>307</v>
      </c>
      <c r="E699" s="7">
        <v>945.65</v>
      </c>
      <c r="F699" s="7">
        <v>0.0</v>
      </c>
      <c r="G699" s="7" t="s">
        <v>1447</v>
      </c>
      <c r="H699" s="7" t="s">
        <v>74</v>
      </c>
      <c r="I699" s="15">
        <f t="array" ref="I699">INDEX(CC!C:C,MATCH(1,(CC!A:A=H699)*(CC!B:B=J699),0))</f>
        <v>1502</v>
      </c>
      <c r="J699" s="7" t="s">
        <v>25</v>
      </c>
      <c r="K699" s="7">
        <v>945.65</v>
      </c>
    </row>
    <row r="700">
      <c r="A700" s="5"/>
      <c r="B700" s="5"/>
      <c r="C700" s="7" t="s">
        <v>32</v>
      </c>
      <c r="D700" s="7" t="s">
        <v>82</v>
      </c>
      <c r="E700" s="7">
        <v>362.91</v>
      </c>
      <c r="F700" s="7">
        <v>0.0</v>
      </c>
      <c r="G700" s="7" t="s">
        <v>1447</v>
      </c>
      <c r="H700" s="7" t="s">
        <v>74</v>
      </c>
      <c r="I700" s="15">
        <f t="array" ref="I700">INDEX(CC!C:C,MATCH(1,(CC!A:A=H700)*(CC!B:B=J700),0))</f>
        <v>1502</v>
      </c>
      <c r="J700" s="7" t="s">
        <v>25</v>
      </c>
      <c r="K700" s="7">
        <v>362.91</v>
      </c>
    </row>
    <row r="701">
      <c r="A701" s="5"/>
      <c r="B701" s="5"/>
      <c r="C701" s="7" t="s">
        <v>32</v>
      </c>
      <c r="D701" s="7" t="s">
        <v>199</v>
      </c>
      <c r="E701" s="9">
        <v>9696.45</v>
      </c>
      <c r="F701" s="7">
        <v>0.0</v>
      </c>
      <c r="G701" s="7" t="s">
        <v>1447</v>
      </c>
      <c r="H701" s="7" t="s">
        <v>74</v>
      </c>
      <c r="I701" s="15">
        <f t="array" ref="I701">INDEX(CC!C:C,MATCH(1,(CC!A:A=H701)*(CC!B:B=J701),0))</f>
        <v>1502</v>
      </c>
      <c r="J701" s="7" t="s">
        <v>25</v>
      </c>
      <c r="K701" s="9">
        <v>9696.45</v>
      </c>
    </row>
    <row r="702">
      <c r="A702" s="5"/>
      <c r="B702" s="5"/>
      <c r="C702" s="7" t="s">
        <v>32</v>
      </c>
      <c r="D702" s="7" t="s">
        <v>104</v>
      </c>
      <c r="E702" s="9">
        <v>1500.0</v>
      </c>
      <c r="F702" s="7">
        <v>0.0</v>
      </c>
      <c r="G702" s="7" t="s">
        <v>1447</v>
      </c>
      <c r="H702" s="7" t="s">
        <v>74</v>
      </c>
      <c r="I702" s="15">
        <f t="array" ref="I702">INDEX(CC!C:C,MATCH(1,(CC!A:A=H702)*(CC!B:B=J702),0))</f>
        <v>1502</v>
      </c>
      <c r="J702" s="7" t="s">
        <v>25</v>
      </c>
      <c r="K702" s="9">
        <v>1500.0</v>
      </c>
    </row>
    <row r="703">
      <c r="A703" s="5"/>
      <c r="B703" s="5"/>
      <c r="C703" s="7" t="s">
        <v>32</v>
      </c>
      <c r="D703" s="7" t="s">
        <v>112</v>
      </c>
      <c r="E703" s="9">
        <v>16017.93</v>
      </c>
      <c r="F703" s="7">
        <v>0.0</v>
      </c>
      <c r="G703" s="7" t="s">
        <v>1447</v>
      </c>
      <c r="H703" s="7" t="s">
        <v>74</v>
      </c>
      <c r="I703" s="15">
        <f t="array" ref="I703">INDEX(CC!C:C,MATCH(1,(CC!A:A=H703)*(CC!B:B=J703),0))</f>
        <v>1502</v>
      </c>
      <c r="J703" s="7" t="s">
        <v>25</v>
      </c>
      <c r="K703" s="9">
        <v>16017.93</v>
      </c>
    </row>
    <row r="704">
      <c r="A704" s="5"/>
      <c r="B704" s="5"/>
      <c r="C704" s="7" t="s">
        <v>32</v>
      </c>
      <c r="D704" s="7" t="s">
        <v>126</v>
      </c>
      <c r="E704" s="7">
        <v>36.29</v>
      </c>
      <c r="F704" s="7">
        <v>0.0</v>
      </c>
      <c r="G704" s="7" t="s">
        <v>1447</v>
      </c>
      <c r="H704" s="7" t="s">
        <v>74</v>
      </c>
      <c r="I704" s="15">
        <f t="array" ref="I704">INDEX(CC!C:C,MATCH(1,(CC!A:A=H704)*(CC!B:B=J704),0))</f>
        <v>1502</v>
      </c>
      <c r="J704" s="7" t="s">
        <v>25</v>
      </c>
      <c r="K704" s="7">
        <v>36.29</v>
      </c>
    </row>
    <row r="705">
      <c r="A705" s="5"/>
      <c r="B705" s="5"/>
      <c r="C705" s="7" t="s">
        <v>32</v>
      </c>
      <c r="D705" s="7" t="s">
        <v>137</v>
      </c>
      <c r="E705" s="9">
        <v>10181.27</v>
      </c>
      <c r="F705" s="7">
        <v>0.0</v>
      </c>
      <c r="G705" s="7" t="s">
        <v>1447</v>
      </c>
      <c r="H705" s="7" t="s">
        <v>74</v>
      </c>
      <c r="I705" s="15">
        <f t="array" ref="I705">INDEX(CC!C:C,MATCH(1,(CC!A:A=H705)*(CC!B:B=J705),0))</f>
        <v>1502</v>
      </c>
      <c r="J705" s="7" t="s">
        <v>25</v>
      </c>
      <c r="K705" s="9">
        <v>10181.27</v>
      </c>
    </row>
    <row r="706">
      <c r="A706" s="7">
        <v>11350.6</v>
      </c>
      <c r="B706" s="5"/>
      <c r="C706" s="7" t="s">
        <v>1027</v>
      </c>
      <c r="D706" s="7" t="s">
        <v>307</v>
      </c>
      <c r="E706" s="9">
        <v>1800.0</v>
      </c>
      <c r="F706" s="7">
        <v>0.0</v>
      </c>
      <c r="G706" s="7" t="s">
        <v>1444</v>
      </c>
      <c r="H706" s="7" t="s">
        <v>74</v>
      </c>
      <c r="I706" s="15">
        <f t="array" ref="I706">INDEX(CC!C:C,MATCH(1,(CC!A:A=H706)*(CC!B:B=J706),0))</f>
        <v>1502</v>
      </c>
      <c r="J706" s="7" t="s">
        <v>25</v>
      </c>
      <c r="K706" s="9">
        <v>1800.0</v>
      </c>
    </row>
    <row r="707">
      <c r="A707" s="5"/>
      <c r="B707" s="5"/>
      <c r="C707" s="7" t="s">
        <v>1027</v>
      </c>
      <c r="D707" s="7" t="s">
        <v>82</v>
      </c>
      <c r="E707" s="7">
        <v>350.0</v>
      </c>
      <c r="F707" s="7">
        <v>0.0</v>
      </c>
      <c r="G707" s="7" t="s">
        <v>1444</v>
      </c>
      <c r="H707" s="7" t="s">
        <v>74</v>
      </c>
      <c r="I707" s="15">
        <f t="array" ref="I707">INDEX(CC!C:C,MATCH(1,(CC!A:A=H707)*(CC!B:B=J707),0))</f>
        <v>1502</v>
      </c>
      <c r="J707" s="7" t="s">
        <v>25</v>
      </c>
      <c r="K707" s="7">
        <v>350.0</v>
      </c>
    </row>
    <row r="708">
      <c r="A708" s="5"/>
      <c r="B708" s="5"/>
      <c r="C708" s="7" t="s">
        <v>1027</v>
      </c>
      <c r="D708" s="7" t="s">
        <v>199</v>
      </c>
      <c r="E708" s="9">
        <v>1800.0</v>
      </c>
      <c r="F708" s="7">
        <v>0.0</v>
      </c>
      <c r="G708" s="7" t="s">
        <v>1444</v>
      </c>
      <c r="H708" s="7" t="s">
        <v>74</v>
      </c>
      <c r="I708" s="15">
        <f t="array" ref="I708">INDEX(CC!C:C,MATCH(1,(CC!A:A=H708)*(CC!B:B=J708),0))</f>
        <v>1502</v>
      </c>
      <c r="J708" s="7" t="s">
        <v>25</v>
      </c>
      <c r="K708" s="9">
        <v>1800.0</v>
      </c>
    </row>
    <row r="709">
      <c r="A709" s="5"/>
      <c r="B709" s="5"/>
      <c r="C709" s="7" t="s">
        <v>1027</v>
      </c>
      <c r="D709" s="7" t="s">
        <v>126</v>
      </c>
      <c r="E709" s="7">
        <v>35.0</v>
      </c>
      <c r="F709" s="7">
        <v>0.0</v>
      </c>
      <c r="G709" s="7" t="s">
        <v>1444</v>
      </c>
      <c r="H709" s="7" t="s">
        <v>74</v>
      </c>
      <c r="I709" s="15">
        <f t="array" ref="I709">INDEX(CC!C:C,MATCH(1,(CC!A:A=H709)*(CC!B:B=J709),0))</f>
        <v>1502</v>
      </c>
      <c r="J709" s="7" t="s">
        <v>25</v>
      </c>
      <c r="K709" s="7">
        <v>35.0</v>
      </c>
    </row>
    <row r="710">
      <c r="A710" s="5"/>
      <c r="B710" s="5"/>
      <c r="C710" s="7" t="s">
        <v>1027</v>
      </c>
      <c r="D710" s="7" t="s">
        <v>137</v>
      </c>
      <c r="E710" s="9">
        <v>3300.0</v>
      </c>
      <c r="F710" s="7">
        <v>0.0</v>
      </c>
      <c r="G710" s="7" t="s">
        <v>1444</v>
      </c>
      <c r="H710" s="7" t="s">
        <v>74</v>
      </c>
      <c r="I710" s="15">
        <f t="array" ref="I710">INDEX(CC!C:C,MATCH(1,(CC!A:A=H710)*(CC!B:B=J710),0))</f>
        <v>1502</v>
      </c>
      <c r="J710" s="7" t="s">
        <v>25</v>
      </c>
      <c r="K710" s="9">
        <v>3300.0</v>
      </c>
    </row>
    <row r="711">
      <c r="A711" s="5"/>
      <c r="B711" s="5"/>
      <c r="C711" s="7" t="s">
        <v>1027</v>
      </c>
      <c r="D711" s="7" t="s">
        <v>104</v>
      </c>
      <c r="E711" s="9">
        <v>2500.0</v>
      </c>
      <c r="F711" s="7">
        <v>0.0</v>
      </c>
      <c r="G711" s="7" t="s">
        <v>1444</v>
      </c>
      <c r="H711" s="7" t="s">
        <v>74</v>
      </c>
      <c r="I711" s="15">
        <f t="array" ref="I711">INDEX(CC!C:C,MATCH(1,(CC!A:A=H711)*(CC!B:B=J711),0))</f>
        <v>1502</v>
      </c>
      <c r="J711" s="7" t="s">
        <v>25</v>
      </c>
      <c r="K711" s="9">
        <v>2500.0</v>
      </c>
    </row>
    <row r="712">
      <c r="A712" s="7">
        <v>7878.04</v>
      </c>
      <c r="B712" s="5"/>
      <c r="C712" s="7" t="s">
        <v>911</v>
      </c>
      <c r="D712" s="7" t="s">
        <v>112</v>
      </c>
      <c r="E712" s="9">
        <v>3474.84</v>
      </c>
      <c r="F712" s="7">
        <v>0.0</v>
      </c>
      <c r="G712" s="7" t="s">
        <v>1350</v>
      </c>
      <c r="H712" s="7" t="s">
        <v>84</v>
      </c>
      <c r="I712" s="15">
        <f t="array" ref="I712">INDEX(CC!C:C,MATCH(1,(CC!A:A=H712)*(CC!B:B=J712),0))</f>
        <v>1002</v>
      </c>
      <c r="J712" s="7" t="s">
        <v>25</v>
      </c>
      <c r="K712" s="9">
        <v>3474.84</v>
      </c>
    </row>
    <row r="713">
      <c r="A713" s="5"/>
      <c r="B713" s="5"/>
      <c r="C713" s="7" t="s">
        <v>911</v>
      </c>
      <c r="D713" s="7" t="s">
        <v>137</v>
      </c>
      <c r="E713" s="9">
        <v>3316.57</v>
      </c>
      <c r="F713" s="7">
        <v>0.0</v>
      </c>
      <c r="G713" s="7" t="s">
        <v>1350</v>
      </c>
      <c r="H713" s="7" t="s">
        <v>84</v>
      </c>
      <c r="I713" s="15">
        <f t="array" ref="I713">INDEX(CC!C:C,MATCH(1,(CC!A:A=H713)*(CC!B:B=J713),0))</f>
        <v>1002</v>
      </c>
      <c r="J713" s="7" t="s">
        <v>25</v>
      </c>
      <c r="K713" s="9">
        <v>3316.57</v>
      </c>
    </row>
    <row r="714">
      <c r="A714" s="7">
        <v>6440.0</v>
      </c>
      <c r="B714" s="5"/>
      <c r="C714" s="7" t="s">
        <v>32</v>
      </c>
      <c r="D714" s="7" t="s">
        <v>33</v>
      </c>
      <c r="E714" s="9">
        <v>5750.0</v>
      </c>
      <c r="F714" s="7">
        <v>0.0</v>
      </c>
      <c r="G714" s="7" t="s">
        <v>1447</v>
      </c>
      <c r="H714" s="7" t="s">
        <v>40</v>
      </c>
      <c r="I714" s="15">
        <f t="array" ref="I714">INDEX(CC!C:C,MATCH(1,(CC!A:A=H714)*(CC!B:B=J714),0))</f>
        <v>602</v>
      </c>
      <c r="J714" s="7" t="s">
        <v>25</v>
      </c>
      <c r="K714" s="9">
        <v>5750.0</v>
      </c>
    </row>
    <row r="715">
      <c r="A715" s="7">
        <v>9855.66</v>
      </c>
      <c r="B715" s="5"/>
      <c r="C715" s="7" t="s">
        <v>699</v>
      </c>
      <c r="D715" s="7" t="s">
        <v>565</v>
      </c>
      <c r="E715" s="9">
        <v>4692.55</v>
      </c>
      <c r="F715" s="7">
        <v>0.0</v>
      </c>
      <c r="G715" s="7" t="s">
        <v>1475</v>
      </c>
      <c r="H715" s="7" t="s">
        <v>539</v>
      </c>
      <c r="I715" s="15">
        <f t="array" ref="I715">INDEX(CC!C:C,MATCH(1,(CC!A:A=H715)*(CC!B:B=J715),0))</f>
        <v>1302</v>
      </c>
      <c r="J715" s="7" t="s">
        <v>25</v>
      </c>
      <c r="K715" s="9">
        <v>4692.55</v>
      </c>
    </row>
    <row r="716">
      <c r="A716" s="5"/>
      <c r="B716" s="5"/>
      <c r="C716" s="7" t="s">
        <v>699</v>
      </c>
      <c r="D716" s="7" t="s">
        <v>566</v>
      </c>
      <c r="E716" s="7">
        <v>511.91</v>
      </c>
      <c r="F716" s="7">
        <v>0.0</v>
      </c>
      <c r="G716" s="7" t="s">
        <v>1475</v>
      </c>
      <c r="H716" s="7" t="s">
        <v>539</v>
      </c>
      <c r="I716" s="15">
        <f t="array" ref="I716">INDEX(CC!C:C,MATCH(1,(CC!A:A=H716)*(CC!B:B=J716),0))</f>
        <v>1302</v>
      </c>
      <c r="J716" s="7" t="s">
        <v>25</v>
      </c>
      <c r="K716" s="7">
        <v>511.91</v>
      </c>
    </row>
    <row r="717">
      <c r="A717" s="5"/>
      <c r="B717" s="5"/>
      <c r="C717" s="7" t="s">
        <v>699</v>
      </c>
      <c r="D717" s="7" t="s">
        <v>126</v>
      </c>
      <c r="E717" s="7">
        <v>21.8</v>
      </c>
      <c r="F717" s="7">
        <v>0.0</v>
      </c>
      <c r="G717" s="7" t="s">
        <v>1475</v>
      </c>
      <c r="H717" s="7" t="s">
        <v>539</v>
      </c>
      <c r="I717" s="15">
        <f t="array" ref="I717">INDEX(CC!C:C,MATCH(1,(CC!A:A=H717)*(CC!B:B=J717),0))</f>
        <v>1302</v>
      </c>
      <c r="J717" s="7" t="s">
        <v>25</v>
      </c>
      <c r="K717" s="7">
        <v>21.8</v>
      </c>
    </row>
    <row r="718">
      <c r="A718" s="5"/>
      <c r="B718" s="5"/>
      <c r="C718" s="7" t="s">
        <v>699</v>
      </c>
      <c r="D718" s="7" t="s">
        <v>137</v>
      </c>
      <c r="E718" s="9">
        <v>3270.0</v>
      </c>
      <c r="F718" s="7">
        <v>0.0</v>
      </c>
      <c r="G718" s="7" t="s">
        <v>1475</v>
      </c>
      <c r="H718" s="7" t="s">
        <v>539</v>
      </c>
      <c r="I718" s="15">
        <f t="array" ref="I718">INDEX(CC!C:C,MATCH(1,(CC!A:A=H718)*(CC!B:B=J718),0))</f>
        <v>1302</v>
      </c>
      <c r="J718" s="7" t="s">
        <v>25</v>
      </c>
      <c r="K718" s="9">
        <v>3270.0</v>
      </c>
    </row>
    <row r="719">
      <c r="A719" s="7">
        <v>0.01</v>
      </c>
      <c r="B719" s="5"/>
      <c r="C719" s="7" t="s">
        <v>331</v>
      </c>
      <c r="D719" s="7" t="s">
        <v>33</v>
      </c>
      <c r="E719" s="7">
        <v>0.01</v>
      </c>
      <c r="F719" s="7">
        <v>0.0</v>
      </c>
      <c r="G719" s="7" t="s">
        <v>1548</v>
      </c>
      <c r="H719" s="7" t="s">
        <v>385</v>
      </c>
      <c r="I719" s="15">
        <f t="array" ref="I719">INDEX(CC!C:C,MATCH(1,(CC!A:A=H719)*(CC!B:B=J719),0))</f>
        <v>502</v>
      </c>
      <c r="J719" s="7" t="s">
        <v>25</v>
      </c>
      <c r="K719" s="7">
        <v>0.01</v>
      </c>
    </row>
    <row r="720">
      <c r="A720" s="88">
        <v>8734.8</v>
      </c>
      <c r="B720" s="5"/>
      <c r="C720" s="88" t="s">
        <v>1460</v>
      </c>
      <c r="D720" s="7" t="s">
        <v>307</v>
      </c>
      <c r="E720" s="9">
        <v>1500.0</v>
      </c>
      <c r="F720" s="7">
        <v>0.0</v>
      </c>
      <c r="G720" s="7" t="s">
        <v>1436</v>
      </c>
      <c r="H720" s="7" t="s">
        <v>74</v>
      </c>
      <c r="I720" s="15">
        <f t="array" ref="I720">INDEX(CC!C:C,MATCH(1,(CC!A:A=H720)*(CC!B:B=J720),0))</f>
        <v>1502</v>
      </c>
      <c r="J720" s="7" t="s">
        <v>25</v>
      </c>
      <c r="K720" s="9">
        <v>1500.0</v>
      </c>
    </row>
    <row r="721">
      <c r="A721" s="5"/>
      <c r="B721" s="5"/>
      <c r="C721" s="88" t="s">
        <v>1460</v>
      </c>
      <c r="D721" s="7" t="s">
        <v>82</v>
      </c>
      <c r="E721" s="7">
        <v>300.0</v>
      </c>
      <c r="F721" s="7">
        <v>0.0</v>
      </c>
      <c r="G721" s="7" t="s">
        <v>1436</v>
      </c>
      <c r="H721" s="7" t="s">
        <v>74</v>
      </c>
      <c r="I721" s="15">
        <f t="array" ref="I721">INDEX(CC!C:C,MATCH(1,(CC!A:A=H721)*(CC!B:B=J721),0))</f>
        <v>1502</v>
      </c>
      <c r="J721" s="7" t="s">
        <v>25</v>
      </c>
      <c r="K721" s="7">
        <v>300.0</v>
      </c>
    </row>
    <row r="722">
      <c r="A722" s="5"/>
      <c r="B722" s="5"/>
      <c r="C722" s="88" t="s">
        <v>1460</v>
      </c>
      <c r="D722" s="7" t="s">
        <v>199</v>
      </c>
      <c r="E722" s="9">
        <v>1500.0</v>
      </c>
      <c r="F722" s="7">
        <v>0.0</v>
      </c>
      <c r="G722" s="7" t="s">
        <v>1436</v>
      </c>
      <c r="H722" s="7" t="s">
        <v>74</v>
      </c>
      <c r="I722" s="15">
        <f t="array" ref="I722">INDEX(CC!C:C,MATCH(1,(CC!A:A=H722)*(CC!B:B=J722),0))</f>
        <v>1502</v>
      </c>
      <c r="J722" s="7" t="s">
        <v>25</v>
      </c>
      <c r="K722" s="9">
        <v>1500.0</v>
      </c>
    </row>
    <row r="723">
      <c r="A723" s="5"/>
      <c r="B723" s="5"/>
      <c r="C723" s="88" t="s">
        <v>1460</v>
      </c>
      <c r="D723" s="7" t="s">
        <v>104</v>
      </c>
      <c r="E723" s="9">
        <v>1500.0</v>
      </c>
      <c r="F723" s="7">
        <v>0.0</v>
      </c>
      <c r="G723" s="7" t="s">
        <v>1436</v>
      </c>
      <c r="H723" s="7" t="s">
        <v>74</v>
      </c>
      <c r="I723" s="15">
        <f t="array" ref="I723">INDEX(CC!C:C,MATCH(1,(CC!A:A=H723)*(CC!B:B=J723),0))</f>
        <v>1502</v>
      </c>
      <c r="J723" s="7" t="s">
        <v>25</v>
      </c>
      <c r="K723" s="9">
        <v>1500.0</v>
      </c>
    </row>
    <row r="724">
      <c r="A724" s="5"/>
      <c r="B724" s="5"/>
      <c r="C724" s="88" t="s">
        <v>1460</v>
      </c>
      <c r="D724" s="7" t="s">
        <v>126</v>
      </c>
      <c r="E724" s="7">
        <v>30.0</v>
      </c>
      <c r="F724" s="7">
        <v>0.0</v>
      </c>
      <c r="G724" s="7" t="s">
        <v>1436</v>
      </c>
      <c r="H724" s="7" t="s">
        <v>74</v>
      </c>
      <c r="I724" s="15">
        <f t="array" ref="I724">INDEX(CC!C:C,MATCH(1,(CC!A:A=H724)*(CC!B:B=J724),0))</f>
        <v>1502</v>
      </c>
      <c r="J724" s="7" t="s">
        <v>25</v>
      </c>
      <c r="K724" s="7">
        <v>30.0</v>
      </c>
    </row>
    <row r="725">
      <c r="A725" s="5"/>
      <c r="B725" s="5"/>
      <c r="C725" s="88" t="s">
        <v>1460</v>
      </c>
      <c r="D725" s="7" t="s">
        <v>137</v>
      </c>
      <c r="E725" s="9">
        <v>2700.0</v>
      </c>
      <c r="F725" s="7">
        <v>0.0</v>
      </c>
      <c r="G725" s="7" t="s">
        <v>1436</v>
      </c>
      <c r="H725" s="7" t="s">
        <v>74</v>
      </c>
      <c r="I725" s="15">
        <f t="array" ref="I725">INDEX(CC!C:C,MATCH(1,(CC!A:A=H725)*(CC!B:B=J725),0))</f>
        <v>1502</v>
      </c>
      <c r="J725" s="7" t="s">
        <v>25</v>
      </c>
      <c r="K725" s="9">
        <v>2700.0</v>
      </c>
    </row>
    <row r="726">
      <c r="A726" s="7">
        <v>1.16</v>
      </c>
      <c r="B726" s="5"/>
      <c r="C726" s="7" t="s">
        <v>975</v>
      </c>
      <c r="D726" s="7" t="s">
        <v>137</v>
      </c>
      <c r="E726" s="7">
        <v>1.0</v>
      </c>
      <c r="F726" s="7">
        <v>0.0</v>
      </c>
      <c r="G726" s="7" t="s">
        <v>1494</v>
      </c>
      <c r="H726" s="7" t="s">
        <v>554</v>
      </c>
      <c r="I726" s="15">
        <f t="array" ref="I726">INDEX(CC!C:C,MATCH(1,(CC!A:A=H726)*(CC!B:B=J726),0))</f>
        <v>1702</v>
      </c>
      <c r="J726" s="7" t="s">
        <v>25</v>
      </c>
      <c r="K726" s="7">
        <v>1.0</v>
      </c>
    </row>
    <row r="727">
      <c r="A727" s="7">
        <v>0.01</v>
      </c>
      <c r="B727" s="5"/>
      <c r="C727" s="7" t="s">
        <v>331</v>
      </c>
      <c r="D727" s="7" t="s">
        <v>33</v>
      </c>
      <c r="E727" s="7">
        <v>0.01</v>
      </c>
      <c r="F727" s="7">
        <v>0.0</v>
      </c>
      <c r="G727" s="7" t="s">
        <v>1555</v>
      </c>
      <c r="H727" s="7" t="s">
        <v>385</v>
      </c>
      <c r="I727" s="15">
        <f t="array" ref="I727">INDEX(CC!C:C,MATCH(1,(CC!A:A=H727)*(CC!B:B=J727),0))</f>
        <v>502</v>
      </c>
      <c r="J727" s="7" t="s">
        <v>25</v>
      </c>
      <c r="K727" s="7">
        <v>0.01</v>
      </c>
    </row>
    <row r="728">
      <c r="A728" s="7">
        <v>39983.49</v>
      </c>
      <c r="B728" s="5"/>
      <c r="C728" s="7" t="s">
        <v>1467</v>
      </c>
      <c r="D728" s="7" t="s">
        <v>1468</v>
      </c>
      <c r="E728" s="9">
        <v>27597.83</v>
      </c>
      <c r="F728" s="7">
        <v>0.0</v>
      </c>
      <c r="G728" s="7" t="s">
        <v>1557</v>
      </c>
      <c r="H728" s="7" t="s">
        <v>601</v>
      </c>
      <c r="I728" s="15">
        <f t="array" ref="I728">INDEX(CC!C:C,MATCH(1,(CC!A:A=H728)*(CC!B:B=J728),0))</f>
        <v>402</v>
      </c>
      <c r="J728" s="7" t="s">
        <v>25</v>
      </c>
      <c r="K728" s="9">
        <v>27597.83</v>
      </c>
    </row>
    <row r="729">
      <c r="A729" s="5"/>
      <c r="B729" s="5"/>
      <c r="C729" s="7" t="s">
        <v>1467</v>
      </c>
      <c r="D729" s="7" t="s">
        <v>1470</v>
      </c>
      <c r="E729" s="9">
        <v>6870.7</v>
      </c>
      <c r="F729" s="7">
        <v>0.0</v>
      </c>
      <c r="G729" s="7" t="s">
        <v>1557</v>
      </c>
      <c r="H729" s="7" t="s">
        <v>601</v>
      </c>
      <c r="I729" s="15">
        <f t="array" ref="I729">INDEX(CC!C:C,MATCH(1,(CC!A:A=H729)*(CC!B:B=J729),0))</f>
        <v>402</v>
      </c>
      <c r="J729" s="7" t="s">
        <v>25</v>
      </c>
      <c r="K729" s="9">
        <v>6870.7</v>
      </c>
    </row>
    <row r="730">
      <c r="A730" s="7">
        <v>0.01</v>
      </c>
      <c r="B730" s="5"/>
      <c r="C730" s="7" t="s">
        <v>331</v>
      </c>
      <c r="D730" s="7" t="s">
        <v>33</v>
      </c>
      <c r="E730" s="7">
        <v>0.01</v>
      </c>
      <c r="F730" s="7">
        <v>0.0</v>
      </c>
      <c r="G730" s="7" t="s">
        <v>1561</v>
      </c>
      <c r="H730" s="7" t="s">
        <v>40</v>
      </c>
      <c r="I730" s="15">
        <f t="array" ref="I730">INDEX(CC!C:C,MATCH(1,(CC!A:A=H730)*(CC!B:B=J730),0))</f>
        <v>602</v>
      </c>
      <c r="J730" s="7" t="s">
        <v>25</v>
      </c>
      <c r="K730" s="7">
        <v>0.01</v>
      </c>
    </row>
    <row r="731">
      <c r="A731" s="7">
        <v>132847.91</v>
      </c>
      <c r="B731" s="5"/>
      <c r="C731" s="7" t="s">
        <v>1467</v>
      </c>
      <c r="D731" s="7" t="s">
        <v>1564</v>
      </c>
      <c r="E731" s="9">
        <v>114524.06</v>
      </c>
      <c r="F731" s="7">
        <v>0.0</v>
      </c>
      <c r="G731" s="7" t="s">
        <v>1565</v>
      </c>
      <c r="H731" s="7" t="s">
        <v>601</v>
      </c>
      <c r="I731" s="15">
        <f t="array" ref="I731">INDEX(CC!C:C,MATCH(1,(CC!A:A=H731)*(CC!B:B=J731),0))</f>
        <v>402</v>
      </c>
      <c r="J731" s="7" t="s">
        <v>25</v>
      </c>
      <c r="K731" s="9">
        <v>114524.06</v>
      </c>
    </row>
    <row r="732">
      <c r="A732" s="7">
        <v>1703178.76</v>
      </c>
      <c r="B732" s="5"/>
      <c r="C732" s="7" t="s">
        <v>1467</v>
      </c>
      <c r="D732" s="7" t="s">
        <v>1468</v>
      </c>
      <c r="E732" s="9">
        <v>1344420.55</v>
      </c>
      <c r="F732" s="7">
        <v>0.0</v>
      </c>
      <c r="G732" s="7" t="s">
        <v>1567</v>
      </c>
      <c r="H732" s="7" t="s">
        <v>601</v>
      </c>
      <c r="I732" s="15">
        <f t="array" ref="I732">INDEX(CC!C:C,MATCH(1,(CC!A:A=H732)*(CC!B:B=J732),0))</f>
        <v>402</v>
      </c>
      <c r="J732" s="7" t="s">
        <v>25</v>
      </c>
      <c r="K732" s="9">
        <v>1344420.55</v>
      </c>
    </row>
    <row r="733">
      <c r="A733" s="5"/>
      <c r="B733" s="5"/>
      <c r="C733" s="7" t="s">
        <v>1467</v>
      </c>
      <c r="D733" s="7" t="s">
        <v>1470</v>
      </c>
      <c r="E733" s="9">
        <v>87720.34</v>
      </c>
      <c r="F733" s="7">
        <v>0.0</v>
      </c>
      <c r="G733" s="7" t="s">
        <v>1567</v>
      </c>
      <c r="H733" s="7" t="s">
        <v>601</v>
      </c>
      <c r="I733" s="15">
        <f t="array" ref="I733">INDEX(CC!C:C,MATCH(1,(CC!A:A=H733)*(CC!B:B=J733),0))</f>
        <v>402</v>
      </c>
      <c r="J733" s="7" t="s">
        <v>25</v>
      </c>
      <c r="K733" s="9">
        <v>87720.34</v>
      </c>
    </row>
    <row r="734">
      <c r="A734" s="5"/>
      <c r="B734" s="5"/>
      <c r="C734" s="7" t="s">
        <v>1467</v>
      </c>
      <c r="D734" s="7" t="s">
        <v>142</v>
      </c>
      <c r="E734" s="9">
        <v>13943.99</v>
      </c>
      <c r="F734" s="7">
        <v>0.0</v>
      </c>
      <c r="G734" s="7" t="s">
        <v>1567</v>
      </c>
      <c r="H734" s="7" t="s">
        <v>601</v>
      </c>
      <c r="I734" s="15">
        <f t="array" ref="I734">INDEX(CC!C:C,MATCH(1,(CC!A:A=H734)*(CC!B:B=J734),0))</f>
        <v>402</v>
      </c>
      <c r="J734" s="7" t="s">
        <v>25</v>
      </c>
      <c r="K734" s="9">
        <v>13943.99</v>
      </c>
    </row>
    <row r="735">
      <c r="A735" s="5"/>
      <c r="B735" s="5"/>
      <c r="C735" s="7" t="s">
        <v>1467</v>
      </c>
      <c r="D735" s="7" t="s">
        <v>277</v>
      </c>
      <c r="E735" s="9">
        <v>5493.15</v>
      </c>
      <c r="F735" s="7">
        <v>0.0</v>
      </c>
      <c r="G735" s="7" t="s">
        <v>1567</v>
      </c>
      <c r="H735" s="7" t="s">
        <v>601</v>
      </c>
      <c r="I735" s="15">
        <f t="array" ref="I735">INDEX(CC!C:C,MATCH(1,(CC!A:A=H735)*(CC!B:B=J735),0))</f>
        <v>402</v>
      </c>
      <c r="J735" s="7" t="s">
        <v>25</v>
      </c>
      <c r="K735" s="9">
        <v>5493.15</v>
      </c>
    </row>
    <row r="736">
      <c r="A736" s="5"/>
      <c r="B736" s="5"/>
      <c r="C736" s="7" t="s">
        <v>1467</v>
      </c>
      <c r="D736" s="7" t="s">
        <v>73</v>
      </c>
      <c r="E736" s="9">
        <v>16679.52</v>
      </c>
      <c r="F736" s="7">
        <v>0.0</v>
      </c>
      <c r="G736" s="7" t="s">
        <v>1567</v>
      </c>
      <c r="H736" s="7" t="s">
        <v>601</v>
      </c>
      <c r="I736" s="15">
        <f t="array" ref="I736">INDEX(CC!C:C,MATCH(1,(CC!A:A=H736)*(CC!B:B=J736),0))</f>
        <v>402</v>
      </c>
      <c r="J736" s="7" t="s">
        <v>25</v>
      </c>
      <c r="K736" s="9">
        <v>16679.52</v>
      </c>
    </row>
    <row r="737">
      <c r="A737" s="7">
        <v>9228.5</v>
      </c>
      <c r="B737" s="5"/>
      <c r="C737" s="7" t="s">
        <v>699</v>
      </c>
      <c r="D737" s="7" t="s">
        <v>565</v>
      </c>
      <c r="E737" s="9">
        <v>4663.8</v>
      </c>
      <c r="F737" s="7">
        <v>0.0</v>
      </c>
      <c r="G737" s="7" t="s">
        <v>1481</v>
      </c>
      <c r="H737" s="7" t="s">
        <v>1159</v>
      </c>
      <c r="I737" s="15">
        <f t="array" ref="I737">INDEX(CC!C:C,MATCH(1,(CC!A:A=H737)*(CC!B:B=J737),0))</f>
        <v>802</v>
      </c>
      <c r="J737" s="7" t="s">
        <v>25</v>
      </c>
      <c r="K737" s="9">
        <v>4663.8</v>
      </c>
    </row>
    <row r="738">
      <c r="A738" s="5"/>
      <c r="B738" s="5"/>
      <c r="C738" s="7" t="s">
        <v>699</v>
      </c>
      <c r="D738" s="7" t="s">
        <v>126</v>
      </c>
      <c r="E738" s="7">
        <v>21.8</v>
      </c>
      <c r="F738" s="7">
        <v>0.0</v>
      </c>
      <c r="G738" s="7" t="s">
        <v>1481</v>
      </c>
      <c r="H738" s="7" t="s">
        <v>1159</v>
      </c>
      <c r="I738" s="15">
        <f t="array" ref="I738">INDEX(CC!C:C,MATCH(1,(CC!A:A=H738)*(CC!B:B=J738),0))</f>
        <v>802</v>
      </c>
      <c r="J738" s="7" t="s">
        <v>25</v>
      </c>
      <c r="K738" s="7">
        <v>21.8</v>
      </c>
    </row>
    <row r="739">
      <c r="A739" s="5"/>
      <c r="B739" s="5"/>
      <c r="C739" s="7" t="s">
        <v>699</v>
      </c>
      <c r="D739" s="7" t="s">
        <v>137</v>
      </c>
      <c r="E739" s="9">
        <v>3270.0</v>
      </c>
      <c r="F739" s="7">
        <v>0.0</v>
      </c>
      <c r="G739" s="7" t="s">
        <v>1481</v>
      </c>
      <c r="H739" s="7" t="s">
        <v>1159</v>
      </c>
      <c r="I739" s="15">
        <f t="array" ref="I739">INDEX(CC!C:C,MATCH(1,(CC!A:A=H739)*(CC!B:B=J739),0))</f>
        <v>802</v>
      </c>
      <c r="J739" s="7" t="s">
        <v>25</v>
      </c>
      <c r="K739" s="9">
        <v>3270.0</v>
      </c>
    </row>
    <row r="740">
      <c r="A740" s="7">
        <v>7280.75</v>
      </c>
      <c r="B740" s="5"/>
      <c r="C740" s="7" t="s">
        <v>1027</v>
      </c>
      <c r="D740" s="7" t="s">
        <v>112</v>
      </c>
      <c r="E740" s="9">
        <v>2811.17</v>
      </c>
      <c r="F740" s="7">
        <v>0.0</v>
      </c>
      <c r="G740" s="7" t="s">
        <v>1356</v>
      </c>
      <c r="H740" s="7" t="s">
        <v>84</v>
      </c>
      <c r="I740" s="15">
        <f t="array" ref="I740">INDEX(CC!C:C,MATCH(1,(CC!A:A=H740)*(CC!B:B=J740),0))</f>
        <v>1002</v>
      </c>
      <c r="J740" s="7" t="s">
        <v>25</v>
      </c>
      <c r="K740" s="9">
        <v>2811.17</v>
      </c>
    </row>
    <row r="741">
      <c r="A741" s="5"/>
      <c r="B741" s="5"/>
      <c r="C741" s="7" t="s">
        <v>1027</v>
      </c>
      <c r="D741" s="7" t="s">
        <v>137</v>
      </c>
      <c r="E741" s="9">
        <v>3465.34</v>
      </c>
      <c r="F741" s="7">
        <v>0.0</v>
      </c>
      <c r="G741" s="7" t="s">
        <v>1356</v>
      </c>
      <c r="H741" s="7" t="s">
        <v>84</v>
      </c>
      <c r="I741" s="15">
        <f t="array" ref="I741">INDEX(CC!C:C,MATCH(1,(CC!A:A=H741)*(CC!B:B=J741),0))</f>
        <v>1002</v>
      </c>
      <c r="J741" s="7" t="s">
        <v>25</v>
      </c>
      <c r="K741" s="9">
        <v>3465.34</v>
      </c>
    </row>
    <row r="742">
      <c r="A742" s="7">
        <v>7187.59</v>
      </c>
      <c r="B742" s="5"/>
      <c r="C742" s="7" t="s">
        <v>911</v>
      </c>
      <c r="D742" s="7" t="s">
        <v>112</v>
      </c>
      <c r="E742" s="9">
        <v>2854.3</v>
      </c>
      <c r="F742" s="7">
        <v>0.0</v>
      </c>
      <c r="G742" s="7" t="s">
        <v>1345</v>
      </c>
      <c r="H742" s="7" t="s">
        <v>84</v>
      </c>
      <c r="I742" s="15">
        <f t="array" ref="I742">INDEX(CC!C:C,MATCH(1,(CC!A:A=H742)*(CC!B:B=J742),0))</f>
        <v>1002</v>
      </c>
      <c r="J742" s="7" t="s">
        <v>25</v>
      </c>
      <c r="K742" s="9">
        <v>2854.3</v>
      </c>
    </row>
    <row r="743">
      <c r="A743" s="5"/>
      <c r="B743" s="5"/>
      <c r="C743" s="7" t="s">
        <v>911</v>
      </c>
      <c r="D743" s="7" t="s">
        <v>137</v>
      </c>
      <c r="E743" s="9">
        <v>3341.9</v>
      </c>
      <c r="F743" s="7">
        <v>0.0</v>
      </c>
      <c r="G743" s="7" t="s">
        <v>1345</v>
      </c>
      <c r="H743" s="7" t="s">
        <v>84</v>
      </c>
      <c r="I743" s="15">
        <f t="array" ref="I743">INDEX(CC!C:C,MATCH(1,(CC!A:A=H743)*(CC!B:B=J743),0))</f>
        <v>1002</v>
      </c>
      <c r="J743" s="7" t="s">
        <v>25</v>
      </c>
      <c r="K743" s="9">
        <v>3341.9</v>
      </c>
    </row>
    <row r="744">
      <c r="A744" s="7">
        <v>2688.0</v>
      </c>
      <c r="B744" s="5"/>
      <c r="C744" s="7" t="s">
        <v>1359</v>
      </c>
      <c r="D744" s="7" t="s">
        <v>33</v>
      </c>
      <c r="E744" s="9">
        <v>2400.0</v>
      </c>
      <c r="F744" s="7">
        <v>0.0</v>
      </c>
      <c r="G744" s="7" t="s">
        <v>1360</v>
      </c>
      <c r="H744" s="7" t="s">
        <v>40</v>
      </c>
      <c r="I744" s="15">
        <f t="array" ref="I744">INDEX(CC!C:C,MATCH(1,(CC!A:A=H744)*(CC!B:B=J744),0))</f>
        <v>602</v>
      </c>
      <c r="J744" s="7" t="s">
        <v>25</v>
      </c>
      <c r="K744" s="9">
        <v>2400.0</v>
      </c>
    </row>
    <row r="745">
      <c r="A745" s="7">
        <v>21720.07</v>
      </c>
      <c r="B745" s="5"/>
      <c r="C745" s="7" t="s">
        <v>940</v>
      </c>
      <c r="D745" s="7" t="s">
        <v>307</v>
      </c>
      <c r="E745" s="9">
        <v>1800.0</v>
      </c>
      <c r="F745" s="7">
        <v>0.0</v>
      </c>
      <c r="G745" s="7" t="s">
        <v>941</v>
      </c>
      <c r="H745" s="7" t="s">
        <v>74</v>
      </c>
      <c r="I745" s="15">
        <f t="array" ref="I745">INDEX(CC!C:C,MATCH(1,(CC!A:A=H745)*(CC!B:B=J745),0))</f>
        <v>1502</v>
      </c>
      <c r="J745" s="7" t="s">
        <v>25</v>
      </c>
      <c r="K745" s="9">
        <v>1800.0</v>
      </c>
    </row>
    <row r="746">
      <c r="A746" s="5"/>
      <c r="B746" s="5"/>
      <c r="C746" s="7" t="s">
        <v>940</v>
      </c>
      <c r="D746" s="7" t="s">
        <v>82</v>
      </c>
      <c r="E746" s="7">
        <v>350.0</v>
      </c>
      <c r="F746" s="7">
        <v>0.0</v>
      </c>
      <c r="G746" s="7" t="s">
        <v>941</v>
      </c>
      <c r="H746" s="7" t="s">
        <v>74</v>
      </c>
      <c r="I746" s="15">
        <f t="array" ref="I746">INDEX(CC!C:C,MATCH(1,(CC!A:A=H746)*(CC!B:B=J746),0))</f>
        <v>1502</v>
      </c>
      <c r="J746" s="7" t="s">
        <v>25</v>
      </c>
      <c r="K746" s="7">
        <v>350.0</v>
      </c>
    </row>
    <row r="747">
      <c r="A747" s="5"/>
      <c r="B747" s="5"/>
      <c r="C747" s="7" t="s">
        <v>940</v>
      </c>
      <c r="D747" s="7" t="s">
        <v>277</v>
      </c>
      <c r="E747" s="7">
        <v>650.0</v>
      </c>
      <c r="F747" s="7">
        <v>0.0</v>
      </c>
      <c r="G747" s="7" t="s">
        <v>941</v>
      </c>
      <c r="H747" s="7" t="s">
        <v>74</v>
      </c>
      <c r="I747" s="15">
        <f t="array" ref="I747">INDEX(CC!C:C,MATCH(1,(CC!A:A=H747)*(CC!B:B=J747),0))</f>
        <v>1502</v>
      </c>
      <c r="J747" s="7" t="s">
        <v>25</v>
      </c>
      <c r="K747" s="7">
        <v>650.0</v>
      </c>
    </row>
    <row r="748">
      <c r="A748" s="5"/>
      <c r="B748" s="5"/>
      <c r="C748" s="7" t="s">
        <v>940</v>
      </c>
      <c r="D748" s="7" t="s">
        <v>199</v>
      </c>
      <c r="E748" s="9">
        <v>8569.09</v>
      </c>
      <c r="F748" s="7">
        <v>0.0</v>
      </c>
      <c r="G748" s="7" t="s">
        <v>941</v>
      </c>
      <c r="H748" s="7" t="s">
        <v>74</v>
      </c>
      <c r="I748" s="15">
        <f t="array" ref="I748">INDEX(CC!C:C,MATCH(1,(CC!A:A=H748)*(CC!B:B=J748),0))</f>
        <v>1502</v>
      </c>
      <c r="J748" s="7" t="s">
        <v>25</v>
      </c>
      <c r="K748" s="9">
        <v>8569.09</v>
      </c>
    </row>
    <row r="749">
      <c r="A749" s="5"/>
      <c r="B749" s="5"/>
      <c r="C749" s="7" t="s">
        <v>940</v>
      </c>
      <c r="D749" s="7" t="s">
        <v>126</v>
      </c>
      <c r="E749" s="7">
        <v>35.0</v>
      </c>
      <c r="F749" s="7">
        <v>0.0</v>
      </c>
      <c r="G749" s="7" t="s">
        <v>941</v>
      </c>
      <c r="H749" s="7" t="s">
        <v>74</v>
      </c>
      <c r="I749" s="15">
        <f t="array" ref="I749">INDEX(CC!C:C,MATCH(1,(CC!A:A=H749)*(CC!B:B=J749),0))</f>
        <v>1502</v>
      </c>
      <c r="J749" s="7" t="s">
        <v>25</v>
      </c>
      <c r="K749" s="7">
        <v>35.0</v>
      </c>
    </row>
    <row r="750">
      <c r="A750" s="5"/>
      <c r="B750" s="5"/>
      <c r="C750" s="7" t="s">
        <v>940</v>
      </c>
      <c r="D750" s="7" t="s">
        <v>137</v>
      </c>
      <c r="E750" s="9">
        <v>4820.11</v>
      </c>
      <c r="F750" s="7">
        <v>0.0</v>
      </c>
      <c r="G750" s="7" t="s">
        <v>941</v>
      </c>
      <c r="H750" s="7" t="s">
        <v>74</v>
      </c>
      <c r="I750" s="15">
        <f t="array" ref="I750">INDEX(CC!C:C,MATCH(1,(CC!A:A=H750)*(CC!B:B=J750),0))</f>
        <v>1502</v>
      </c>
      <c r="J750" s="7" t="s">
        <v>25</v>
      </c>
      <c r="K750" s="9">
        <v>4820.11</v>
      </c>
    </row>
    <row r="751">
      <c r="A751" s="5"/>
      <c r="B751" s="5"/>
      <c r="C751" s="7" t="s">
        <v>940</v>
      </c>
      <c r="D751" s="7" t="s">
        <v>104</v>
      </c>
      <c r="E751" s="9">
        <v>2500.0</v>
      </c>
      <c r="F751" s="7">
        <v>0.0</v>
      </c>
      <c r="G751" s="7" t="s">
        <v>941</v>
      </c>
      <c r="H751" s="7" t="s">
        <v>74</v>
      </c>
      <c r="I751" s="15">
        <f t="array" ref="I751">INDEX(CC!C:C,MATCH(1,(CC!A:A=H751)*(CC!B:B=J751),0))</f>
        <v>1502</v>
      </c>
      <c r="J751" s="7" t="s">
        <v>25</v>
      </c>
      <c r="K751" s="9">
        <v>2500.0</v>
      </c>
    </row>
    <row r="752">
      <c r="A752" s="7">
        <v>13340.0</v>
      </c>
      <c r="B752" s="5"/>
      <c r="C752" s="7" t="s">
        <v>915</v>
      </c>
      <c r="D752" s="7" t="s">
        <v>137</v>
      </c>
      <c r="E752" s="9">
        <v>11500.0</v>
      </c>
      <c r="F752" s="7">
        <v>0.0</v>
      </c>
      <c r="G752" s="7" t="s">
        <v>1252</v>
      </c>
      <c r="H752" s="7" t="s">
        <v>55</v>
      </c>
      <c r="I752" s="15">
        <f t="array" ref="I752">INDEX(CC!C:C,MATCH(1,(CC!A:A=H752)*(CC!B:B=J752),0))</f>
        <v>902</v>
      </c>
      <c r="J752" s="7" t="s">
        <v>25</v>
      </c>
      <c r="K752" s="9">
        <v>11500.0</v>
      </c>
    </row>
    <row r="753">
      <c r="A753" s="7">
        <v>0.01</v>
      </c>
      <c r="B753" s="5"/>
      <c r="C753" s="7" t="s">
        <v>331</v>
      </c>
      <c r="D753" s="7" t="s">
        <v>33</v>
      </c>
      <c r="E753" s="7">
        <v>0.01</v>
      </c>
      <c r="F753" s="7">
        <v>0.0</v>
      </c>
      <c r="G753" s="7" t="s">
        <v>1436</v>
      </c>
      <c r="H753" s="7" t="s">
        <v>40</v>
      </c>
      <c r="I753" s="15">
        <f t="array" ref="I753">INDEX(CC!C:C,MATCH(1,(CC!A:A=H753)*(CC!B:B=J753),0))</f>
        <v>602</v>
      </c>
      <c r="J753" s="7" t="s">
        <v>25</v>
      </c>
      <c r="K753" s="7">
        <v>0.01</v>
      </c>
    </row>
    <row r="754">
      <c r="A754" s="7">
        <v>109957.37</v>
      </c>
      <c r="B754" s="5"/>
      <c r="C754" s="7" t="s">
        <v>599</v>
      </c>
      <c r="D754" s="7" t="s">
        <v>112</v>
      </c>
      <c r="E754" s="9">
        <v>2500.0</v>
      </c>
      <c r="F754" s="7">
        <v>0.0</v>
      </c>
      <c r="G754" s="7" t="s">
        <v>1314</v>
      </c>
      <c r="H754" s="7" t="s">
        <v>84</v>
      </c>
      <c r="I754" s="15">
        <f t="array" ref="I754">INDEX(CC!C:C,MATCH(1,(CC!A:A=H754)*(CC!B:B=J754),0))</f>
        <v>1002</v>
      </c>
      <c r="J754" s="7" t="s">
        <v>25</v>
      </c>
      <c r="K754" s="9">
        <v>2500.0</v>
      </c>
    </row>
    <row r="755">
      <c r="A755" s="5"/>
      <c r="B755" s="5"/>
      <c r="C755" s="7" t="s">
        <v>599</v>
      </c>
      <c r="D755" s="7" t="s">
        <v>137</v>
      </c>
      <c r="E755" s="9">
        <v>92290.84</v>
      </c>
      <c r="F755" s="7">
        <v>0.0</v>
      </c>
      <c r="G755" s="7" t="s">
        <v>1314</v>
      </c>
      <c r="H755" s="7" t="s">
        <v>84</v>
      </c>
      <c r="I755" s="15">
        <f t="array" ref="I755">INDEX(CC!C:C,MATCH(1,(CC!A:A=H755)*(CC!B:B=J755),0))</f>
        <v>1002</v>
      </c>
      <c r="J755" s="7" t="s">
        <v>25</v>
      </c>
      <c r="K755" s="9">
        <v>92290.84</v>
      </c>
    </row>
    <row r="756">
      <c r="A756" s="7">
        <v>11446.16</v>
      </c>
      <c r="B756" s="5"/>
      <c r="C756" s="7" t="s">
        <v>936</v>
      </c>
      <c r="D756" s="7" t="s">
        <v>307</v>
      </c>
      <c r="E756" s="9">
        <v>1800.0</v>
      </c>
      <c r="F756" s="7">
        <v>0.0</v>
      </c>
      <c r="G756" s="7" t="s">
        <v>1296</v>
      </c>
      <c r="H756" s="7" t="s">
        <v>55</v>
      </c>
      <c r="I756" s="15">
        <f t="array" ref="I756">INDEX(CC!C:C,MATCH(1,(CC!A:A=H756)*(CC!B:B=J756),0))</f>
        <v>902</v>
      </c>
      <c r="J756" s="7" t="s">
        <v>25</v>
      </c>
      <c r="K756" s="9">
        <v>1800.0</v>
      </c>
    </row>
    <row r="757">
      <c r="A757" s="5"/>
      <c r="B757" s="5"/>
      <c r="C757" s="7" t="s">
        <v>936</v>
      </c>
      <c r="D757" s="7" t="s">
        <v>82</v>
      </c>
      <c r="E757" s="7">
        <v>350.0</v>
      </c>
      <c r="F757" s="7">
        <v>0.0</v>
      </c>
      <c r="G757" s="7" t="s">
        <v>1296</v>
      </c>
      <c r="H757" s="7" t="s">
        <v>55</v>
      </c>
      <c r="I757" s="15">
        <f t="array" ref="I757">INDEX(CC!C:C,MATCH(1,(CC!A:A=H757)*(CC!B:B=J757),0))</f>
        <v>902</v>
      </c>
      <c r="J757" s="7" t="s">
        <v>25</v>
      </c>
      <c r="K757" s="7">
        <v>350.0</v>
      </c>
    </row>
    <row r="758">
      <c r="A758" s="5"/>
      <c r="B758" s="5"/>
      <c r="C758" s="7" t="s">
        <v>936</v>
      </c>
      <c r="D758" s="7" t="s">
        <v>199</v>
      </c>
      <c r="E758" s="9">
        <v>1882.38</v>
      </c>
      <c r="F758" s="7">
        <v>0.0</v>
      </c>
      <c r="G758" s="7" t="s">
        <v>1296</v>
      </c>
      <c r="H758" s="7" t="s">
        <v>55</v>
      </c>
      <c r="I758" s="15">
        <f t="array" ref="I758">INDEX(CC!C:C,MATCH(1,(CC!A:A=H758)*(CC!B:B=J758),0))</f>
        <v>902</v>
      </c>
      <c r="J758" s="7" t="s">
        <v>25</v>
      </c>
      <c r="K758" s="9">
        <v>1882.38</v>
      </c>
    </row>
    <row r="759">
      <c r="A759" s="5"/>
      <c r="B759" s="5"/>
      <c r="C759" s="7" t="s">
        <v>936</v>
      </c>
      <c r="D759" s="7" t="s">
        <v>104</v>
      </c>
      <c r="E759" s="9">
        <v>2500.0</v>
      </c>
      <c r="F759" s="7">
        <v>0.0</v>
      </c>
      <c r="G759" s="7" t="s">
        <v>1296</v>
      </c>
      <c r="H759" s="7" t="s">
        <v>55</v>
      </c>
      <c r="I759" s="15">
        <f t="array" ref="I759">INDEX(CC!C:C,MATCH(1,(CC!A:A=H759)*(CC!B:B=J759),0))</f>
        <v>902</v>
      </c>
      <c r="J759" s="7" t="s">
        <v>25</v>
      </c>
      <c r="K759" s="9">
        <v>2500.0</v>
      </c>
    </row>
    <row r="760">
      <c r="A760" s="5"/>
      <c r="B760" s="5"/>
      <c r="C760" s="7" t="s">
        <v>936</v>
      </c>
      <c r="D760" s="7" t="s">
        <v>126</v>
      </c>
      <c r="E760" s="7">
        <v>35.0</v>
      </c>
      <c r="F760" s="7">
        <v>0.0</v>
      </c>
      <c r="G760" s="7" t="s">
        <v>1296</v>
      </c>
      <c r="H760" s="7" t="s">
        <v>55</v>
      </c>
      <c r="I760" s="15">
        <f t="array" ref="I760">INDEX(CC!C:C,MATCH(1,(CC!A:A=H760)*(CC!B:B=J760),0))</f>
        <v>902</v>
      </c>
      <c r="J760" s="7" t="s">
        <v>25</v>
      </c>
      <c r="K760" s="7">
        <v>35.0</v>
      </c>
    </row>
    <row r="761">
      <c r="A761" s="5"/>
      <c r="B761" s="5"/>
      <c r="C761" s="7" t="s">
        <v>936</v>
      </c>
      <c r="D761" s="7" t="s">
        <v>137</v>
      </c>
      <c r="E761" s="9">
        <v>3300.0</v>
      </c>
      <c r="F761" s="7">
        <v>0.0</v>
      </c>
      <c r="G761" s="7" t="s">
        <v>1296</v>
      </c>
      <c r="H761" s="7" t="s">
        <v>55</v>
      </c>
      <c r="I761" s="15">
        <f t="array" ref="I761">INDEX(CC!C:C,MATCH(1,(CC!A:A=H761)*(CC!B:B=J761),0))</f>
        <v>902</v>
      </c>
      <c r="J761" s="7" t="s">
        <v>25</v>
      </c>
      <c r="K761" s="9">
        <v>3300.0</v>
      </c>
    </row>
    <row r="762">
      <c r="A762" s="7">
        <v>6440.0</v>
      </c>
      <c r="B762" s="5"/>
      <c r="C762" s="7" t="s">
        <v>32</v>
      </c>
      <c r="D762" s="7" t="s">
        <v>33</v>
      </c>
      <c r="E762" s="9">
        <v>5750.0</v>
      </c>
      <c r="F762" s="7">
        <v>0.0</v>
      </c>
      <c r="G762" s="7" t="s">
        <v>1446</v>
      </c>
      <c r="H762" s="7" t="s">
        <v>40</v>
      </c>
      <c r="I762" s="15">
        <f t="array" ref="I762">INDEX(CC!C:C,MATCH(1,(CC!A:A=H762)*(CC!B:B=J762),0))</f>
        <v>602</v>
      </c>
      <c r="J762" s="7" t="s">
        <v>25</v>
      </c>
      <c r="K762" s="9">
        <v>5750.0</v>
      </c>
    </row>
    <row r="763">
      <c r="A763" s="7">
        <v>5357.81</v>
      </c>
      <c r="B763" s="5"/>
      <c r="C763" s="7" t="s">
        <v>699</v>
      </c>
      <c r="D763" s="7" t="s">
        <v>104</v>
      </c>
      <c r="E763" s="9">
        <v>1000.0</v>
      </c>
      <c r="F763" s="7">
        <v>0.0</v>
      </c>
      <c r="G763" s="7" t="s">
        <v>1508</v>
      </c>
      <c r="H763" s="7" t="s">
        <v>554</v>
      </c>
      <c r="I763" s="15">
        <f t="array" ref="I763">INDEX(CC!C:C,MATCH(1,(CC!A:A=H763)*(CC!B:B=J763),0))</f>
        <v>1702</v>
      </c>
      <c r="J763" s="7" t="s">
        <v>25</v>
      </c>
      <c r="K763" s="9">
        <v>1000.0</v>
      </c>
    </row>
    <row r="764">
      <c r="A764" s="5"/>
      <c r="B764" s="5"/>
      <c r="C764" s="7" t="s">
        <v>699</v>
      </c>
      <c r="D764" s="7" t="s">
        <v>126</v>
      </c>
      <c r="E764" s="7">
        <v>21.8</v>
      </c>
      <c r="F764" s="7">
        <v>0.0</v>
      </c>
      <c r="G764" s="7" t="s">
        <v>1508</v>
      </c>
      <c r="H764" s="7" t="s">
        <v>554</v>
      </c>
      <c r="I764" s="15">
        <f t="array" ref="I764">INDEX(CC!C:C,MATCH(1,(CC!A:A=H764)*(CC!B:B=J764),0))</f>
        <v>1702</v>
      </c>
      <c r="J764" s="7" t="s">
        <v>25</v>
      </c>
      <c r="K764" s="7">
        <v>21.8</v>
      </c>
    </row>
    <row r="765">
      <c r="A765" s="5"/>
      <c r="B765" s="5"/>
      <c r="C765" s="7" t="s">
        <v>699</v>
      </c>
      <c r="D765" s="7" t="s">
        <v>137</v>
      </c>
      <c r="E765" s="9">
        <v>3597.0</v>
      </c>
      <c r="F765" s="7">
        <v>0.0</v>
      </c>
      <c r="G765" s="7" t="s">
        <v>1508</v>
      </c>
      <c r="H765" s="7" t="s">
        <v>554</v>
      </c>
      <c r="I765" s="15">
        <f t="array" ref="I765">INDEX(CC!C:C,MATCH(1,(CC!A:A=H765)*(CC!B:B=J765),0))</f>
        <v>1702</v>
      </c>
      <c r="J765" s="7" t="s">
        <v>25</v>
      </c>
      <c r="K765" s="9">
        <v>3597.0</v>
      </c>
    </row>
    <row r="766">
      <c r="A766" s="7">
        <v>11121.3</v>
      </c>
      <c r="B766" s="5"/>
      <c r="C766" s="7" t="s">
        <v>1359</v>
      </c>
      <c r="D766" s="7" t="s">
        <v>307</v>
      </c>
      <c r="E766" s="9">
        <v>1800.0</v>
      </c>
      <c r="F766" s="7">
        <v>0.0</v>
      </c>
      <c r="G766" s="7" t="s">
        <v>1360</v>
      </c>
      <c r="H766" s="7" t="s">
        <v>74</v>
      </c>
      <c r="I766" s="15">
        <f t="array" ref="I766">INDEX(CC!C:C,MATCH(1,(CC!A:A=H766)*(CC!B:B=J766),0))</f>
        <v>1502</v>
      </c>
      <c r="J766" s="7" t="s">
        <v>25</v>
      </c>
      <c r="K766" s="9">
        <v>1800.0</v>
      </c>
    </row>
    <row r="767">
      <c r="A767" s="5"/>
      <c r="B767" s="5"/>
      <c r="C767" s="7" t="s">
        <v>1359</v>
      </c>
      <c r="D767" s="7" t="s">
        <v>82</v>
      </c>
      <c r="E767" s="7">
        <v>350.0</v>
      </c>
      <c r="F767" s="7">
        <v>0.0</v>
      </c>
      <c r="G767" s="7" t="s">
        <v>1360</v>
      </c>
      <c r="H767" s="7" t="s">
        <v>74</v>
      </c>
      <c r="I767" s="15">
        <f t="array" ref="I767">INDEX(CC!C:C,MATCH(1,(CC!A:A=H767)*(CC!B:B=J767),0))</f>
        <v>1502</v>
      </c>
      <c r="J767" s="7" t="s">
        <v>25</v>
      </c>
      <c r="K767" s="7">
        <v>350.0</v>
      </c>
    </row>
    <row r="768">
      <c r="A768" s="5"/>
      <c r="B768" s="5"/>
      <c r="C768" s="7" t="s">
        <v>1359</v>
      </c>
      <c r="D768" s="7" t="s">
        <v>277</v>
      </c>
      <c r="E768" s="7">
        <v>650.0</v>
      </c>
      <c r="F768" s="7">
        <v>0.0</v>
      </c>
      <c r="G768" s="7" t="s">
        <v>1360</v>
      </c>
      <c r="H768" s="7" t="s">
        <v>74</v>
      </c>
      <c r="I768" s="15">
        <f t="array" ref="I768">INDEX(CC!C:C,MATCH(1,(CC!A:A=H768)*(CC!B:B=J768),0))</f>
        <v>1502</v>
      </c>
      <c r="J768" s="7" t="s">
        <v>25</v>
      </c>
      <c r="K768" s="7">
        <v>650.0</v>
      </c>
    </row>
    <row r="769">
      <c r="A769" s="5"/>
      <c r="B769" s="5"/>
      <c r="C769" s="7" t="s">
        <v>1359</v>
      </c>
      <c r="D769" s="7" t="s">
        <v>199</v>
      </c>
      <c r="E769" s="9">
        <v>2152.33</v>
      </c>
      <c r="F769" s="7">
        <v>0.0</v>
      </c>
      <c r="G769" s="7" t="s">
        <v>1360</v>
      </c>
      <c r="H769" s="7" t="s">
        <v>74</v>
      </c>
      <c r="I769" s="15">
        <f t="array" ref="I769">INDEX(CC!C:C,MATCH(1,(CC!A:A=H769)*(CC!B:B=J769),0))</f>
        <v>1502</v>
      </c>
      <c r="J769" s="7" t="s">
        <v>25</v>
      </c>
      <c r="K769" s="9">
        <v>2152.33</v>
      </c>
    </row>
    <row r="770">
      <c r="A770" s="5"/>
      <c r="B770" s="5"/>
      <c r="C770" s="7" t="s">
        <v>1359</v>
      </c>
      <c r="D770" s="7" t="s">
        <v>126</v>
      </c>
      <c r="E770" s="7">
        <v>35.0</v>
      </c>
      <c r="F770" s="7">
        <v>0.0</v>
      </c>
      <c r="G770" s="7" t="s">
        <v>1360</v>
      </c>
      <c r="H770" s="7" t="s">
        <v>74</v>
      </c>
      <c r="I770" s="15">
        <f t="array" ref="I770">INDEX(CC!C:C,MATCH(1,(CC!A:A=H770)*(CC!B:B=J770),0))</f>
        <v>1502</v>
      </c>
      <c r="J770" s="7" t="s">
        <v>25</v>
      </c>
      <c r="K770" s="7">
        <v>35.0</v>
      </c>
    </row>
    <row r="771">
      <c r="A771" s="5"/>
      <c r="B771" s="5"/>
      <c r="C771" s="7" t="s">
        <v>1359</v>
      </c>
      <c r="D771" s="7" t="s">
        <v>137</v>
      </c>
      <c r="E771" s="9">
        <v>4600.0</v>
      </c>
      <c r="F771" s="7">
        <v>0.0</v>
      </c>
      <c r="G771" s="7" t="s">
        <v>1360</v>
      </c>
      <c r="H771" s="7" t="s">
        <v>74</v>
      </c>
      <c r="I771" s="15">
        <f t="array" ref="I771">INDEX(CC!C:C,MATCH(1,(CC!A:A=H771)*(CC!B:B=J771),0))</f>
        <v>1502</v>
      </c>
      <c r="J771" s="7" t="s">
        <v>25</v>
      </c>
      <c r="K771" s="9">
        <v>4600.0</v>
      </c>
    </row>
    <row r="772">
      <c r="A772" s="7">
        <v>22044.84</v>
      </c>
      <c r="B772" s="5"/>
      <c r="C772" s="7" t="s">
        <v>79</v>
      </c>
      <c r="D772" s="7" t="s">
        <v>307</v>
      </c>
      <c r="E772" s="9">
        <v>1555.35</v>
      </c>
      <c r="F772" s="7">
        <v>0.0</v>
      </c>
      <c r="G772" s="7" t="s">
        <v>1525</v>
      </c>
      <c r="H772" s="7" t="s">
        <v>395</v>
      </c>
      <c r="I772" s="15">
        <f t="array" ref="I772">INDEX(CC!C:C,MATCH(1,(CC!A:A=H772)*(CC!B:B=J772),0))</f>
        <v>1102</v>
      </c>
      <c r="J772" s="7" t="s">
        <v>25</v>
      </c>
      <c r="K772" s="9">
        <v>1555.35</v>
      </c>
    </row>
    <row r="773">
      <c r="A773" s="5"/>
      <c r="B773" s="5"/>
      <c r="C773" s="7" t="s">
        <v>79</v>
      </c>
      <c r="D773" s="7" t="s">
        <v>82</v>
      </c>
      <c r="E773" s="7">
        <v>339.06</v>
      </c>
      <c r="F773" s="7">
        <v>0.0</v>
      </c>
      <c r="G773" s="7" t="s">
        <v>1525</v>
      </c>
      <c r="H773" s="7" t="s">
        <v>395</v>
      </c>
      <c r="I773" s="15">
        <f t="array" ref="I773">INDEX(CC!C:C,MATCH(1,(CC!A:A=H773)*(CC!B:B=J773),0))</f>
        <v>1102</v>
      </c>
      <c r="J773" s="7" t="s">
        <v>25</v>
      </c>
      <c r="K773" s="7">
        <v>339.06</v>
      </c>
    </row>
    <row r="774">
      <c r="A774" s="5"/>
      <c r="B774" s="5"/>
      <c r="C774" s="7" t="s">
        <v>79</v>
      </c>
      <c r="D774" s="7" t="s">
        <v>112</v>
      </c>
      <c r="E774" s="9">
        <v>8541.0</v>
      </c>
      <c r="F774" s="7">
        <v>0.0</v>
      </c>
      <c r="G774" s="7" t="s">
        <v>1525</v>
      </c>
      <c r="H774" s="7" t="s">
        <v>395</v>
      </c>
      <c r="I774" s="15">
        <f t="array" ref="I774">INDEX(CC!C:C,MATCH(1,(CC!A:A=H774)*(CC!B:B=J774),0))</f>
        <v>1103</v>
      </c>
      <c r="J774" s="7" t="s">
        <v>44</v>
      </c>
      <c r="K774" s="9">
        <v>8541.0</v>
      </c>
    </row>
    <row r="775">
      <c r="A775" s="5"/>
      <c r="B775" s="5"/>
      <c r="C775" s="7" t="s">
        <v>79</v>
      </c>
      <c r="D775" s="7" t="s">
        <v>360</v>
      </c>
      <c r="E775" s="9">
        <v>1000.0</v>
      </c>
      <c r="F775" s="7">
        <v>0.0</v>
      </c>
      <c r="G775" s="7" t="s">
        <v>1525</v>
      </c>
      <c r="H775" s="7" t="s">
        <v>395</v>
      </c>
      <c r="I775" s="15">
        <f t="array" ref="I775">INDEX(CC!C:C,MATCH(1,(CC!A:A=H775)*(CC!B:B=J775),0))</f>
        <v>1103</v>
      </c>
      <c r="J775" s="7" t="s">
        <v>44</v>
      </c>
      <c r="K775" s="9">
        <v>1000.0</v>
      </c>
    </row>
    <row r="776">
      <c r="A776" s="5"/>
      <c r="B776" s="5"/>
      <c r="C776" s="7" t="s">
        <v>79</v>
      </c>
      <c r="D776" s="7" t="s">
        <v>938</v>
      </c>
      <c r="E776" s="9">
        <v>1000.0</v>
      </c>
      <c r="F776" s="7">
        <v>0.0</v>
      </c>
      <c r="G776" s="7" t="s">
        <v>1525</v>
      </c>
      <c r="H776" s="7" t="s">
        <v>395</v>
      </c>
      <c r="I776" s="15">
        <f t="array" ref="I776">INDEX(CC!C:C,MATCH(1,(CC!A:A=H776)*(CC!B:B=J776),0))</f>
        <v>1102</v>
      </c>
      <c r="J776" s="7" t="s">
        <v>25</v>
      </c>
      <c r="K776" s="9">
        <v>1000.0</v>
      </c>
    </row>
    <row r="777">
      <c r="A777" s="5"/>
      <c r="B777" s="5"/>
      <c r="C777" s="7" t="s">
        <v>79</v>
      </c>
      <c r="D777" s="7" t="s">
        <v>126</v>
      </c>
      <c r="E777" s="7">
        <v>36.29</v>
      </c>
      <c r="F777" s="7">
        <v>0.0</v>
      </c>
      <c r="G777" s="7" t="s">
        <v>1525</v>
      </c>
      <c r="H777" s="7" t="s">
        <v>395</v>
      </c>
      <c r="I777" s="15">
        <f t="array" ref="I777">INDEX(CC!C:C,MATCH(1,(CC!A:A=H777)*(CC!B:B=J777),0))</f>
        <v>1102</v>
      </c>
      <c r="J777" s="7" t="s">
        <v>25</v>
      </c>
      <c r="K777" s="7">
        <v>36.29</v>
      </c>
    </row>
    <row r="778">
      <c r="A778" s="5"/>
      <c r="B778" s="5"/>
      <c r="C778" s="7" t="s">
        <v>79</v>
      </c>
      <c r="D778" s="7" t="s">
        <v>137</v>
      </c>
      <c r="E778" s="9">
        <v>6532.47</v>
      </c>
      <c r="F778" s="7">
        <v>0.0</v>
      </c>
      <c r="G778" s="7" t="s">
        <v>1525</v>
      </c>
      <c r="H778" s="7" t="s">
        <v>395</v>
      </c>
      <c r="I778" s="15">
        <f t="array" ref="I778">INDEX(CC!C:C,MATCH(1,(CC!A:A=H778)*(CC!B:B=J778),0))</f>
        <v>1102</v>
      </c>
      <c r="J778" s="7" t="s">
        <v>25</v>
      </c>
      <c r="K778" s="9">
        <v>6532.47</v>
      </c>
    </row>
    <row r="779">
      <c r="A779" s="7">
        <v>9228.5</v>
      </c>
      <c r="B779" s="5"/>
      <c r="C779" s="7" t="s">
        <v>699</v>
      </c>
      <c r="D779" s="7" t="s">
        <v>565</v>
      </c>
      <c r="E779" s="9">
        <v>4663.8</v>
      </c>
      <c r="F779" s="7">
        <v>0.0</v>
      </c>
      <c r="G779" s="7" t="s">
        <v>1483</v>
      </c>
      <c r="H779" s="7" t="s">
        <v>1159</v>
      </c>
      <c r="I779" s="15">
        <f t="array" ref="I779">INDEX(CC!C:C,MATCH(1,(CC!A:A=H779)*(CC!B:B=J779),0))</f>
        <v>802</v>
      </c>
      <c r="J779" s="7" t="s">
        <v>25</v>
      </c>
      <c r="K779" s="9">
        <v>4663.8</v>
      </c>
    </row>
    <row r="780">
      <c r="A780" s="5"/>
      <c r="B780" s="5"/>
      <c r="C780" s="7" t="s">
        <v>699</v>
      </c>
      <c r="D780" s="7" t="s">
        <v>126</v>
      </c>
      <c r="E780" s="7">
        <v>21.8</v>
      </c>
      <c r="F780" s="7">
        <v>0.0</v>
      </c>
      <c r="G780" s="7" t="s">
        <v>1483</v>
      </c>
      <c r="H780" s="7" t="s">
        <v>1159</v>
      </c>
      <c r="I780" s="15">
        <f t="array" ref="I780">INDEX(CC!C:C,MATCH(1,(CC!A:A=H780)*(CC!B:B=J780),0))</f>
        <v>802</v>
      </c>
      <c r="J780" s="7" t="s">
        <v>25</v>
      </c>
      <c r="K780" s="7">
        <v>21.8</v>
      </c>
    </row>
    <row r="781">
      <c r="A781" s="5"/>
      <c r="B781" s="5"/>
      <c r="C781" s="7" t="s">
        <v>699</v>
      </c>
      <c r="D781" s="7" t="s">
        <v>137</v>
      </c>
      <c r="E781" s="9">
        <v>3270.0</v>
      </c>
      <c r="F781" s="7">
        <v>0.0</v>
      </c>
      <c r="G781" s="7" t="s">
        <v>1483</v>
      </c>
      <c r="H781" s="7" t="s">
        <v>1159</v>
      </c>
      <c r="I781" s="15">
        <f t="array" ref="I781">INDEX(CC!C:C,MATCH(1,(CC!A:A=H781)*(CC!B:B=J781),0))</f>
        <v>802</v>
      </c>
      <c r="J781" s="7" t="s">
        <v>25</v>
      </c>
      <c r="K781" s="9">
        <v>3270.0</v>
      </c>
    </row>
    <row r="782">
      <c r="A782" s="7">
        <v>4704.0</v>
      </c>
      <c r="B782" s="5"/>
      <c r="C782" s="7" t="s">
        <v>936</v>
      </c>
      <c r="D782" s="7" t="s">
        <v>33</v>
      </c>
      <c r="E782" s="9">
        <v>4200.0</v>
      </c>
      <c r="F782" s="7">
        <v>0.0</v>
      </c>
      <c r="G782" s="7" t="s">
        <v>1296</v>
      </c>
      <c r="H782" s="7" t="s">
        <v>40</v>
      </c>
      <c r="I782" s="15">
        <f t="array" ref="I782">INDEX(CC!C:C,MATCH(1,(CC!A:A=H782)*(CC!B:B=J782),0))</f>
        <v>602</v>
      </c>
      <c r="J782" s="7" t="s">
        <v>25</v>
      </c>
      <c r="K782" s="9">
        <v>4200.0</v>
      </c>
    </row>
    <row r="783">
      <c r="A783" s="7">
        <v>5284.82</v>
      </c>
      <c r="B783" s="5"/>
      <c r="C783" s="7" t="s">
        <v>549</v>
      </c>
      <c r="D783" s="7" t="s">
        <v>126</v>
      </c>
      <c r="E783" s="7">
        <v>35.0</v>
      </c>
      <c r="F783" s="7">
        <v>0.0</v>
      </c>
      <c r="G783" s="7" t="s">
        <v>1577</v>
      </c>
      <c r="H783" s="7" t="s">
        <v>551</v>
      </c>
      <c r="I783" s="15">
        <f t="array" ref="I783">INDEX(CC!C:C,MATCH(1,(CC!A:A=H783)*(CC!B:B=J783),0))</f>
        <v>1202</v>
      </c>
      <c r="J783" s="7" t="s">
        <v>25</v>
      </c>
      <c r="K783" s="7">
        <v>35.0</v>
      </c>
    </row>
    <row r="784">
      <c r="A784" s="5"/>
      <c r="B784" s="5"/>
      <c r="C784" s="7" t="s">
        <v>549</v>
      </c>
      <c r="D784" s="7" t="s">
        <v>137</v>
      </c>
      <c r="E784" s="9">
        <v>4520.88</v>
      </c>
      <c r="F784" s="7">
        <v>0.0</v>
      </c>
      <c r="G784" s="7" t="s">
        <v>1577</v>
      </c>
      <c r="H784" s="7" t="s">
        <v>551</v>
      </c>
      <c r="I784" s="15">
        <f t="array" ref="I784">INDEX(CC!C:C,MATCH(1,(CC!A:A=H784)*(CC!B:B=J784),0))</f>
        <v>1202</v>
      </c>
      <c r="J784" s="7" t="s">
        <v>25</v>
      </c>
      <c r="K784" s="9">
        <v>4520.88</v>
      </c>
    </row>
    <row r="785">
      <c r="A785" s="7">
        <v>9915.62</v>
      </c>
      <c r="B785" s="5"/>
      <c r="C785" s="7" t="s">
        <v>549</v>
      </c>
      <c r="D785" s="7" t="s">
        <v>1247</v>
      </c>
      <c r="E785" s="7">
        <v>601.4</v>
      </c>
      <c r="F785" s="7">
        <v>0.0</v>
      </c>
      <c r="G785" s="7" t="s">
        <v>1558</v>
      </c>
      <c r="H785" s="7" t="s">
        <v>551</v>
      </c>
      <c r="I785" s="15">
        <f t="array" ref="I785">INDEX(CC!C:C,MATCH(1,(CC!A:A=H785)*(CC!B:B=J785),0))</f>
        <v>1202</v>
      </c>
      <c r="J785" s="7" t="s">
        <v>25</v>
      </c>
      <c r="K785" s="7">
        <v>601.4</v>
      </c>
    </row>
    <row r="786">
      <c r="A786" s="5"/>
      <c r="B786" s="5"/>
      <c r="C786" s="7" t="s">
        <v>549</v>
      </c>
      <c r="D786" s="7" t="s">
        <v>126</v>
      </c>
      <c r="E786" s="7">
        <v>35.0</v>
      </c>
      <c r="F786" s="7">
        <v>0.0</v>
      </c>
      <c r="G786" s="7" t="s">
        <v>1558</v>
      </c>
      <c r="H786" s="7" t="s">
        <v>551</v>
      </c>
      <c r="I786" s="15">
        <f t="array" ref="I786">INDEX(CC!C:C,MATCH(1,(CC!A:A=H786)*(CC!B:B=J786),0))</f>
        <v>1202</v>
      </c>
      <c r="J786" s="7" t="s">
        <v>25</v>
      </c>
      <c r="K786" s="7">
        <v>35.0</v>
      </c>
    </row>
    <row r="787">
      <c r="A787" s="5"/>
      <c r="B787" s="5"/>
      <c r="C787" s="7" t="s">
        <v>549</v>
      </c>
      <c r="D787" s="7" t="s">
        <v>137</v>
      </c>
      <c r="E787" s="9">
        <v>7911.55</v>
      </c>
      <c r="F787" s="7">
        <v>0.0</v>
      </c>
      <c r="G787" s="7" t="s">
        <v>1558</v>
      </c>
      <c r="H787" s="7" t="s">
        <v>551</v>
      </c>
      <c r="I787" s="15">
        <f t="array" ref="I787">INDEX(CC!C:C,MATCH(1,(CC!A:A=H787)*(CC!B:B=J787),0))</f>
        <v>1202</v>
      </c>
      <c r="J787" s="7" t="s">
        <v>25</v>
      </c>
      <c r="K787" s="9">
        <v>7911.55</v>
      </c>
    </row>
    <row r="788">
      <c r="A788" s="7">
        <v>24064.2</v>
      </c>
      <c r="B788" s="5"/>
      <c r="C788" s="7" t="s">
        <v>549</v>
      </c>
      <c r="D788" s="7" t="s">
        <v>126</v>
      </c>
      <c r="E788" s="7">
        <v>35.0</v>
      </c>
      <c r="F788" s="7">
        <v>0.0</v>
      </c>
      <c r="G788" s="7" t="s">
        <v>1575</v>
      </c>
      <c r="H788" s="7" t="s">
        <v>551</v>
      </c>
      <c r="I788" s="15">
        <f t="array" ref="I788">INDEX(CC!C:C,MATCH(1,(CC!A:A=H788)*(CC!B:B=J788),0))</f>
        <v>1202</v>
      </c>
      <c r="J788" s="7" t="s">
        <v>25</v>
      </c>
      <c r="K788" s="7">
        <v>35.0</v>
      </c>
    </row>
    <row r="789">
      <c r="A789" s="5"/>
      <c r="B789" s="5"/>
      <c r="C789" s="7" t="s">
        <v>549</v>
      </c>
      <c r="D789" s="7" t="s">
        <v>137</v>
      </c>
      <c r="E789" s="9">
        <v>20710.0</v>
      </c>
      <c r="F789" s="7">
        <v>0.0</v>
      </c>
      <c r="G789" s="7" t="s">
        <v>1575</v>
      </c>
      <c r="H789" s="7" t="s">
        <v>551</v>
      </c>
      <c r="I789" s="15">
        <f t="array" ref="I789">INDEX(CC!C:C,MATCH(1,(CC!A:A=H789)*(CC!B:B=J789),0))</f>
        <v>1202</v>
      </c>
      <c r="J789" s="7" t="s">
        <v>25</v>
      </c>
      <c r="K789" s="9">
        <v>20710.0</v>
      </c>
    </row>
    <row r="790">
      <c r="A790" s="7">
        <v>5357.81</v>
      </c>
      <c r="B790" s="5"/>
      <c r="C790" s="7" t="s">
        <v>699</v>
      </c>
      <c r="D790" s="7" t="s">
        <v>104</v>
      </c>
      <c r="E790" s="9">
        <v>1000.0</v>
      </c>
      <c r="F790" s="7">
        <v>0.0</v>
      </c>
      <c r="G790" s="7" t="s">
        <v>1512</v>
      </c>
      <c r="H790" s="7" t="s">
        <v>554</v>
      </c>
      <c r="I790" s="15">
        <f t="array" ref="I790">INDEX(CC!C:C,MATCH(1,(CC!A:A=H790)*(CC!B:B=J790),0))</f>
        <v>1702</v>
      </c>
      <c r="J790" s="7" t="s">
        <v>25</v>
      </c>
      <c r="K790" s="9">
        <v>1000.0</v>
      </c>
    </row>
    <row r="791">
      <c r="A791" s="5"/>
      <c r="B791" s="5"/>
      <c r="C791" s="7" t="s">
        <v>699</v>
      </c>
      <c r="D791" s="7" t="s">
        <v>126</v>
      </c>
      <c r="E791" s="7">
        <v>21.8</v>
      </c>
      <c r="F791" s="7">
        <v>0.0</v>
      </c>
      <c r="G791" s="7" t="s">
        <v>1512</v>
      </c>
      <c r="H791" s="7" t="s">
        <v>554</v>
      </c>
      <c r="I791" s="15">
        <f t="array" ref="I791">INDEX(CC!C:C,MATCH(1,(CC!A:A=H791)*(CC!B:B=J791),0))</f>
        <v>1702</v>
      </c>
      <c r="J791" s="7" t="s">
        <v>25</v>
      </c>
      <c r="K791" s="7">
        <v>21.8</v>
      </c>
    </row>
    <row r="792">
      <c r="A792" s="5"/>
      <c r="B792" s="5"/>
      <c r="C792" s="7" t="s">
        <v>699</v>
      </c>
      <c r="D792" s="7" t="s">
        <v>137</v>
      </c>
      <c r="E792" s="9">
        <v>3597.0</v>
      </c>
      <c r="F792" s="7">
        <v>0.0</v>
      </c>
      <c r="G792" s="7" t="s">
        <v>1512</v>
      </c>
      <c r="H792" s="7" t="s">
        <v>554</v>
      </c>
      <c r="I792" s="15">
        <f t="array" ref="I792">INDEX(CC!C:C,MATCH(1,(CC!A:A=H792)*(CC!B:B=J792),0))</f>
        <v>1702</v>
      </c>
      <c r="J792" s="7" t="s">
        <v>25</v>
      </c>
      <c r="K792" s="9">
        <v>3597.0</v>
      </c>
    </row>
    <row r="793">
      <c r="A793" s="7">
        <v>0.01</v>
      </c>
      <c r="B793" s="5"/>
      <c r="C793" s="7" t="s">
        <v>331</v>
      </c>
      <c r="D793" s="7" t="s">
        <v>33</v>
      </c>
      <c r="E793" s="7">
        <v>0.01</v>
      </c>
      <c r="F793" s="7">
        <v>0.0</v>
      </c>
      <c r="G793" s="7" t="s">
        <v>1609</v>
      </c>
      <c r="H793" s="7" t="s">
        <v>385</v>
      </c>
      <c r="I793" s="15">
        <f t="array" ref="I793">INDEX(CC!C:C,MATCH(1,(CC!A:A=H793)*(CC!B:B=J793),0))</f>
        <v>502</v>
      </c>
      <c r="J793" s="7" t="s">
        <v>25</v>
      </c>
      <c r="K793" s="7">
        <v>0.01</v>
      </c>
    </row>
    <row r="794">
      <c r="A794" s="7">
        <v>20681.34</v>
      </c>
      <c r="B794" s="5"/>
      <c r="C794" s="7" t="s">
        <v>1030</v>
      </c>
      <c r="D794" s="7" t="s">
        <v>307</v>
      </c>
      <c r="E794" s="9">
        <v>1762.63</v>
      </c>
      <c r="F794" s="7">
        <v>0.0</v>
      </c>
      <c r="G794" s="7" t="s">
        <v>1449</v>
      </c>
      <c r="H794" s="7" t="s">
        <v>74</v>
      </c>
      <c r="I794" s="15">
        <f t="array" ref="I794">INDEX(CC!C:C,MATCH(1,(CC!A:A=H794)*(CC!B:B=J794),0))</f>
        <v>1502</v>
      </c>
      <c r="J794" s="7" t="s">
        <v>25</v>
      </c>
      <c r="K794" s="9">
        <v>1762.63</v>
      </c>
    </row>
    <row r="795">
      <c r="A795" s="5"/>
      <c r="B795" s="5"/>
      <c r="C795" s="7" t="s">
        <v>1030</v>
      </c>
      <c r="D795" s="7" t="s">
        <v>82</v>
      </c>
      <c r="E795" s="7">
        <v>362.91</v>
      </c>
      <c r="F795" s="7">
        <v>0.0</v>
      </c>
      <c r="G795" s="7" t="s">
        <v>1449</v>
      </c>
      <c r="H795" s="7" t="s">
        <v>74</v>
      </c>
      <c r="I795" s="15">
        <f t="array" ref="I795">INDEX(CC!C:C,MATCH(1,(CC!A:A=H795)*(CC!B:B=J795),0))</f>
        <v>1502</v>
      </c>
      <c r="J795" s="7" t="s">
        <v>25</v>
      </c>
      <c r="K795" s="7">
        <v>362.91</v>
      </c>
    </row>
    <row r="796">
      <c r="A796" s="5"/>
      <c r="B796" s="5"/>
      <c r="C796" s="7" t="s">
        <v>1030</v>
      </c>
      <c r="D796" s="7" t="s">
        <v>199</v>
      </c>
      <c r="E796" s="9">
        <v>9066.82</v>
      </c>
      <c r="F796" s="7">
        <v>0.0</v>
      </c>
      <c r="G796" s="7" t="s">
        <v>1449</v>
      </c>
      <c r="H796" s="7" t="s">
        <v>74</v>
      </c>
      <c r="I796" s="15">
        <f t="array" ref="I796">INDEX(CC!C:C,MATCH(1,(CC!A:A=H796)*(CC!B:B=J796),0))</f>
        <v>1502</v>
      </c>
      <c r="J796" s="7" t="s">
        <v>25</v>
      </c>
      <c r="K796" s="9">
        <v>9066.82</v>
      </c>
    </row>
    <row r="797">
      <c r="A797" s="5"/>
      <c r="B797" s="5"/>
      <c r="C797" s="7" t="s">
        <v>1030</v>
      </c>
      <c r="D797" s="7" t="s">
        <v>126</v>
      </c>
      <c r="E797" s="7">
        <v>36.29</v>
      </c>
      <c r="F797" s="7">
        <v>0.0</v>
      </c>
      <c r="G797" s="7" t="s">
        <v>1449</v>
      </c>
      <c r="H797" s="7" t="s">
        <v>74</v>
      </c>
      <c r="I797" s="15">
        <f t="array" ref="I797">INDEX(CC!C:C,MATCH(1,(CC!A:A=H797)*(CC!B:B=J797),0))</f>
        <v>1502</v>
      </c>
      <c r="J797" s="7" t="s">
        <v>25</v>
      </c>
      <c r="K797" s="7">
        <v>36.29</v>
      </c>
    </row>
    <row r="798">
      <c r="A798" s="5"/>
      <c r="B798" s="5"/>
      <c r="C798" s="7" t="s">
        <v>1030</v>
      </c>
      <c r="D798" s="7" t="s">
        <v>137</v>
      </c>
      <c r="E798" s="9">
        <v>5100.09</v>
      </c>
      <c r="F798" s="7">
        <v>0.0</v>
      </c>
      <c r="G798" s="7" t="s">
        <v>1449</v>
      </c>
      <c r="H798" s="7" t="s">
        <v>74</v>
      </c>
      <c r="I798" s="15">
        <f t="array" ref="I798">INDEX(CC!C:C,MATCH(1,(CC!A:A=H798)*(CC!B:B=J798),0))</f>
        <v>1502</v>
      </c>
      <c r="J798" s="7" t="s">
        <v>25</v>
      </c>
      <c r="K798" s="9">
        <v>5100.09</v>
      </c>
    </row>
    <row r="799">
      <c r="A799" s="5"/>
      <c r="B799" s="5"/>
      <c r="C799" s="7" t="s">
        <v>1030</v>
      </c>
      <c r="D799" s="7" t="s">
        <v>104</v>
      </c>
      <c r="E799" s="9">
        <v>1500.0</v>
      </c>
      <c r="F799" s="7">
        <v>0.0</v>
      </c>
      <c r="G799" s="7" t="s">
        <v>1449</v>
      </c>
      <c r="H799" s="7" t="s">
        <v>74</v>
      </c>
      <c r="I799" s="15">
        <f t="array" ref="I799">INDEX(CC!C:C,MATCH(1,(CC!A:A=H799)*(CC!B:B=J799),0))</f>
        <v>1502</v>
      </c>
      <c r="J799" s="7" t="s">
        <v>25</v>
      </c>
      <c r="K799" s="9">
        <v>1500.0</v>
      </c>
    </row>
    <row r="800">
      <c r="A800" s="7">
        <v>10680.63</v>
      </c>
      <c r="B800" s="5"/>
      <c r="C800" s="7" t="s">
        <v>699</v>
      </c>
      <c r="D800" s="7" t="s">
        <v>565</v>
      </c>
      <c r="E800" s="9">
        <v>4648.0</v>
      </c>
      <c r="F800" s="7">
        <v>0.0</v>
      </c>
      <c r="G800" s="7" t="s">
        <v>1479</v>
      </c>
      <c r="H800" s="7" t="s">
        <v>539</v>
      </c>
      <c r="I800" s="15">
        <f t="array" ref="I800">INDEX(CC!C:C,MATCH(1,(CC!A:A=H800)*(CC!B:B=J800),0))</f>
        <v>1302</v>
      </c>
      <c r="J800" s="7" t="s">
        <v>25</v>
      </c>
      <c r="K800" s="9">
        <v>4648.0</v>
      </c>
    </row>
    <row r="801">
      <c r="A801" s="5"/>
      <c r="B801" s="5"/>
      <c r="C801" s="7" t="s">
        <v>699</v>
      </c>
      <c r="D801" s="7" t="s">
        <v>126</v>
      </c>
      <c r="E801" s="7">
        <v>21.8</v>
      </c>
      <c r="F801" s="7">
        <v>0.0</v>
      </c>
      <c r="G801" s="7" t="s">
        <v>1479</v>
      </c>
      <c r="H801" s="7" t="s">
        <v>539</v>
      </c>
      <c r="I801" s="15">
        <f t="array" ref="I801">INDEX(CC!C:C,MATCH(1,(CC!A:A=H801)*(CC!B:B=J801),0))</f>
        <v>1302</v>
      </c>
      <c r="J801" s="7" t="s">
        <v>25</v>
      </c>
      <c r="K801" s="7">
        <v>21.8</v>
      </c>
    </row>
    <row r="802">
      <c r="A802" s="5"/>
      <c r="B802" s="5"/>
      <c r="C802" s="7" t="s">
        <v>699</v>
      </c>
      <c r="D802" s="7" t="s">
        <v>137</v>
      </c>
      <c r="E802" s="9">
        <v>3270.0</v>
      </c>
      <c r="F802" s="7">
        <v>0.0</v>
      </c>
      <c r="G802" s="7" t="s">
        <v>1479</v>
      </c>
      <c r="H802" s="7" t="s">
        <v>539</v>
      </c>
      <c r="I802" s="15">
        <f t="array" ref="I802">INDEX(CC!C:C,MATCH(1,(CC!A:A=H802)*(CC!B:B=J802),0))</f>
        <v>1302</v>
      </c>
      <c r="J802" s="7" t="s">
        <v>25</v>
      </c>
      <c r="K802" s="9">
        <v>3270.0</v>
      </c>
    </row>
    <row r="803">
      <c r="A803" s="5"/>
      <c r="B803" s="5"/>
      <c r="C803" s="7" t="s">
        <v>699</v>
      </c>
      <c r="D803" s="7" t="s">
        <v>717</v>
      </c>
      <c r="E803" s="9">
        <v>1267.64</v>
      </c>
      <c r="F803" s="7">
        <v>0.0</v>
      </c>
      <c r="G803" s="7" t="s">
        <v>1479</v>
      </c>
      <c r="H803" s="7" t="s">
        <v>539</v>
      </c>
      <c r="I803" s="15">
        <f t="array" ref="I803">INDEX(CC!C:C,MATCH(1,(CC!A:A=H803)*(CC!B:B=J803),0))</f>
        <v>1302</v>
      </c>
      <c r="J803" s="7" t="s">
        <v>25</v>
      </c>
      <c r="K803" s="9">
        <v>1267.64</v>
      </c>
    </row>
    <row r="804">
      <c r="A804" s="7">
        <v>0.01</v>
      </c>
      <c r="B804" s="5"/>
      <c r="C804" s="7" t="s">
        <v>331</v>
      </c>
      <c r="D804" s="7" t="s">
        <v>33</v>
      </c>
      <c r="E804" s="7">
        <v>0.01</v>
      </c>
      <c r="F804" s="7">
        <v>0.0</v>
      </c>
      <c r="G804" s="7" t="s">
        <v>1609</v>
      </c>
      <c r="H804" s="7" t="s">
        <v>385</v>
      </c>
      <c r="I804" s="15">
        <f t="array" ref="I804">INDEX(CC!C:C,MATCH(1,(CC!A:A=H804)*(CC!B:B=J804),0))</f>
        <v>502</v>
      </c>
      <c r="J804" s="7" t="s">
        <v>25</v>
      </c>
      <c r="K804" s="7">
        <v>0.01</v>
      </c>
    </row>
    <row r="805">
      <c r="A805" s="7">
        <v>9530.33</v>
      </c>
      <c r="B805" s="5"/>
      <c r="C805" s="7" t="s">
        <v>699</v>
      </c>
      <c r="D805" s="7" t="s">
        <v>104</v>
      </c>
      <c r="E805" s="9">
        <v>1000.0</v>
      </c>
      <c r="F805" s="7">
        <v>0.0</v>
      </c>
      <c r="G805" s="7" t="s">
        <v>1510</v>
      </c>
      <c r="H805" s="7" t="s">
        <v>554</v>
      </c>
      <c r="I805" s="15">
        <f t="array" ref="I805">INDEX(CC!C:C,MATCH(1,(CC!A:A=H805)*(CC!B:B=J805),0))</f>
        <v>1702</v>
      </c>
      <c r="J805" s="7" t="s">
        <v>25</v>
      </c>
      <c r="K805" s="9">
        <v>1000.0</v>
      </c>
    </row>
    <row r="806">
      <c r="A806" s="5"/>
      <c r="B806" s="5"/>
      <c r="C806" s="7" t="s">
        <v>699</v>
      </c>
      <c r="D806" s="7" t="s">
        <v>126</v>
      </c>
      <c r="E806" s="7">
        <v>21.8</v>
      </c>
      <c r="F806" s="7">
        <v>0.0</v>
      </c>
      <c r="G806" s="7" t="s">
        <v>1510</v>
      </c>
      <c r="H806" s="7" t="s">
        <v>554</v>
      </c>
      <c r="I806" s="15">
        <f t="array" ref="I806">INDEX(CC!C:C,MATCH(1,(CC!A:A=H806)*(CC!B:B=J806),0))</f>
        <v>1702</v>
      </c>
      <c r="J806" s="7" t="s">
        <v>25</v>
      </c>
      <c r="K806" s="7">
        <v>21.8</v>
      </c>
    </row>
    <row r="807">
      <c r="A807" s="5"/>
      <c r="B807" s="5"/>
      <c r="C807" s="7" t="s">
        <v>699</v>
      </c>
      <c r="D807" s="7" t="s">
        <v>137</v>
      </c>
      <c r="E807" s="9">
        <v>7194.0</v>
      </c>
      <c r="F807" s="7">
        <v>0.0</v>
      </c>
      <c r="G807" s="7" t="s">
        <v>1510</v>
      </c>
      <c r="H807" s="7" t="s">
        <v>554</v>
      </c>
      <c r="I807" s="15">
        <f t="array" ref="I807">INDEX(CC!C:C,MATCH(1,(CC!A:A=H807)*(CC!B:B=J807),0))</f>
        <v>1702</v>
      </c>
      <c r="J807" s="7" t="s">
        <v>25</v>
      </c>
      <c r="K807" s="9">
        <v>7194.0</v>
      </c>
    </row>
    <row r="808">
      <c r="A808" s="7">
        <v>4704.0</v>
      </c>
      <c r="B808" s="5"/>
      <c r="C808" s="7" t="s">
        <v>1030</v>
      </c>
      <c r="D808" s="7" t="s">
        <v>33</v>
      </c>
      <c r="E808" s="9">
        <v>4200.0</v>
      </c>
      <c r="F808" s="7">
        <v>0.0</v>
      </c>
      <c r="G808" s="7" t="s">
        <v>1449</v>
      </c>
      <c r="H808" s="7" t="s">
        <v>40</v>
      </c>
      <c r="I808" s="15">
        <f t="array" ref="I808">INDEX(CC!C:C,MATCH(1,(CC!A:A=H808)*(CC!B:B=J808),0))</f>
        <v>602</v>
      </c>
      <c r="J808" s="7" t="s">
        <v>25</v>
      </c>
      <c r="K808" s="9">
        <v>4200.0</v>
      </c>
    </row>
    <row r="809">
      <c r="A809" s="7">
        <v>5977.76</v>
      </c>
      <c r="B809" s="5"/>
      <c r="C809" s="7" t="s">
        <v>1614</v>
      </c>
      <c r="D809" s="7" t="s">
        <v>307</v>
      </c>
      <c r="E809" s="7">
        <v>950.0</v>
      </c>
      <c r="F809" s="7">
        <v>0.0</v>
      </c>
      <c r="G809" s="7" t="s">
        <v>1582</v>
      </c>
      <c r="H809" s="7" t="s">
        <v>551</v>
      </c>
      <c r="I809" s="15">
        <f t="array" ref="I809">INDEX(CC!C:C,MATCH(1,(CC!A:A=H809)*(CC!B:B=J809),0))</f>
        <v>1202</v>
      </c>
      <c r="J809" s="7" t="s">
        <v>25</v>
      </c>
      <c r="K809" s="7">
        <v>950.0</v>
      </c>
    </row>
    <row r="810">
      <c r="A810" s="5"/>
      <c r="B810" s="5"/>
      <c r="C810" s="7" t="s">
        <v>1614</v>
      </c>
      <c r="D810" s="7" t="s">
        <v>199</v>
      </c>
      <c r="E810" s="7">
        <v>950.0</v>
      </c>
      <c r="F810" s="7">
        <v>0.0</v>
      </c>
      <c r="G810" s="7" t="s">
        <v>1582</v>
      </c>
      <c r="H810" s="7" t="s">
        <v>551</v>
      </c>
      <c r="I810" s="15">
        <f t="array" ref="I810">INDEX(CC!C:C,MATCH(1,(CC!A:A=H810)*(CC!B:B=J810),0))</f>
        <v>1202</v>
      </c>
      <c r="J810" s="7" t="s">
        <v>25</v>
      </c>
      <c r="K810" s="7">
        <v>950.0</v>
      </c>
    </row>
    <row r="811">
      <c r="A811" s="5"/>
      <c r="B811" s="5"/>
      <c r="C811" s="7" t="s">
        <v>1614</v>
      </c>
      <c r="D811" s="7" t="s">
        <v>126</v>
      </c>
      <c r="E811" s="7">
        <v>30.0</v>
      </c>
      <c r="F811" s="7">
        <v>0.0</v>
      </c>
      <c r="G811" s="7" t="s">
        <v>1582</v>
      </c>
      <c r="H811" s="7" t="s">
        <v>551</v>
      </c>
      <c r="I811" s="15">
        <f t="array" ref="I811">INDEX(CC!C:C,MATCH(1,(CC!A:A=H811)*(CC!B:B=J811),0))</f>
        <v>1202</v>
      </c>
      <c r="J811" s="7" t="s">
        <v>25</v>
      </c>
      <c r="K811" s="7">
        <v>30.0</v>
      </c>
    </row>
    <row r="812">
      <c r="A812" s="5"/>
      <c r="B812" s="5"/>
      <c r="C812" s="7" t="s">
        <v>1614</v>
      </c>
      <c r="D812" s="7" t="s">
        <v>137</v>
      </c>
      <c r="E812" s="9">
        <v>3223.24</v>
      </c>
      <c r="F812" s="7">
        <v>0.0</v>
      </c>
      <c r="G812" s="7" t="s">
        <v>1582</v>
      </c>
      <c r="H812" s="7" t="s">
        <v>551</v>
      </c>
      <c r="I812" s="15">
        <f t="array" ref="I812">INDEX(CC!C:C,MATCH(1,(CC!A:A=H812)*(CC!B:B=J812),0))</f>
        <v>1202</v>
      </c>
      <c r="J812" s="7" t="s">
        <v>25</v>
      </c>
      <c r="K812" s="9">
        <v>3223.24</v>
      </c>
    </row>
    <row r="813">
      <c r="A813" s="7">
        <v>5196.8</v>
      </c>
      <c r="B813" s="5"/>
      <c r="C813" s="7" t="s">
        <v>1614</v>
      </c>
      <c r="D813" s="7" t="s">
        <v>307</v>
      </c>
      <c r="E813" s="7">
        <v>950.0</v>
      </c>
      <c r="F813" s="7">
        <v>0.0</v>
      </c>
      <c r="G813" s="7" t="s">
        <v>1583</v>
      </c>
      <c r="H813" s="7" t="s">
        <v>551</v>
      </c>
      <c r="I813" s="15">
        <f t="array" ref="I813">INDEX(CC!C:C,MATCH(1,(CC!A:A=H813)*(CC!B:B=J813),0))</f>
        <v>1202</v>
      </c>
      <c r="J813" s="7" t="s">
        <v>25</v>
      </c>
      <c r="K813" s="7">
        <v>950.0</v>
      </c>
    </row>
    <row r="814">
      <c r="A814" s="5"/>
      <c r="B814" s="5"/>
      <c r="C814" s="7" t="s">
        <v>1614</v>
      </c>
      <c r="D814" s="7" t="s">
        <v>199</v>
      </c>
      <c r="E814" s="7">
        <v>950.0</v>
      </c>
      <c r="F814" s="7">
        <v>0.0</v>
      </c>
      <c r="G814" s="7" t="s">
        <v>1583</v>
      </c>
      <c r="H814" s="7" t="s">
        <v>551</v>
      </c>
      <c r="I814" s="15">
        <f t="array" ref="I814">INDEX(CC!C:C,MATCH(1,(CC!A:A=H814)*(CC!B:B=J814),0))</f>
        <v>1202</v>
      </c>
      <c r="J814" s="7" t="s">
        <v>25</v>
      </c>
      <c r="K814" s="7">
        <v>950.0</v>
      </c>
    </row>
    <row r="815">
      <c r="A815" s="5"/>
      <c r="B815" s="5"/>
      <c r="C815" s="7" t="s">
        <v>1614</v>
      </c>
      <c r="D815" s="7" t="s">
        <v>348</v>
      </c>
      <c r="E815" s="7">
        <v>550.0</v>
      </c>
      <c r="F815" s="7">
        <v>0.0</v>
      </c>
      <c r="G815" s="7" t="s">
        <v>1583</v>
      </c>
      <c r="H815" s="7" t="s">
        <v>551</v>
      </c>
      <c r="I815" s="15">
        <f t="array" ref="I815">INDEX(CC!C:C,MATCH(1,(CC!A:A=H815)*(CC!B:B=J815),0))</f>
        <v>1202</v>
      </c>
      <c r="J815" s="7" t="s">
        <v>25</v>
      </c>
      <c r="K815" s="7">
        <v>550.0</v>
      </c>
    </row>
    <row r="816">
      <c r="A816" s="5"/>
      <c r="B816" s="5"/>
      <c r="C816" s="7" t="s">
        <v>1614</v>
      </c>
      <c r="D816" s="7" t="s">
        <v>126</v>
      </c>
      <c r="E816" s="7">
        <v>30.0</v>
      </c>
      <c r="F816" s="7">
        <v>0.0</v>
      </c>
      <c r="G816" s="7" t="s">
        <v>1583</v>
      </c>
      <c r="H816" s="7" t="s">
        <v>551</v>
      </c>
      <c r="I816" s="15">
        <f t="array" ref="I816">INDEX(CC!C:C,MATCH(1,(CC!A:A=H816)*(CC!B:B=J816),0))</f>
        <v>1202</v>
      </c>
      <c r="J816" s="7" t="s">
        <v>25</v>
      </c>
      <c r="K816" s="7">
        <v>30.0</v>
      </c>
    </row>
    <row r="817">
      <c r="A817" s="5"/>
      <c r="B817" s="5"/>
      <c r="C817" s="7" t="s">
        <v>1614</v>
      </c>
      <c r="D817" s="7" t="s">
        <v>137</v>
      </c>
      <c r="E817" s="9">
        <v>2000.0</v>
      </c>
      <c r="F817" s="7">
        <v>0.0</v>
      </c>
      <c r="G817" s="7" t="s">
        <v>1583</v>
      </c>
      <c r="H817" s="7" t="s">
        <v>551</v>
      </c>
      <c r="I817" s="15">
        <f t="array" ref="I817">INDEX(CC!C:C,MATCH(1,(CC!A:A=H817)*(CC!B:B=J817),0))</f>
        <v>1202</v>
      </c>
      <c r="J817" s="7" t="s">
        <v>25</v>
      </c>
      <c r="K817" s="9">
        <v>2000.0</v>
      </c>
    </row>
    <row r="818">
      <c r="A818" s="7">
        <v>2128.0</v>
      </c>
      <c r="B818" s="5"/>
      <c r="C818" s="7" t="s">
        <v>975</v>
      </c>
      <c r="D818" s="7" t="s">
        <v>33</v>
      </c>
      <c r="E818" s="9">
        <v>1900.0</v>
      </c>
      <c r="F818" s="7">
        <v>0.0</v>
      </c>
      <c r="G818" s="7" t="s">
        <v>1561</v>
      </c>
      <c r="H818" s="7" t="s">
        <v>40</v>
      </c>
      <c r="I818" s="15">
        <f t="array" ref="I818">INDEX(CC!C:C,MATCH(1,(CC!A:A=H818)*(CC!B:B=J818),0))</f>
        <v>602</v>
      </c>
      <c r="J818" s="7" t="s">
        <v>25</v>
      </c>
      <c r="K818" s="9">
        <v>1900.0</v>
      </c>
    </row>
    <row r="819">
      <c r="A819" s="7">
        <v>40435.85</v>
      </c>
      <c r="B819" s="5"/>
      <c r="C819" s="7" t="s">
        <v>945</v>
      </c>
      <c r="D819" s="7" t="s">
        <v>307</v>
      </c>
      <c r="E819" s="9">
        <v>1356.27</v>
      </c>
      <c r="F819" s="7">
        <v>0.0</v>
      </c>
      <c r="G819" s="7" t="s">
        <v>1486</v>
      </c>
      <c r="H819" s="7" t="s">
        <v>554</v>
      </c>
      <c r="I819" s="15">
        <f t="array" ref="I819">INDEX(CC!C:C,MATCH(1,(CC!A:A=H819)*(CC!B:B=J819),0))</f>
        <v>1702</v>
      </c>
      <c r="J819" s="7" t="s">
        <v>25</v>
      </c>
      <c r="K819" s="9">
        <v>1356.27</v>
      </c>
    </row>
    <row r="820">
      <c r="A820" s="5"/>
      <c r="B820" s="5"/>
      <c r="C820" s="7" t="s">
        <v>945</v>
      </c>
      <c r="D820" s="7" t="s">
        <v>82</v>
      </c>
      <c r="E820" s="7">
        <v>339.07</v>
      </c>
      <c r="F820" s="7">
        <v>0.0</v>
      </c>
      <c r="G820" s="7" t="s">
        <v>1486</v>
      </c>
      <c r="H820" s="7" t="s">
        <v>554</v>
      </c>
      <c r="I820" s="15">
        <f t="array" ref="I820">INDEX(CC!C:C,MATCH(1,(CC!A:A=H820)*(CC!B:B=J820),0))</f>
        <v>1702</v>
      </c>
      <c r="J820" s="7" t="s">
        <v>25</v>
      </c>
      <c r="K820" s="7">
        <v>339.07</v>
      </c>
    </row>
    <row r="821">
      <c r="A821" s="5"/>
      <c r="B821" s="5"/>
      <c r="C821" s="7" t="s">
        <v>945</v>
      </c>
      <c r="D821" s="7" t="s">
        <v>199</v>
      </c>
      <c r="E821" s="9">
        <v>14868.22</v>
      </c>
      <c r="F821" s="7">
        <v>0.0</v>
      </c>
      <c r="G821" s="7" t="s">
        <v>1486</v>
      </c>
      <c r="H821" s="7" t="s">
        <v>554</v>
      </c>
      <c r="I821" s="15">
        <f t="array" ref="I821">INDEX(CC!C:C,MATCH(1,(CC!A:A=H821)*(CC!B:B=J821),0))</f>
        <v>1702</v>
      </c>
      <c r="J821" s="7" t="s">
        <v>25</v>
      </c>
      <c r="K821" s="9">
        <v>14868.22</v>
      </c>
    </row>
    <row r="822">
      <c r="A822" s="5"/>
      <c r="B822" s="5"/>
      <c r="C822" s="7" t="s">
        <v>945</v>
      </c>
      <c r="D822" s="7" t="s">
        <v>104</v>
      </c>
      <c r="E822" s="9">
        <v>2500.0</v>
      </c>
      <c r="F822" s="7">
        <v>0.0</v>
      </c>
      <c r="G822" s="7" t="s">
        <v>1486</v>
      </c>
      <c r="H822" s="7" t="s">
        <v>554</v>
      </c>
      <c r="I822" s="15">
        <f t="array" ref="I822">INDEX(CC!C:C,MATCH(1,(CC!A:A=H822)*(CC!B:B=J822),0))</f>
        <v>1702</v>
      </c>
      <c r="J822" s="7" t="s">
        <v>25</v>
      </c>
      <c r="K822" s="9">
        <v>2500.0</v>
      </c>
    </row>
    <row r="823">
      <c r="A823" s="5"/>
      <c r="B823" s="5"/>
      <c r="C823" s="7" t="s">
        <v>945</v>
      </c>
      <c r="D823" s="7" t="s">
        <v>112</v>
      </c>
      <c r="E823" s="9">
        <v>6896.55</v>
      </c>
      <c r="F823" s="7">
        <v>0.0</v>
      </c>
      <c r="G823" s="7" t="s">
        <v>1486</v>
      </c>
      <c r="H823" s="7" t="s">
        <v>554</v>
      </c>
      <c r="I823" s="15">
        <f t="array" ref="I823">INDEX(CC!C:C,MATCH(1,(CC!A:A=H823)*(CC!B:B=J823),0))</f>
        <v>1702</v>
      </c>
      <c r="J823" s="7" t="s">
        <v>25</v>
      </c>
      <c r="K823" s="9">
        <v>6896.55</v>
      </c>
    </row>
    <row r="824">
      <c r="A824" s="5"/>
      <c r="B824" s="5"/>
      <c r="C824" s="7" t="s">
        <v>945</v>
      </c>
      <c r="D824" s="7" t="s">
        <v>892</v>
      </c>
      <c r="E824" s="7">
        <v>500.0</v>
      </c>
      <c r="F824" s="7">
        <v>0.0</v>
      </c>
      <c r="G824" s="7" t="s">
        <v>1486</v>
      </c>
      <c r="H824" s="7" t="s">
        <v>554</v>
      </c>
      <c r="I824" s="15">
        <f t="array" ref="I824">INDEX(CC!C:C,MATCH(1,(CC!A:A=H824)*(CC!B:B=J824),0))</f>
        <v>1702</v>
      </c>
      <c r="J824" s="7" t="s">
        <v>25</v>
      </c>
      <c r="K824" s="7">
        <v>500.0</v>
      </c>
    </row>
    <row r="825">
      <c r="A825" s="5"/>
      <c r="B825" s="5"/>
      <c r="C825" s="7" t="s">
        <v>945</v>
      </c>
      <c r="D825" s="7" t="s">
        <v>126</v>
      </c>
      <c r="E825" s="7">
        <v>35.0</v>
      </c>
      <c r="F825" s="7">
        <v>0.0</v>
      </c>
      <c r="G825" s="7" t="s">
        <v>1486</v>
      </c>
      <c r="H825" s="7" t="s">
        <v>554</v>
      </c>
      <c r="I825" s="15">
        <f t="array" ref="I825">INDEX(CC!C:C,MATCH(1,(CC!A:A=H825)*(CC!B:B=J825),0))</f>
        <v>1702</v>
      </c>
      <c r="J825" s="7" t="s">
        <v>25</v>
      </c>
      <c r="K825" s="7">
        <v>35.0</v>
      </c>
    </row>
    <row r="826">
      <c r="A826" s="5"/>
      <c r="B826" s="5"/>
      <c r="C826" s="7" t="s">
        <v>945</v>
      </c>
      <c r="D826" s="7" t="s">
        <v>137</v>
      </c>
      <c r="E826" s="9">
        <v>8363.38</v>
      </c>
      <c r="F826" s="7">
        <v>0.0</v>
      </c>
      <c r="G826" s="7" t="s">
        <v>1486</v>
      </c>
      <c r="H826" s="7" t="s">
        <v>554</v>
      </c>
      <c r="I826" s="15">
        <f t="array" ref="I826">INDEX(CC!C:C,MATCH(1,(CC!A:A=H826)*(CC!B:B=J826),0))</f>
        <v>1702</v>
      </c>
      <c r="J826" s="7" t="s">
        <v>25</v>
      </c>
      <c r="K826" s="9">
        <v>8363.38</v>
      </c>
    </row>
    <row r="827">
      <c r="A827" s="7">
        <v>10400.33</v>
      </c>
      <c r="B827" s="5"/>
      <c r="C827" s="7" t="s">
        <v>699</v>
      </c>
      <c r="D827" s="7" t="s">
        <v>277</v>
      </c>
      <c r="E827" s="7">
        <v>750.0</v>
      </c>
      <c r="F827" s="7">
        <v>0.0</v>
      </c>
      <c r="G827" s="7" t="s">
        <v>1511</v>
      </c>
      <c r="H827" s="7" t="s">
        <v>554</v>
      </c>
      <c r="I827" s="15">
        <f t="array" ref="I827">INDEX(CC!C:C,MATCH(1,(CC!A:A=H827)*(CC!B:B=J827),0))</f>
        <v>1702</v>
      </c>
      <c r="J827" s="7" t="s">
        <v>25</v>
      </c>
      <c r="K827" s="7">
        <v>750.0</v>
      </c>
    </row>
    <row r="828">
      <c r="A828" s="5"/>
      <c r="B828" s="5"/>
      <c r="C828" s="7" t="s">
        <v>699</v>
      </c>
      <c r="D828" s="7" t="s">
        <v>104</v>
      </c>
      <c r="E828" s="9">
        <v>1000.0</v>
      </c>
      <c r="F828" s="7">
        <v>0.0</v>
      </c>
      <c r="G828" s="7" t="s">
        <v>1511</v>
      </c>
      <c r="H828" s="7" t="s">
        <v>554</v>
      </c>
      <c r="I828" s="15">
        <f t="array" ref="I828">INDEX(CC!C:C,MATCH(1,(CC!A:A=H828)*(CC!B:B=J828),0))</f>
        <v>1702</v>
      </c>
      <c r="J828" s="7" t="s">
        <v>25</v>
      </c>
      <c r="K828" s="9">
        <v>1000.0</v>
      </c>
    </row>
    <row r="829">
      <c r="A829" s="5"/>
      <c r="B829" s="5"/>
      <c r="C829" s="7" t="s">
        <v>699</v>
      </c>
      <c r="D829" s="7" t="s">
        <v>126</v>
      </c>
      <c r="E829" s="7">
        <v>21.8</v>
      </c>
      <c r="F829" s="7">
        <v>0.0</v>
      </c>
      <c r="G829" s="7" t="s">
        <v>1511</v>
      </c>
      <c r="H829" s="7" t="s">
        <v>554</v>
      </c>
      <c r="I829" s="15">
        <f t="array" ref="I829">INDEX(CC!C:C,MATCH(1,(CC!A:A=H829)*(CC!B:B=J829),0))</f>
        <v>1702</v>
      </c>
      <c r="J829" s="7" t="s">
        <v>25</v>
      </c>
      <c r="K829" s="7">
        <v>21.8</v>
      </c>
    </row>
    <row r="830">
      <c r="A830" s="5"/>
      <c r="B830" s="5"/>
      <c r="C830" s="7" t="s">
        <v>699</v>
      </c>
      <c r="D830" s="7" t="s">
        <v>137</v>
      </c>
      <c r="E830" s="9">
        <v>7194.0</v>
      </c>
      <c r="F830" s="7">
        <v>0.0</v>
      </c>
      <c r="G830" s="7" t="s">
        <v>1511</v>
      </c>
      <c r="H830" s="7" t="s">
        <v>554</v>
      </c>
      <c r="I830" s="15">
        <f t="array" ref="I830">INDEX(CC!C:C,MATCH(1,(CC!A:A=H830)*(CC!B:B=J830),0))</f>
        <v>1702</v>
      </c>
      <c r="J830" s="7" t="s">
        <v>25</v>
      </c>
      <c r="K830" s="9">
        <v>7194.0</v>
      </c>
    </row>
    <row r="831">
      <c r="A831" s="7">
        <v>0.01</v>
      </c>
      <c r="B831" s="5"/>
      <c r="C831" s="7" t="s">
        <v>331</v>
      </c>
      <c r="D831" s="7" t="s">
        <v>33</v>
      </c>
      <c r="E831" s="7">
        <v>0.01</v>
      </c>
      <c r="F831" s="7">
        <v>0.0</v>
      </c>
      <c r="G831" s="7" t="s">
        <v>1618</v>
      </c>
      <c r="H831" s="7" t="s">
        <v>40</v>
      </c>
      <c r="I831" s="15">
        <f t="array" ref="I831">INDEX(CC!C:C,MATCH(1,(CC!A:A=H831)*(CC!B:B=J831),0))</f>
        <v>602</v>
      </c>
      <c r="J831" s="7" t="s">
        <v>25</v>
      </c>
      <c r="K831" s="7">
        <v>0.01</v>
      </c>
    </row>
    <row r="832">
      <c r="A832" s="7">
        <v>9798.35</v>
      </c>
      <c r="B832" s="5"/>
      <c r="C832" s="7" t="s">
        <v>699</v>
      </c>
      <c r="D832" s="7" t="s">
        <v>565</v>
      </c>
      <c r="E832" s="9">
        <v>4648.0</v>
      </c>
      <c r="F832" s="7">
        <v>0.0</v>
      </c>
      <c r="G832" s="7" t="s">
        <v>1474</v>
      </c>
      <c r="H832" s="7" t="s">
        <v>539</v>
      </c>
      <c r="I832" s="15">
        <f t="array" ref="I832">INDEX(CC!C:C,MATCH(1,(CC!A:A=H832)*(CC!B:B=J832),0))</f>
        <v>1302</v>
      </c>
      <c r="J832" s="7" t="s">
        <v>25</v>
      </c>
      <c r="K832" s="9">
        <v>4648.0</v>
      </c>
    </row>
    <row r="833">
      <c r="A833" s="5"/>
      <c r="B833" s="5"/>
      <c r="C833" s="7" t="s">
        <v>699</v>
      </c>
      <c r="D833" s="7" t="s">
        <v>566</v>
      </c>
      <c r="E833" s="7">
        <v>507.05</v>
      </c>
      <c r="F833" s="7">
        <v>0.0</v>
      </c>
      <c r="G833" s="7" t="s">
        <v>1474</v>
      </c>
      <c r="H833" s="7" t="s">
        <v>539</v>
      </c>
      <c r="I833" s="15">
        <f t="array" ref="I833">INDEX(CC!C:C,MATCH(1,(CC!A:A=H833)*(CC!B:B=J833),0))</f>
        <v>1302</v>
      </c>
      <c r="J833" s="7" t="s">
        <v>25</v>
      </c>
      <c r="K833" s="7">
        <v>507.05</v>
      </c>
    </row>
    <row r="834">
      <c r="A834" s="5"/>
      <c r="B834" s="5"/>
      <c r="C834" s="7" t="s">
        <v>699</v>
      </c>
      <c r="D834" s="7" t="s">
        <v>126</v>
      </c>
      <c r="E834" s="7">
        <v>21.8</v>
      </c>
      <c r="F834" s="7">
        <v>0.0</v>
      </c>
      <c r="G834" s="7" t="s">
        <v>1474</v>
      </c>
      <c r="H834" s="7" t="s">
        <v>539</v>
      </c>
      <c r="I834" s="15">
        <f t="array" ref="I834">INDEX(CC!C:C,MATCH(1,(CC!A:A=H834)*(CC!B:B=J834),0))</f>
        <v>1302</v>
      </c>
      <c r="J834" s="7" t="s">
        <v>25</v>
      </c>
      <c r="K834" s="7">
        <v>21.8</v>
      </c>
    </row>
    <row r="835">
      <c r="A835" s="5"/>
      <c r="B835" s="5"/>
      <c r="C835" s="7" t="s">
        <v>699</v>
      </c>
      <c r="D835" s="7" t="s">
        <v>137</v>
      </c>
      <c r="E835" s="9">
        <v>3270.0</v>
      </c>
      <c r="F835" s="7">
        <v>0.0</v>
      </c>
      <c r="G835" s="7" t="s">
        <v>1474</v>
      </c>
      <c r="H835" s="7" t="s">
        <v>539</v>
      </c>
      <c r="I835" s="15">
        <f t="array" ref="I835">INDEX(CC!C:C,MATCH(1,(CC!A:A=H835)*(CC!B:B=J835),0))</f>
        <v>1302</v>
      </c>
      <c r="J835" s="7" t="s">
        <v>25</v>
      </c>
      <c r="K835" s="9">
        <v>3270.0</v>
      </c>
    </row>
    <row r="836">
      <c r="A836" s="7">
        <v>12467.24</v>
      </c>
      <c r="B836" s="5"/>
      <c r="C836" s="7" t="s">
        <v>1620</v>
      </c>
      <c r="D836" s="7" t="s">
        <v>307</v>
      </c>
      <c r="E836" s="9">
        <v>1700.0</v>
      </c>
      <c r="F836" s="7">
        <v>0.0</v>
      </c>
      <c r="G836" s="7" t="s">
        <v>1353</v>
      </c>
      <c r="H836" s="7" t="s">
        <v>84</v>
      </c>
      <c r="I836" s="15">
        <f t="array" ref="I836">INDEX(CC!C:C,MATCH(1,(CC!A:A=H836)*(CC!B:B=J836),0))</f>
        <v>1002</v>
      </c>
      <c r="J836" s="7" t="s">
        <v>25</v>
      </c>
      <c r="K836" s="9">
        <v>1700.0</v>
      </c>
    </row>
    <row r="837">
      <c r="A837" s="5"/>
      <c r="B837" s="5"/>
      <c r="C837" s="7" t="s">
        <v>1620</v>
      </c>
      <c r="D837" s="7" t="s">
        <v>82</v>
      </c>
      <c r="E837" s="7">
        <v>350.0</v>
      </c>
      <c r="F837" s="7">
        <v>0.0</v>
      </c>
      <c r="G837" s="7" t="s">
        <v>1353</v>
      </c>
      <c r="H837" s="7" t="s">
        <v>84</v>
      </c>
      <c r="I837" s="15">
        <f t="array" ref="I837">INDEX(CC!C:C,MATCH(1,(CC!A:A=H837)*(CC!B:B=J837),0))</f>
        <v>1002</v>
      </c>
      <c r="J837" s="7" t="s">
        <v>25</v>
      </c>
      <c r="K837" s="7">
        <v>350.0</v>
      </c>
    </row>
    <row r="838">
      <c r="A838" s="5"/>
      <c r="B838" s="5"/>
      <c r="C838" s="7" t="s">
        <v>1620</v>
      </c>
      <c r="D838" s="7" t="s">
        <v>199</v>
      </c>
      <c r="E838" s="9">
        <v>1700.0</v>
      </c>
      <c r="F838" s="7">
        <v>0.0</v>
      </c>
      <c r="G838" s="7" t="s">
        <v>1353</v>
      </c>
      <c r="H838" s="7" t="s">
        <v>84</v>
      </c>
      <c r="I838" s="15">
        <f t="array" ref="I838">INDEX(CC!C:C,MATCH(1,(CC!A:A=H838)*(CC!B:B=J838),0))</f>
        <v>1002</v>
      </c>
      <c r="J838" s="7" t="s">
        <v>25</v>
      </c>
      <c r="K838" s="9">
        <v>1700.0</v>
      </c>
    </row>
    <row r="839">
      <c r="A839" s="5"/>
      <c r="B839" s="5"/>
      <c r="C839" s="7" t="s">
        <v>1620</v>
      </c>
      <c r="D839" s="7" t="s">
        <v>112</v>
      </c>
      <c r="E839" s="9">
        <v>3662.62</v>
      </c>
      <c r="F839" s="7">
        <v>0.0</v>
      </c>
      <c r="G839" s="7" t="s">
        <v>1353</v>
      </c>
      <c r="H839" s="7" t="s">
        <v>84</v>
      </c>
      <c r="I839" s="15">
        <f t="array" ref="I839">INDEX(CC!C:C,MATCH(1,(CC!A:A=H839)*(CC!B:B=J839),0))</f>
        <v>1002</v>
      </c>
      <c r="J839" s="7" t="s">
        <v>25</v>
      </c>
      <c r="K839" s="9">
        <v>3662.62</v>
      </c>
    </row>
    <row r="840">
      <c r="A840" s="5"/>
      <c r="B840" s="5"/>
      <c r="C840" s="7" t="s">
        <v>1620</v>
      </c>
      <c r="D840" s="7" t="s">
        <v>126</v>
      </c>
      <c r="E840" s="7">
        <v>35.0</v>
      </c>
      <c r="F840" s="7">
        <v>0.0</v>
      </c>
      <c r="G840" s="7" t="s">
        <v>1353</v>
      </c>
      <c r="H840" s="7" t="s">
        <v>84</v>
      </c>
      <c r="I840" s="15">
        <f t="array" ref="I840">INDEX(CC!C:C,MATCH(1,(CC!A:A=H840)*(CC!B:B=J840),0))</f>
        <v>1002</v>
      </c>
      <c r="J840" s="7" t="s">
        <v>25</v>
      </c>
      <c r="K840" s="7">
        <v>35.0</v>
      </c>
    </row>
    <row r="841">
      <c r="A841" s="5"/>
      <c r="B841" s="5"/>
      <c r="C841" s="7" t="s">
        <v>1620</v>
      </c>
      <c r="D841" s="7" t="s">
        <v>137</v>
      </c>
      <c r="E841" s="9">
        <v>3300.0</v>
      </c>
      <c r="F841" s="7">
        <v>0.0</v>
      </c>
      <c r="G841" s="7" t="s">
        <v>1353</v>
      </c>
      <c r="H841" s="7" t="s">
        <v>84</v>
      </c>
      <c r="I841" s="15">
        <f t="array" ref="I841">INDEX(CC!C:C,MATCH(1,(CC!A:A=H841)*(CC!B:B=J841),0))</f>
        <v>1002</v>
      </c>
      <c r="J841" s="7" t="s">
        <v>25</v>
      </c>
      <c r="K841" s="9">
        <v>3300.0</v>
      </c>
    </row>
    <row r="842">
      <c r="A842" s="7">
        <v>7852.34</v>
      </c>
      <c r="B842" s="5"/>
      <c r="C842" s="7" t="s">
        <v>168</v>
      </c>
      <c r="D842" s="7" t="s">
        <v>112</v>
      </c>
      <c r="E842" s="9">
        <v>3475.19</v>
      </c>
      <c r="F842" s="7">
        <v>0.0</v>
      </c>
      <c r="G842" s="7" t="s">
        <v>1357</v>
      </c>
      <c r="H842" s="7" t="s">
        <v>84</v>
      </c>
      <c r="I842" s="15">
        <f t="array" ref="I842">INDEX(CC!C:C,MATCH(1,(CC!A:A=H842)*(CC!B:B=J842),0))</f>
        <v>1002</v>
      </c>
      <c r="J842" s="7" t="s">
        <v>25</v>
      </c>
      <c r="K842" s="9">
        <v>3475.19</v>
      </c>
    </row>
    <row r="843">
      <c r="A843" s="5"/>
      <c r="B843" s="5"/>
      <c r="C843" s="7" t="s">
        <v>168</v>
      </c>
      <c r="D843" s="7" t="s">
        <v>137</v>
      </c>
      <c r="E843" s="9">
        <v>3294.07</v>
      </c>
      <c r="F843" s="7">
        <v>0.0</v>
      </c>
      <c r="G843" s="7" t="s">
        <v>1357</v>
      </c>
      <c r="H843" s="7" t="s">
        <v>84</v>
      </c>
      <c r="I843" s="15">
        <f t="array" ref="I843">INDEX(CC!C:C,MATCH(1,(CC!A:A=H843)*(CC!B:B=J843),0))</f>
        <v>1002</v>
      </c>
      <c r="J843" s="7" t="s">
        <v>25</v>
      </c>
      <c r="K843" s="9">
        <v>3294.07</v>
      </c>
    </row>
    <row r="844">
      <c r="A844" s="7">
        <v>0.01</v>
      </c>
      <c r="B844" s="5"/>
      <c r="C844" s="7" t="s">
        <v>331</v>
      </c>
      <c r="D844" s="7" t="s">
        <v>33</v>
      </c>
      <c r="E844" s="7">
        <v>0.01</v>
      </c>
      <c r="F844" s="7">
        <v>0.0</v>
      </c>
      <c r="G844" s="7" t="s">
        <v>1621</v>
      </c>
      <c r="H844" s="7" t="s">
        <v>385</v>
      </c>
      <c r="I844" s="15">
        <f t="array" ref="I844">INDEX(CC!C:C,MATCH(1,(CC!A:A=H844)*(CC!B:B=J844),0))</f>
        <v>502</v>
      </c>
      <c r="J844" s="7" t="s">
        <v>25</v>
      </c>
      <c r="K844" s="7">
        <v>0.01</v>
      </c>
    </row>
    <row r="845">
      <c r="A845" s="7">
        <v>29685.59</v>
      </c>
      <c r="B845" s="5"/>
      <c r="C845" s="7" t="s">
        <v>1623</v>
      </c>
      <c r="D845" s="7" t="s">
        <v>307</v>
      </c>
      <c r="E845" s="9">
        <v>1352.68</v>
      </c>
      <c r="F845" s="7">
        <v>0.0</v>
      </c>
      <c r="G845" s="7" t="s">
        <v>1374</v>
      </c>
      <c r="H845" s="7" t="s">
        <v>74</v>
      </c>
      <c r="I845" s="15">
        <f t="array" ref="I845">INDEX(CC!C:C,MATCH(1,(CC!A:A=H845)*(CC!B:B=J845),0))</f>
        <v>1502</v>
      </c>
      <c r="J845" s="7" t="s">
        <v>25</v>
      </c>
      <c r="K845" s="9">
        <v>1352.68</v>
      </c>
    </row>
    <row r="846">
      <c r="A846" s="5"/>
      <c r="B846" s="5"/>
      <c r="C846" s="7" t="s">
        <v>1623</v>
      </c>
      <c r="D846" s="7" t="s">
        <v>82</v>
      </c>
      <c r="E846" s="7">
        <v>338.17</v>
      </c>
      <c r="F846" s="7">
        <v>0.0</v>
      </c>
      <c r="G846" s="7" t="s">
        <v>1374</v>
      </c>
      <c r="H846" s="7" t="s">
        <v>74</v>
      </c>
      <c r="I846" s="15">
        <f t="array" ref="I846">INDEX(CC!C:C,MATCH(1,(CC!A:A=H846)*(CC!B:B=J846),0))</f>
        <v>1502</v>
      </c>
      <c r="J846" s="7" t="s">
        <v>25</v>
      </c>
      <c r="K846" s="7">
        <v>338.17</v>
      </c>
    </row>
    <row r="847">
      <c r="A847" s="5"/>
      <c r="B847" s="5"/>
      <c r="C847" s="7" t="s">
        <v>1623</v>
      </c>
      <c r="D847" s="7" t="s">
        <v>1624</v>
      </c>
      <c r="E847" s="9">
        <v>1200.0</v>
      </c>
      <c r="F847" s="7">
        <v>0.0</v>
      </c>
      <c r="G847" s="7" t="s">
        <v>1374</v>
      </c>
      <c r="H847" s="7" t="s">
        <v>74</v>
      </c>
      <c r="I847" s="15">
        <f t="array" ref="I847">INDEX(CC!C:C,MATCH(1,(CC!A:A=H847)*(CC!B:B=J847),0))</f>
        <v>1502</v>
      </c>
      <c r="J847" s="7" t="s">
        <v>25</v>
      </c>
      <c r="K847" s="9">
        <v>1200.0</v>
      </c>
    </row>
    <row r="848">
      <c r="A848" s="5"/>
      <c r="B848" s="5"/>
      <c r="C848" s="7" t="s">
        <v>1623</v>
      </c>
      <c r="D848" s="7" t="s">
        <v>277</v>
      </c>
      <c r="E848" s="7">
        <v>676.34</v>
      </c>
      <c r="F848" s="7">
        <v>0.0</v>
      </c>
      <c r="G848" s="7" t="s">
        <v>1374</v>
      </c>
      <c r="H848" s="7" t="s">
        <v>74</v>
      </c>
      <c r="I848" s="15">
        <f t="array" ref="I848">INDEX(CC!C:C,MATCH(1,(CC!A:A=H848)*(CC!B:B=J848),0))</f>
        <v>1502</v>
      </c>
      <c r="J848" s="7" t="s">
        <v>25</v>
      </c>
      <c r="K848" s="7">
        <v>676.34</v>
      </c>
    </row>
    <row r="849">
      <c r="A849" s="5"/>
      <c r="B849" s="5"/>
      <c r="C849" s="7" t="s">
        <v>1623</v>
      </c>
      <c r="D849" s="7" t="s">
        <v>199</v>
      </c>
      <c r="E849" s="9">
        <v>1352.68</v>
      </c>
      <c r="F849" s="7">
        <v>0.0</v>
      </c>
      <c r="G849" s="7" t="s">
        <v>1374</v>
      </c>
      <c r="H849" s="7" t="s">
        <v>74</v>
      </c>
      <c r="I849" s="15">
        <f t="array" ref="I849">INDEX(CC!C:C,MATCH(1,(CC!A:A=H849)*(CC!B:B=J849),0))</f>
        <v>1502</v>
      </c>
      <c r="J849" s="7" t="s">
        <v>25</v>
      </c>
      <c r="K849" s="9">
        <v>1352.68</v>
      </c>
    </row>
    <row r="850">
      <c r="A850" s="5"/>
      <c r="B850" s="5"/>
      <c r="C850" s="7" t="s">
        <v>1623</v>
      </c>
      <c r="D850" s="7" t="s">
        <v>679</v>
      </c>
      <c r="E850" s="9">
        <v>15000.0</v>
      </c>
      <c r="F850" s="7">
        <v>0.0</v>
      </c>
      <c r="G850" s="7" t="s">
        <v>1374</v>
      </c>
      <c r="H850" s="7" t="s">
        <v>74</v>
      </c>
      <c r="I850" s="15">
        <f t="array" ref="I850">INDEX(CC!C:C,MATCH(1,(CC!A:A=H850)*(CC!B:B=J850),0))</f>
        <v>1502</v>
      </c>
      <c r="J850" s="7" t="s">
        <v>25</v>
      </c>
      <c r="K850" s="9">
        <v>15000.0</v>
      </c>
    </row>
    <row r="851">
      <c r="A851" s="5"/>
      <c r="B851" s="5"/>
      <c r="C851" s="7" t="s">
        <v>1623</v>
      </c>
      <c r="D851" s="7" t="s">
        <v>126</v>
      </c>
      <c r="E851" s="7">
        <v>35.0</v>
      </c>
      <c r="F851" s="7">
        <v>0.0</v>
      </c>
      <c r="G851" s="7" t="s">
        <v>1374</v>
      </c>
      <c r="H851" s="7" t="s">
        <v>74</v>
      </c>
      <c r="I851" s="15">
        <f t="array" ref="I851">INDEX(CC!C:C,MATCH(1,(CC!A:A=H851)*(CC!B:B=J851),0))</f>
        <v>1502</v>
      </c>
      <c r="J851" s="7" t="s">
        <v>25</v>
      </c>
      <c r="K851" s="7">
        <v>35.0</v>
      </c>
    </row>
    <row r="852">
      <c r="A852" s="5"/>
      <c r="B852" s="5"/>
      <c r="C852" s="7" t="s">
        <v>1623</v>
      </c>
      <c r="D852" s="7" t="s">
        <v>137</v>
      </c>
      <c r="E852" s="9">
        <v>5636.16</v>
      </c>
      <c r="F852" s="7">
        <v>0.0</v>
      </c>
      <c r="G852" s="7" t="s">
        <v>1374</v>
      </c>
      <c r="H852" s="7" t="s">
        <v>74</v>
      </c>
      <c r="I852" s="15">
        <f t="array" ref="I852">INDEX(CC!C:C,MATCH(1,(CC!A:A=H852)*(CC!B:B=J852),0))</f>
        <v>1502</v>
      </c>
      <c r="J852" s="7" t="s">
        <v>25</v>
      </c>
      <c r="K852" s="9">
        <v>5636.16</v>
      </c>
    </row>
    <row r="853">
      <c r="A853" s="7">
        <v>5982.44</v>
      </c>
      <c r="B853" s="5"/>
      <c r="C853" s="7" t="s">
        <v>549</v>
      </c>
      <c r="D853" s="7" t="s">
        <v>1247</v>
      </c>
      <c r="E853" s="7">
        <v>601.4</v>
      </c>
      <c r="F853" s="7">
        <v>0.0</v>
      </c>
      <c r="G853" s="7" t="s">
        <v>1573</v>
      </c>
      <c r="H853" s="7" t="s">
        <v>551</v>
      </c>
      <c r="I853" s="15">
        <f t="array" ref="I853">INDEX(CC!C:C,MATCH(1,(CC!A:A=H853)*(CC!B:B=J853),0))</f>
        <v>1202</v>
      </c>
      <c r="J853" s="7" t="s">
        <v>25</v>
      </c>
      <c r="K853" s="7">
        <v>601.4</v>
      </c>
    </row>
    <row r="854">
      <c r="A854" s="5"/>
      <c r="B854" s="5"/>
      <c r="C854" s="7" t="s">
        <v>549</v>
      </c>
      <c r="D854" s="7" t="s">
        <v>126</v>
      </c>
      <c r="E854" s="7">
        <v>35.0</v>
      </c>
      <c r="F854" s="7">
        <v>0.0</v>
      </c>
      <c r="G854" s="7" t="s">
        <v>1573</v>
      </c>
      <c r="H854" s="7" t="s">
        <v>551</v>
      </c>
      <c r="I854" s="15">
        <f t="array" ref="I854">INDEX(CC!C:C,MATCH(1,(CC!A:A=H854)*(CC!B:B=J854),0))</f>
        <v>1202</v>
      </c>
      <c r="J854" s="7" t="s">
        <v>25</v>
      </c>
      <c r="K854" s="7">
        <v>35.0</v>
      </c>
    </row>
    <row r="855">
      <c r="A855" s="5"/>
      <c r="B855" s="5"/>
      <c r="C855" s="7" t="s">
        <v>549</v>
      </c>
      <c r="D855" s="7" t="s">
        <v>137</v>
      </c>
      <c r="E855" s="9">
        <v>4520.88</v>
      </c>
      <c r="F855" s="7">
        <v>0.0</v>
      </c>
      <c r="G855" s="7" t="s">
        <v>1573</v>
      </c>
      <c r="H855" s="7" t="s">
        <v>551</v>
      </c>
      <c r="I855" s="15">
        <f t="array" ref="I855">INDEX(CC!C:C,MATCH(1,(CC!A:A=H855)*(CC!B:B=J855),0))</f>
        <v>1202</v>
      </c>
      <c r="J855" s="7" t="s">
        <v>25</v>
      </c>
      <c r="K855" s="9">
        <v>4520.88</v>
      </c>
    </row>
    <row r="856">
      <c r="A856" s="7">
        <v>9228.18</v>
      </c>
      <c r="B856" s="5"/>
      <c r="C856" s="7" t="s">
        <v>699</v>
      </c>
      <c r="D856" s="7" t="s">
        <v>565</v>
      </c>
      <c r="E856" s="9">
        <v>4663.53</v>
      </c>
      <c r="F856" s="7">
        <v>0.0</v>
      </c>
      <c r="G856" s="7" t="s">
        <v>1485</v>
      </c>
      <c r="H856" s="7" t="s">
        <v>1159</v>
      </c>
      <c r="I856" s="15">
        <f t="array" ref="I856">INDEX(CC!C:C,MATCH(1,(CC!A:A=H856)*(CC!B:B=J856),0))</f>
        <v>802</v>
      </c>
      <c r="J856" s="7" t="s">
        <v>25</v>
      </c>
      <c r="K856" s="9">
        <v>4663.53</v>
      </c>
    </row>
    <row r="857">
      <c r="A857" s="5"/>
      <c r="B857" s="5"/>
      <c r="C857" s="7" t="s">
        <v>699</v>
      </c>
      <c r="D857" s="7" t="s">
        <v>126</v>
      </c>
      <c r="E857" s="7">
        <v>21.8</v>
      </c>
      <c r="F857" s="7">
        <v>0.0</v>
      </c>
      <c r="G857" s="7" t="s">
        <v>1485</v>
      </c>
      <c r="H857" s="7" t="s">
        <v>1159</v>
      </c>
      <c r="I857" s="15">
        <f t="array" ref="I857">INDEX(CC!C:C,MATCH(1,(CC!A:A=H857)*(CC!B:B=J857),0))</f>
        <v>802</v>
      </c>
      <c r="J857" s="7" t="s">
        <v>25</v>
      </c>
      <c r="K857" s="7">
        <v>21.8</v>
      </c>
    </row>
    <row r="858">
      <c r="A858" s="5"/>
      <c r="B858" s="5"/>
      <c r="C858" s="7" t="s">
        <v>699</v>
      </c>
      <c r="D858" s="7" t="s">
        <v>137</v>
      </c>
      <c r="E858" s="9">
        <v>3270.0</v>
      </c>
      <c r="F858" s="7">
        <v>0.0</v>
      </c>
      <c r="G858" s="7" t="s">
        <v>1485</v>
      </c>
      <c r="H858" s="7" t="s">
        <v>1159</v>
      </c>
      <c r="I858" s="15">
        <f t="array" ref="I858">INDEX(CC!C:C,MATCH(1,(CC!A:A=H858)*(CC!B:B=J858),0))</f>
        <v>802</v>
      </c>
      <c r="J858" s="7" t="s">
        <v>25</v>
      </c>
      <c r="K858" s="9">
        <v>3270.0</v>
      </c>
    </row>
    <row r="859">
      <c r="A859" s="7">
        <v>0.01</v>
      </c>
      <c r="B859" s="5"/>
      <c r="C859" s="7" t="s">
        <v>331</v>
      </c>
      <c r="D859" s="7" t="s">
        <v>33</v>
      </c>
      <c r="E859" s="7">
        <v>0.01</v>
      </c>
      <c r="F859" s="7">
        <v>0.0</v>
      </c>
      <c r="G859" s="7" t="s">
        <v>1621</v>
      </c>
      <c r="H859" s="7" t="s">
        <v>385</v>
      </c>
      <c r="I859" s="15">
        <f t="array" ref="I859">INDEX(CC!C:C,MATCH(1,(CC!A:A=H859)*(CC!B:B=J859),0))</f>
        <v>502</v>
      </c>
      <c r="J859" s="7" t="s">
        <v>25</v>
      </c>
      <c r="K859" s="7">
        <v>0.01</v>
      </c>
    </row>
    <row r="860">
      <c r="A860" s="7">
        <v>1940.49</v>
      </c>
      <c r="B860" s="5"/>
      <c r="C860" s="7" t="s">
        <v>168</v>
      </c>
      <c r="D860" s="7" t="s">
        <v>82</v>
      </c>
      <c r="E860" s="7">
        <v>209.07</v>
      </c>
      <c r="F860" s="7">
        <v>0.0</v>
      </c>
      <c r="G860" s="7" t="s">
        <v>1322</v>
      </c>
      <c r="H860" s="7" t="s">
        <v>84</v>
      </c>
      <c r="I860" s="15">
        <f t="array" ref="I860">INDEX(CC!C:C,MATCH(1,(CC!A:A=H860)*(CC!B:B=J860),0))</f>
        <v>1002</v>
      </c>
      <c r="J860" s="7" t="s">
        <v>25</v>
      </c>
      <c r="K860" s="7">
        <v>209.07</v>
      </c>
    </row>
    <row r="861">
      <c r="A861" s="5"/>
      <c r="B861" s="5"/>
      <c r="C861" s="7" t="s">
        <v>168</v>
      </c>
      <c r="D861" s="7" t="s">
        <v>112</v>
      </c>
      <c r="E861" s="7">
        <v>620.62</v>
      </c>
      <c r="F861" s="7">
        <v>0.0</v>
      </c>
      <c r="G861" s="7" t="s">
        <v>1322</v>
      </c>
      <c r="H861" s="7" t="s">
        <v>84</v>
      </c>
      <c r="I861" s="15">
        <f t="array" ref="I861">INDEX(CC!C:C,MATCH(1,(CC!A:A=H861)*(CC!B:B=J861),0))</f>
        <v>1002</v>
      </c>
      <c r="J861" s="7" t="s">
        <v>25</v>
      </c>
      <c r="K861" s="7">
        <v>620.62</v>
      </c>
    </row>
    <row r="862">
      <c r="A862" s="5"/>
      <c r="B862" s="5"/>
      <c r="C862" s="7" t="s">
        <v>168</v>
      </c>
      <c r="D862" s="7" t="s">
        <v>126</v>
      </c>
      <c r="E862" s="7">
        <v>35.0</v>
      </c>
      <c r="F862" s="7">
        <v>0.0</v>
      </c>
      <c r="G862" s="7" t="s">
        <v>1322</v>
      </c>
      <c r="H862" s="7" t="s">
        <v>84</v>
      </c>
      <c r="I862" s="15">
        <f t="array" ref="I862">INDEX(CC!C:C,MATCH(1,(CC!A:A=H862)*(CC!B:B=J862),0))</f>
        <v>1002</v>
      </c>
      <c r="J862" s="7" t="s">
        <v>25</v>
      </c>
      <c r="K862" s="7">
        <v>35.0</v>
      </c>
    </row>
    <row r="863">
      <c r="A863" s="5"/>
      <c r="B863" s="5"/>
      <c r="C863" s="7" t="s">
        <v>168</v>
      </c>
      <c r="D863" s="7" t="s">
        <v>137</v>
      </c>
      <c r="E863" s="7">
        <v>808.15</v>
      </c>
      <c r="F863" s="7">
        <v>0.0</v>
      </c>
      <c r="G863" s="7" t="s">
        <v>1322</v>
      </c>
      <c r="H863" s="7" t="s">
        <v>84</v>
      </c>
      <c r="I863" s="15">
        <f t="array" ref="I863">INDEX(CC!C:C,MATCH(1,(CC!A:A=H863)*(CC!B:B=J863),0))</f>
        <v>1002</v>
      </c>
      <c r="J863" s="7" t="s">
        <v>25</v>
      </c>
      <c r="K863" s="7">
        <v>808.15</v>
      </c>
    </row>
    <row r="864">
      <c r="A864" s="7">
        <v>9218.0</v>
      </c>
      <c r="B864" s="5"/>
      <c r="C864" s="7" t="s">
        <v>549</v>
      </c>
      <c r="D864" s="7" t="s">
        <v>126</v>
      </c>
      <c r="E864" s="7">
        <v>35.0</v>
      </c>
      <c r="F864" s="7">
        <v>0.0</v>
      </c>
      <c r="G864" s="7" t="s">
        <v>1566</v>
      </c>
      <c r="H864" s="7" t="s">
        <v>551</v>
      </c>
      <c r="I864" s="15">
        <f t="array" ref="I864">INDEX(CC!C:C,MATCH(1,(CC!A:A=H864)*(CC!B:B=J864),0))</f>
        <v>1202</v>
      </c>
      <c r="J864" s="7" t="s">
        <v>25</v>
      </c>
      <c r="K864" s="7">
        <v>35.0</v>
      </c>
    </row>
    <row r="865">
      <c r="A865" s="5"/>
      <c r="B865" s="5"/>
      <c r="C865" s="7" t="s">
        <v>549</v>
      </c>
      <c r="D865" s="7" t="s">
        <v>137</v>
      </c>
      <c r="E865" s="9">
        <v>7911.55</v>
      </c>
      <c r="F865" s="7">
        <v>0.0</v>
      </c>
      <c r="G865" s="7" t="s">
        <v>1566</v>
      </c>
      <c r="H865" s="7" t="s">
        <v>551</v>
      </c>
      <c r="I865" s="15">
        <f t="array" ref="I865">INDEX(CC!C:C,MATCH(1,(CC!A:A=H865)*(CC!B:B=J865),0))</f>
        <v>1202</v>
      </c>
      <c r="J865" s="7" t="s">
        <v>25</v>
      </c>
      <c r="K865" s="9">
        <v>7911.55</v>
      </c>
    </row>
    <row r="866">
      <c r="A866" s="7">
        <v>9915.62</v>
      </c>
      <c r="B866" s="5"/>
      <c r="C866" s="7" t="s">
        <v>549</v>
      </c>
      <c r="D866" s="7" t="s">
        <v>1247</v>
      </c>
      <c r="E866" s="7">
        <v>601.4</v>
      </c>
      <c r="F866" s="7">
        <v>0.0</v>
      </c>
      <c r="G866" s="7" t="s">
        <v>1572</v>
      </c>
      <c r="H866" s="7" t="s">
        <v>551</v>
      </c>
      <c r="I866" s="15">
        <f t="array" ref="I866">INDEX(CC!C:C,MATCH(1,(CC!A:A=H866)*(CC!B:B=J866),0))</f>
        <v>1202</v>
      </c>
      <c r="J866" s="7" t="s">
        <v>25</v>
      </c>
      <c r="K866" s="7">
        <v>601.4</v>
      </c>
    </row>
    <row r="867">
      <c r="A867" s="5"/>
      <c r="B867" s="5"/>
      <c r="C867" s="7" t="s">
        <v>549</v>
      </c>
      <c r="D867" s="7" t="s">
        <v>126</v>
      </c>
      <c r="E867" s="7">
        <v>35.0</v>
      </c>
      <c r="F867" s="7">
        <v>0.0</v>
      </c>
      <c r="G867" s="7" t="s">
        <v>1572</v>
      </c>
      <c r="H867" s="7" t="s">
        <v>551</v>
      </c>
      <c r="I867" s="15">
        <f t="array" ref="I867">INDEX(CC!C:C,MATCH(1,(CC!A:A=H867)*(CC!B:B=J867),0))</f>
        <v>1202</v>
      </c>
      <c r="J867" s="7" t="s">
        <v>25</v>
      </c>
      <c r="K867" s="7">
        <v>35.0</v>
      </c>
    </row>
    <row r="868">
      <c r="A868" s="5"/>
      <c r="B868" s="5"/>
      <c r="C868" s="7" t="s">
        <v>549</v>
      </c>
      <c r="D868" s="7" t="s">
        <v>137</v>
      </c>
      <c r="E868" s="9">
        <v>7911.55</v>
      </c>
      <c r="F868" s="7">
        <v>0.0</v>
      </c>
      <c r="G868" s="7" t="s">
        <v>1572</v>
      </c>
      <c r="H868" s="7" t="s">
        <v>551</v>
      </c>
      <c r="I868" s="15">
        <f t="array" ref="I868">INDEX(CC!C:C,MATCH(1,(CC!A:A=H868)*(CC!B:B=J868),0))</f>
        <v>1202</v>
      </c>
      <c r="J868" s="7" t="s">
        <v>25</v>
      </c>
      <c r="K868" s="9">
        <v>7911.55</v>
      </c>
    </row>
    <row r="869">
      <c r="A869" s="7">
        <v>9820.59</v>
      </c>
      <c r="B869" s="5"/>
      <c r="C869" s="7" t="s">
        <v>699</v>
      </c>
      <c r="D869" s="7" t="s">
        <v>565</v>
      </c>
      <c r="E869" s="9">
        <v>4665.29</v>
      </c>
      <c r="F869" s="7">
        <v>0.0</v>
      </c>
      <c r="G869" s="7" t="s">
        <v>1472</v>
      </c>
      <c r="H869" s="7" t="s">
        <v>539</v>
      </c>
      <c r="I869" s="15">
        <f t="array" ref="I869">INDEX(CC!C:C,MATCH(1,(CC!A:A=H869)*(CC!B:B=J869),0))</f>
        <v>1302</v>
      </c>
      <c r="J869" s="7" t="s">
        <v>25</v>
      </c>
      <c r="K869" s="9">
        <v>4665.29</v>
      </c>
    </row>
    <row r="870">
      <c r="A870" s="5"/>
      <c r="B870" s="5"/>
      <c r="C870" s="7" t="s">
        <v>699</v>
      </c>
      <c r="D870" s="7" t="s">
        <v>566</v>
      </c>
      <c r="E870" s="7">
        <v>508.94</v>
      </c>
      <c r="F870" s="7">
        <v>0.0</v>
      </c>
      <c r="G870" s="7" t="s">
        <v>1472</v>
      </c>
      <c r="H870" s="7" t="s">
        <v>539</v>
      </c>
      <c r="I870" s="15">
        <f t="array" ref="I870">INDEX(CC!C:C,MATCH(1,(CC!A:A=H870)*(CC!B:B=J870),0))</f>
        <v>1302</v>
      </c>
      <c r="J870" s="7" t="s">
        <v>25</v>
      </c>
      <c r="K870" s="7">
        <v>508.94</v>
      </c>
    </row>
    <row r="871">
      <c r="A871" s="5"/>
      <c r="B871" s="5"/>
      <c r="C871" s="7" t="s">
        <v>699</v>
      </c>
      <c r="D871" s="7" t="s">
        <v>126</v>
      </c>
      <c r="E871" s="7">
        <v>21.8</v>
      </c>
      <c r="F871" s="7">
        <v>0.0</v>
      </c>
      <c r="G871" s="7" t="s">
        <v>1472</v>
      </c>
      <c r="H871" s="7" t="s">
        <v>539</v>
      </c>
      <c r="I871" s="15">
        <f t="array" ref="I871">INDEX(CC!C:C,MATCH(1,(CC!A:A=H871)*(CC!B:B=J871),0))</f>
        <v>1302</v>
      </c>
      <c r="J871" s="7" t="s">
        <v>25</v>
      </c>
      <c r="K871" s="7">
        <v>21.8</v>
      </c>
    </row>
    <row r="872">
      <c r="A872" s="5"/>
      <c r="B872" s="5"/>
      <c r="C872" s="7" t="s">
        <v>699</v>
      </c>
      <c r="D872" s="7" t="s">
        <v>137</v>
      </c>
      <c r="E872" s="9">
        <v>3270.0</v>
      </c>
      <c r="F872" s="7">
        <v>0.0</v>
      </c>
      <c r="G872" s="7" t="s">
        <v>1472</v>
      </c>
      <c r="H872" s="7" t="s">
        <v>539</v>
      </c>
      <c r="I872" s="15">
        <f t="array" ref="I872">INDEX(CC!C:C,MATCH(1,(CC!A:A=H872)*(CC!B:B=J872),0))</f>
        <v>1302</v>
      </c>
      <c r="J872" s="7" t="s">
        <v>25</v>
      </c>
      <c r="K872" s="9">
        <v>3270.0</v>
      </c>
    </row>
    <row r="873">
      <c r="A873" s="7">
        <v>5284.82</v>
      </c>
      <c r="B873" s="5"/>
      <c r="C873" s="7" t="s">
        <v>549</v>
      </c>
      <c r="D873" s="7" t="s">
        <v>126</v>
      </c>
      <c r="E873" s="7">
        <v>35.0</v>
      </c>
      <c r="F873" s="7">
        <v>0.0</v>
      </c>
      <c r="G873" s="7" t="s">
        <v>1571</v>
      </c>
      <c r="H873" s="7" t="s">
        <v>551</v>
      </c>
      <c r="I873" s="15">
        <f t="array" ref="I873">INDEX(CC!C:C,MATCH(1,(CC!A:A=H873)*(CC!B:B=J873),0))</f>
        <v>1202</v>
      </c>
      <c r="J873" s="7" t="s">
        <v>25</v>
      </c>
      <c r="K873" s="7">
        <v>35.0</v>
      </c>
    </row>
    <row r="874">
      <c r="A874" s="5"/>
      <c r="B874" s="5"/>
      <c r="C874" s="7" t="s">
        <v>549</v>
      </c>
      <c r="D874" s="7" t="s">
        <v>137</v>
      </c>
      <c r="E874" s="9">
        <v>4520.88</v>
      </c>
      <c r="F874" s="7">
        <v>0.0</v>
      </c>
      <c r="G874" s="7" t="s">
        <v>1571</v>
      </c>
      <c r="H874" s="7" t="s">
        <v>551</v>
      </c>
      <c r="I874" s="15">
        <f t="array" ref="I874">INDEX(CC!C:C,MATCH(1,(CC!A:A=H874)*(CC!B:B=J874),0))</f>
        <v>1202</v>
      </c>
      <c r="J874" s="7" t="s">
        <v>25</v>
      </c>
      <c r="K874" s="9">
        <v>4520.88</v>
      </c>
    </row>
    <row r="875">
      <c r="A875" s="7">
        <v>10726.0</v>
      </c>
      <c r="B875" s="5"/>
      <c r="C875" s="7" t="s">
        <v>549</v>
      </c>
      <c r="D875" s="7" t="s">
        <v>277</v>
      </c>
      <c r="E875" s="9">
        <v>1300.0</v>
      </c>
      <c r="F875" s="7">
        <v>0.0</v>
      </c>
      <c r="G875" s="7" t="s">
        <v>1569</v>
      </c>
      <c r="H875" s="7" t="s">
        <v>551</v>
      </c>
      <c r="I875" s="15">
        <f t="array" ref="I875">INDEX(CC!C:C,MATCH(1,(CC!A:A=H875)*(CC!B:B=J875),0))</f>
        <v>1202</v>
      </c>
      <c r="J875" s="7" t="s">
        <v>25</v>
      </c>
      <c r="K875" s="9">
        <v>1300.0</v>
      </c>
    </row>
    <row r="876">
      <c r="A876" s="5"/>
      <c r="B876" s="5"/>
      <c r="C876" s="7" t="s">
        <v>549</v>
      </c>
      <c r="D876" s="7" t="s">
        <v>126</v>
      </c>
      <c r="E876" s="7">
        <v>35.0</v>
      </c>
      <c r="F876" s="7">
        <v>0.0</v>
      </c>
      <c r="G876" s="7" t="s">
        <v>1569</v>
      </c>
      <c r="H876" s="7" t="s">
        <v>551</v>
      </c>
      <c r="I876" s="15">
        <f t="array" ref="I876">INDEX(CC!C:C,MATCH(1,(CC!A:A=H876)*(CC!B:B=J876),0))</f>
        <v>1202</v>
      </c>
      <c r="J876" s="7" t="s">
        <v>25</v>
      </c>
      <c r="K876" s="7">
        <v>35.0</v>
      </c>
    </row>
    <row r="877">
      <c r="A877" s="5"/>
      <c r="B877" s="5"/>
      <c r="C877" s="7" t="s">
        <v>549</v>
      </c>
      <c r="D877" s="7" t="s">
        <v>137</v>
      </c>
      <c r="E877" s="9">
        <v>7911.55</v>
      </c>
      <c r="F877" s="7">
        <v>0.0</v>
      </c>
      <c r="G877" s="7" t="s">
        <v>1569</v>
      </c>
      <c r="H877" s="7" t="s">
        <v>551</v>
      </c>
      <c r="I877" s="15">
        <f t="array" ref="I877">INDEX(CC!C:C,MATCH(1,(CC!A:A=H877)*(CC!B:B=J877),0))</f>
        <v>1202</v>
      </c>
      <c r="J877" s="7" t="s">
        <v>25</v>
      </c>
      <c r="K877" s="9">
        <v>7911.55</v>
      </c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</row>
  </sheetData>
  <autoFilter ref="$A$1:$AA$1004"/>
  <hyperlinks>
    <hyperlink r:id="rId1" ref="A666"/>
    <hyperlink r:id="rId2" ref="C666"/>
    <hyperlink r:id="rId3" ref="A686"/>
    <hyperlink r:id="rId4" ref="C686"/>
    <hyperlink r:id="rId5" ref="C687"/>
    <hyperlink r:id="rId6" ref="C688"/>
    <hyperlink r:id="rId7" ref="C689"/>
    <hyperlink r:id="rId8" ref="C690"/>
    <hyperlink r:id="rId9" ref="C691"/>
    <hyperlink r:id="rId10" ref="A720"/>
    <hyperlink r:id="rId11" ref="C720"/>
    <hyperlink r:id="rId12" ref="C721"/>
    <hyperlink r:id="rId13" ref="C722"/>
    <hyperlink r:id="rId14" ref="C723"/>
    <hyperlink r:id="rId15" ref="C724"/>
    <hyperlink r:id="rId16" ref="C725"/>
  </hyperlinks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</cols>
  <sheetData>
    <row r="1">
      <c r="A1" s="13" t="s">
        <v>46</v>
      </c>
      <c r="B1" s="13" t="s">
        <v>50</v>
      </c>
      <c r="C1" s="13" t="s">
        <v>52</v>
      </c>
      <c r="D1" s="13" t="s">
        <v>54</v>
      </c>
      <c r="E1" s="13" t="s">
        <v>56</v>
      </c>
    </row>
    <row r="2">
      <c r="A2" s="14">
        <v>1.0</v>
      </c>
      <c r="B2" s="14" t="s">
        <v>59</v>
      </c>
      <c r="C2" s="14" t="s">
        <v>61</v>
      </c>
      <c r="D2" s="14" t="s">
        <v>62</v>
      </c>
      <c r="E2" s="14" t="s">
        <v>63</v>
      </c>
    </row>
    <row r="3">
      <c r="A3" s="14">
        <v>2.0</v>
      </c>
      <c r="B3" s="14" t="s">
        <v>59</v>
      </c>
      <c r="C3" s="14" t="s">
        <v>67</v>
      </c>
      <c r="D3" s="14" t="s">
        <v>62</v>
      </c>
      <c r="E3" s="14" t="s">
        <v>63</v>
      </c>
    </row>
    <row r="4">
      <c r="A4" s="14">
        <v>3.0</v>
      </c>
      <c r="B4" s="14" t="s">
        <v>70</v>
      </c>
      <c r="C4" s="14" t="s">
        <v>71</v>
      </c>
      <c r="D4" s="14" t="s">
        <v>73</v>
      </c>
      <c r="E4" s="14" t="s">
        <v>75</v>
      </c>
    </row>
    <row r="5">
      <c r="A5" s="14">
        <v>4.0</v>
      </c>
      <c r="B5" s="14" t="s">
        <v>70</v>
      </c>
      <c r="C5" s="14" t="s">
        <v>77</v>
      </c>
      <c r="D5" s="14" t="s">
        <v>73</v>
      </c>
      <c r="E5" s="14" t="s">
        <v>75</v>
      </c>
    </row>
    <row r="6">
      <c r="A6" s="14">
        <v>5.0</v>
      </c>
      <c r="B6" s="14" t="s">
        <v>70</v>
      </c>
      <c r="C6" s="14" t="s">
        <v>81</v>
      </c>
      <c r="D6" s="14" t="s">
        <v>73</v>
      </c>
      <c r="E6" s="14" t="s">
        <v>75</v>
      </c>
    </row>
    <row r="7">
      <c r="A7" s="14">
        <v>6.0</v>
      </c>
      <c r="B7" s="14" t="s">
        <v>70</v>
      </c>
      <c r="C7" s="14" t="s">
        <v>87</v>
      </c>
      <c r="D7" s="14" t="s">
        <v>73</v>
      </c>
      <c r="E7" s="14" t="s">
        <v>75</v>
      </c>
    </row>
    <row r="8">
      <c r="A8" s="14">
        <v>7.0</v>
      </c>
      <c r="B8" s="14" t="s">
        <v>70</v>
      </c>
      <c r="C8" s="14" t="s">
        <v>88</v>
      </c>
      <c r="D8" s="14" t="s">
        <v>73</v>
      </c>
      <c r="E8" s="14" t="s">
        <v>75</v>
      </c>
    </row>
    <row r="9">
      <c r="A9" s="14">
        <v>8.0</v>
      </c>
      <c r="B9" s="14" t="s">
        <v>89</v>
      </c>
      <c r="C9" s="14" t="s">
        <v>91</v>
      </c>
      <c r="D9" s="14" t="s">
        <v>73</v>
      </c>
      <c r="E9" s="14" t="s">
        <v>75</v>
      </c>
    </row>
    <row r="10">
      <c r="A10" s="14">
        <v>9.0</v>
      </c>
      <c r="B10" s="14" t="s">
        <v>92</v>
      </c>
      <c r="C10" s="14" t="s">
        <v>93</v>
      </c>
      <c r="D10" s="14" t="s">
        <v>73</v>
      </c>
      <c r="E10" s="14" t="s">
        <v>75</v>
      </c>
    </row>
    <row r="11">
      <c r="A11" s="14">
        <v>10.0</v>
      </c>
      <c r="B11" s="14" t="s">
        <v>92</v>
      </c>
      <c r="C11" s="14" t="s">
        <v>94</v>
      </c>
      <c r="D11" s="14" t="s">
        <v>73</v>
      </c>
      <c r="E11" s="14" t="s">
        <v>75</v>
      </c>
    </row>
    <row r="12">
      <c r="A12" s="14">
        <v>11.0</v>
      </c>
      <c r="B12" s="14" t="s">
        <v>96</v>
      </c>
      <c r="C12" s="14" t="s">
        <v>97</v>
      </c>
      <c r="D12" s="14" t="s">
        <v>98</v>
      </c>
      <c r="E12" s="14" t="s">
        <v>99</v>
      </c>
    </row>
    <row r="13">
      <c r="A13" s="14">
        <v>12.0</v>
      </c>
      <c r="B13" s="14" t="s">
        <v>100</v>
      </c>
      <c r="C13" s="14" t="s">
        <v>102</v>
      </c>
      <c r="D13" s="14" t="s">
        <v>103</v>
      </c>
      <c r="E13" s="14" t="s">
        <v>75</v>
      </c>
    </row>
    <row r="14">
      <c r="A14" s="14">
        <v>13.0</v>
      </c>
      <c r="B14" s="14" t="s">
        <v>100</v>
      </c>
      <c r="C14" s="14" t="s">
        <v>105</v>
      </c>
      <c r="D14" s="14" t="s">
        <v>103</v>
      </c>
      <c r="E14" s="14" t="s">
        <v>75</v>
      </c>
    </row>
    <row r="15">
      <c r="A15" s="14">
        <v>14.0</v>
      </c>
      <c r="B15" s="14" t="s">
        <v>100</v>
      </c>
      <c r="C15" s="14" t="s">
        <v>107</v>
      </c>
      <c r="D15" s="14" t="s">
        <v>103</v>
      </c>
      <c r="E15" s="14" t="s">
        <v>75</v>
      </c>
    </row>
    <row r="16">
      <c r="A16" s="14">
        <v>15.0</v>
      </c>
      <c r="B16" s="14" t="s">
        <v>100</v>
      </c>
      <c r="C16" s="14" t="s">
        <v>108</v>
      </c>
      <c r="D16" s="14" t="s">
        <v>103</v>
      </c>
      <c r="E16" s="14" t="s">
        <v>75</v>
      </c>
    </row>
    <row r="17">
      <c r="A17" s="14">
        <v>16.0</v>
      </c>
      <c r="B17" s="14" t="s">
        <v>100</v>
      </c>
      <c r="C17" s="14" t="s">
        <v>110</v>
      </c>
      <c r="D17" s="14" t="s">
        <v>103</v>
      </c>
      <c r="E17" s="14" t="s">
        <v>75</v>
      </c>
    </row>
    <row r="18">
      <c r="A18" s="14">
        <v>17.0</v>
      </c>
      <c r="B18" s="14" t="s">
        <v>100</v>
      </c>
      <c r="C18" s="14" t="s">
        <v>111</v>
      </c>
      <c r="D18" s="14" t="s">
        <v>103</v>
      </c>
      <c r="E18" s="14" t="s">
        <v>75</v>
      </c>
    </row>
    <row r="19">
      <c r="A19" s="14">
        <v>18.0</v>
      </c>
      <c r="B19" s="14" t="s">
        <v>100</v>
      </c>
      <c r="C19" s="14" t="s">
        <v>113</v>
      </c>
      <c r="D19" s="14" t="s">
        <v>103</v>
      </c>
      <c r="E19" s="14" t="s">
        <v>75</v>
      </c>
    </row>
    <row r="20">
      <c r="A20" s="14">
        <v>19.0</v>
      </c>
      <c r="B20" s="14" t="s">
        <v>100</v>
      </c>
      <c r="C20" s="14" t="s">
        <v>116</v>
      </c>
      <c r="D20" s="14" t="s">
        <v>117</v>
      </c>
      <c r="E20" s="14" t="s">
        <v>75</v>
      </c>
    </row>
    <row r="21">
      <c r="A21" s="14">
        <v>20.0</v>
      </c>
      <c r="B21" s="14" t="s">
        <v>100</v>
      </c>
      <c r="C21" s="14" t="s">
        <v>118</v>
      </c>
      <c r="D21" s="14" t="s">
        <v>117</v>
      </c>
      <c r="E21" s="14" t="s">
        <v>75</v>
      </c>
    </row>
    <row r="22">
      <c r="A22" s="14">
        <v>21.0</v>
      </c>
      <c r="B22" s="14" t="s">
        <v>120</v>
      </c>
      <c r="C22" s="14" t="s">
        <v>121</v>
      </c>
      <c r="D22" s="14" t="s">
        <v>122</v>
      </c>
      <c r="E22" s="14" t="s">
        <v>75</v>
      </c>
    </row>
    <row r="23">
      <c r="A23" s="14">
        <v>22.0</v>
      </c>
      <c r="B23" s="14" t="s">
        <v>120</v>
      </c>
      <c r="C23" s="14" t="s">
        <v>123</v>
      </c>
      <c r="D23" s="14" t="s">
        <v>124</v>
      </c>
      <c r="E23" s="14" t="s">
        <v>75</v>
      </c>
    </row>
    <row r="24">
      <c r="A24" s="14">
        <v>23.0</v>
      </c>
      <c r="B24" s="14" t="s">
        <v>120</v>
      </c>
      <c r="C24" s="14" t="s">
        <v>127</v>
      </c>
      <c r="D24" s="14" t="s">
        <v>124</v>
      </c>
      <c r="E24" s="14" t="s">
        <v>75</v>
      </c>
    </row>
    <row r="25">
      <c r="A25" s="14">
        <v>24.0</v>
      </c>
      <c r="B25" s="14" t="s">
        <v>120</v>
      </c>
      <c r="C25" s="14" t="s">
        <v>128</v>
      </c>
      <c r="D25" s="14" t="s">
        <v>124</v>
      </c>
      <c r="E25" s="14" t="s">
        <v>75</v>
      </c>
    </row>
    <row r="26">
      <c r="A26" s="14">
        <v>25.0</v>
      </c>
      <c r="B26" s="14" t="s">
        <v>120</v>
      </c>
      <c r="C26" s="14" t="s">
        <v>129</v>
      </c>
      <c r="D26" s="14" t="s">
        <v>129</v>
      </c>
      <c r="E26" s="14" t="s">
        <v>75</v>
      </c>
    </row>
    <row r="27">
      <c r="A27" s="14">
        <v>26.0</v>
      </c>
      <c r="B27" s="14" t="s">
        <v>131</v>
      </c>
      <c r="C27" s="14" t="s">
        <v>132</v>
      </c>
      <c r="D27" s="14" t="s">
        <v>133</v>
      </c>
      <c r="E27" s="14" t="s">
        <v>75</v>
      </c>
    </row>
    <row r="28">
      <c r="A28" s="14">
        <v>27.0</v>
      </c>
      <c r="B28" s="14" t="s">
        <v>131</v>
      </c>
      <c r="C28" s="14" t="s">
        <v>134</v>
      </c>
      <c r="D28" s="14" t="s">
        <v>135</v>
      </c>
      <c r="E28" s="14" t="s">
        <v>75</v>
      </c>
    </row>
    <row r="29">
      <c r="A29" s="14">
        <v>28.0</v>
      </c>
      <c r="B29" s="14" t="s">
        <v>131</v>
      </c>
      <c r="C29" s="14" t="s">
        <v>138</v>
      </c>
      <c r="D29" s="14" t="s">
        <v>139</v>
      </c>
      <c r="E29" s="14" t="s">
        <v>75</v>
      </c>
    </row>
    <row r="30">
      <c r="A30" s="14">
        <v>29.0</v>
      </c>
      <c r="B30" s="14" t="s">
        <v>140</v>
      </c>
      <c r="C30" s="14" t="s">
        <v>141</v>
      </c>
      <c r="D30" s="14" t="s">
        <v>142</v>
      </c>
      <c r="E30" s="14" t="s">
        <v>75</v>
      </c>
    </row>
    <row r="31">
      <c r="A31" s="14">
        <v>30.0</v>
      </c>
      <c r="B31" s="14" t="s">
        <v>140</v>
      </c>
      <c r="C31" s="14" t="s">
        <v>144</v>
      </c>
      <c r="D31" s="14" t="s">
        <v>145</v>
      </c>
      <c r="E31" s="14" t="s">
        <v>75</v>
      </c>
    </row>
    <row r="32">
      <c r="A32" s="14">
        <v>31.0</v>
      </c>
      <c r="B32" s="14" t="s">
        <v>140</v>
      </c>
      <c r="C32" s="16" t="s">
        <v>146</v>
      </c>
      <c r="D32" s="14" t="s">
        <v>145</v>
      </c>
      <c r="E32" s="14" t="s">
        <v>75</v>
      </c>
    </row>
    <row r="33">
      <c r="A33" s="14">
        <v>32.0</v>
      </c>
      <c r="B33" s="14" t="s">
        <v>140</v>
      </c>
      <c r="C33" s="16" t="s">
        <v>149</v>
      </c>
      <c r="D33" s="14" t="s">
        <v>145</v>
      </c>
      <c r="E33" s="14" t="s">
        <v>75</v>
      </c>
    </row>
    <row r="34">
      <c r="A34" s="14">
        <v>33.0</v>
      </c>
      <c r="B34" s="14" t="s">
        <v>140</v>
      </c>
      <c r="C34" s="16" t="s">
        <v>152</v>
      </c>
      <c r="D34" s="14" t="s">
        <v>145</v>
      </c>
      <c r="E34" s="14" t="s">
        <v>75</v>
      </c>
    </row>
    <row r="35">
      <c r="A35" s="14">
        <v>34.0</v>
      </c>
      <c r="B35" s="14" t="s">
        <v>153</v>
      </c>
      <c r="C35" s="14" t="s">
        <v>154</v>
      </c>
      <c r="D35" s="14" t="s">
        <v>155</v>
      </c>
      <c r="E35" s="14" t="s">
        <v>75</v>
      </c>
    </row>
    <row r="36">
      <c r="A36" s="14">
        <v>35.0</v>
      </c>
      <c r="B36" s="14" t="s">
        <v>153</v>
      </c>
      <c r="C36" s="14" t="s">
        <v>156</v>
      </c>
      <c r="D36" s="14" t="s">
        <v>155</v>
      </c>
      <c r="E36" s="14" t="s">
        <v>75</v>
      </c>
    </row>
    <row r="37">
      <c r="A37" s="14">
        <v>36.0</v>
      </c>
      <c r="B37" s="14" t="s">
        <v>153</v>
      </c>
      <c r="C37" s="14" t="s">
        <v>160</v>
      </c>
      <c r="D37" s="14" t="s">
        <v>155</v>
      </c>
      <c r="E37" s="14" t="s">
        <v>75</v>
      </c>
    </row>
    <row r="38">
      <c r="A38" s="14">
        <v>37.0</v>
      </c>
      <c r="B38" s="14" t="s">
        <v>153</v>
      </c>
      <c r="C38" s="14" t="s">
        <v>161</v>
      </c>
      <c r="D38" s="14" t="s">
        <v>162</v>
      </c>
      <c r="E38" s="14" t="s">
        <v>75</v>
      </c>
    </row>
    <row r="39">
      <c r="A39" s="14">
        <v>38.0</v>
      </c>
      <c r="B39" s="14" t="s">
        <v>163</v>
      </c>
      <c r="C39" s="14" t="s">
        <v>164</v>
      </c>
      <c r="D39" s="14" t="s">
        <v>164</v>
      </c>
      <c r="E39" s="14" t="s">
        <v>75</v>
      </c>
    </row>
    <row r="40">
      <c r="A40" s="14">
        <v>39.0</v>
      </c>
      <c r="B40" s="14" t="s">
        <v>163</v>
      </c>
      <c r="C40" s="16" t="s">
        <v>166</v>
      </c>
      <c r="D40" s="14" t="s">
        <v>167</v>
      </c>
      <c r="E40" s="14" t="s">
        <v>75</v>
      </c>
    </row>
    <row r="41">
      <c r="A41" s="14">
        <v>40.0</v>
      </c>
      <c r="B41" s="14" t="s">
        <v>169</v>
      </c>
      <c r="C41" s="14" t="s">
        <v>164</v>
      </c>
      <c r="D41" s="14" t="s">
        <v>164</v>
      </c>
      <c r="E41" s="14" t="s">
        <v>75</v>
      </c>
    </row>
    <row r="42">
      <c r="A42" s="14">
        <v>41.0</v>
      </c>
      <c r="B42" s="14" t="s">
        <v>172</v>
      </c>
      <c r="C42" s="14" t="s">
        <v>164</v>
      </c>
      <c r="D42" s="14" t="s">
        <v>164</v>
      </c>
      <c r="E42" s="14" t="s">
        <v>75</v>
      </c>
    </row>
    <row r="43">
      <c r="A43" s="14">
        <v>42.0</v>
      </c>
      <c r="B43" s="14" t="s">
        <v>174</v>
      </c>
      <c r="C43" s="14" t="s">
        <v>164</v>
      </c>
      <c r="D43" s="14" t="s">
        <v>164</v>
      </c>
      <c r="E43" s="14" t="s">
        <v>75</v>
      </c>
    </row>
    <row r="44">
      <c r="A44" s="14">
        <v>43.0</v>
      </c>
      <c r="B44" s="14" t="s">
        <v>175</v>
      </c>
      <c r="C44" s="14" t="s">
        <v>97</v>
      </c>
      <c r="D44" s="14" t="s">
        <v>176</v>
      </c>
      <c r="E44" s="14" t="s">
        <v>99</v>
      </c>
    </row>
    <row r="45">
      <c r="A45" s="14">
        <v>44.0</v>
      </c>
      <c r="B45" s="14" t="s">
        <v>177</v>
      </c>
      <c r="C45" s="14" t="s">
        <v>97</v>
      </c>
      <c r="D45" s="14" t="s">
        <v>178</v>
      </c>
      <c r="E45" s="14" t="s">
        <v>99</v>
      </c>
    </row>
    <row r="46">
      <c r="A46" s="14">
        <v>45.0</v>
      </c>
      <c r="B46" s="14" t="s">
        <v>180</v>
      </c>
      <c r="C46" s="14" t="s">
        <v>97</v>
      </c>
      <c r="D46" s="14" t="s">
        <v>181</v>
      </c>
      <c r="E46" s="14" t="s">
        <v>99</v>
      </c>
    </row>
    <row r="47">
      <c r="A47" s="14">
        <v>46.0</v>
      </c>
      <c r="B47" s="14" t="s">
        <v>182</v>
      </c>
      <c r="C47" s="14" t="s">
        <v>97</v>
      </c>
      <c r="D47" s="14" t="s">
        <v>183</v>
      </c>
      <c r="E47" s="14" t="s">
        <v>99</v>
      </c>
    </row>
    <row r="48">
      <c r="A48" s="14">
        <v>47.0</v>
      </c>
      <c r="B48" s="14" t="s">
        <v>185</v>
      </c>
      <c r="C48" s="14" t="s">
        <v>97</v>
      </c>
      <c r="D48" s="14" t="s">
        <v>181</v>
      </c>
      <c r="E48" s="14" t="s">
        <v>99</v>
      </c>
    </row>
    <row r="49">
      <c r="A49" s="14">
        <v>48.0</v>
      </c>
      <c r="B49" s="14" t="s">
        <v>188</v>
      </c>
      <c r="C49" s="14" t="s">
        <v>97</v>
      </c>
      <c r="D49" s="14" t="s">
        <v>189</v>
      </c>
      <c r="E49" s="14" t="s">
        <v>99</v>
      </c>
    </row>
    <row r="50">
      <c r="A50" s="14">
        <v>49.0</v>
      </c>
      <c r="B50" s="14" t="s">
        <v>190</v>
      </c>
      <c r="C50" s="14" t="s">
        <v>97</v>
      </c>
      <c r="D50" s="14" t="s">
        <v>189</v>
      </c>
      <c r="E50" s="14" t="s">
        <v>99</v>
      </c>
    </row>
    <row r="51">
      <c r="A51" s="14">
        <v>50.0</v>
      </c>
      <c r="B51" s="14" t="s">
        <v>191</v>
      </c>
      <c r="C51" s="14" t="s">
        <v>97</v>
      </c>
      <c r="D51" s="14" t="s">
        <v>189</v>
      </c>
      <c r="E51" s="14" t="s">
        <v>99</v>
      </c>
    </row>
    <row r="52">
      <c r="A52" s="14">
        <v>51.0</v>
      </c>
      <c r="B52" s="14" t="s">
        <v>192</v>
      </c>
      <c r="C52" s="14" t="s">
        <v>97</v>
      </c>
      <c r="D52" s="14" t="s">
        <v>194</v>
      </c>
      <c r="E52" s="14" t="s">
        <v>99</v>
      </c>
    </row>
    <row r="53">
      <c r="A53" s="14">
        <v>52.0</v>
      </c>
      <c r="B53" s="14" t="s">
        <v>195</v>
      </c>
      <c r="C53" s="14" t="s">
        <v>97</v>
      </c>
      <c r="D53" s="14" t="s">
        <v>196</v>
      </c>
      <c r="E53" s="14" t="s">
        <v>99</v>
      </c>
    </row>
    <row r="54">
      <c r="A54" s="14">
        <v>53.0</v>
      </c>
      <c r="B54" s="14" t="s">
        <v>197</v>
      </c>
      <c r="C54" s="14" t="s">
        <v>97</v>
      </c>
      <c r="D54" s="14" t="s">
        <v>198</v>
      </c>
      <c r="E54" s="14" t="s">
        <v>99</v>
      </c>
    </row>
    <row r="55">
      <c r="A55" s="14">
        <v>54.0</v>
      </c>
      <c r="B55" s="14" t="s">
        <v>200</v>
      </c>
      <c r="C55" s="14" t="s">
        <v>97</v>
      </c>
      <c r="D55" s="14" t="s">
        <v>201</v>
      </c>
      <c r="E55" s="14" t="s">
        <v>99</v>
      </c>
    </row>
    <row r="56">
      <c r="A56" s="14">
        <v>55.0</v>
      </c>
      <c r="B56" s="14" t="s">
        <v>202</v>
      </c>
      <c r="C56" s="14" t="s">
        <v>97</v>
      </c>
      <c r="D56" s="14" t="s">
        <v>204</v>
      </c>
      <c r="E56" s="14" t="s">
        <v>99</v>
      </c>
    </row>
    <row r="57">
      <c r="A57" s="14">
        <v>56.0</v>
      </c>
      <c r="B57" s="14" t="s">
        <v>205</v>
      </c>
      <c r="C57" s="14" t="s">
        <v>97</v>
      </c>
      <c r="D57" s="14" t="s">
        <v>206</v>
      </c>
      <c r="E57" s="14" t="s">
        <v>99</v>
      </c>
    </row>
    <row r="58">
      <c r="A58" s="14">
        <v>57.0</v>
      </c>
      <c r="B58" s="14" t="s">
        <v>207</v>
      </c>
      <c r="C58" s="14" t="s">
        <v>97</v>
      </c>
      <c r="D58" s="14" t="s">
        <v>206</v>
      </c>
      <c r="E58" s="14" t="s">
        <v>99</v>
      </c>
    </row>
    <row r="59">
      <c r="A59" s="14">
        <v>58.0</v>
      </c>
      <c r="B59" s="14" t="s">
        <v>208</v>
      </c>
      <c r="C59" s="14" t="s">
        <v>97</v>
      </c>
      <c r="D59" s="14" t="s">
        <v>209</v>
      </c>
      <c r="E59" s="14" t="s">
        <v>99</v>
      </c>
    </row>
    <row r="60">
      <c r="A60" s="14">
        <v>59.0</v>
      </c>
      <c r="B60" s="14" t="s">
        <v>211</v>
      </c>
      <c r="C60" s="14" t="s">
        <v>97</v>
      </c>
      <c r="D60" s="14" t="s">
        <v>212</v>
      </c>
      <c r="E60" s="14" t="s">
        <v>99</v>
      </c>
    </row>
    <row r="61">
      <c r="A61" s="14">
        <v>60.0</v>
      </c>
      <c r="B61" s="14" t="s">
        <v>213</v>
      </c>
      <c r="C61" s="14" t="s">
        <v>97</v>
      </c>
      <c r="D61" s="14" t="s">
        <v>214</v>
      </c>
      <c r="E61" s="14" t="s">
        <v>99</v>
      </c>
    </row>
    <row r="62">
      <c r="A62" s="14">
        <v>61.0</v>
      </c>
      <c r="B62" s="14" t="s">
        <v>215</v>
      </c>
      <c r="C62" s="14" t="s">
        <v>97</v>
      </c>
      <c r="D62" s="14" t="s">
        <v>155</v>
      </c>
      <c r="E62" s="14" t="s">
        <v>99</v>
      </c>
    </row>
    <row r="63">
      <c r="A63" s="14">
        <v>62.0</v>
      </c>
      <c r="B63" s="14" t="s">
        <v>217</v>
      </c>
      <c r="C63" s="14" t="s">
        <v>97</v>
      </c>
      <c r="D63" s="14" t="s">
        <v>155</v>
      </c>
      <c r="E63" s="14" t="s">
        <v>99</v>
      </c>
    </row>
    <row r="64">
      <c r="A64" s="14">
        <v>63.0</v>
      </c>
      <c r="B64" s="14" t="s">
        <v>218</v>
      </c>
      <c r="C64" s="14" t="s">
        <v>219</v>
      </c>
      <c r="D64" s="14" t="s">
        <v>220</v>
      </c>
      <c r="E64" s="14" t="s">
        <v>75</v>
      </c>
    </row>
    <row r="65">
      <c r="A65" s="14">
        <v>64.0</v>
      </c>
      <c r="B65" s="14" t="s">
        <v>218</v>
      </c>
      <c r="C65" s="17" t="s">
        <v>97</v>
      </c>
      <c r="D65" s="14" t="s">
        <v>167</v>
      </c>
      <c r="E65" s="14" t="s">
        <v>99</v>
      </c>
    </row>
    <row r="66">
      <c r="A66" s="14">
        <v>65.0</v>
      </c>
      <c r="B66" s="14" t="s">
        <v>222</v>
      </c>
      <c r="C66" s="14" t="s">
        <v>97</v>
      </c>
      <c r="D66" s="14" t="s">
        <v>223</v>
      </c>
      <c r="E66" s="14" t="s">
        <v>99</v>
      </c>
    </row>
    <row r="67">
      <c r="A67" s="14">
        <v>66.0</v>
      </c>
      <c r="B67" s="14" t="s">
        <v>224</v>
      </c>
      <c r="C67" s="14" t="s">
        <v>97</v>
      </c>
      <c r="D67" s="14" t="s">
        <v>226</v>
      </c>
      <c r="E67" s="14" t="s">
        <v>99</v>
      </c>
    </row>
    <row r="68">
      <c r="A68" s="14">
        <v>67.0</v>
      </c>
      <c r="B68" s="14" t="s">
        <v>227</v>
      </c>
      <c r="C68" s="14" t="s">
        <v>97</v>
      </c>
      <c r="D68" s="14" t="s">
        <v>228</v>
      </c>
      <c r="E68" s="14" t="s">
        <v>99</v>
      </c>
    </row>
    <row r="69">
      <c r="A69" s="14">
        <v>68.0</v>
      </c>
      <c r="B69" s="14" t="s">
        <v>230</v>
      </c>
      <c r="C69" s="14" t="s">
        <v>97</v>
      </c>
      <c r="D69" s="14" t="s">
        <v>228</v>
      </c>
      <c r="E69" s="14" t="s">
        <v>99</v>
      </c>
    </row>
    <row r="70">
      <c r="A70" s="14">
        <v>69.0</v>
      </c>
      <c r="B70" s="14" t="s">
        <v>231</v>
      </c>
      <c r="C70" s="14" t="s">
        <v>97</v>
      </c>
      <c r="D70" s="14" t="s">
        <v>124</v>
      </c>
      <c r="E70" s="14" t="s">
        <v>99</v>
      </c>
    </row>
    <row r="71">
      <c r="A71" s="14">
        <v>70.0</v>
      </c>
      <c r="B71" s="14" t="s">
        <v>232</v>
      </c>
      <c r="C71" s="14" t="s">
        <v>97</v>
      </c>
      <c r="D71" s="14" t="s">
        <v>124</v>
      </c>
      <c r="E71" s="14" t="s">
        <v>99</v>
      </c>
    </row>
    <row r="72">
      <c r="A72" s="14">
        <v>71.0</v>
      </c>
      <c r="B72" s="14" t="s">
        <v>234</v>
      </c>
      <c r="C72" s="14" t="s">
        <v>97</v>
      </c>
      <c r="D72" s="14" t="s">
        <v>124</v>
      </c>
      <c r="E72" s="14" t="s">
        <v>99</v>
      </c>
    </row>
    <row r="73">
      <c r="A73" s="14">
        <v>72.0</v>
      </c>
      <c r="B73" s="14" t="s">
        <v>235</v>
      </c>
      <c r="C73" s="14" t="s">
        <v>97</v>
      </c>
      <c r="D73" s="14" t="s">
        <v>139</v>
      </c>
      <c r="E73" s="14" t="s">
        <v>99</v>
      </c>
    </row>
    <row r="74">
      <c r="A74" s="14">
        <v>73.0</v>
      </c>
      <c r="B74" s="14" t="s">
        <v>236</v>
      </c>
      <c r="C74" s="14" t="s">
        <v>97</v>
      </c>
      <c r="D74" s="14" t="s">
        <v>139</v>
      </c>
      <c r="E74" s="14" t="s">
        <v>99</v>
      </c>
    </row>
    <row r="75">
      <c r="A75" s="14">
        <v>74.0</v>
      </c>
      <c r="B75" s="14" t="s">
        <v>238</v>
      </c>
      <c r="C75" s="14" t="s">
        <v>97</v>
      </c>
      <c r="D75" s="14" t="s">
        <v>139</v>
      </c>
      <c r="E75" s="14" t="s">
        <v>99</v>
      </c>
    </row>
    <row r="76">
      <c r="A76" s="14">
        <v>75.0</v>
      </c>
      <c r="B76" s="14" t="s">
        <v>239</v>
      </c>
      <c r="C76" s="14" t="s">
        <v>97</v>
      </c>
      <c r="D76" s="14" t="s">
        <v>240</v>
      </c>
      <c r="E76" s="14" t="s">
        <v>99</v>
      </c>
    </row>
    <row r="77">
      <c r="A77" s="14">
        <v>76.0</v>
      </c>
      <c r="B77" s="14" t="s">
        <v>241</v>
      </c>
      <c r="C77" s="14" t="s">
        <v>97</v>
      </c>
      <c r="D77" s="14" t="s">
        <v>133</v>
      </c>
      <c r="E77" s="14" t="s">
        <v>99</v>
      </c>
    </row>
    <row r="78">
      <c r="A78" s="14">
        <v>77.0</v>
      </c>
      <c r="B78" s="14" t="s">
        <v>242</v>
      </c>
      <c r="C78" s="14" t="s">
        <v>97</v>
      </c>
      <c r="D78" s="14" t="s">
        <v>245</v>
      </c>
      <c r="E78" s="14" t="s">
        <v>99</v>
      </c>
    </row>
    <row r="79">
      <c r="A79" s="14">
        <v>78.0</v>
      </c>
      <c r="B79" s="14" t="s">
        <v>248</v>
      </c>
      <c r="C79" s="14" t="s">
        <v>245</v>
      </c>
      <c r="D79" s="14" t="s">
        <v>245</v>
      </c>
      <c r="E79" s="14" t="s">
        <v>75</v>
      </c>
    </row>
    <row r="80">
      <c r="A80" s="14">
        <v>79.0</v>
      </c>
      <c r="B80" s="14" t="s">
        <v>248</v>
      </c>
      <c r="C80" s="14" t="s">
        <v>135</v>
      </c>
      <c r="D80" s="14" t="s">
        <v>135</v>
      </c>
      <c r="E80" s="14" t="s">
        <v>75</v>
      </c>
    </row>
    <row r="81">
      <c r="A81" s="14">
        <v>80.0</v>
      </c>
      <c r="B81" s="14" t="s">
        <v>251</v>
      </c>
      <c r="C81" s="14" t="s">
        <v>97</v>
      </c>
      <c r="D81" s="14" t="s">
        <v>253</v>
      </c>
      <c r="E81" s="14" t="s">
        <v>99</v>
      </c>
    </row>
    <row r="82">
      <c r="A82" s="14">
        <v>81.0</v>
      </c>
      <c r="B82" s="14" t="s">
        <v>254</v>
      </c>
      <c r="C82" s="14" t="s">
        <v>97</v>
      </c>
      <c r="D82" s="14" t="s">
        <v>255</v>
      </c>
      <c r="E82" s="14" t="s">
        <v>99</v>
      </c>
    </row>
    <row r="83">
      <c r="A83" s="14">
        <v>82.0</v>
      </c>
      <c r="B83" s="14" t="s">
        <v>256</v>
      </c>
      <c r="C83" s="14" t="s">
        <v>97</v>
      </c>
      <c r="D83" s="14" t="s">
        <v>258</v>
      </c>
      <c r="E83" s="14" t="s">
        <v>99</v>
      </c>
    </row>
    <row r="84">
      <c r="A84" s="14">
        <v>83.0</v>
      </c>
      <c r="B84" s="14" t="s">
        <v>259</v>
      </c>
      <c r="C84" s="14" t="s">
        <v>260</v>
      </c>
      <c r="D84" s="14" t="s">
        <v>261</v>
      </c>
      <c r="E84" s="14" t="s">
        <v>75</v>
      </c>
    </row>
    <row r="85">
      <c r="A85" s="14">
        <v>84.0</v>
      </c>
      <c r="B85" s="14" t="s">
        <v>263</v>
      </c>
      <c r="C85" s="14" t="s">
        <v>97</v>
      </c>
      <c r="D85" s="14" t="s">
        <v>264</v>
      </c>
      <c r="E85" s="14" t="s">
        <v>99</v>
      </c>
    </row>
    <row r="86">
      <c r="A86" s="14">
        <v>85.0</v>
      </c>
      <c r="B86" s="14" t="s">
        <v>265</v>
      </c>
      <c r="C86" s="14" t="s">
        <v>97</v>
      </c>
      <c r="D86" s="14" t="s">
        <v>264</v>
      </c>
      <c r="E86" s="14" t="s">
        <v>99</v>
      </c>
    </row>
    <row r="87">
      <c r="A87" s="14">
        <v>86.0</v>
      </c>
      <c r="B87" s="14" t="s">
        <v>266</v>
      </c>
      <c r="C87" s="14" t="s">
        <v>97</v>
      </c>
      <c r="D87" s="14" t="s">
        <v>267</v>
      </c>
      <c r="E87" s="14" t="s">
        <v>99</v>
      </c>
    </row>
    <row r="88">
      <c r="A88" s="14">
        <v>87.0</v>
      </c>
      <c r="B88" s="14" t="s">
        <v>269</v>
      </c>
      <c r="C88" s="14" t="s">
        <v>97</v>
      </c>
      <c r="D88" s="14" t="s">
        <v>270</v>
      </c>
      <c r="E88" s="14" t="s">
        <v>99</v>
      </c>
    </row>
    <row r="89">
      <c r="A89" s="14">
        <v>88.0</v>
      </c>
      <c r="B89" s="14" t="s">
        <v>271</v>
      </c>
      <c r="C89" s="14" t="s">
        <v>97</v>
      </c>
      <c r="D89" s="14" t="s">
        <v>73</v>
      </c>
      <c r="E89" s="14" t="s">
        <v>99</v>
      </c>
    </row>
    <row r="90">
      <c r="A90" s="14">
        <v>89.0</v>
      </c>
      <c r="B90" s="14" t="s">
        <v>272</v>
      </c>
      <c r="C90" s="14" t="s">
        <v>97</v>
      </c>
      <c r="D90" s="14" t="s">
        <v>73</v>
      </c>
      <c r="E90" s="14" t="s">
        <v>99</v>
      </c>
    </row>
    <row r="91">
      <c r="A91" s="14">
        <v>90.0</v>
      </c>
      <c r="B91" s="14" t="s">
        <v>273</v>
      </c>
      <c r="C91" s="14" t="s">
        <v>97</v>
      </c>
      <c r="D91" s="14" t="s">
        <v>73</v>
      </c>
      <c r="E91" s="14" t="s">
        <v>99</v>
      </c>
    </row>
    <row r="92">
      <c r="A92" s="14">
        <v>91.0</v>
      </c>
      <c r="B92" s="14" t="s">
        <v>275</v>
      </c>
      <c r="C92" s="14" t="s">
        <v>97</v>
      </c>
      <c r="D92" s="14" t="s">
        <v>73</v>
      </c>
      <c r="E92" s="14" t="s">
        <v>99</v>
      </c>
    </row>
    <row r="93">
      <c r="A93" s="14">
        <v>92.0</v>
      </c>
      <c r="B93" s="14" t="s">
        <v>276</v>
      </c>
      <c r="C93" s="14" t="s">
        <v>97</v>
      </c>
      <c r="D93" s="14" t="s">
        <v>73</v>
      </c>
      <c r="E93" s="14" t="s">
        <v>99</v>
      </c>
    </row>
    <row r="94">
      <c r="A94" s="14">
        <v>93.0</v>
      </c>
      <c r="B94" s="14" t="s">
        <v>278</v>
      </c>
      <c r="C94" s="14" t="s">
        <v>97</v>
      </c>
      <c r="D94" s="14" t="s">
        <v>73</v>
      </c>
      <c r="E94" s="14" t="s">
        <v>99</v>
      </c>
    </row>
    <row r="95">
      <c r="A95" s="14">
        <v>94.0</v>
      </c>
      <c r="B95" s="14" t="s">
        <v>92</v>
      </c>
      <c r="C95" s="14" t="s">
        <v>279</v>
      </c>
      <c r="D95" s="14" t="s">
        <v>73</v>
      </c>
      <c r="E95" s="14" t="s">
        <v>75</v>
      </c>
    </row>
    <row r="96">
      <c r="A96" s="14">
        <v>95.0</v>
      </c>
      <c r="B96" s="14" t="s">
        <v>92</v>
      </c>
      <c r="C96" s="14" t="s">
        <v>280</v>
      </c>
      <c r="D96" s="14" t="s">
        <v>73</v>
      </c>
      <c r="E96" s="14" t="s">
        <v>75</v>
      </c>
    </row>
    <row r="97">
      <c r="A97" s="14">
        <v>96.0</v>
      </c>
      <c r="B97" s="14" t="s">
        <v>281</v>
      </c>
      <c r="C97" s="14" t="s">
        <v>282</v>
      </c>
      <c r="D97" s="14" t="s">
        <v>33</v>
      </c>
      <c r="E97" s="14" t="s">
        <v>283</v>
      </c>
    </row>
    <row r="98">
      <c r="A98" s="14">
        <v>97.0</v>
      </c>
      <c r="B98" s="14" t="s">
        <v>281</v>
      </c>
      <c r="C98" s="14" t="s">
        <v>284</v>
      </c>
      <c r="D98" s="14" t="s">
        <v>33</v>
      </c>
      <c r="E98" s="14" t="s">
        <v>283</v>
      </c>
    </row>
    <row r="99">
      <c r="A99" s="14">
        <v>98.0</v>
      </c>
      <c r="B99" s="14" t="s">
        <v>281</v>
      </c>
      <c r="C99" s="14" t="s">
        <v>286</v>
      </c>
      <c r="D99" s="14" t="s">
        <v>33</v>
      </c>
      <c r="E99" s="14" t="s">
        <v>283</v>
      </c>
    </row>
    <row r="100">
      <c r="A100" s="14">
        <v>99.0</v>
      </c>
      <c r="B100" s="14" t="s">
        <v>287</v>
      </c>
      <c r="C100" s="14" t="s">
        <v>288</v>
      </c>
      <c r="D100" s="14" t="s">
        <v>289</v>
      </c>
      <c r="E100" s="14" t="s">
        <v>75</v>
      </c>
    </row>
    <row r="101">
      <c r="A101" s="14">
        <v>100.0</v>
      </c>
      <c r="B101" s="14" t="s">
        <v>287</v>
      </c>
      <c r="C101" s="14" t="s">
        <v>291</v>
      </c>
      <c r="D101" s="14" t="s">
        <v>289</v>
      </c>
      <c r="E101" s="14" t="s">
        <v>75</v>
      </c>
    </row>
    <row r="102">
      <c r="A102" s="14">
        <v>101.0</v>
      </c>
      <c r="B102" s="14" t="s">
        <v>287</v>
      </c>
      <c r="C102" s="14" t="s">
        <v>294</v>
      </c>
      <c r="D102" s="14" t="s">
        <v>289</v>
      </c>
      <c r="E102" s="14" t="s">
        <v>75</v>
      </c>
    </row>
    <row r="103">
      <c r="A103" s="14">
        <v>102.0</v>
      </c>
      <c r="B103" s="14" t="s">
        <v>287</v>
      </c>
      <c r="C103" s="14" t="s">
        <v>295</v>
      </c>
      <c r="D103" s="14" t="s">
        <v>289</v>
      </c>
      <c r="E103" s="14" t="s">
        <v>75</v>
      </c>
    </row>
    <row r="104">
      <c r="A104" s="14">
        <v>103.0</v>
      </c>
      <c r="B104" s="14" t="s">
        <v>287</v>
      </c>
      <c r="C104" s="14" t="s">
        <v>297</v>
      </c>
      <c r="D104" s="14" t="s">
        <v>289</v>
      </c>
      <c r="E104" s="14" t="s">
        <v>75</v>
      </c>
    </row>
    <row r="105">
      <c r="A105" s="14">
        <v>104.0</v>
      </c>
      <c r="B105" s="14" t="s">
        <v>287</v>
      </c>
      <c r="C105" s="14" t="s">
        <v>298</v>
      </c>
      <c r="D105" s="14" t="s">
        <v>289</v>
      </c>
      <c r="E105" s="14" t="s">
        <v>75</v>
      </c>
    </row>
    <row r="106">
      <c r="A106" s="14">
        <v>105.0</v>
      </c>
      <c r="B106" s="14" t="s">
        <v>287</v>
      </c>
      <c r="C106" s="14" t="s">
        <v>299</v>
      </c>
      <c r="D106" s="14" t="s">
        <v>289</v>
      </c>
      <c r="E106" s="14" t="s">
        <v>75</v>
      </c>
    </row>
    <row r="107">
      <c r="A107" s="14">
        <v>106.0</v>
      </c>
      <c r="B107" s="14" t="s">
        <v>287</v>
      </c>
      <c r="C107" s="14" t="s">
        <v>301</v>
      </c>
      <c r="D107" s="14" t="s">
        <v>289</v>
      </c>
      <c r="E107" s="14" t="s">
        <v>75</v>
      </c>
    </row>
    <row r="108">
      <c r="A108" s="14">
        <v>107.0</v>
      </c>
      <c r="B108" s="14" t="s">
        <v>302</v>
      </c>
      <c r="C108" s="14" t="s">
        <v>298</v>
      </c>
      <c r="D108" s="14" t="s">
        <v>33</v>
      </c>
      <c r="E108" s="14" t="s">
        <v>75</v>
      </c>
    </row>
    <row r="109">
      <c r="A109" s="14">
        <v>108.0</v>
      </c>
      <c r="B109" s="14" t="s">
        <v>302</v>
      </c>
      <c r="C109" s="14" t="s">
        <v>303</v>
      </c>
      <c r="D109" s="14" t="s">
        <v>33</v>
      </c>
      <c r="E109" s="14" t="s">
        <v>75</v>
      </c>
    </row>
    <row r="110">
      <c r="A110" s="14">
        <v>109.0</v>
      </c>
      <c r="B110" s="14" t="s">
        <v>169</v>
      </c>
      <c r="C110" s="14" t="s">
        <v>305</v>
      </c>
      <c r="D110" s="14" t="s">
        <v>33</v>
      </c>
      <c r="E110" s="14" t="s">
        <v>75</v>
      </c>
    </row>
    <row r="111">
      <c r="A111" s="14">
        <v>110.0</v>
      </c>
      <c r="B111" s="14" t="s">
        <v>169</v>
      </c>
      <c r="C111" s="14" t="s">
        <v>308</v>
      </c>
      <c r="D111" s="14" t="s">
        <v>33</v>
      </c>
      <c r="E111" s="14" t="s">
        <v>75</v>
      </c>
    </row>
    <row r="112">
      <c r="A112" s="14">
        <v>111.0</v>
      </c>
      <c r="B112" s="14" t="s">
        <v>169</v>
      </c>
      <c r="C112" s="14" t="s">
        <v>310</v>
      </c>
      <c r="D112" s="14" t="s">
        <v>33</v>
      </c>
      <c r="E112" s="14" t="s">
        <v>75</v>
      </c>
    </row>
    <row r="113">
      <c r="A113" s="14">
        <v>112.0</v>
      </c>
      <c r="B113" s="14" t="s">
        <v>172</v>
      </c>
      <c r="C113" s="14" t="s">
        <v>312</v>
      </c>
      <c r="D113" s="14" t="s">
        <v>33</v>
      </c>
      <c r="E113" s="14" t="s">
        <v>75</v>
      </c>
    </row>
    <row r="114">
      <c r="A114" s="14">
        <v>113.0</v>
      </c>
      <c r="B114" s="14" t="s">
        <v>174</v>
      </c>
      <c r="C114" s="14" t="s">
        <v>288</v>
      </c>
      <c r="D114" s="14" t="s">
        <v>33</v>
      </c>
      <c r="E114" s="14" t="s">
        <v>75</v>
      </c>
    </row>
    <row r="115">
      <c r="A115" s="14">
        <v>114.0</v>
      </c>
      <c r="B115" s="14" t="s">
        <v>174</v>
      </c>
      <c r="C115" s="14" t="s">
        <v>313</v>
      </c>
      <c r="D115" s="14" t="s">
        <v>33</v>
      </c>
      <c r="E115" s="14" t="s">
        <v>75</v>
      </c>
    </row>
    <row r="116">
      <c r="A116" s="14">
        <v>115.0</v>
      </c>
      <c r="B116" s="14" t="s">
        <v>315</v>
      </c>
      <c r="C116" s="14" t="s">
        <v>316</v>
      </c>
      <c r="D116" s="14" t="s">
        <v>317</v>
      </c>
      <c r="E116" s="14" t="s">
        <v>75</v>
      </c>
    </row>
    <row r="117">
      <c r="A117" s="14">
        <v>116.0</v>
      </c>
      <c r="B117" s="14" t="s">
        <v>318</v>
      </c>
      <c r="C117" s="14" t="s">
        <v>319</v>
      </c>
      <c r="D117" s="14" t="s">
        <v>320</v>
      </c>
      <c r="E117" s="14" t="s">
        <v>75</v>
      </c>
    </row>
    <row r="118">
      <c r="A118" s="14">
        <v>117.0</v>
      </c>
      <c r="B118" s="14" t="s">
        <v>321</v>
      </c>
      <c r="C118" s="14" t="s">
        <v>313</v>
      </c>
      <c r="D118" s="14" t="s">
        <v>33</v>
      </c>
      <c r="E118" s="14" t="s">
        <v>75</v>
      </c>
    </row>
    <row r="119">
      <c r="A119" s="14">
        <v>118.0</v>
      </c>
      <c r="B119" s="14" t="s">
        <v>323</v>
      </c>
      <c r="C119" s="14" t="s">
        <v>324</v>
      </c>
      <c r="D119" s="14" t="s">
        <v>124</v>
      </c>
      <c r="E119" s="14" t="s">
        <v>75</v>
      </c>
    </row>
    <row r="120">
      <c r="A120" s="14">
        <v>119.0</v>
      </c>
      <c r="B120" s="14" t="s">
        <v>323</v>
      </c>
      <c r="C120" s="14" t="s">
        <v>325</v>
      </c>
      <c r="D120" s="14" t="s">
        <v>124</v>
      </c>
      <c r="E120" s="14" t="s">
        <v>75</v>
      </c>
    </row>
    <row r="121">
      <c r="A121" s="14">
        <v>120.0</v>
      </c>
      <c r="B121" s="14" t="s">
        <v>326</v>
      </c>
      <c r="C121" s="14" t="s">
        <v>327</v>
      </c>
      <c r="D121" s="14" t="s">
        <v>73</v>
      </c>
      <c r="E121" s="14" t="s">
        <v>75</v>
      </c>
    </row>
    <row r="122">
      <c r="A122" s="14">
        <v>121.0</v>
      </c>
      <c r="B122" s="14" t="s">
        <v>329</v>
      </c>
      <c r="C122" s="14" t="s">
        <v>330</v>
      </c>
      <c r="D122" s="14" t="s">
        <v>212</v>
      </c>
      <c r="E122" s="14" t="s">
        <v>75</v>
      </c>
    </row>
    <row r="123">
      <c r="A123" s="14">
        <v>122.0</v>
      </c>
      <c r="B123" s="14" t="s">
        <v>331</v>
      </c>
      <c r="C123" s="14" t="s">
        <v>33</v>
      </c>
      <c r="D123" s="14" t="s">
        <v>332</v>
      </c>
      <c r="E123" s="14" t="s">
        <v>75</v>
      </c>
    </row>
    <row r="124">
      <c r="A124" s="14">
        <v>123.0</v>
      </c>
      <c r="B124" s="14" t="s">
        <v>163</v>
      </c>
      <c r="C124" s="14" t="s">
        <v>334</v>
      </c>
      <c r="D124" s="14" t="s">
        <v>167</v>
      </c>
      <c r="E124" s="14" t="s">
        <v>75</v>
      </c>
    </row>
    <row r="125">
      <c r="A125" s="14">
        <v>124.0</v>
      </c>
      <c r="B125" s="14" t="s">
        <v>163</v>
      </c>
      <c r="C125" s="14" t="s">
        <v>335</v>
      </c>
      <c r="D125" s="14" t="s">
        <v>167</v>
      </c>
      <c r="E125" s="14" t="s">
        <v>75</v>
      </c>
    </row>
    <row r="126">
      <c r="A126" s="14">
        <v>125.0</v>
      </c>
      <c r="B126" s="14" t="s">
        <v>163</v>
      </c>
      <c r="C126" s="14" t="s">
        <v>336</v>
      </c>
      <c r="D126" s="14" t="s">
        <v>167</v>
      </c>
      <c r="E126" s="14" t="s">
        <v>75</v>
      </c>
    </row>
    <row r="127">
      <c r="A127" s="14">
        <v>126.0</v>
      </c>
      <c r="B127" s="14" t="s">
        <v>163</v>
      </c>
      <c r="C127" s="14" t="s">
        <v>338</v>
      </c>
      <c r="D127" s="14" t="s">
        <v>167</v>
      </c>
      <c r="E127" s="14" t="s">
        <v>75</v>
      </c>
    </row>
    <row r="128">
      <c r="A128" s="14">
        <v>127.0</v>
      </c>
      <c r="B128" s="14" t="s">
        <v>163</v>
      </c>
      <c r="C128" s="14" t="s">
        <v>339</v>
      </c>
      <c r="D128" s="14" t="s">
        <v>139</v>
      </c>
      <c r="E128" s="14" t="s">
        <v>75</v>
      </c>
    </row>
    <row r="129">
      <c r="A129" s="14">
        <v>128.0</v>
      </c>
      <c r="B129" s="14" t="s">
        <v>163</v>
      </c>
      <c r="C129" s="14" t="s">
        <v>340</v>
      </c>
      <c r="D129" s="14" t="s">
        <v>167</v>
      </c>
      <c r="E129" s="14" t="s">
        <v>75</v>
      </c>
    </row>
    <row r="130">
      <c r="A130" s="14">
        <v>129.0</v>
      </c>
      <c r="B130" s="14" t="s">
        <v>120</v>
      </c>
      <c r="C130" s="14" t="s">
        <v>342</v>
      </c>
      <c r="D130" s="14" t="s">
        <v>122</v>
      </c>
      <c r="E130" s="14" t="s">
        <v>75</v>
      </c>
    </row>
    <row r="131">
      <c r="A131" s="14">
        <v>130.0</v>
      </c>
      <c r="B131" s="14" t="s">
        <v>172</v>
      </c>
      <c r="C131" s="14" t="s">
        <v>343</v>
      </c>
      <c r="D131" s="14" t="s">
        <v>33</v>
      </c>
      <c r="E131" s="14" t="s">
        <v>75</v>
      </c>
    </row>
    <row r="132">
      <c r="A132" s="14">
        <v>131.0</v>
      </c>
      <c r="B132" s="14" t="s">
        <v>344</v>
      </c>
      <c r="C132" s="14" t="s">
        <v>312</v>
      </c>
      <c r="D132" s="14" t="s">
        <v>33</v>
      </c>
      <c r="E132" s="14" t="s">
        <v>75</v>
      </c>
    </row>
    <row r="133">
      <c r="A133" s="14">
        <v>132.0</v>
      </c>
      <c r="B133" s="14" t="s">
        <v>346</v>
      </c>
      <c r="C133" s="14" t="s">
        <v>347</v>
      </c>
      <c r="D133" s="14" t="s">
        <v>33</v>
      </c>
      <c r="E133" s="14" t="s">
        <v>75</v>
      </c>
    </row>
    <row r="134">
      <c r="A134" s="14">
        <v>133.0</v>
      </c>
      <c r="B134" s="14" t="s">
        <v>287</v>
      </c>
      <c r="C134" s="14" t="s">
        <v>349</v>
      </c>
      <c r="D134" s="14" t="s">
        <v>289</v>
      </c>
      <c r="E134" s="14" t="s">
        <v>75</v>
      </c>
    </row>
    <row r="135">
      <c r="A135" s="14">
        <v>134.0</v>
      </c>
      <c r="B135" s="14" t="s">
        <v>287</v>
      </c>
      <c r="C135" s="14" t="s">
        <v>350</v>
      </c>
      <c r="D135" s="14" t="s">
        <v>289</v>
      </c>
      <c r="E135" s="14" t="s">
        <v>75</v>
      </c>
    </row>
    <row r="136">
      <c r="A136" s="14">
        <v>135.0</v>
      </c>
      <c r="B136" s="14" t="s">
        <v>287</v>
      </c>
      <c r="C136" s="14" t="s">
        <v>351</v>
      </c>
      <c r="D136" s="14" t="s">
        <v>289</v>
      </c>
      <c r="E136" s="14" t="s">
        <v>75</v>
      </c>
    </row>
    <row r="137">
      <c r="A137" s="14">
        <v>136.0</v>
      </c>
      <c r="B137" s="14" t="s">
        <v>287</v>
      </c>
      <c r="C137" s="14" t="s">
        <v>353</v>
      </c>
      <c r="D137" s="14" t="s">
        <v>289</v>
      </c>
      <c r="E137" s="14" t="s">
        <v>75</v>
      </c>
    </row>
    <row r="138">
      <c r="A138" s="14">
        <v>137.0</v>
      </c>
      <c r="B138" s="14" t="s">
        <v>354</v>
      </c>
      <c r="C138" s="14" t="s">
        <v>97</v>
      </c>
      <c r="D138" s="14" t="s">
        <v>332</v>
      </c>
      <c r="E138" s="14" t="s">
        <v>99</v>
      </c>
    </row>
    <row r="139">
      <c r="A139" s="14">
        <v>138.0</v>
      </c>
      <c r="B139" s="14" t="s">
        <v>355</v>
      </c>
      <c r="C139" s="14" t="s">
        <v>356</v>
      </c>
      <c r="D139" s="14" t="s">
        <v>73</v>
      </c>
      <c r="E139" s="14" t="s">
        <v>75</v>
      </c>
    </row>
    <row r="140">
      <c r="A140" s="14">
        <v>139.0</v>
      </c>
      <c r="B140" s="14" t="s">
        <v>355</v>
      </c>
      <c r="C140" s="14" t="s">
        <v>358</v>
      </c>
      <c r="D140" s="14" t="s">
        <v>73</v>
      </c>
      <c r="E140" s="14" t="s">
        <v>75</v>
      </c>
    </row>
    <row r="141">
      <c r="A141" s="14">
        <v>140.0</v>
      </c>
      <c r="B141" s="14" t="s">
        <v>355</v>
      </c>
      <c r="C141" s="14" t="s">
        <v>359</v>
      </c>
      <c r="D141" s="14" t="s">
        <v>73</v>
      </c>
      <c r="E141" s="14" t="s">
        <v>75</v>
      </c>
    </row>
    <row r="142">
      <c r="A142" s="14">
        <v>141.0</v>
      </c>
      <c r="B142" s="14" t="s">
        <v>355</v>
      </c>
      <c r="C142" s="14" t="s">
        <v>361</v>
      </c>
      <c r="D142" s="14" t="s">
        <v>73</v>
      </c>
      <c r="E142" s="14" t="s">
        <v>75</v>
      </c>
    </row>
    <row r="143">
      <c r="A143" s="14">
        <v>142.0</v>
      </c>
      <c r="B143" s="14" t="s">
        <v>355</v>
      </c>
      <c r="C143" s="14" t="s">
        <v>363</v>
      </c>
      <c r="D143" s="14" t="s">
        <v>73</v>
      </c>
      <c r="E143" s="14" t="s">
        <v>75</v>
      </c>
    </row>
    <row r="144">
      <c r="A144" s="14">
        <v>143.0</v>
      </c>
      <c r="B144" s="14" t="s">
        <v>355</v>
      </c>
      <c r="C144" s="14" t="s">
        <v>364</v>
      </c>
      <c r="D144" s="14" t="s">
        <v>73</v>
      </c>
      <c r="E144" s="14" t="s">
        <v>75</v>
      </c>
    </row>
    <row r="145">
      <c r="A145" s="14">
        <v>144.0</v>
      </c>
      <c r="B145" s="14" t="s">
        <v>355</v>
      </c>
      <c r="C145" s="14" t="s">
        <v>365</v>
      </c>
      <c r="D145" s="14" t="s">
        <v>73</v>
      </c>
      <c r="E145" s="14" t="s">
        <v>75</v>
      </c>
    </row>
    <row r="146">
      <c r="A146" s="14">
        <v>145.0</v>
      </c>
      <c r="B146" s="14" t="s">
        <v>367</v>
      </c>
      <c r="C146" s="14" t="s">
        <v>368</v>
      </c>
      <c r="D146" s="14" t="s">
        <v>73</v>
      </c>
      <c r="E146" s="14" t="s">
        <v>75</v>
      </c>
    </row>
    <row r="147">
      <c r="A147" s="14">
        <v>146.0</v>
      </c>
      <c r="B147" s="14" t="s">
        <v>367</v>
      </c>
      <c r="C147" s="14" t="s">
        <v>369</v>
      </c>
      <c r="D147" s="14" t="s">
        <v>73</v>
      </c>
      <c r="E147" s="14" t="s">
        <v>75</v>
      </c>
    </row>
    <row r="148">
      <c r="A148" s="14">
        <v>147.0</v>
      </c>
      <c r="B148" s="14" t="s">
        <v>367</v>
      </c>
      <c r="C148" s="14" t="s">
        <v>371</v>
      </c>
      <c r="D148" s="14" t="s">
        <v>73</v>
      </c>
      <c r="E148" s="14" t="s">
        <v>75</v>
      </c>
    </row>
    <row r="149">
      <c r="A149" s="14">
        <v>148.0</v>
      </c>
      <c r="B149" s="14" t="s">
        <v>367</v>
      </c>
      <c r="C149" s="14" t="s">
        <v>372</v>
      </c>
      <c r="D149" s="14" t="s">
        <v>73</v>
      </c>
      <c r="E149" s="14" t="s">
        <v>75</v>
      </c>
    </row>
    <row r="150">
      <c r="A150" s="14">
        <v>149.0</v>
      </c>
      <c r="B150" s="14" t="s">
        <v>367</v>
      </c>
      <c r="C150" s="14" t="s">
        <v>373</v>
      </c>
      <c r="D150" s="14" t="s">
        <v>73</v>
      </c>
      <c r="E150" s="14" t="s">
        <v>75</v>
      </c>
    </row>
    <row r="151">
      <c r="A151" s="14">
        <v>150.0</v>
      </c>
      <c r="B151" s="14" t="s">
        <v>375</v>
      </c>
      <c r="C151" s="14" t="s">
        <v>376</v>
      </c>
      <c r="D151" s="14" t="s">
        <v>73</v>
      </c>
      <c r="E151" s="14" t="s">
        <v>75</v>
      </c>
    </row>
    <row r="152">
      <c r="A152" s="14">
        <v>151.0</v>
      </c>
      <c r="B152" s="14" t="s">
        <v>375</v>
      </c>
      <c r="C152" s="14" t="s">
        <v>377</v>
      </c>
      <c r="D152" s="14" t="s">
        <v>73</v>
      </c>
      <c r="E152" s="14" t="s">
        <v>75</v>
      </c>
    </row>
    <row r="153">
      <c r="A153" s="14">
        <v>152.0</v>
      </c>
      <c r="B153" s="14" t="s">
        <v>375</v>
      </c>
      <c r="C153" s="14" t="s">
        <v>379</v>
      </c>
      <c r="D153" s="14" t="s">
        <v>73</v>
      </c>
      <c r="E153" s="14" t="s">
        <v>75</v>
      </c>
    </row>
    <row r="154">
      <c r="A154" s="14">
        <v>153.0</v>
      </c>
      <c r="B154" s="14" t="s">
        <v>375</v>
      </c>
      <c r="C154" s="14" t="s">
        <v>380</v>
      </c>
      <c r="D154" s="14" t="s">
        <v>73</v>
      </c>
      <c r="E154" s="14" t="s">
        <v>75</v>
      </c>
    </row>
    <row r="155">
      <c r="A155" s="14">
        <v>154.0</v>
      </c>
      <c r="B155" s="14" t="s">
        <v>375</v>
      </c>
      <c r="C155" s="14" t="s">
        <v>381</v>
      </c>
      <c r="D155" s="14" t="s">
        <v>73</v>
      </c>
      <c r="E155" s="14" t="s">
        <v>75</v>
      </c>
    </row>
    <row r="156">
      <c r="A156" s="14">
        <v>155.0</v>
      </c>
      <c r="B156" s="14" t="s">
        <v>375</v>
      </c>
      <c r="C156" s="14" t="s">
        <v>383</v>
      </c>
      <c r="D156" s="14" t="s">
        <v>73</v>
      </c>
      <c r="E156" s="14" t="s">
        <v>75</v>
      </c>
    </row>
    <row r="157">
      <c r="A157" s="14">
        <v>156.0</v>
      </c>
      <c r="B157" s="14" t="s">
        <v>375</v>
      </c>
      <c r="C157" s="14" t="s">
        <v>384</v>
      </c>
      <c r="D157" s="14" t="s">
        <v>73</v>
      </c>
      <c r="E157" s="14" t="s">
        <v>75</v>
      </c>
    </row>
    <row r="158">
      <c r="A158" s="14">
        <v>157.0</v>
      </c>
      <c r="B158" s="14" t="s">
        <v>375</v>
      </c>
      <c r="C158" s="14" t="s">
        <v>386</v>
      </c>
      <c r="D158" s="14" t="s">
        <v>73</v>
      </c>
      <c r="E158" s="14" t="s">
        <v>75</v>
      </c>
    </row>
    <row r="159">
      <c r="A159" s="14">
        <v>158.0</v>
      </c>
      <c r="B159" s="14" t="s">
        <v>375</v>
      </c>
      <c r="C159" s="14" t="s">
        <v>388</v>
      </c>
      <c r="D159" s="14" t="s">
        <v>73</v>
      </c>
      <c r="E159" s="14" t="s">
        <v>75</v>
      </c>
    </row>
    <row r="160">
      <c r="A160" s="14">
        <v>159.0</v>
      </c>
      <c r="B160" s="14" t="s">
        <v>389</v>
      </c>
      <c r="C160" s="14" t="s">
        <v>390</v>
      </c>
      <c r="D160" s="14" t="s">
        <v>392</v>
      </c>
      <c r="E160" s="14" t="s">
        <v>75</v>
      </c>
    </row>
    <row r="161">
      <c r="A161" s="14">
        <v>160.0</v>
      </c>
      <c r="B161" s="14" t="s">
        <v>389</v>
      </c>
      <c r="C161" s="14" t="s">
        <v>396</v>
      </c>
      <c r="D161" s="14" t="s">
        <v>392</v>
      </c>
      <c r="E161" s="14" t="s">
        <v>75</v>
      </c>
    </row>
    <row r="162">
      <c r="A162" s="14">
        <v>161.0</v>
      </c>
      <c r="B162" s="14" t="s">
        <v>389</v>
      </c>
      <c r="C162" s="14" t="s">
        <v>397</v>
      </c>
      <c r="D162" s="14" t="s">
        <v>392</v>
      </c>
      <c r="E162" s="14" t="s">
        <v>75</v>
      </c>
    </row>
    <row r="163">
      <c r="A163" s="14">
        <v>162.0</v>
      </c>
      <c r="B163" s="14" t="s">
        <v>389</v>
      </c>
      <c r="C163" s="14" t="s">
        <v>399</v>
      </c>
      <c r="D163" s="14" t="s">
        <v>392</v>
      </c>
      <c r="E163" s="14" t="s">
        <v>75</v>
      </c>
    </row>
    <row r="164">
      <c r="A164" s="14">
        <v>163.0</v>
      </c>
      <c r="B164" s="14" t="s">
        <v>389</v>
      </c>
      <c r="C164" s="14" t="s">
        <v>400</v>
      </c>
      <c r="D164" s="14" t="s">
        <v>392</v>
      </c>
      <c r="E164" s="14" t="s">
        <v>75</v>
      </c>
    </row>
    <row r="165">
      <c r="A165" s="14">
        <v>164.0</v>
      </c>
      <c r="B165" s="14" t="s">
        <v>389</v>
      </c>
      <c r="C165" s="14" t="s">
        <v>402</v>
      </c>
      <c r="D165" s="14" t="s">
        <v>392</v>
      </c>
      <c r="E165" s="14" t="s">
        <v>75</v>
      </c>
    </row>
    <row r="166">
      <c r="A166" s="14">
        <v>165.0</v>
      </c>
      <c r="B166" s="14" t="s">
        <v>389</v>
      </c>
      <c r="C166" s="14" t="s">
        <v>403</v>
      </c>
      <c r="D166" s="14" t="s">
        <v>392</v>
      </c>
      <c r="E166" s="14" t="s">
        <v>75</v>
      </c>
    </row>
    <row r="167">
      <c r="A167" s="14">
        <v>166.0</v>
      </c>
      <c r="B167" s="14" t="s">
        <v>405</v>
      </c>
      <c r="C167" s="14" t="s">
        <v>406</v>
      </c>
      <c r="D167" s="14" t="s">
        <v>407</v>
      </c>
      <c r="E167" s="14" t="s">
        <v>75</v>
      </c>
    </row>
    <row r="168">
      <c r="A168" s="14">
        <v>167.0</v>
      </c>
      <c r="B168" s="14" t="s">
        <v>408</v>
      </c>
      <c r="C168" s="14" t="s">
        <v>409</v>
      </c>
      <c r="D168" s="14" t="s">
        <v>198</v>
      </c>
      <c r="E168" s="14" t="s">
        <v>75</v>
      </c>
    </row>
    <row r="169">
      <c r="A169" s="14">
        <v>168.0</v>
      </c>
      <c r="B169" s="14" t="s">
        <v>410</v>
      </c>
      <c r="C169" s="14" t="s">
        <v>411</v>
      </c>
      <c r="D169" s="14" t="s">
        <v>412</v>
      </c>
      <c r="E169" s="14" t="s">
        <v>75</v>
      </c>
    </row>
    <row r="170">
      <c r="A170" s="14">
        <v>169.0</v>
      </c>
      <c r="B170" s="14" t="s">
        <v>414</v>
      </c>
      <c r="C170" s="14" t="s">
        <v>415</v>
      </c>
      <c r="D170" s="14" t="s">
        <v>332</v>
      </c>
      <c r="E170" s="14" t="s">
        <v>75</v>
      </c>
    </row>
    <row r="171">
      <c r="A171" s="14">
        <v>170.0</v>
      </c>
      <c r="B171" s="14" t="s">
        <v>414</v>
      </c>
      <c r="C171" s="14" t="s">
        <v>416</v>
      </c>
      <c r="D171" s="14" t="s">
        <v>332</v>
      </c>
      <c r="E171" s="14" t="s">
        <v>75</v>
      </c>
    </row>
    <row r="172">
      <c r="A172" s="14">
        <v>171.0</v>
      </c>
      <c r="B172" s="14" t="s">
        <v>414</v>
      </c>
      <c r="C172" s="14" t="s">
        <v>417</v>
      </c>
      <c r="D172" s="14" t="s">
        <v>332</v>
      </c>
      <c r="E172" s="14" t="s">
        <v>75</v>
      </c>
    </row>
    <row r="173">
      <c r="A173" s="14">
        <v>172.0</v>
      </c>
      <c r="B173" s="14" t="s">
        <v>419</v>
      </c>
      <c r="C173" s="14" t="s">
        <v>420</v>
      </c>
      <c r="D173" s="14" t="s">
        <v>332</v>
      </c>
      <c r="E173" s="14" t="s">
        <v>75</v>
      </c>
    </row>
    <row r="174">
      <c r="A174" s="14">
        <v>173.0</v>
      </c>
      <c r="B174" s="14" t="s">
        <v>414</v>
      </c>
      <c r="C174" s="14" t="s">
        <v>421</v>
      </c>
      <c r="D174" s="14" t="s">
        <v>332</v>
      </c>
      <c r="E174" s="14" t="s">
        <v>75</v>
      </c>
    </row>
    <row r="175">
      <c r="A175" s="14">
        <v>174.0</v>
      </c>
      <c r="B175" s="14" t="s">
        <v>414</v>
      </c>
      <c r="C175" s="14" t="s">
        <v>422</v>
      </c>
      <c r="D175" s="14" t="s">
        <v>332</v>
      </c>
      <c r="E175" s="14" t="s">
        <v>75</v>
      </c>
    </row>
    <row r="176">
      <c r="A176" s="14">
        <v>175.0</v>
      </c>
      <c r="B176" s="14" t="s">
        <v>414</v>
      </c>
      <c r="C176" s="14" t="s">
        <v>424</v>
      </c>
      <c r="D176" s="14" t="s">
        <v>332</v>
      </c>
      <c r="E176" s="14" t="s">
        <v>75</v>
      </c>
    </row>
    <row r="177">
      <c r="A177" s="14">
        <v>176.0</v>
      </c>
      <c r="B177" s="14" t="s">
        <v>414</v>
      </c>
      <c r="C177" s="14" t="s">
        <v>425</v>
      </c>
      <c r="D177" s="14" t="s">
        <v>332</v>
      </c>
      <c r="E177" s="14" t="s">
        <v>75</v>
      </c>
    </row>
    <row r="178">
      <c r="A178" s="14">
        <v>177.0</v>
      </c>
      <c r="B178" s="14" t="s">
        <v>89</v>
      </c>
      <c r="C178" s="14" t="s">
        <v>426</v>
      </c>
      <c r="D178" s="14" t="s">
        <v>73</v>
      </c>
      <c r="E178" s="14" t="s">
        <v>75</v>
      </c>
    </row>
    <row r="179">
      <c r="A179" s="14">
        <v>178.0</v>
      </c>
      <c r="B179" s="14" t="s">
        <v>89</v>
      </c>
      <c r="C179" s="14" t="s">
        <v>428</v>
      </c>
      <c r="D179" s="14" t="s">
        <v>73</v>
      </c>
      <c r="E179" s="14" t="s">
        <v>75</v>
      </c>
    </row>
    <row r="180">
      <c r="A180" s="14">
        <v>179.0</v>
      </c>
      <c r="B180" s="14" t="s">
        <v>59</v>
      </c>
      <c r="C180" s="14" t="s">
        <v>429</v>
      </c>
      <c r="D180" s="14" t="s">
        <v>430</v>
      </c>
      <c r="E180" s="14" t="s">
        <v>75</v>
      </c>
    </row>
    <row r="181">
      <c r="A181" s="14">
        <v>180.0</v>
      </c>
      <c r="B181" s="14" t="s">
        <v>326</v>
      </c>
      <c r="C181" s="14" t="s">
        <v>97</v>
      </c>
      <c r="D181" s="14" t="s">
        <v>431</v>
      </c>
      <c r="E181" s="14" t="s">
        <v>75</v>
      </c>
    </row>
    <row r="182">
      <c r="A182" s="14">
        <v>181.0</v>
      </c>
      <c r="B182" s="14" t="s">
        <v>432</v>
      </c>
      <c r="C182" s="14" t="s">
        <v>433</v>
      </c>
      <c r="D182" s="14" t="s">
        <v>434</v>
      </c>
      <c r="E182" s="14" t="s">
        <v>75</v>
      </c>
    </row>
    <row r="183">
      <c r="A183" s="14">
        <v>182.0</v>
      </c>
      <c r="B183" s="14" t="s">
        <v>59</v>
      </c>
      <c r="C183" s="14" t="s">
        <v>435</v>
      </c>
      <c r="D183" s="14" t="s">
        <v>436</v>
      </c>
      <c r="E183" s="14" t="s">
        <v>75</v>
      </c>
    </row>
    <row r="184">
      <c r="A184" s="14">
        <v>183.0</v>
      </c>
      <c r="B184" s="14" t="s">
        <v>437</v>
      </c>
      <c r="C184" s="14" t="s">
        <v>247</v>
      </c>
      <c r="D184" s="14" t="s">
        <v>73</v>
      </c>
      <c r="E184" s="14" t="s">
        <v>75</v>
      </c>
    </row>
    <row r="185">
      <c r="A185" s="14">
        <v>184.0</v>
      </c>
      <c r="B185" s="14" t="s">
        <v>59</v>
      </c>
      <c r="C185" s="14" t="s">
        <v>438</v>
      </c>
      <c r="D185" s="14" t="s">
        <v>261</v>
      </c>
      <c r="E185" s="14" t="s">
        <v>75</v>
      </c>
    </row>
    <row r="186">
      <c r="A186" s="14">
        <v>185.0</v>
      </c>
      <c r="B186" s="14" t="s">
        <v>439</v>
      </c>
      <c r="C186" s="14" t="s">
        <v>440</v>
      </c>
      <c r="D186" s="14" t="s">
        <v>442</v>
      </c>
      <c r="E186" s="14" t="s">
        <v>75</v>
      </c>
    </row>
    <row r="187">
      <c r="A187" s="14">
        <v>186.0</v>
      </c>
      <c r="B187" s="14" t="s">
        <v>439</v>
      </c>
      <c r="C187" s="14" t="s">
        <v>443</v>
      </c>
      <c r="D187" s="14" t="s">
        <v>228</v>
      </c>
      <c r="E187" s="14" t="s">
        <v>75</v>
      </c>
    </row>
    <row r="188">
      <c r="A188" s="14">
        <v>187.0</v>
      </c>
      <c r="B188" s="14" t="s">
        <v>120</v>
      </c>
      <c r="C188" s="14" t="s">
        <v>444</v>
      </c>
      <c r="D188" s="14" t="s">
        <v>139</v>
      </c>
      <c r="E188" s="14" t="s">
        <v>75</v>
      </c>
    </row>
    <row r="189">
      <c r="A189" s="14">
        <v>188.0</v>
      </c>
      <c r="B189" s="14" t="s">
        <v>445</v>
      </c>
      <c r="C189" s="14" t="s">
        <v>446</v>
      </c>
      <c r="D189" s="14" t="s">
        <v>122</v>
      </c>
      <c r="E189" s="14" t="s">
        <v>75</v>
      </c>
    </row>
    <row r="190">
      <c r="A190" s="14">
        <v>189.0</v>
      </c>
      <c r="B190" s="14" t="s">
        <v>315</v>
      </c>
      <c r="C190" s="14" t="s">
        <v>97</v>
      </c>
      <c r="D190" s="14" t="s">
        <v>448</v>
      </c>
      <c r="E190" s="14" t="s">
        <v>99</v>
      </c>
    </row>
    <row r="191">
      <c r="A191" s="14">
        <v>190.0</v>
      </c>
      <c r="B191" s="14" t="s">
        <v>174</v>
      </c>
      <c r="C191" s="14" t="s">
        <v>449</v>
      </c>
      <c r="D191" s="14" t="s">
        <v>33</v>
      </c>
      <c r="E191" s="14" t="s">
        <v>75</v>
      </c>
    </row>
    <row r="192">
      <c r="A192" s="14">
        <v>191.0</v>
      </c>
      <c r="B192" s="14" t="s">
        <v>450</v>
      </c>
      <c r="C192" s="14" t="s">
        <v>451</v>
      </c>
      <c r="D192" s="14" t="s">
        <v>167</v>
      </c>
      <c r="E192" s="14" t="s">
        <v>75</v>
      </c>
    </row>
    <row r="193">
      <c r="A193" s="14">
        <v>192.0</v>
      </c>
      <c r="B193" s="14" t="s">
        <v>453</v>
      </c>
      <c r="C193" s="14" t="s">
        <v>454</v>
      </c>
      <c r="D193" s="14" t="s">
        <v>214</v>
      </c>
      <c r="E193" s="14" t="s">
        <v>75</v>
      </c>
    </row>
    <row r="194">
      <c r="A194" s="14">
        <v>193.0</v>
      </c>
      <c r="B194" s="14" t="s">
        <v>455</v>
      </c>
      <c r="C194" s="14" t="s">
        <v>97</v>
      </c>
      <c r="D194" s="14" t="s">
        <v>332</v>
      </c>
      <c r="E194" s="14" t="s">
        <v>75</v>
      </c>
    </row>
    <row r="195">
      <c r="A195" s="14">
        <v>194.0</v>
      </c>
      <c r="B195" s="14" t="s">
        <v>259</v>
      </c>
      <c r="C195" s="14" t="s">
        <v>97</v>
      </c>
      <c r="D195" s="14" t="s">
        <v>261</v>
      </c>
      <c r="E195" s="14" t="s">
        <v>99</v>
      </c>
    </row>
    <row r="196">
      <c r="A196" s="14">
        <v>195.0</v>
      </c>
      <c r="B196" s="14" t="s">
        <v>458</v>
      </c>
      <c r="C196" s="14" t="s">
        <v>97</v>
      </c>
      <c r="D196" s="14" t="s">
        <v>73</v>
      </c>
      <c r="E196" s="14" t="s">
        <v>99</v>
      </c>
    </row>
    <row r="197">
      <c r="A197" s="14">
        <v>196.0</v>
      </c>
      <c r="B197" s="14" t="s">
        <v>459</v>
      </c>
      <c r="C197" s="14" t="s">
        <v>460</v>
      </c>
      <c r="D197" s="14" t="s">
        <v>461</v>
      </c>
      <c r="E197" s="14" t="s">
        <v>99</v>
      </c>
    </row>
    <row r="198">
      <c r="A198" s="14">
        <v>197.0</v>
      </c>
      <c r="B198" s="14" t="s">
        <v>462</v>
      </c>
      <c r="C198" s="14" t="s">
        <v>97</v>
      </c>
      <c r="D198" s="14" t="s">
        <v>73</v>
      </c>
      <c r="E198" s="14" t="s">
        <v>99</v>
      </c>
    </row>
    <row r="199">
      <c r="A199" s="14">
        <v>198.0</v>
      </c>
      <c r="B199" s="14" t="s">
        <v>464</v>
      </c>
      <c r="C199" s="14" t="s">
        <v>97</v>
      </c>
      <c r="D199" s="14" t="s">
        <v>73</v>
      </c>
      <c r="E199" s="14" t="s">
        <v>99</v>
      </c>
    </row>
    <row r="200">
      <c r="A200" s="14">
        <v>199.0</v>
      </c>
      <c r="B200" s="14" t="s">
        <v>465</v>
      </c>
      <c r="C200" s="14" t="s">
        <v>97</v>
      </c>
      <c r="D200" s="14" t="s">
        <v>289</v>
      </c>
      <c r="E200" s="14" t="s">
        <v>99</v>
      </c>
    </row>
    <row r="201">
      <c r="A201" s="14">
        <v>200.0</v>
      </c>
      <c r="B201" s="14" t="s">
        <v>466</v>
      </c>
      <c r="C201" s="14" t="s">
        <v>97</v>
      </c>
      <c r="D201" s="14" t="s">
        <v>73</v>
      </c>
      <c r="E201" s="14" t="s">
        <v>99</v>
      </c>
    </row>
    <row r="202">
      <c r="A202" s="14">
        <v>201.0</v>
      </c>
      <c r="B202" s="14" t="s">
        <v>468</v>
      </c>
      <c r="C202" s="14" t="s">
        <v>97</v>
      </c>
      <c r="D202" s="14" t="s">
        <v>73</v>
      </c>
      <c r="E202" s="14" t="s">
        <v>99</v>
      </c>
    </row>
    <row r="203">
      <c r="A203" s="14">
        <v>202.0</v>
      </c>
      <c r="B203" s="14" t="s">
        <v>469</v>
      </c>
      <c r="C203" s="14" t="s">
        <v>97</v>
      </c>
      <c r="D203" s="14" t="s">
        <v>139</v>
      </c>
      <c r="E203" s="14" t="s">
        <v>99</v>
      </c>
    </row>
    <row r="204">
      <c r="A204" s="14">
        <v>203.0</v>
      </c>
      <c r="B204" s="14" t="s">
        <v>471</v>
      </c>
      <c r="C204" s="14" t="s">
        <v>97</v>
      </c>
      <c r="D204" s="14" t="s">
        <v>206</v>
      </c>
      <c r="E204" s="14" t="s">
        <v>99</v>
      </c>
    </row>
    <row r="205">
      <c r="A205" s="14">
        <v>204.0</v>
      </c>
      <c r="B205" s="14" t="s">
        <v>472</v>
      </c>
      <c r="C205" s="14" t="s">
        <v>97</v>
      </c>
      <c r="D205" s="14" t="s">
        <v>289</v>
      </c>
      <c r="E205" s="14" t="s">
        <v>99</v>
      </c>
    </row>
    <row r="206">
      <c r="A206" s="14">
        <v>205.0</v>
      </c>
      <c r="B206" s="14" t="s">
        <v>474</v>
      </c>
      <c r="C206" s="14" t="s">
        <v>97</v>
      </c>
      <c r="D206" s="14" t="s">
        <v>320</v>
      </c>
      <c r="E206" s="14" t="s">
        <v>99</v>
      </c>
    </row>
    <row r="207">
      <c r="A207" s="14">
        <v>206.0</v>
      </c>
      <c r="B207" s="14" t="s">
        <v>475</v>
      </c>
      <c r="C207" s="14" t="s">
        <v>97</v>
      </c>
      <c r="D207" s="14" t="s">
        <v>270</v>
      </c>
      <c r="E207" s="14" t="s">
        <v>99</v>
      </c>
    </row>
    <row r="208">
      <c r="A208" s="14">
        <v>207.0</v>
      </c>
      <c r="B208" s="14" t="s">
        <v>476</v>
      </c>
      <c r="C208" s="14" t="s">
        <v>97</v>
      </c>
      <c r="D208" s="14" t="s">
        <v>73</v>
      </c>
      <c r="E208" s="14" t="s">
        <v>99</v>
      </c>
    </row>
    <row r="209">
      <c r="A209" s="14">
        <v>208.0</v>
      </c>
      <c r="B209" s="14" t="s">
        <v>478</v>
      </c>
      <c r="C209" s="14" t="s">
        <v>479</v>
      </c>
      <c r="D209" s="14" t="s">
        <v>145</v>
      </c>
      <c r="E209" s="14" t="s">
        <v>75</v>
      </c>
    </row>
    <row r="210">
      <c r="A210" s="14">
        <v>209.0</v>
      </c>
      <c r="B210" s="14" t="s">
        <v>481</v>
      </c>
      <c r="C210" s="14" t="s">
        <v>482</v>
      </c>
      <c r="D210" s="14" t="s">
        <v>145</v>
      </c>
      <c r="E210" s="14" t="s">
        <v>75</v>
      </c>
    </row>
    <row r="211">
      <c r="A211" s="14">
        <v>210.0</v>
      </c>
      <c r="B211" s="14" t="s">
        <v>483</v>
      </c>
      <c r="C211" s="14" t="s">
        <v>97</v>
      </c>
      <c r="D211" s="14" t="s">
        <v>485</v>
      </c>
      <c r="E211" s="14" t="s">
        <v>99</v>
      </c>
    </row>
    <row r="212">
      <c r="A212" s="14">
        <v>211.0</v>
      </c>
      <c r="B212" s="14" t="s">
        <v>487</v>
      </c>
      <c r="C212" s="14" t="s">
        <v>97</v>
      </c>
      <c r="D212" s="14" t="s">
        <v>212</v>
      </c>
      <c r="E212" s="14" t="s">
        <v>99</v>
      </c>
    </row>
    <row r="213">
      <c r="A213" s="14">
        <v>212.0</v>
      </c>
      <c r="B213" s="14" t="s">
        <v>478</v>
      </c>
      <c r="C213" s="14" t="s">
        <v>97</v>
      </c>
      <c r="D213" s="14" t="s">
        <v>258</v>
      </c>
      <c r="E213" s="14" t="s">
        <v>99</v>
      </c>
    </row>
    <row r="214">
      <c r="A214" s="14">
        <v>213.0</v>
      </c>
      <c r="B214" s="14" t="s">
        <v>488</v>
      </c>
      <c r="C214" s="14" t="s">
        <v>97</v>
      </c>
      <c r="D214" s="14" t="s">
        <v>245</v>
      </c>
      <c r="E214" s="14" t="s">
        <v>99</v>
      </c>
    </row>
    <row r="215">
      <c r="A215" s="14">
        <v>214.0</v>
      </c>
      <c r="B215" s="14" t="s">
        <v>490</v>
      </c>
      <c r="C215" s="14" t="s">
        <v>97</v>
      </c>
      <c r="D215" s="14" t="s">
        <v>145</v>
      </c>
      <c r="E215" s="14" t="s">
        <v>99</v>
      </c>
    </row>
    <row r="216">
      <c r="A216" s="14">
        <v>215.0</v>
      </c>
      <c r="B216" s="14" t="s">
        <v>492</v>
      </c>
      <c r="C216" s="14" t="s">
        <v>97</v>
      </c>
      <c r="D216" s="14" t="s">
        <v>493</v>
      </c>
      <c r="E216" s="14" t="s">
        <v>99</v>
      </c>
    </row>
    <row r="217">
      <c r="A217" s="14">
        <v>216.0</v>
      </c>
      <c r="B217" s="14" t="s">
        <v>163</v>
      </c>
      <c r="C217" s="14" t="s">
        <v>494</v>
      </c>
      <c r="D217" s="14" t="s">
        <v>245</v>
      </c>
      <c r="E217" s="14" t="s">
        <v>75</v>
      </c>
    </row>
    <row r="218">
      <c r="A218" s="14">
        <v>217.0</v>
      </c>
      <c r="B218" s="14" t="s">
        <v>496</v>
      </c>
      <c r="C218" s="14" t="s">
        <v>97</v>
      </c>
      <c r="D218" s="14" t="s">
        <v>245</v>
      </c>
      <c r="E218" s="14" t="s">
        <v>99</v>
      </c>
    </row>
    <row r="219">
      <c r="A219" s="14">
        <v>218.0</v>
      </c>
      <c r="B219" s="14" t="s">
        <v>323</v>
      </c>
      <c r="C219" s="14" t="s">
        <v>497</v>
      </c>
      <c r="D219" s="14" t="s">
        <v>142</v>
      </c>
      <c r="E219" s="14" t="s">
        <v>75</v>
      </c>
    </row>
    <row r="220">
      <c r="A220" s="14">
        <v>219.0</v>
      </c>
      <c r="B220" s="14" t="s">
        <v>323</v>
      </c>
      <c r="C220" s="14" t="s">
        <v>97</v>
      </c>
      <c r="D220" s="14" t="s">
        <v>33</v>
      </c>
      <c r="E220" s="14" t="s">
        <v>99</v>
      </c>
    </row>
    <row r="221">
      <c r="A221" s="14">
        <v>220.0</v>
      </c>
      <c r="B221" s="14" t="s">
        <v>499</v>
      </c>
      <c r="C221" s="14" t="s">
        <v>97</v>
      </c>
      <c r="D221" s="14" t="s">
        <v>261</v>
      </c>
      <c r="E221" s="14" t="s">
        <v>99</v>
      </c>
    </row>
    <row r="222">
      <c r="A222" s="14">
        <v>221.0</v>
      </c>
      <c r="B222" s="14" t="s">
        <v>500</v>
      </c>
      <c r="C222" s="14" t="s">
        <v>501</v>
      </c>
      <c r="D222" s="14" t="s">
        <v>502</v>
      </c>
      <c r="E222" s="14" t="s">
        <v>75</v>
      </c>
    </row>
    <row r="223">
      <c r="A223" s="14">
        <v>222.0</v>
      </c>
      <c r="B223" s="14" t="s">
        <v>503</v>
      </c>
      <c r="C223" s="14" t="s">
        <v>97</v>
      </c>
      <c r="D223" s="14" t="s">
        <v>73</v>
      </c>
      <c r="E223" s="14" t="s">
        <v>99</v>
      </c>
    </row>
    <row r="224">
      <c r="A224" s="14">
        <v>223.0</v>
      </c>
      <c r="B224" s="14" t="s">
        <v>505</v>
      </c>
      <c r="C224" s="14" t="s">
        <v>97</v>
      </c>
      <c r="D224" s="14" t="s">
        <v>461</v>
      </c>
      <c r="E224" s="14" t="s">
        <v>99</v>
      </c>
    </row>
    <row r="225">
      <c r="A225" s="14">
        <v>224.0</v>
      </c>
      <c r="B225" s="14" t="s">
        <v>506</v>
      </c>
      <c r="C225" s="14" t="s">
        <v>97</v>
      </c>
      <c r="D225" s="14" t="s">
        <v>73</v>
      </c>
      <c r="E225" s="14" t="s">
        <v>99</v>
      </c>
    </row>
    <row r="226">
      <c r="A226" s="14">
        <v>225.0</v>
      </c>
      <c r="B226" s="14" t="s">
        <v>507</v>
      </c>
      <c r="C226" s="14" t="s">
        <v>97</v>
      </c>
      <c r="D226" s="14" t="s">
        <v>145</v>
      </c>
      <c r="E226" s="14" t="s">
        <v>99</v>
      </c>
    </row>
    <row r="227">
      <c r="A227" s="14">
        <v>226.0</v>
      </c>
      <c r="B227" s="14" t="s">
        <v>509</v>
      </c>
      <c r="C227" s="14" t="s">
        <v>97</v>
      </c>
      <c r="D227" s="14" t="s">
        <v>145</v>
      </c>
      <c r="E227" s="14" t="s">
        <v>99</v>
      </c>
    </row>
    <row r="228">
      <c r="A228" s="14">
        <v>227.0</v>
      </c>
      <c r="B228" s="14" t="s">
        <v>510</v>
      </c>
      <c r="C228" s="14" t="s">
        <v>511</v>
      </c>
      <c r="D228" s="14" t="s">
        <v>167</v>
      </c>
      <c r="E228" s="14" t="s">
        <v>75</v>
      </c>
    </row>
    <row r="229">
      <c r="A229" s="14">
        <v>228.0</v>
      </c>
      <c r="B229" s="14" t="s">
        <v>512</v>
      </c>
      <c r="C229" s="14" t="s">
        <v>97</v>
      </c>
      <c r="D229" s="14" t="s">
        <v>73</v>
      </c>
      <c r="E229" s="14" t="s">
        <v>99</v>
      </c>
    </row>
    <row r="230">
      <c r="A230" s="14">
        <v>229.0</v>
      </c>
      <c r="B230" s="14" t="s">
        <v>513</v>
      </c>
      <c r="C230" s="14" t="s">
        <v>97</v>
      </c>
      <c r="D230" s="14" t="s">
        <v>461</v>
      </c>
      <c r="E230" s="14" t="s">
        <v>99</v>
      </c>
    </row>
    <row r="231">
      <c r="A231" s="14">
        <v>230.0</v>
      </c>
      <c r="B231" s="14" t="s">
        <v>515</v>
      </c>
      <c r="C231" s="14" t="s">
        <v>97</v>
      </c>
      <c r="D231" s="14" t="s">
        <v>214</v>
      </c>
      <c r="E231" s="14" t="s">
        <v>99</v>
      </c>
    </row>
    <row r="232">
      <c r="A232" s="14">
        <v>231.0</v>
      </c>
      <c r="B232" s="14" t="s">
        <v>516</v>
      </c>
      <c r="C232" s="14" t="s">
        <v>97</v>
      </c>
      <c r="D232" s="14" t="s">
        <v>430</v>
      </c>
      <c r="E232" s="14" t="s">
        <v>99</v>
      </c>
    </row>
    <row r="233">
      <c r="A233" s="14">
        <v>232.0</v>
      </c>
      <c r="B233" s="14" t="s">
        <v>518</v>
      </c>
      <c r="C233" s="14" t="s">
        <v>97</v>
      </c>
      <c r="D233" s="14" t="s">
        <v>320</v>
      </c>
      <c r="E233" s="14" t="s">
        <v>99</v>
      </c>
    </row>
    <row r="234">
      <c r="A234" s="14">
        <v>233.0</v>
      </c>
      <c r="B234" s="14" t="s">
        <v>519</v>
      </c>
      <c r="C234" s="14" t="s">
        <v>97</v>
      </c>
      <c r="D234" s="14" t="s">
        <v>196</v>
      </c>
      <c r="E234" s="14" t="s">
        <v>99</v>
      </c>
    </row>
    <row r="235">
      <c r="A235" s="14">
        <v>234.0</v>
      </c>
      <c r="B235" s="14" t="s">
        <v>520</v>
      </c>
      <c r="C235" s="14" t="s">
        <v>521</v>
      </c>
      <c r="D235" s="14" t="s">
        <v>522</v>
      </c>
      <c r="E235" s="14" t="s">
        <v>75</v>
      </c>
    </row>
    <row r="236">
      <c r="A236" s="5"/>
      <c r="B236" s="5"/>
      <c r="C236" s="5"/>
      <c r="D236" s="5"/>
      <c r="E236" s="5"/>
    </row>
    <row r="237">
      <c r="A237" s="5"/>
      <c r="B237" s="5"/>
      <c r="C237" s="5"/>
      <c r="D237" s="5"/>
      <c r="E237" s="5"/>
    </row>
    <row r="238">
      <c r="A238" s="5"/>
      <c r="B238" s="5"/>
      <c r="C238" s="5"/>
      <c r="D238" s="5"/>
      <c r="E238" s="5"/>
    </row>
    <row r="239">
      <c r="A239" s="5"/>
      <c r="B239" s="5"/>
      <c r="C239" s="5"/>
      <c r="D239" s="5"/>
      <c r="E239" s="5"/>
    </row>
    <row r="240">
      <c r="A240" s="5"/>
      <c r="B240" s="5"/>
      <c r="C240" s="5"/>
      <c r="D240" s="5"/>
      <c r="E240" s="5"/>
    </row>
    <row r="241">
      <c r="A241" s="5"/>
      <c r="B241" s="5"/>
      <c r="C241" s="5"/>
      <c r="D241" s="5"/>
      <c r="E241" s="5"/>
    </row>
    <row r="242">
      <c r="A242" s="5"/>
      <c r="B242" s="5"/>
      <c r="C242" s="5"/>
      <c r="D242" s="5"/>
      <c r="E242" s="5"/>
    </row>
    <row r="243">
      <c r="A243" s="5"/>
      <c r="B243" s="5"/>
      <c r="C243" s="5"/>
      <c r="D243" s="5"/>
      <c r="E243" s="5"/>
    </row>
    <row r="244">
      <c r="A244" s="5"/>
      <c r="B244" s="5"/>
      <c r="C244" s="5"/>
      <c r="D244" s="5"/>
      <c r="E244" s="5"/>
    </row>
    <row r="245">
      <c r="A245" s="5"/>
      <c r="B245" s="5"/>
      <c r="C245" s="5"/>
      <c r="D245" s="5"/>
      <c r="E245" s="5"/>
    </row>
    <row r="246">
      <c r="A246" s="5"/>
      <c r="B246" s="5"/>
      <c r="C246" s="5"/>
      <c r="D246" s="5"/>
      <c r="E246" s="5"/>
    </row>
    <row r="247">
      <c r="A247" s="5"/>
      <c r="B247" s="5"/>
      <c r="C247" s="5"/>
      <c r="D247" s="5"/>
      <c r="E247" s="5"/>
    </row>
    <row r="248">
      <c r="A248" s="5"/>
      <c r="B248" s="5"/>
      <c r="C248" s="5"/>
      <c r="D248" s="5"/>
      <c r="E248" s="5"/>
    </row>
    <row r="249">
      <c r="A249" s="5"/>
      <c r="B249" s="5"/>
      <c r="C249" s="5"/>
      <c r="D249" s="5"/>
      <c r="E249" s="5"/>
    </row>
    <row r="250">
      <c r="A250" s="5"/>
      <c r="B250" s="5"/>
      <c r="C250" s="5"/>
      <c r="D250" s="5"/>
      <c r="E250" s="5"/>
    </row>
    <row r="251">
      <c r="A251" s="5"/>
      <c r="B251" s="5"/>
      <c r="C251" s="5"/>
      <c r="D251" s="5"/>
      <c r="E251" s="5"/>
    </row>
    <row r="252">
      <c r="A252" s="5"/>
      <c r="B252" s="5"/>
      <c r="C252" s="5"/>
      <c r="D252" s="5"/>
      <c r="E252" s="5"/>
    </row>
    <row r="253">
      <c r="A253" s="5"/>
      <c r="B253" s="5"/>
      <c r="C253" s="5"/>
      <c r="D253" s="5"/>
      <c r="E253" s="5"/>
    </row>
    <row r="254">
      <c r="A254" s="5"/>
      <c r="B254" s="5"/>
      <c r="C254" s="5"/>
      <c r="D254" s="5"/>
      <c r="E254" s="5"/>
    </row>
    <row r="255">
      <c r="A255" s="5"/>
      <c r="B255" s="5"/>
      <c r="C255" s="5"/>
      <c r="D255" s="5"/>
      <c r="E255" s="5"/>
    </row>
    <row r="256">
      <c r="A256" s="5"/>
      <c r="B256" s="5"/>
      <c r="C256" s="5"/>
      <c r="D256" s="5"/>
      <c r="E256" s="5"/>
    </row>
    <row r="257">
      <c r="A257" s="5"/>
      <c r="B257" s="5"/>
      <c r="C257" s="5"/>
      <c r="D257" s="5"/>
      <c r="E257" s="5"/>
    </row>
    <row r="258">
      <c r="A258" s="5"/>
      <c r="B258" s="5"/>
      <c r="C258" s="5"/>
      <c r="D258" s="5"/>
      <c r="E258" s="5"/>
    </row>
    <row r="259">
      <c r="A259" s="5"/>
      <c r="B259" s="5"/>
      <c r="C259" s="5"/>
      <c r="D259" s="5"/>
      <c r="E259" s="5"/>
    </row>
    <row r="260">
      <c r="A260" s="5"/>
      <c r="B260" s="5"/>
      <c r="C260" s="5"/>
      <c r="D260" s="5"/>
      <c r="E260" s="5"/>
    </row>
    <row r="261">
      <c r="A261" s="5"/>
      <c r="B261" s="5"/>
      <c r="C261" s="5"/>
      <c r="D261" s="5"/>
      <c r="E261" s="5"/>
    </row>
    <row r="262">
      <c r="A262" s="5"/>
      <c r="B262" s="5"/>
      <c r="C262" s="5"/>
      <c r="D262" s="5"/>
      <c r="E262" s="5"/>
    </row>
    <row r="263">
      <c r="A263" s="5"/>
      <c r="B263" s="5"/>
      <c r="C263" s="5"/>
      <c r="D263" s="5"/>
      <c r="E263" s="5"/>
    </row>
    <row r="264">
      <c r="A264" s="5"/>
      <c r="B264" s="5"/>
      <c r="C264" s="5"/>
      <c r="D264" s="5"/>
      <c r="E264" s="5"/>
    </row>
    <row r="265">
      <c r="A265" s="5"/>
      <c r="B265" s="5"/>
      <c r="C265" s="5"/>
      <c r="D265" s="5"/>
      <c r="E265" s="5"/>
    </row>
    <row r="266">
      <c r="A266" s="5"/>
      <c r="B266" s="5"/>
      <c r="C266" s="5"/>
      <c r="D266" s="5"/>
      <c r="E266" s="5"/>
    </row>
    <row r="267">
      <c r="A267" s="5"/>
      <c r="B267" s="5"/>
      <c r="C267" s="5"/>
      <c r="D267" s="5"/>
      <c r="E267" s="5"/>
    </row>
    <row r="268">
      <c r="A268" s="5"/>
      <c r="B268" s="5"/>
      <c r="C268" s="5"/>
      <c r="D268" s="5"/>
      <c r="E268" s="5"/>
    </row>
    <row r="269">
      <c r="A269" s="5"/>
      <c r="B269" s="5"/>
      <c r="C269" s="5"/>
      <c r="D269" s="5"/>
      <c r="E269" s="5"/>
    </row>
    <row r="270">
      <c r="A270" s="5"/>
      <c r="B270" s="5"/>
      <c r="C270" s="5"/>
      <c r="D270" s="5"/>
      <c r="E270" s="5"/>
    </row>
    <row r="271">
      <c r="A271" s="5"/>
      <c r="B271" s="5"/>
      <c r="C271" s="5"/>
      <c r="D271" s="5"/>
      <c r="E271" s="5"/>
    </row>
    <row r="272">
      <c r="A272" s="5"/>
      <c r="B272" s="5"/>
      <c r="C272" s="5"/>
      <c r="D272" s="5"/>
      <c r="E272" s="5"/>
    </row>
    <row r="273">
      <c r="A273" s="5"/>
      <c r="B273" s="5"/>
      <c r="C273" s="5"/>
      <c r="D273" s="5"/>
      <c r="E273" s="5"/>
    </row>
    <row r="274">
      <c r="A274" s="5"/>
      <c r="B274" s="5"/>
      <c r="C274" s="5"/>
      <c r="D274" s="5"/>
      <c r="E274" s="5"/>
    </row>
    <row r="275">
      <c r="A275" s="5"/>
      <c r="B275" s="5"/>
      <c r="C275" s="5"/>
      <c r="D275" s="5"/>
      <c r="E275" s="5"/>
    </row>
    <row r="276">
      <c r="A276" s="5"/>
      <c r="B276" s="5"/>
      <c r="C276" s="5"/>
      <c r="D276" s="5"/>
      <c r="E276" s="5"/>
    </row>
    <row r="277">
      <c r="A277" s="5"/>
      <c r="B277" s="5"/>
      <c r="C277" s="5"/>
      <c r="D277" s="5"/>
      <c r="E277" s="5"/>
    </row>
    <row r="278">
      <c r="A278" s="5"/>
      <c r="B278" s="5"/>
      <c r="C278" s="5"/>
      <c r="D278" s="5"/>
      <c r="E278" s="5"/>
    </row>
    <row r="279">
      <c r="A279" s="5"/>
      <c r="B279" s="5"/>
      <c r="C279" s="5"/>
      <c r="D279" s="5"/>
      <c r="E279" s="5"/>
    </row>
    <row r="280">
      <c r="A280" s="5"/>
      <c r="B280" s="5"/>
      <c r="C280" s="5"/>
      <c r="D280" s="5"/>
      <c r="E280" s="5"/>
    </row>
    <row r="281">
      <c r="A281" s="5"/>
      <c r="B281" s="5"/>
      <c r="C281" s="5"/>
      <c r="D281" s="5"/>
      <c r="E281" s="5"/>
    </row>
    <row r="282">
      <c r="A282" s="5"/>
      <c r="B282" s="5"/>
      <c r="C282" s="5"/>
      <c r="D282" s="5"/>
      <c r="E282" s="5"/>
    </row>
    <row r="283">
      <c r="A283" s="5"/>
      <c r="B283" s="5"/>
      <c r="C283" s="5"/>
      <c r="D283" s="5"/>
      <c r="E283" s="5"/>
    </row>
    <row r="284">
      <c r="A284" s="5"/>
      <c r="B284" s="5"/>
      <c r="C284" s="5"/>
      <c r="D284" s="5"/>
      <c r="E284" s="5"/>
    </row>
    <row r="285">
      <c r="A285" s="5"/>
      <c r="B285" s="5"/>
      <c r="C285" s="5"/>
      <c r="D285" s="5"/>
      <c r="E285" s="5"/>
    </row>
    <row r="286">
      <c r="A286" s="5"/>
      <c r="B286" s="5"/>
      <c r="C286" s="5"/>
      <c r="D286" s="5"/>
      <c r="E286" s="5"/>
    </row>
    <row r="287">
      <c r="A287" s="5"/>
      <c r="B287" s="5"/>
      <c r="C287" s="5"/>
      <c r="D287" s="5"/>
      <c r="E287" s="5"/>
    </row>
    <row r="288">
      <c r="A288" s="5"/>
      <c r="B288" s="5"/>
      <c r="C288" s="5"/>
      <c r="D288" s="5"/>
      <c r="E288" s="5"/>
    </row>
    <row r="289">
      <c r="A289" s="5"/>
      <c r="B289" s="5"/>
      <c r="C289" s="5"/>
      <c r="D289" s="5"/>
      <c r="E289" s="5"/>
    </row>
    <row r="290">
      <c r="A290" s="5"/>
      <c r="B290" s="5"/>
      <c r="C290" s="5"/>
      <c r="D290" s="5"/>
      <c r="E290" s="5"/>
    </row>
    <row r="291">
      <c r="A291" s="5"/>
      <c r="B291" s="5"/>
      <c r="C291" s="5"/>
      <c r="D291" s="5"/>
      <c r="E291" s="5"/>
    </row>
    <row r="292">
      <c r="A292" s="5"/>
      <c r="B292" s="5"/>
      <c r="C292" s="5"/>
      <c r="D292" s="5"/>
      <c r="E292" s="5"/>
    </row>
    <row r="293">
      <c r="A293" s="5"/>
      <c r="B293" s="5"/>
      <c r="C293" s="5"/>
      <c r="D293" s="5"/>
      <c r="E293" s="5"/>
    </row>
    <row r="294">
      <c r="A294" s="5"/>
      <c r="B294" s="5"/>
      <c r="C294" s="5"/>
      <c r="D294" s="5"/>
      <c r="E294" s="5"/>
    </row>
    <row r="295">
      <c r="A295" s="5"/>
      <c r="B295" s="5"/>
      <c r="C295" s="5"/>
      <c r="D295" s="5"/>
      <c r="E295" s="5"/>
    </row>
    <row r="296">
      <c r="A296" s="5"/>
      <c r="B296" s="5"/>
      <c r="C296" s="5"/>
      <c r="D296" s="5"/>
      <c r="E296" s="5"/>
    </row>
    <row r="297">
      <c r="A297" s="5"/>
      <c r="B297" s="5"/>
      <c r="C297" s="5"/>
      <c r="D297" s="5"/>
      <c r="E297" s="5"/>
    </row>
    <row r="298">
      <c r="A298" s="5"/>
      <c r="B298" s="5"/>
      <c r="C298" s="5"/>
      <c r="D298" s="5"/>
      <c r="E298" s="5"/>
    </row>
    <row r="299">
      <c r="A299" s="5"/>
      <c r="B299" s="5"/>
      <c r="C299" s="5"/>
      <c r="D299" s="5"/>
      <c r="E299" s="5"/>
    </row>
    <row r="300">
      <c r="A300" s="5"/>
      <c r="B300" s="5"/>
      <c r="C300" s="5"/>
      <c r="D300" s="5"/>
      <c r="E300" s="5"/>
    </row>
    <row r="301">
      <c r="A301" s="5"/>
      <c r="B301" s="5"/>
      <c r="C301" s="5"/>
      <c r="D301" s="5"/>
      <c r="E301" s="5"/>
    </row>
    <row r="302">
      <c r="A302" s="5"/>
      <c r="B302" s="5"/>
      <c r="C302" s="5"/>
      <c r="D302" s="5"/>
      <c r="E302" s="5"/>
    </row>
    <row r="303">
      <c r="A303" s="5"/>
      <c r="B303" s="5"/>
      <c r="C303" s="5"/>
      <c r="D303" s="5"/>
      <c r="E303" s="5"/>
    </row>
    <row r="304">
      <c r="A304" s="5"/>
      <c r="B304" s="5"/>
      <c r="C304" s="5"/>
      <c r="D304" s="5"/>
      <c r="E304" s="5"/>
    </row>
    <row r="305">
      <c r="A305" s="5"/>
      <c r="B305" s="5"/>
      <c r="C305" s="5"/>
      <c r="D305" s="5"/>
      <c r="E305" s="5"/>
    </row>
    <row r="306">
      <c r="A306" s="5"/>
      <c r="B306" s="5"/>
      <c r="C306" s="5"/>
      <c r="D306" s="5"/>
      <c r="E306" s="5"/>
    </row>
    <row r="307">
      <c r="A307" s="5"/>
      <c r="B307" s="5"/>
      <c r="C307" s="5"/>
      <c r="D307" s="5"/>
      <c r="E307" s="5"/>
    </row>
    <row r="308">
      <c r="A308" s="5"/>
      <c r="B308" s="5"/>
      <c r="C308" s="5"/>
      <c r="D308" s="5"/>
      <c r="E308" s="5"/>
    </row>
    <row r="309">
      <c r="A309" s="5"/>
      <c r="B309" s="5"/>
      <c r="C309" s="5"/>
      <c r="D309" s="5"/>
      <c r="E309" s="5"/>
    </row>
    <row r="310">
      <c r="A310" s="5"/>
      <c r="B310" s="5"/>
      <c r="C310" s="5"/>
      <c r="D310" s="5"/>
      <c r="E310" s="5"/>
    </row>
    <row r="311">
      <c r="A311" s="5"/>
      <c r="B311" s="5"/>
      <c r="C311" s="5"/>
      <c r="D311" s="5"/>
      <c r="E311" s="5"/>
    </row>
    <row r="312">
      <c r="A312" s="5"/>
      <c r="B312" s="5"/>
      <c r="C312" s="5"/>
      <c r="D312" s="5"/>
      <c r="E312" s="5"/>
    </row>
    <row r="313">
      <c r="A313" s="5"/>
      <c r="B313" s="5"/>
      <c r="C313" s="5"/>
      <c r="D313" s="5"/>
      <c r="E313" s="5"/>
    </row>
    <row r="314">
      <c r="A314" s="5"/>
      <c r="B314" s="5"/>
      <c r="C314" s="5"/>
      <c r="D314" s="5"/>
      <c r="E314" s="5"/>
    </row>
    <row r="315">
      <c r="A315" s="5"/>
      <c r="B315" s="5"/>
      <c r="C315" s="5"/>
      <c r="D315" s="5"/>
      <c r="E315" s="5"/>
    </row>
    <row r="316">
      <c r="A316" s="5"/>
      <c r="B316" s="5"/>
      <c r="C316" s="5"/>
      <c r="D316" s="5"/>
      <c r="E316" s="5"/>
    </row>
    <row r="317">
      <c r="A317" s="5"/>
      <c r="B317" s="5"/>
      <c r="C317" s="5"/>
      <c r="D317" s="5"/>
      <c r="E317" s="5"/>
    </row>
    <row r="318">
      <c r="A318" s="5"/>
      <c r="B318" s="5"/>
      <c r="C318" s="5"/>
      <c r="D318" s="5"/>
      <c r="E318" s="5"/>
    </row>
    <row r="319">
      <c r="A319" s="5"/>
      <c r="B319" s="5"/>
      <c r="C319" s="5"/>
      <c r="D319" s="5"/>
      <c r="E319" s="5"/>
    </row>
    <row r="320">
      <c r="A320" s="5"/>
      <c r="B320" s="5"/>
      <c r="C320" s="5"/>
      <c r="D320" s="5"/>
      <c r="E320" s="5"/>
    </row>
    <row r="321">
      <c r="A321" s="5"/>
      <c r="B321" s="5"/>
      <c r="C321" s="5"/>
      <c r="D321" s="5"/>
      <c r="E321" s="5"/>
    </row>
    <row r="322">
      <c r="A322" s="5"/>
      <c r="B322" s="5"/>
      <c r="C322" s="5"/>
      <c r="D322" s="5"/>
      <c r="E322" s="5"/>
    </row>
    <row r="323">
      <c r="A323" s="5"/>
      <c r="B323" s="5"/>
      <c r="C323" s="5"/>
      <c r="D323" s="5"/>
      <c r="E323" s="5"/>
    </row>
    <row r="324">
      <c r="A324" s="5"/>
      <c r="B324" s="5"/>
      <c r="C324" s="5"/>
      <c r="D324" s="5"/>
      <c r="E324" s="5"/>
    </row>
    <row r="325">
      <c r="A325" s="5"/>
      <c r="B325" s="5"/>
      <c r="C325" s="5"/>
      <c r="D325" s="5"/>
      <c r="E325" s="5"/>
    </row>
    <row r="326">
      <c r="A326" s="5"/>
      <c r="B326" s="5"/>
      <c r="C326" s="5"/>
      <c r="D326" s="5"/>
      <c r="E326" s="5"/>
    </row>
    <row r="327">
      <c r="A327" s="5"/>
      <c r="B327" s="5"/>
      <c r="C327" s="5"/>
      <c r="D327" s="5"/>
      <c r="E327" s="5"/>
    </row>
    <row r="328">
      <c r="A328" s="5"/>
      <c r="B328" s="5"/>
      <c r="C328" s="5"/>
      <c r="D328" s="5"/>
      <c r="E328" s="5"/>
    </row>
    <row r="329">
      <c r="A329" s="5"/>
      <c r="B329" s="5"/>
      <c r="C329" s="5"/>
      <c r="D329" s="5"/>
      <c r="E329" s="5"/>
    </row>
    <row r="330">
      <c r="A330" s="5"/>
      <c r="B330" s="5"/>
      <c r="C330" s="5"/>
      <c r="D330" s="5"/>
      <c r="E330" s="5"/>
    </row>
    <row r="331">
      <c r="A331" s="5"/>
      <c r="B331" s="5"/>
      <c r="C331" s="5"/>
      <c r="D331" s="5"/>
      <c r="E331" s="5"/>
    </row>
    <row r="332">
      <c r="A332" s="5"/>
      <c r="B332" s="5"/>
      <c r="C332" s="5"/>
      <c r="D332" s="5"/>
      <c r="E332" s="5"/>
    </row>
    <row r="333">
      <c r="A333" s="5"/>
      <c r="B333" s="5"/>
      <c r="C333" s="5"/>
      <c r="D333" s="5"/>
      <c r="E333" s="5"/>
    </row>
    <row r="334">
      <c r="A334" s="5"/>
      <c r="B334" s="5"/>
      <c r="C334" s="5"/>
      <c r="D334" s="5"/>
      <c r="E334" s="5"/>
    </row>
    <row r="335">
      <c r="A335" s="5"/>
      <c r="B335" s="5"/>
      <c r="C335" s="5"/>
      <c r="D335" s="5"/>
      <c r="E335" s="5"/>
    </row>
    <row r="336">
      <c r="A336" s="5"/>
      <c r="B336" s="5"/>
      <c r="C336" s="5"/>
      <c r="D336" s="5"/>
      <c r="E336" s="5"/>
    </row>
    <row r="337">
      <c r="A337" s="5"/>
      <c r="B337" s="5"/>
      <c r="C337" s="5"/>
      <c r="D337" s="5"/>
      <c r="E337" s="5"/>
    </row>
    <row r="338">
      <c r="A338" s="5"/>
      <c r="B338" s="5"/>
      <c r="C338" s="5"/>
      <c r="D338" s="5"/>
      <c r="E338" s="5"/>
    </row>
    <row r="339">
      <c r="A339" s="5"/>
      <c r="B339" s="5"/>
      <c r="C339" s="5"/>
      <c r="D339" s="5"/>
      <c r="E339" s="5"/>
    </row>
    <row r="340">
      <c r="A340" s="5"/>
      <c r="B340" s="5"/>
      <c r="C340" s="5"/>
      <c r="D340" s="5"/>
      <c r="E340" s="5"/>
    </row>
    <row r="341">
      <c r="A341" s="5"/>
      <c r="B341" s="5"/>
      <c r="C341" s="5"/>
      <c r="D341" s="5"/>
      <c r="E341" s="5"/>
    </row>
    <row r="342">
      <c r="A342" s="5"/>
      <c r="B342" s="5"/>
      <c r="C342" s="5"/>
      <c r="D342" s="5"/>
      <c r="E342" s="5"/>
    </row>
    <row r="343">
      <c r="A343" s="5"/>
      <c r="B343" s="5"/>
      <c r="C343" s="5"/>
      <c r="D343" s="5"/>
      <c r="E343" s="5"/>
    </row>
    <row r="344">
      <c r="A344" s="5"/>
      <c r="B344" s="5"/>
      <c r="C344" s="5"/>
      <c r="D344" s="5"/>
      <c r="E344" s="5"/>
    </row>
    <row r="345">
      <c r="A345" s="5"/>
      <c r="B345" s="5"/>
      <c r="C345" s="5"/>
      <c r="D345" s="5"/>
      <c r="E345" s="5"/>
    </row>
    <row r="346">
      <c r="A346" s="5"/>
      <c r="B346" s="5"/>
      <c r="C346" s="5"/>
      <c r="D346" s="5"/>
      <c r="E346" s="5"/>
    </row>
    <row r="347">
      <c r="A347" s="5"/>
      <c r="B347" s="5"/>
      <c r="C347" s="5"/>
      <c r="D347" s="5"/>
      <c r="E347" s="5"/>
    </row>
    <row r="348">
      <c r="A348" s="5"/>
      <c r="B348" s="5"/>
      <c r="C348" s="5"/>
      <c r="D348" s="5"/>
      <c r="E348" s="5"/>
    </row>
    <row r="349">
      <c r="A349" s="5"/>
      <c r="B349" s="5"/>
      <c r="C349" s="5"/>
      <c r="D349" s="5"/>
      <c r="E349" s="5"/>
    </row>
    <row r="350">
      <c r="A350" s="5"/>
      <c r="B350" s="5"/>
      <c r="C350" s="5"/>
      <c r="D350" s="5"/>
      <c r="E350" s="5"/>
    </row>
    <row r="351">
      <c r="A351" s="5"/>
      <c r="B351" s="5"/>
      <c r="C351" s="5"/>
      <c r="D351" s="5"/>
      <c r="E351" s="5"/>
    </row>
    <row r="352">
      <c r="A352" s="5"/>
      <c r="B352" s="5"/>
      <c r="C352" s="5"/>
      <c r="D352" s="5"/>
      <c r="E352" s="5"/>
    </row>
    <row r="353">
      <c r="A353" s="5"/>
      <c r="B353" s="5"/>
      <c r="C353" s="5"/>
      <c r="D353" s="5"/>
      <c r="E353" s="5"/>
    </row>
    <row r="354">
      <c r="A354" s="5"/>
      <c r="B354" s="5"/>
      <c r="C354" s="5"/>
      <c r="D354" s="5"/>
      <c r="E354" s="5"/>
    </row>
    <row r="355">
      <c r="A355" s="5"/>
      <c r="B355" s="5"/>
      <c r="C355" s="5"/>
      <c r="D355" s="5"/>
      <c r="E355" s="5"/>
    </row>
    <row r="356">
      <c r="A356" s="5"/>
      <c r="B356" s="5"/>
      <c r="C356" s="5"/>
      <c r="D356" s="5"/>
      <c r="E356" s="5"/>
    </row>
    <row r="357">
      <c r="A357" s="5"/>
      <c r="B357" s="5"/>
      <c r="C357" s="5"/>
      <c r="D357" s="5"/>
      <c r="E357" s="5"/>
    </row>
    <row r="358">
      <c r="A358" s="5"/>
      <c r="B358" s="5"/>
      <c r="C358" s="5"/>
      <c r="D358" s="5"/>
      <c r="E358" s="5"/>
    </row>
    <row r="359">
      <c r="A359" s="5"/>
      <c r="B359" s="5"/>
      <c r="C359" s="5"/>
      <c r="D359" s="5"/>
      <c r="E359" s="5"/>
    </row>
    <row r="360">
      <c r="A360" s="5"/>
      <c r="B360" s="5"/>
      <c r="C360" s="5"/>
      <c r="D360" s="5"/>
      <c r="E360" s="5"/>
    </row>
    <row r="361">
      <c r="A361" s="5"/>
      <c r="B361" s="5"/>
      <c r="C361" s="5"/>
      <c r="D361" s="5"/>
      <c r="E361" s="5"/>
    </row>
    <row r="362">
      <c r="A362" s="5"/>
      <c r="B362" s="5"/>
      <c r="C362" s="5"/>
      <c r="D362" s="5"/>
      <c r="E362" s="5"/>
    </row>
    <row r="363">
      <c r="A363" s="5"/>
      <c r="B363" s="5"/>
      <c r="C363" s="5"/>
      <c r="D363" s="5"/>
      <c r="E363" s="5"/>
    </row>
    <row r="364">
      <c r="A364" s="5"/>
      <c r="B364" s="5"/>
      <c r="C364" s="5"/>
      <c r="D364" s="5"/>
      <c r="E364" s="5"/>
    </row>
    <row r="365">
      <c r="A365" s="5"/>
      <c r="B365" s="5"/>
      <c r="C365" s="5"/>
      <c r="D365" s="5"/>
      <c r="E365" s="5"/>
    </row>
    <row r="366">
      <c r="A366" s="5"/>
      <c r="B366" s="5"/>
      <c r="C366" s="5"/>
      <c r="D366" s="5"/>
      <c r="E366" s="5"/>
    </row>
    <row r="367">
      <c r="A367" s="5"/>
      <c r="B367" s="5"/>
      <c r="C367" s="5"/>
      <c r="D367" s="5"/>
      <c r="E367" s="5"/>
    </row>
    <row r="368">
      <c r="A368" s="5"/>
      <c r="B368" s="5"/>
      <c r="C368" s="5"/>
      <c r="D368" s="5"/>
      <c r="E368" s="5"/>
    </row>
    <row r="369">
      <c r="A369" s="5"/>
      <c r="B369" s="5"/>
      <c r="C369" s="5"/>
      <c r="D369" s="5"/>
      <c r="E369" s="5"/>
    </row>
    <row r="370">
      <c r="A370" s="5"/>
      <c r="B370" s="5"/>
      <c r="C370" s="5"/>
      <c r="D370" s="5"/>
      <c r="E370" s="5"/>
    </row>
    <row r="371">
      <c r="A371" s="5"/>
      <c r="B371" s="5"/>
      <c r="C371" s="5"/>
      <c r="D371" s="5"/>
      <c r="E371" s="5"/>
    </row>
    <row r="372">
      <c r="A372" s="5"/>
      <c r="B372" s="5"/>
      <c r="C372" s="5"/>
      <c r="D372" s="5"/>
      <c r="E372" s="5"/>
    </row>
    <row r="373">
      <c r="A373" s="5"/>
      <c r="B373" s="5"/>
      <c r="C373" s="5"/>
      <c r="D373" s="5"/>
      <c r="E373" s="5"/>
    </row>
    <row r="374">
      <c r="A374" s="5"/>
      <c r="B374" s="5"/>
      <c r="C374" s="5"/>
      <c r="D374" s="5"/>
      <c r="E374" s="5"/>
    </row>
    <row r="375">
      <c r="A375" s="5"/>
      <c r="B375" s="5"/>
      <c r="C375" s="5"/>
      <c r="D375" s="5"/>
      <c r="E375" s="5"/>
    </row>
    <row r="376">
      <c r="A376" s="5"/>
      <c r="B376" s="5"/>
      <c r="C376" s="5"/>
      <c r="D376" s="5"/>
      <c r="E376" s="5"/>
    </row>
    <row r="377">
      <c r="A377" s="5"/>
      <c r="B377" s="5"/>
      <c r="C377" s="5"/>
      <c r="D377" s="5"/>
      <c r="E377" s="5"/>
    </row>
    <row r="378">
      <c r="A378" s="5"/>
      <c r="B378" s="5"/>
      <c r="C378" s="5"/>
      <c r="D378" s="5"/>
      <c r="E378" s="5"/>
    </row>
    <row r="379">
      <c r="A379" s="5"/>
      <c r="B379" s="5"/>
      <c r="C379" s="5"/>
      <c r="D379" s="5"/>
      <c r="E379" s="5"/>
    </row>
    <row r="380">
      <c r="A380" s="5"/>
      <c r="B380" s="5"/>
      <c r="C380" s="5"/>
      <c r="D380" s="5"/>
      <c r="E380" s="5"/>
    </row>
    <row r="381">
      <c r="A381" s="5"/>
      <c r="B381" s="5"/>
      <c r="C381" s="5"/>
      <c r="D381" s="5"/>
      <c r="E381" s="5"/>
    </row>
    <row r="382">
      <c r="A382" s="5"/>
      <c r="B382" s="5"/>
      <c r="C382" s="5"/>
      <c r="D382" s="5"/>
      <c r="E382" s="5"/>
    </row>
    <row r="383">
      <c r="A383" s="5"/>
      <c r="B383" s="5"/>
      <c r="C383" s="5"/>
      <c r="D383" s="5"/>
      <c r="E383" s="5"/>
    </row>
    <row r="384">
      <c r="A384" s="5"/>
      <c r="B384" s="5"/>
      <c r="C384" s="5"/>
      <c r="D384" s="5"/>
      <c r="E384" s="5"/>
    </row>
    <row r="385">
      <c r="A385" s="5"/>
      <c r="B385" s="5"/>
      <c r="C385" s="5"/>
      <c r="D385" s="5"/>
      <c r="E385" s="5"/>
    </row>
    <row r="386">
      <c r="A386" s="5"/>
      <c r="B386" s="5"/>
      <c r="C386" s="5"/>
      <c r="D386" s="5"/>
      <c r="E386" s="5"/>
    </row>
    <row r="387">
      <c r="A387" s="5"/>
      <c r="B387" s="5"/>
      <c r="C387" s="5"/>
      <c r="D387" s="5"/>
      <c r="E387" s="5"/>
    </row>
    <row r="388">
      <c r="A388" s="5"/>
      <c r="B388" s="5"/>
      <c r="C388" s="5"/>
      <c r="D388" s="5"/>
      <c r="E388" s="5"/>
    </row>
    <row r="389">
      <c r="A389" s="5"/>
      <c r="B389" s="5"/>
      <c r="C389" s="5"/>
      <c r="D389" s="5"/>
      <c r="E389" s="5"/>
    </row>
    <row r="390">
      <c r="A390" s="5"/>
      <c r="B390" s="5"/>
      <c r="C390" s="5"/>
      <c r="D390" s="5"/>
      <c r="E390" s="5"/>
    </row>
    <row r="391">
      <c r="A391" s="5"/>
      <c r="B391" s="5"/>
      <c r="C391" s="5"/>
      <c r="D391" s="5"/>
      <c r="E391" s="5"/>
    </row>
    <row r="392">
      <c r="A392" s="5"/>
      <c r="B392" s="5"/>
      <c r="C392" s="5"/>
      <c r="D392" s="5"/>
      <c r="E392" s="5"/>
    </row>
    <row r="393">
      <c r="A393" s="5"/>
      <c r="B393" s="5"/>
      <c r="C393" s="5"/>
      <c r="D393" s="5"/>
      <c r="E393" s="5"/>
    </row>
    <row r="394">
      <c r="A394" s="5"/>
      <c r="B394" s="5"/>
      <c r="C394" s="5"/>
      <c r="D394" s="5"/>
      <c r="E394" s="5"/>
    </row>
    <row r="395">
      <c r="A395" s="5"/>
      <c r="B395" s="5"/>
      <c r="C395" s="5"/>
      <c r="D395" s="5"/>
      <c r="E395" s="5"/>
    </row>
    <row r="396">
      <c r="A396" s="5"/>
      <c r="B396" s="5"/>
      <c r="C396" s="5"/>
      <c r="D396" s="5"/>
      <c r="E396" s="5"/>
    </row>
    <row r="397">
      <c r="A397" s="5"/>
      <c r="B397" s="5"/>
      <c r="C397" s="5"/>
      <c r="D397" s="5"/>
      <c r="E397" s="5"/>
    </row>
    <row r="398">
      <c r="A398" s="5"/>
      <c r="B398" s="5"/>
      <c r="C398" s="5"/>
      <c r="D398" s="5"/>
      <c r="E398" s="5"/>
    </row>
    <row r="399">
      <c r="A399" s="5"/>
      <c r="B399" s="5"/>
      <c r="C399" s="5"/>
      <c r="D399" s="5"/>
      <c r="E399" s="5"/>
    </row>
    <row r="400">
      <c r="A400" s="5"/>
      <c r="B400" s="5"/>
      <c r="C400" s="5"/>
      <c r="D400" s="5"/>
      <c r="E400" s="5"/>
    </row>
    <row r="401">
      <c r="A401" s="5"/>
      <c r="B401" s="5"/>
      <c r="C401" s="5"/>
      <c r="D401" s="5"/>
      <c r="E401" s="5"/>
    </row>
    <row r="402">
      <c r="A402" s="5"/>
      <c r="B402" s="5"/>
      <c r="C402" s="5"/>
      <c r="D402" s="5"/>
      <c r="E402" s="5"/>
    </row>
    <row r="403">
      <c r="A403" s="5"/>
      <c r="B403" s="5"/>
      <c r="C403" s="5"/>
      <c r="D403" s="5"/>
      <c r="E403" s="5"/>
    </row>
    <row r="404">
      <c r="A404" s="5"/>
      <c r="B404" s="5"/>
      <c r="C404" s="5"/>
      <c r="D404" s="5"/>
      <c r="E404" s="5"/>
    </row>
    <row r="405">
      <c r="A405" s="5"/>
      <c r="B405" s="5"/>
      <c r="C405" s="5"/>
      <c r="D405" s="5"/>
      <c r="E405" s="5"/>
    </row>
    <row r="406">
      <c r="A406" s="5"/>
      <c r="B406" s="5"/>
      <c r="C406" s="5"/>
      <c r="D406" s="5"/>
      <c r="E406" s="5"/>
    </row>
    <row r="407">
      <c r="A407" s="5"/>
      <c r="B407" s="5"/>
      <c r="C407" s="5"/>
      <c r="D407" s="5"/>
      <c r="E407" s="5"/>
    </row>
    <row r="408">
      <c r="A408" s="5"/>
      <c r="B408" s="5"/>
      <c r="C408" s="5"/>
      <c r="D408" s="5"/>
      <c r="E408" s="5"/>
    </row>
    <row r="409">
      <c r="A409" s="5"/>
      <c r="B409" s="5"/>
      <c r="C409" s="5"/>
      <c r="D409" s="5"/>
      <c r="E409" s="5"/>
    </row>
    <row r="410">
      <c r="A410" s="5"/>
      <c r="B410" s="5"/>
      <c r="C410" s="5"/>
      <c r="D410" s="5"/>
      <c r="E410" s="5"/>
    </row>
    <row r="411">
      <c r="A411" s="5"/>
      <c r="B411" s="5"/>
      <c r="C411" s="5"/>
      <c r="D411" s="5"/>
      <c r="E411" s="5"/>
    </row>
    <row r="412">
      <c r="A412" s="5"/>
      <c r="B412" s="5"/>
      <c r="C412" s="5"/>
      <c r="D412" s="5"/>
      <c r="E412" s="5"/>
    </row>
    <row r="413">
      <c r="A413" s="5"/>
      <c r="B413" s="5"/>
      <c r="C413" s="5"/>
      <c r="D413" s="5"/>
      <c r="E413" s="5"/>
    </row>
    <row r="414">
      <c r="A414" s="5"/>
      <c r="B414" s="5"/>
      <c r="C414" s="5"/>
      <c r="D414" s="5"/>
      <c r="E414" s="5"/>
    </row>
    <row r="415">
      <c r="A415" s="5"/>
      <c r="B415" s="5"/>
      <c r="C415" s="5"/>
      <c r="D415" s="5"/>
      <c r="E415" s="5"/>
    </row>
    <row r="416">
      <c r="A416" s="5"/>
      <c r="B416" s="5"/>
      <c r="C416" s="5"/>
      <c r="D416" s="5"/>
      <c r="E416" s="5"/>
    </row>
    <row r="417">
      <c r="A417" s="5"/>
      <c r="B417" s="5"/>
      <c r="C417" s="5"/>
      <c r="D417" s="5"/>
      <c r="E417" s="5"/>
    </row>
    <row r="418">
      <c r="A418" s="5"/>
      <c r="B418" s="5"/>
      <c r="C418" s="5"/>
      <c r="D418" s="5"/>
      <c r="E418" s="5"/>
    </row>
    <row r="419">
      <c r="A419" s="5"/>
      <c r="B419" s="5"/>
      <c r="C419" s="5"/>
      <c r="D419" s="5"/>
      <c r="E419" s="5"/>
    </row>
    <row r="420">
      <c r="A420" s="5"/>
      <c r="B420" s="5"/>
      <c r="C420" s="5"/>
      <c r="D420" s="5"/>
      <c r="E420" s="5"/>
    </row>
    <row r="421">
      <c r="A421" s="5"/>
      <c r="B421" s="5"/>
      <c r="C421" s="5"/>
      <c r="D421" s="5"/>
      <c r="E421" s="5"/>
    </row>
    <row r="422">
      <c r="A422" s="5"/>
      <c r="B422" s="5"/>
      <c r="C422" s="5"/>
      <c r="D422" s="5"/>
      <c r="E422" s="5"/>
    </row>
    <row r="423">
      <c r="A423" s="5"/>
      <c r="B423" s="5"/>
      <c r="C423" s="5"/>
      <c r="D423" s="5"/>
      <c r="E423" s="5"/>
    </row>
    <row r="424">
      <c r="A424" s="5"/>
      <c r="B424" s="5"/>
      <c r="C424" s="5"/>
      <c r="D424" s="5"/>
      <c r="E424" s="5"/>
    </row>
    <row r="425">
      <c r="A425" s="5"/>
      <c r="B425" s="5"/>
      <c r="C425" s="5"/>
      <c r="D425" s="5"/>
      <c r="E425" s="5"/>
    </row>
    <row r="426">
      <c r="A426" s="5"/>
      <c r="B426" s="5"/>
      <c r="C426" s="5"/>
      <c r="D426" s="5"/>
      <c r="E426" s="5"/>
    </row>
    <row r="427">
      <c r="A427" s="5"/>
      <c r="B427" s="5"/>
      <c r="C427" s="5"/>
      <c r="D427" s="5"/>
      <c r="E427" s="5"/>
    </row>
    <row r="428">
      <c r="A428" s="5"/>
      <c r="B428" s="5"/>
      <c r="C428" s="5"/>
      <c r="D428" s="5"/>
      <c r="E428" s="5"/>
    </row>
    <row r="429">
      <c r="A429" s="5"/>
      <c r="B429" s="5"/>
      <c r="C429" s="5"/>
      <c r="D429" s="5"/>
      <c r="E429" s="5"/>
    </row>
    <row r="430">
      <c r="A430" s="5"/>
      <c r="B430" s="5"/>
      <c r="C430" s="5"/>
      <c r="D430" s="5"/>
      <c r="E430" s="5"/>
    </row>
    <row r="431">
      <c r="A431" s="5"/>
      <c r="B431" s="5"/>
      <c r="C431" s="5"/>
      <c r="D431" s="5"/>
      <c r="E431" s="5"/>
    </row>
    <row r="432">
      <c r="A432" s="5"/>
      <c r="B432" s="5"/>
      <c r="C432" s="5"/>
      <c r="D432" s="5"/>
      <c r="E432" s="5"/>
    </row>
    <row r="433">
      <c r="A433" s="5"/>
      <c r="B433" s="5"/>
      <c r="C433" s="5"/>
      <c r="D433" s="5"/>
      <c r="E433" s="5"/>
    </row>
    <row r="434">
      <c r="A434" s="5"/>
      <c r="B434" s="5"/>
      <c r="C434" s="5"/>
      <c r="D434" s="5"/>
      <c r="E434" s="5"/>
    </row>
    <row r="435">
      <c r="A435" s="5"/>
      <c r="B435" s="5"/>
      <c r="C435" s="5"/>
      <c r="D435" s="5"/>
      <c r="E435" s="5"/>
    </row>
    <row r="436">
      <c r="A436" s="5"/>
      <c r="B436" s="5"/>
      <c r="C436" s="5"/>
      <c r="D436" s="5"/>
      <c r="E436" s="5"/>
    </row>
    <row r="437">
      <c r="A437" s="5"/>
      <c r="B437" s="5"/>
      <c r="C437" s="5"/>
      <c r="D437" s="5"/>
      <c r="E437" s="5"/>
    </row>
    <row r="438">
      <c r="A438" s="5"/>
      <c r="B438" s="5"/>
      <c r="C438" s="5"/>
      <c r="D438" s="5"/>
      <c r="E438" s="5"/>
    </row>
    <row r="439">
      <c r="A439" s="5"/>
      <c r="B439" s="5"/>
      <c r="C439" s="5"/>
      <c r="D439" s="5"/>
      <c r="E439" s="5"/>
    </row>
    <row r="440">
      <c r="A440" s="5"/>
      <c r="B440" s="5"/>
      <c r="C440" s="5"/>
      <c r="D440" s="5"/>
      <c r="E440" s="5"/>
    </row>
    <row r="441">
      <c r="A441" s="5"/>
      <c r="B441" s="5"/>
      <c r="C441" s="5"/>
      <c r="D441" s="5"/>
      <c r="E441" s="5"/>
    </row>
    <row r="442">
      <c r="A442" s="5"/>
      <c r="B442" s="5"/>
      <c r="C442" s="5"/>
      <c r="D442" s="5"/>
      <c r="E442" s="5"/>
    </row>
    <row r="443">
      <c r="A443" s="5"/>
      <c r="B443" s="5"/>
      <c r="C443" s="5"/>
      <c r="D443" s="5"/>
      <c r="E443" s="5"/>
    </row>
    <row r="444">
      <c r="A444" s="5"/>
      <c r="B444" s="5"/>
      <c r="C444" s="5"/>
      <c r="D444" s="5"/>
      <c r="E444" s="5"/>
    </row>
    <row r="445">
      <c r="A445" s="5"/>
      <c r="B445" s="5"/>
      <c r="C445" s="5"/>
      <c r="D445" s="5"/>
      <c r="E445" s="5"/>
    </row>
    <row r="446">
      <c r="A446" s="5"/>
      <c r="B446" s="5"/>
      <c r="C446" s="5"/>
      <c r="D446" s="5"/>
      <c r="E446" s="5"/>
    </row>
    <row r="447">
      <c r="A447" s="5"/>
      <c r="B447" s="5"/>
      <c r="C447" s="5"/>
      <c r="D447" s="5"/>
      <c r="E447" s="5"/>
    </row>
    <row r="448">
      <c r="A448" s="5"/>
      <c r="B448" s="5"/>
      <c r="C448" s="5"/>
      <c r="D448" s="5"/>
      <c r="E448" s="5"/>
    </row>
    <row r="449">
      <c r="A449" s="5"/>
      <c r="B449" s="5"/>
      <c r="C449" s="5"/>
      <c r="D449" s="5"/>
      <c r="E449" s="5"/>
    </row>
    <row r="450">
      <c r="A450" s="5"/>
      <c r="B450" s="5"/>
      <c r="C450" s="5"/>
      <c r="D450" s="5"/>
      <c r="E450" s="5"/>
    </row>
    <row r="451">
      <c r="A451" s="5"/>
      <c r="B451" s="5"/>
      <c r="C451" s="5"/>
      <c r="D451" s="5"/>
      <c r="E451" s="5"/>
    </row>
    <row r="452">
      <c r="A452" s="5"/>
      <c r="B452" s="5"/>
      <c r="C452" s="5"/>
      <c r="D452" s="5"/>
      <c r="E452" s="5"/>
    </row>
    <row r="453">
      <c r="A453" s="5"/>
      <c r="B453" s="5"/>
      <c r="C453" s="5"/>
      <c r="D453" s="5"/>
      <c r="E453" s="5"/>
    </row>
    <row r="454">
      <c r="A454" s="5"/>
      <c r="B454" s="5"/>
      <c r="C454" s="5"/>
      <c r="D454" s="5"/>
      <c r="E454" s="5"/>
    </row>
    <row r="455">
      <c r="A455" s="5"/>
      <c r="B455" s="5"/>
      <c r="C455" s="5"/>
      <c r="D455" s="5"/>
      <c r="E455" s="5"/>
    </row>
    <row r="456">
      <c r="A456" s="5"/>
      <c r="B456" s="5"/>
      <c r="C456" s="5"/>
      <c r="D456" s="5"/>
      <c r="E456" s="5"/>
    </row>
    <row r="457">
      <c r="A457" s="5"/>
      <c r="B457" s="5"/>
      <c r="C457" s="5"/>
      <c r="D457" s="5"/>
      <c r="E457" s="5"/>
    </row>
    <row r="458">
      <c r="A458" s="5"/>
      <c r="B458" s="5"/>
      <c r="C458" s="5"/>
      <c r="D458" s="5"/>
      <c r="E458" s="5"/>
    </row>
    <row r="459">
      <c r="A459" s="5"/>
      <c r="B459" s="5"/>
      <c r="C459" s="5"/>
      <c r="D459" s="5"/>
      <c r="E459" s="5"/>
    </row>
    <row r="460">
      <c r="A460" s="5"/>
      <c r="B460" s="5"/>
      <c r="C460" s="5"/>
      <c r="D460" s="5"/>
      <c r="E460" s="5"/>
    </row>
    <row r="461">
      <c r="A461" s="5"/>
      <c r="B461" s="5"/>
      <c r="C461" s="5"/>
      <c r="D461" s="5"/>
      <c r="E461" s="5"/>
    </row>
    <row r="462">
      <c r="A462" s="5"/>
      <c r="B462" s="5"/>
      <c r="C462" s="5"/>
      <c r="D462" s="5"/>
      <c r="E462" s="5"/>
    </row>
    <row r="463">
      <c r="A463" s="5"/>
      <c r="B463" s="5"/>
      <c r="C463" s="5"/>
      <c r="D463" s="5"/>
      <c r="E463" s="5"/>
    </row>
    <row r="464">
      <c r="A464" s="5"/>
      <c r="B464" s="5"/>
      <c r="C464" s="5"/>
      <c r="D464" s="5"/>
      <c r="E464" s="5"/>
    </row>
    <row r="465">
      <c r="A465" s="5"/>
      <c r="B465" s="5"/>
      <c r="C465" s="5"/>
      <c r="D465" s="5"/>
      <c r="E465" s="5"/>
    </row>
    <row r="466">
      <c r="A466" s="5"/>
      <c r="B466" s="5"/>
      <c r="C466" s="5"/>
      <c r="D466" s="5"/>
      <c r="E466" s="5"/>
    </row>
    <row r="467">
      <c r="A467" s="5"/>
      <c r="B467" s="5"/>
      <c r="C467" s="5"/>
      <c r="D467" s="5"/>
      <c r="E467" s="5"/>
    </row>
    <row r="468">
      <c r="A468" s="5"/>
      <c r="B468" s="5"/>
      <c r="C468" s="5"/>
      <c r="D468" s="5"/>
      <c r="E468" s="5"/>
    </row>
    <row r="469">
      <c r="A469" s="5"/>
      <c r="B469" s="5"/>
      <c r="C469" s="5"/>
      <c r="D469" s="5"/>
      <c r="E469" s="5"/>
    </row>
    <row r="470">
      <c r="A470" s="5"/>
      <c r="B470" s="5"/>
      <c r="C470" s="5"/>
      <c r="D470" s="5"/>
      <c r="E470" s="5"/>
    </row>
    <row r="471">
      <c r="A471" s="5"/>
      <c r="B471" s="5"/>
      <c r="C471" s="5"/>
      <c r="D471" s="5"/>
      <c r="E471" s="5"/>
    </row>
    <row r="472">
      <c r="A472" s="5"/>
      <c r="B472" s="5"/>
      <c r="C472" s="5"/>
      <c r="D472" s="5"/>
      <c r="E472" s="5"/>
    </row>
    <row r="473">
      <c r="A473" s="5"/>
      <c r="B473" s="5"/>
      <c r="C473" s="5"/>
      <c r="D473" s="5"/>
      <c r="E473" s="5"/>
    </row>
    <row r="474">
      <c r="A474" s="5"/>
      <c r="B474" s="5"/>
      <c r="C474" s="5"/>
      <c r="D474" s="5"/>
      <c r="E474" s="5"/>
    </row>
    <row r="475">
      <c r="A475" s="5"/>
      <c r="B475" s="5"/>
      <c r="C475" s="5"/>
      <c r="D475" s="5"/>
      <c r="E475" s="5"/>
    </row>
    <row r="476">
      <c r="A476" s="5"/>
      <c r="B476" s="5"/>
      <c r="C476" s="5"/>
      <c r="D476" s="5"/>
      <c r="E476" s="5"/>
    </row>
    <row r="477">
      <c r="A477" s="5"/>
      <c r="B477" s="5"/>
      <c r="C477" s="5"/>
      <c r="D477" s="5"/>
      <c r="E477" s="5"/>
    </row>
    <row r="478">
      <c r="A478" s="5"/>
      <c r="B478" s="5"/>
      <c r="C478" s="5"/>
      <c r="D478" s="5"/>
      <c r="E478" s="5"/>
    </row>
    <row r="479">
      <c r="A479" s="5"/>
      <c r="B479" s="5"/>
      <c r="C479" s="5"/>
      <c r="D479" s="5"/>
      <c r="E479" s="5"/>
    </row>
    <row r="480">
      <c r="A480" s="5"/>
      <c r="B480" s="5"/>
      <c r="C480" s="5"/>
      <c r="D480" s="5"/>
      <c r="E480" s="5"/>
    </row>
    <row r="481">
      <c r="A481" s="5"/>
      <c r="B481" s="5"/>
      <c r="C481" s="5"/>
      <c r="D481" s="5"/>
      <c r="E481" s="5"/>
    </row>
    <row r="482">
      <c r="A482" s="5"/>
      <c r="B482" s="5"/>
      <c r="C482" s="5"/>
      <c r="D482" s="5"/>
      <c r="E482" s="5"/>
    </row>
    <row r="483">
      <c r="A483" s="5"/>
      <c r="B483" s="5"/>
      <c r="C483" s="5"/>
      <c r="D483" s="5"/>
      <c r="E483" s="5"/>
    </row>
    <row r="484">
      <c r="A484" s="5"/>
      <c r="B484" s="5"/>
      <c r="C484" s="5"/>
      <c r="D484" s="5"/>
      <c r="E484" s="5"/>
    </row>
    <row r="485">
      <c r="A485" s="5"/>
      <c r="B485" s="5"/>
      <c r="C485" s="5"/>
      <c r="D485" s="5"/>
      <c r="E485" s="5"/>
    </row>
    <row r="486">
      <c r="A486" s="5"/>
      <c r="B486" s="5"/>
      <c r="C486" s="5"/>
      <c r="D486" s="5"/>
      <c r="E486" s="5"/>
    </row>
    <row r="487">
      <c r="A487" s="5"/>
      <c r="B487" s="5"/>
      <c r="C487" s="5"/>
      <c r="D487" s="5"/>
      <c r="E487" s="5"/>
    </row>
    <row r="488">
      <c r="A488" s="5"/>
      <c r="B488" s="5"/>
      <c r="C488" s="5"/>
      <c r="D488" s="5"/>
      <c r="E488" s="5"/>
    </row>
    <row r="489">
      <c r="A489" s="5"/>
      <c r="B489" s="5"/>
      <c r="C489" s="5"/>
      <c r="D489" s="5"/>
      <c r="E489" s="5"/>
    </row>
    <row r="490">
      <c r="A490" s="5"/>
      <c r="B490" s="5"/>
      <c r="C490" s="5"/>
      <c r="D490" s="5"/>
      <c r="E490" s="5"/>
    </row>
    <row r="491">
      <c r="A491" s="5"/>
      <c r="B491" s="5"/>
      <c r="C491" s="5"/>
      <c r="D491" s="5"/>
      <c r="E491" s="5"/>
    </row>
    <row r="492">
      <c r="A492" s="5"/>
      <c r="B492" s="5"/>
      <c r="C492" s="5"/>
      <c r="D492" s="5"/>
      <c r="E492" s="5"/>
    </row>
    <row r="493">
      <c r="A493" s="5"/>
      <c r="B493" s="5"/>
      <c r="C493" s="5"/>
      <c r="D493" s="5"/>
      <c r="E493" s="5"/>
    </row>
    <row r="494">
      <c r="A494" s="5"/>
      <c r="B494" s="5"/>
      <c r="C494" s="5"/>
      <c r="D494" s="5"/>
      <c r="E494" s="5"/>
    </row>
    <row r="495">
      <c r="A495" s="5"/>
      <c r="B495" s="5"/>
      <c r="C495" s="5"/>
      <c r="D495" s="5"/>
      <c r="E495" s="5"/>
    </row>
    <row r="496">
      <c r="A496" s="5"/>
      <c r="B496" s="5"/>
      <c r="C496" s="5"/>
      <c r="D496" s="5"/>
      <c r="E496" s="5"/>
    </row>
    <row r="497">
      <c r="A497" s="5"/>
      <c r="B497" s="5"/>
      <c r="C497" s="5"/>
      <c r="D497" s="5"/>
      <c r="E497" s="5"/>
    </row>
    <row r="498">
      <c r="A498" s="5"/>
      <c r="B498" s="5"/>
      <c r="C498" s="5"/>
      <c r="D498" s="5"/>
      <c r="E498" s="5"/>
    </row>
    <row r="499">
      <c r="A499" s="5"/>
      <c r="B499" s="5"/>
      <c r="C499" s="5"/>
      <c r="D499" s="5"/>
      <c r="E499" s="5"/>
    </row>
    <row r="500">
      <c r="A500" s="5"/>
      <c r="B500" s="5"/>
      <c r="C500" s="5"/>
      <c r="D500" s="5"/>
      <c r="E500" s="5"/>
    </row>
    <row r="501">
      <c r="A501" s="5"/>
      <c r="B501" s="5"/>
      <c r="C501" s="5"/>
      <c r="D501" s="5"/>
      <c r="E501" s="5"/>
    </row>
    <row r="502">
      <c r="A502" s="5"/>
      <c r="B502" s="5"/>
      <c r="C502" s="5"/>
      <c r="D502" s="5"/>
      <c r="E502" s="5"/>
    </row>
    <row r="503">
      <c r="A503" s="5"/>
      <c r="B503" s="5"/>
      <c r="C503" s="5"/>
      <c r="D503" s="5"/>
      <c r="E503" s="5"/>
    </row>
    <row r="504">
      <c r="A504" s="5"/>
      <c r="B504" s="5"/>
      <c r="C504" s="5"/>
      <c r="D504" s="5"/>
      <c r="E504" s="5"/>
    </row>
    <row r="505">
      <c r="A505" s="5"/>
      <c r="B505" s="5"/>
      <c r="C505" s="5"/>
      <c r="D505" s="5"/>
      <c r="E505" s="5"/>
    </row>
    <row r="506">
      <c r="A506" s="5"/>
      <c r="B506" s="5"/>
      <c r="C506" s="5"/>
      <c r="D506" s="5"/>
      <c r="E506" s="5"/>
    </row>
    <row r="507">
      <c r="A507" s="5"/>
      <c r="B507" s="5"/>
      <c r="C507" s="5"/>
      <c r="D507" s="5"/>
      <c r="E507" s="5"/>
    </row>
    <row r="508">
      <c r="A508" s="5"/>
      <c r="B508" s="5"/>
      <c r="C508" s="5"/>
      <c r="D508" s="5"/>
      <c r="E508" s="5"/>
    </row>
    <row r="509">
      <c r="A509" s="5"/>
      <c r="B509" s="5"/>
      <c r="C509" s="5"/>
      <c r="D509" s="5"/>
      <c r="E509" s="5"/>
    </row>
    <row r="510">
      <c r="A510" s="5"/>
      <c r="B510" s="5"/>
      <c r="C510" s="5"/>
      <c r="D510" s="5"/>
      <c r="E510" s="5"/>
    </row>
    <row r="511">
      <c r="A511" s="5"/>
      <c r="B511" s="5"/>
      <c r="C511" s="5"/>
      <c r="D511" s="5"/>
      <c r="E511" s="5"/>
    </row>
    <row r="512">
      <c r="A512" s="5"/>
      <c r="B512" s="5"/>
      <c r="C512" s="5"/>
      <c r="D512" s="5"/>
      <c r="E512" s="5"/>
    </row>
    <row r="513">
      <c r="A513" s="5"/>
      <c r="B513" s="5"/>
      <c r="C513" s="5"/>
      <c r="D513" s="5"/>
      <c r="E513" s="5"/>
    </row>
    <row r="514">
      <c r="A514" s="5"/>
      <c r="B514" s="5"/>
      <c r="C514" s="5"/>
      <c r="D514" s="5"/>
      <c r="E514" s="5"/>
    </row>
    <row r="515">
      <c r="A515" s="5"/>
      <c r="B515" s="5"/>
      <c r="C515" s="5"/>
      <c r="D515" s="5"/>
      <c r="E515" s="5"/>
    </row>
    <row r="516">
      <c r="A516" s="5"/>
      <c r="B516" s="5"/>
      <c r="C516" s="5"/>
      <c r="D516" s="5"/>
      <c r="E516" s="5"/>
    </row>
    <row r="517">
      <c r="A517" s="5"/>
      <c r="B517" s="5"/>
      <c r="C517" s="5"/>
      <c r="D517" s="5"/>
      <c r="E517" s="5"/>
    </row>
    <row r="518">
      <c r="A518" s="5"/>
      <c r="B518" s="5"/>
      <c r="C518" s="5"/>
      <c r="D518" s="5"/>
      <c r="E518" s="5"/>
    </row>
    <row r="519">
      <c r="A519" s="5"/>
      <c r="B519" s="5"/>
      <c r="C519" s="5"/>
      <c r="D519" s="5"/>
      <c r="E519" s="5"/>
    </row>
    <row r="520">
      <c r="A520" s="5"/>
      <c r="B520" s="5"/>
      <c r="C520" s="5"/>
      <c r="D520" s="5"/>
      <c r="E520" s="5"/>
    </row>
    <row r="521">
      <c r="A521" s="5"/>
      <c r="B521" s="5"/>
      <c r="C521" s="5"/>
      <c r="D521" s="5"/>
      <c r="E521" s="5"/>
    </row>
    <row r="522">
      <c r="A522" s="5"/>
      <c r="B522" s="5"/>
      <c r="C522" s="5"/>
      <c r="D522" s="5"/>
      <c r="E522" s="5"/>
    </row>
    <row r="523">
      <c r="A523" s="5"/>
      <c r="B523" s="5"/>
      <c r="C523" s="5"/>
      <c r="D523" s="5"/>
      <c r="E523" s="5"/>
    </row>
    <row r="524">
      <c r="A524" s="5"/>
      <c r="B524" s="5"/>
      <c r="C524" s="5"/>
      <c r="D524" s="5"/>
      <c r="E524" s="5"/>
    </row>
    <row r="525">
      <c r="A525" s="5"/>
      <c r="B525" s="5"/>
      <c r="C525" s="5"/>
      <c r="D525" s="5"/>
      <c r="E525" s="5"/>
    </row>
    <row r="526">
      <c r="A526" s="5"/>
      <c r="B526" s="5"/>
      <c r="C526" s="5"/>
      <c r="D526" s="5"/>
      <c r="E526" s="5"/>
    </row>
    <row r="527">
      <c r="A527" s="5"/>
      <c r="B527" s="5"/>
      <c r="C527" s="5"/>
      <c r="D527" s="5"/>
      <c r="E527" s="5"/>
    </row>
    <row r="528">
      <c r="A528" s="5"/>
      <c r="B528" s="5"/>
      <c r="C528" s="5"/>
      <c r="D528" s="5"/>
      <c r="E528" s="5"/>
    </row>
    <row r="529">
      <c r="A529" s="5"/>
      <c r="B529" s="5"/>
      <c r="C529" s="5"/>
      <c r="D529" s="5"/>
      <c r="E529" s="5"/>
    </row>
    <row r="530">
      <c r="A530" s="5"/>
      <c r="B530" s="5"/>
      <c r="C530" s="5"/>
      <c r="D530" s="5"/>
      <c r="E530" s="5"/>
    </row>
    <row r="531">
      <c r="A531" s="5"/>
      <c r="B531" s="5"/>
      <c r="C531" s="5"/>
      <c r="D531" s="5"/>
      <c r="E531" s="5"/>
    </row>
    <row r="532">
      <c r="A532" s="5"/>
      <c r="B532" s="5"/>
      <c r="C532" s="5"/>
      <c r="D532" s="5"/>
      <c r="E532" s="5"/>
    </row>
    <row r="533">
      <c r="A533" s="5"/>
      <c r="B533" s="5"/>
      <c r="C533" s="5"/>
      <c r="D533" s="5"/>
      <c r="E533" s="5"/>
    </row>
    <row r="534">
      <c r="A534" s="5"/>
      <c r="B534" s="5"/>
      <c r="C534" s="5"/>
      <c r="D534" s="5"/>
      <c r="E534" s="5"/>
    </row>
    <row r="535">
      <c r="A535" s="5"/>
      <c r="B535" s="5"/>
      <c r="C535" s="5"/>
      <c r="D535" s="5"/>
      <c r="E535" s="5"/>
    </row>
    <row r="536">
      <c r="A536" s="5"/>
      <c r="B536" s="5"/>
      <c r="C536" s="5"/>
      <c r="D536" s="5"/>
      <c r="E536" s="5"/>
    </row>
    <row r="537">
      <c r="A537" s="5"/>
      <c r="B537" s="5"/>
      <c r="C537" s="5"/>
      <c r="D537" s="5"/>
      <c r="E537" s="5"/>
    </row>
    <row r="538">
      <c r="A538" s="5"/>
      <c r="B538" s="5"/>
      <c r="C538" s="5"/>
      <c r="D538" s="5"/>
      <c r="E538" s="5"/>
    </row>
    <row r="539">
      <c r="A539" s="5"/>
      <c r="B539" s="5"/>
      <c r="C539" s="5"/>
      <c r="D539" s="5"/>
      <c r="E539" s="5"/>
    </row>
    <row r="540">
      <c r="A540" s="5"/>
      <c r="B540" s="5"/>
      <c r="C540" s="5"/>
      <c r="D540" s="5"/>
      <c r="E540" s="5"/>
    </row>
    <row r="541">
      <c r="A541" s="5"/>
      <c r="B541" s="5"/>
      <c r="C541" s="5"/>
      <c r="D541" s="5"/>
      <c r="E541" s="5"/>
    </row>
    <row r="542">
      <c r="A542" s="5"/>
      <c r="B542" s="5"/>
      <c r="C542" s="5"/>
      <c r="D542" s="5"/>
      <c r="E542" s="5"/>
    </row>
    <row r="543">
      <c r="A543" s="5"/>
      <c r="B543" s="5"/>
      <c r="C543" s="5"/>
      <c r="D543" s="5"/>
      <c r="E543" s="5"/>
    </row>
    <row r="544">
      <c r="A544" s="5"/>
      <c r="B544" s="5"/>
      <c r="C544" s="5"/>
      <c r="D544" s="5"/>
      <c r="E544" s="5"/>
    </row>
    <row r="545">
      <c r="A545" s="5"/>
      <c r="B545" s="5"/>
      <c r="C545" s="5"/>
      <c r="D545" s="5"/>
      <c r="E545" s="5"/>
    </row>
    <row r="546">
      <c r="A546" s="5"/>
      <c r="B546" s="5"/>
      <c r="C546" s="5"/>
      <c r="D546" s="5"/>
      <c r="E546" s="5"/>
    </row>
    <row r="547">
      <c r="A547" s="5"/>
      <c r="B547" s="5"/>
      <c r="C547" s="5"/>
      <c r="D547" s="5"/>
      <c r="E547" s="5"/>
    </row>
    <row r="548">
      <c r="A548" s="5"/>
      <c r="B548" s="5"/>
      <c r="C548" s="5"/>
      <c r="D548" s="5"/>
      <c r="E548" s="5"/>
    </row>
    <row r="549">
      <c r="A549" s="5"/>
      <c r="B549" s="5"/>
      <c r="C549" s="5"/>
      <c r="D549" s="5"/>
      <c r="E549" s="5"/>
    </row>
    <row r="550">
      <c r="A550" s="5"/>
      <c r="B550" s="5"/>
      <c r="C550" s="5"/>
      <c r="D550" s="5"/>
      <c r="E550" s="5"/>
    </row>
    <row r="551">
      <c r="A551" s="5"/>
      <c r="B551" s="5"/>
      <c r="C551" s="5"/>
      <c r="D551" s="5"/>
      <c r="E551" s="5"/>
    </row>
    <row r="552">
      <c r="A552" s="5"/>
      <c r="B552" s="5"/>
      <c r="C552" s="5"/>
      <c r="D552" s="5"/>
      <c r="E552" s="5"/>
    </row>
    <row r="553">
      <c r="A553" s="5"/>
      <c r="B553" s="5"/>
      <c r="C553" s="5"/>
      <c r="D553" s="5"/>
      <c r="E553" s="5"/>
    </row>
    <row r="554">
      <c r="A554" s="5"/>
      <c r="B554" s="5"/>
      <c r="C554" s="5"/>
      <c r="D554" s="5"/>
      <c r="E554" s="5"/>
    </row>
    <row r="555">
      <c r="A555" s="5"/>
      <c r="B555" s="5"/>
      <c r="C555" s="5"/>
      <c r="D555" s="5"/>
      <c r="E555" s="5"/>
    </row>
    <row r="556">
      <c r="A556" s="5"/>
      <c r="B556" s="5"/>
      <c r="C556" s="5"/>
      <c r="D556" s="5"/>
      <c r="E556" s="5"/>
    </row>
    <row r="557">
      <c r="A557" s="5"/>
      <c r="B557" s="5"/>
      <c r="C557" s="5"/>
      <c r="D557" s="5"/>
      <c r="E557" s="5"/>
    </row>
    <row r="558">
      <c r="A558" s="5"/>
      <c r="B558" s="5"/>
      <c r="C558" s="5"/>
      <c r="D558" s="5"/>
      <c r="E558" s="5"/>
    </row>
    <row r="559">
      <c r="A559" s="5"/>
      <c r="B559" s="5"/>
      <c r="C559" s="5"/>
      <c r="D559" s="5"/>
      <c r="E559" s="5"/>
    </row>
    <row r="560">
      <c r="A560" s="5"/>
      <c r="B560" s="5"/>
      <c r="C560" s="5"/>
      <c r="D560" s="5"/>
      <c r="E560" s="5"/>
    </row>
    <row r="561">
      <c r="A561" s="5"/>
      <c r="B561" s="5"/>
      <c r="C561" s="5"/>
      <c r="D561" s="5"/>
      <c r="E561" s="5"/>
    </row>
    <row r="562">
      <c r="A562" s="5"/>
      <c r="B562" s="5"/>
      <c r="C562" s="5"/>
      <c r="D562" s="5"/>
      <c r="E562" s="5"/>
    </row>
    <row r="563">
      <c r="A563" s="5"/>
      <c r="B563" s="5"/>
      <c r="C563" s="5"/>
      <c r="D563" s="5"/>
      <c r="E563" s="5"/>
    </row>
    <row r="564">
      <c r="A564" s="5"/>
      <c r="B564" s="5"/>
      <c r="C564" s="5"/>
      <c r="D564" s="5"/>
      <c r="E564" s="5"/>
    </row>
    <row r="565">
      <c r="A565" s="5"/>
      <c r="B565" s="5"/>
      <c r="C565" s="5"/>
      <c r="D565" s="5"/>
      <c r="E565" s="5"/>
    </row>
    <row r="566">
      <c r="A566" s="5"/>
      <c r="B566" s="5"/>
      <c r="C566" s="5"/>
      <c r="D566" s="5"/>
      <c r="E566" s="5"/>
    </row>
    <row r="567">
      <c r="A567" s="5"/>
      <c r="B567" s="5"/>
      <c r="C567" s="5"/>
      <c r="D567" s="5"/>
      <c r="E567" s="5"/>
    </row>
    <row r="568">
      <c r="A568" s="5"/>
      <c r="B568" s="5"/>
      <c r="C568" s="5"/>
      <c r="D568" s="5"/>
      <c r="E568" s="5"/>
    </row>
    <row r="569">
      <c r="A569" s="5"/>
      <c r="B569" s="5"/>
      <c r="C569" s="5"/>
      <c r="D569" s="5"/>
      <c r="E569" s="5"/>
    </row>
    <row r="570">
      <c r="A570" s="5"/>
      <c r="B570" s="5"/>
      <c r="C570" s="5"/>
      <c r="D570" s="5"/>
      <c r="E570" s="5"/>
    </row>
    <row r="571">
      <c r="A571" s="5"/>
      <c r="B571" s="5"/>
      <c r="C571" s="5"/>
      <c r="D571" s="5"/>
      <c r="E571" s="5"/>
    </row>
    <row r="572">
      <c r="A572" s="5"/>
      <c r="B572" s="5"/>
      <c r="C572" s="5"/>
      <c r="D572" s="5"/>
      <c r="E572" s="5"/>
    </row>
    <row r="573">
      <c r="A573" s="5"/>
      <c r="B573" s="5"/>
      <c r="C573" s="5"/>
      <c r="D573" s="5"/>
      <c r="E573" s="5"/>
    </row>
    <row r="574">
      <c r="A574" s="5"/>
      <c r="B574" s="5"/>
      <c r="C574" s="5"/>
      <c r="D574" s="5"/>
      <c r="E574" s="5"/>
    </row>
    <row r="575">
      <c r="A575" s="5"/>
      <c r="B575" s="5"/>
      <c r="C575" s="5"/>
      <c r="D575" s="5"/>
      <c r="E575" s="5"/>
    </row>
    <row r="576">
      <c r="A576" s="5"/>
      <c r="B576" s="5"/>
      <c r="C576" s="5"/>
      <c r="D576" s="5"/>
      <c r="E576" s="5"/>
    </row>
    <row r="577">
      <c r="A577" s="5"/>
      <c r="B577" s="5"/>
      <c r="C577" s="5"/>
      <c r="D577" s="5"/>
      <c r="E577" s="5"/>
    </row>
    <row r="578">
      <c r="A578" s="5"/>
      <c r="B578" s="5"/>
      <c r="C578" s="5"/>
      <c r="D578" s="5"/>
      <c r="E578" s="5"/>
    </row>
    <row r="579">
      <c r="A579" s="5"/>
      <c r="B579" s="5"/>
      <c r="C579" s="5"/>
      <c r="D579" s="5"/>
      <c r="E579" s="5"/>
    </row>
    <row r="580">
      <c r="A580" s="5"/>
      <c r="B580" s="5"/>
      <c r="C580" s="5"/>
      <c r="D580" s="5"/>
      <c r="E580" s="5"/>
    </row>
    <row r="581">
      <c r="A581" s="5"/>
      <c r="B581" s="5"/>
      <c r="C581" s="5"/>
      <c r="D581" s="5"/>
      <c r="E581" s="5"/>
    </row>
    <row r="582">
      <c r="A582" s="5"/>
      <c r="B582" s="5"/>
      <c r="C582" s="5"/>
      <c r="D582" s="5"/>
      <c r="E582" s="5"/>
    </row>
    <row r="583">
      <c r="A583" s="5"/>
      <c r="B583" s="5"/>
      <c r="C583" s="5"/>
      <c r="D583" s="5"/>
      <c r="E583" s="5"/>
    </row>
    <row r="584">
      <c r="A584" s="5"/>
      <c r="B584" s="5"/>
      <c r="C584" s="5"/>
      <c r="D584" s="5"/>
      <c r="E584" s="5"/>
    </row>
    <row r="585">
      <c r="A585" s="5"/>
      <c r="B585" s="5"/>
      <c r="C585" s="5"/>
      <c r="D585" s="5"/>
      <c r="E585" s="5"/>
    </row>
    <row r="586">
      <c r="A586" s="5"/>
      <c r="B586" s="5"/>
      <c r="C586" s="5"/>
      <c r="D586" s="5"/>
      <c r="E586" s="5"/>
    </row>
    <row r="587">
      <c r="A587" s="5"/>
      <c r="B587" s="5"/>
      <c r="C587" s="5"/>
      <c r="D587" s="5"/>
      <c r="E587" s="5"/>
    </row>
    <row r="588">
      <c r="A588" s="5"/>
      <c r="B588" s="5"/>
      <c r="C588" s="5"/>
      <c r="D588" s="5"/>
      <c r="E588" s="5"/>
    </row>
    <row r="589">
      <c r="A589" s="5"/>
      <c r="B589" s="5"/>
      <c r="C589" s="5"/>
      <c r="D589" s="5"/>
      <c r="E589" s="5"/>
    </row>
    <row r="590">
      <c r="A590" s="5"/>
      <c r="B590" s="5"/>
      <c r="C590" s="5"/>
      <c r="D590" s="5"/>
      <c r="E590" s="5"/>
    </row>
    <row r="591">
      <c r="A591" s="5"/>
      <c r="B591" s="5"/>
      <c r="C591" s="5"/>
      <c r="D591" s="5"/>
      <c r="E591" s="5"/>
    </row>
    <row r="592">
      <c r="A592" s="5"/>
      <c r="B592" s="5"/>
      <c r="C592" s="5"/>
      <c r="D592" s="5"/>
      <c r="E592" s="5"/>
    </row>
    <row r="593">
      <c r="A593" s="5"/>
      <c r="B593" s="5"/>
      <c r="C593" s="5"/>
      <c r="D593" s="5"/>
      <c r="E593" s="5"/>
    </row>
    <row r="594">
      <c r="A594" s="5"/>
      <c r="B594" s="5"/>
      <c r="C594" s="5"/>
      <c r="D594" s="5"/>
      <c r="E594" s="5"/>
    </row>
    <row r="595">
      <c r="A595" s="5"/>
      <c r="B595" s="5"/>
      <c r="C595" s="5"/>
      <c r="D595" s="5"/>
      <c r="E595" s="5"/>
    </row>
    <row r="596">
      <c r="A596" s="5"/>
      <c r="B596" s="5"/>
      <c r="C596" s="5"/>
      <c r="D596" s="5"/>
      <c r="E596" s="5"/>
    </row>
    <row r="597">
      <c r="A597" s="5"/>
      <c r="B597" s="5"/>
      <c r="C597" s="5"/>
      <c r="D597" s="5"/>
      <c r="E597" s="5"/>
    </row>
    <row r="598">
      <c r="A598" s="5"/>
      <c r="B598" s="5"/>
      <c r="C598" s="5"/>
      <c r="D598" s="5"/>
      <c r="E598" s="5"/>
    </row>
    <row r="599">
      <c r="A599" s="5"/>
      <c r="B599" s="5"/>
      <c r="C599" s="5"/>
      <c r="D599" s="5"/>
      <c r="E599" s="5"/>
    </row>
    <row r="600">
      <c r="A600" s="5"/>
      <c r="B600" s="5"/>
      <c r="C600" s="5"/>
      <c r="D600" s="5"/>
      <c r="E600" s="5"/>
    </row>
    <row r="601">
      <c r="A601" s="5"/>
      <c r="B601" s="5"/>
      <c r="C601" s="5"/>
      <c r="D601" s="5"/>
      <c r="E601" s="5"/>
    </row>
    <row r="602">
      <c r="A602" s="5"/>
      <c r="B602" s="5"/>
      <c r="C602" s="5"/>
      <c r="D602" s="5"/>
      <c r="E602" s="5"/>
    </row>
    <row r="603">
      <c r="A603" s="5"/>
      <c r="B603" s="5"/>
      <c r="C603" s="5"/>
      <c r="D603" s="5"/>
      <c r="E603" s="5"/>
    </row>
    <row r="604">
      <c r="A604" s="5"/>
      <c r="B604" s="5"/>
      <c r="C604" s="5"/>
      <c r="D604" s="5"/>
      <c r="E604" s="5"/>
    </row>
    <row r="605">
      <c r="A605" s="5"/>
      <c r="B605" s="5"/>
      <c r="C605" s="5"/>
      <c r="D605" s="5"/>
      <c r="E605" s="5"/>
    </row>
    <row r="606">
      <c r="A606" s="5"/>
      <c r="B606" s="5"/>
      <c r="C606" s="5"/>
      <c r="D606" s="5"/>
      <c r="E606" s="5"/>
    </row>
    <row r="607">
      <c r="A607" s="5"/>
      <c r="B607" s="5"/>
      <c r="C607" s="5"/>
      <c r="D607" s="5"/>
      <c r="E607" s="5"/>
    </row>
    <row r="608">
      <c r="A608" s="5"/>
      <c r="B608" s="5"/>
      <c r="C608" s="5"/>
      <c r="D608" s="5"/>
      <c r="E608" s="5"/>
    </row>
    <row r="609">
      <c r="A609" s="5"/>
      <c r="B609" s="5"/>
      <c r="C609" s="5"/>
      <c r="D609" s="5"/>
      <c r="E609" s="5"/>
    </row>
    <row r="610">
      <c r="A610" s="5"/>
      <c r="B610" s="5"/>
      <c r="C610" s="5"/>
      <c r="D610" s="5"/>
      <c r="E610" s="5"/>
    </row>
    <row r="611">
      <c r="A611" s="5"/>
      <c r="B611" s="5"/>
      <c r="C611" s="5"/>
      <c r="D611" s="5"/>
      <c r="E611" s="5"/>
    </row>
    <row r="612">
      <c r="A612" s="5"/>
      <c r="B612" s="5"/>
      <c r="C612" s="5"/>
      <c r="D612" s="5"/>
      <c r="E612" s="5"/>
    </row>
    <row r="613">
      <c r="A613" s="5"/>
      <c r="B613" s="5"/>
      <c r="C613" s="5"/>
      <c r="D613" s="5"/>
      <c r="E613" s="5"/>
    </row>
    <row r="614">
      <c r="A614" s="5"/>
      <c r="B614" s="5"/>
      <c r="C614" s="5"/>
      <c r="D614" s="5"/>
      <c r="E614" s="5"/>
    </row>
    <row r="615">
      <c r="A615" s="5"/>
      <c r="B615" s="5"/>
      <c r="C615" s="5"/>
      <c r="D615" s="5"/>
      <c r="E615" s="5"/>
    </row>
    <row r="616">
      <c r="A616" s="5"/>
      <c r="B616" s="5"/>
      <c r="C616" s="5"/>
      <c r="D616" s="5"/>
      <c r="E616" s="5"/>
    </row>
    <row r="617">
      <c r="A617" s="5"/>
      <c r="B617" s="5"/>
      <c r="C617" s="5"/>
      <c r="D617" s="5"/>
      <c r="E617" s="5"/>
    </row>
    <row r="618">
      <c r="A618" s="5"/>
      <c r="B618" s="5"/>
      <c r="C618" s="5"/>
      <c r="D618" s="5"/>
      <c r="E618" s="5"/>
    </row>
    <row r="619">
      <c r="A619" s="5"/>
      <c r="B619" s="5"/>
      <c r="C619" s="5"/>
      <c r="D619" s="5"/>
      <c r="E619" s="5"/>
    </row>
    <row r="620">
      <c r="A620" s="5"/>
      <c r="B620" s="5"/>
      <c r="C620" s="5"/>
      <c r="D620" s="5"/>
      <c r="E620" s="5"/>
    </row>
    <row r="621">
      <c r="A621" s="5"/>
      <c r="B621" s="5"/>
      <c r="C621" s="5"/>
      <c r="D621" s="5"/>
      <c r="E621" s="5"/>
    </row>
    <row r="622">
      <c r="A622" s="5"/>
      <c r="B622" s="5"/>
      <c r="C622" s="5"/>
      <c r="D622" s="5"/>
      <c r="E622" s="5"/>
    </row>
    <row r="623">
      <c r="A623" s="5"/>
      <c r="B623" s="5"/>
      <c r="C623" s="5"/>
      <c r="D623" s="5"/>
      <c r="E623" s="5"/>
    </row>
    <row r="624">
      <c r="A624" s="5"/>
      <c r="B624" s="5"/>
      <c r="C624" s="5"/>
      <c r="D624" s="5"/>
      <c r="E624" s="5"/>
    </row>
    <row r="625">
      <c r="A625" s="5"/>
      <c r="B625" s="5"/>
      <c r="C625" s="5"/>
      <c r="D625" s="5"/>
      <c r="E625" s="5"/>
    </row>
    <row r="626">
      <c r="A626" s="5"/>
      <c r="B626" s="5"/>
      <c r="C626" s="5"/>
      <c r="D626" s="5"/>
      <c r="E626" s="5"/>
    </row>
    <row r="627">
      <c r="A627" s="5"/>
      <c r="B627" s="5"/>
      <c r="C627" s="5"/>
      <c r="D627" s="5"/>
      <c r="E627" s="5"/>
    </row>
    <row r="628">
      <c r="A628" s="5"/>
      <c r="B628" s="5"/>
      <c r="C628" s="5"/>
      <c r="D628" s="5"/>
      <c r="E628" s="5"/>
    </row>
    <row r="629">
      <c r="A629" s="5"/>
      <c r="B629" s="5"/>
      <c r="C629" s="5"/>
      <c r="D629" s="5"/>
      <c r="E629" s="5"/>
    </row>
    <row r="630">
      <c r="A630" s="5"/>
      <c r="B630" s="5"/>
      <c r="C630" s="5"/>
      <c r="D630" s="5"/>
      <c r="E630" s="5"/>
    </row>
    <row r="631">
      <c r="A631" s="5"/>
      <c r="B631" s="5"/>
      <c r="C631" s="5"/>
      <c r="D631" s="5"/>
      <c r="E631" s="5"/>
    </row>
    <row r="632">
      <c r="A632" s="5"/>
      <c r="B632" s="5"/>
      <c r="C632" s="5"/>
      <c r="D632" s="5"/>
      <c r="E632" s="5"/>
    </row>
    <row r="633">
      <c r="A633" s="5"/>
      <c r="B633" s="5"/>
      <c r="C633" s="5"/>
      <c r="D633" s="5"/>
      <c r="E633" s="5"/>
    </row>
    <row r="634">
      <c r="A634" s="5"/>
      <c r="B634" s="5"/>
      <c r="C634" s="5"/>
      <c r="D634" s="5"/>
      <c r="E634" s="5"/>
    </row>
    <row r="635">
      <c r="A635" s="5"/>
      <c r="B635" s="5"/>
      <c r="C635" s="5"/>
      <c r="D635" s="5"/>
      <c r="E635" s="5"/>
    </row>
    <row r="636">
      <c r="A636" s="5"/>
      <c r="B636" s="5"/>
      <c r="C636" s="5"/>
      <c r="D636" s="5"/>
      <c r="E636" s="5"/>
    </row>
    <row r="637">
      <c r="A637" s="5"/>
      <c r="B637" s="5"/>
      <c r="C637" s="5"/>
      <c r="D637" s="5"/>
      <c r="E637" s="5"/>
    </row>
    <row r="638">
      <c r="A638" s="5"/>
      <c r="B638" s="5"/>
      <c r="C638" s="5"/>
      <c r="D638" s="5"/>
      <c r="E638" s="5"/>
    </row>
    <row r="639">
      <c r="A639" s="5"/>
      <c r="B639" s="5"/>
      <c r="C639" s="5"/>
      <c r="D639" s="5"/>
      <c r="E639" s="5"/>
    </row>
    <row r="640">
      <c r="A640" s="5"/>
      <c r="B640" s="5"/>
      <c r="C640" s="5"/>
      <c r="D640" s="5"/>
      <c r="E640" s="5"/>
    </row>
    <row r="641">
      <c r="A641" s="5"/>
      <c r="B641" s="5"/>
      <c r="C641" s="5"/>
      <c r="D641" s="5"/>
      <c r="E641" s="5"/>
    </row>
    <row r="642">
      <c r="A642" s="5"/>
      <c r="B642" s="5"/>
      <c r="C642" s="5"/>
      <c r="D642" s="5"/>
      <c r="E642" s="5"/>
    </row>
    <row r="643">
      <c r="A643" s="5"/>
      <c r="B643" s="5"/>
      <c r="C643" s="5"/>
      <c r="D643" s="5"/>
      <c r="E643" s="5"/>
    </row>
    <row r="644">
      <c r="A644" s="5"/>
      <c r="B644" s="5"/>
      <c r="C644" s="5"/>
      <c r="D644" s="5"/>
      <c r="E644" s="5"/>
    </row>
    <row r="645">
      <c r="A645" s="5"/>
      <c r="B645" s="5"/>
      <c r="C645" s="5"/>
      <c r="D645" s="5"/>
      <c r="E645" s="5"/>
    </row>
    <row r="646">
      <c r="A646" s="5"/>
      <c r="B646" s="5"/>
      <c r="C646" s="5"/>
      <c r="D646" s="5"/>
      <c r="E646" s="5"/>
    </row>
    <row r="647">
      <c r="A647" s="5"/>
      <c r="B647" s="5"/>
      <c r="C647" s="5"/>
      <c r="D647" s="5"/>
      <c r="E647" s="5"/>
    </row>
    <row r="648">
      <c r="A648" s="5"/>
      <c r="B648" s="5"/>
      <c r="C648" s="5"/>
      <c r="D648" s="5"/>
      <c r="E648" s="5"/>
    </row>
    <row r="649">
      <c r="A649" s="5"/>
      <c r="B649" s="5"/>
      <c r="C649" s="5"/>
      <c r="D649" s="5"/>
      <c r="E649" s="5"/>
    </row>
    <row r="650">
      <c r="A650" s="5"/>
      <c r="B650" s="5"/>
      <c r="C650" s="5"/>
      <c r="D650" s="5"/>
      <c r="E650" s="5"/>
    </row>
    <row r="651">
      <c r="A651" s="5"/>
      <c r="B651" s="5"/>
      <c r="C651" s="5"/>
      <c r="D651" s="5"/>
      <c r="E651" s="5"/>
    </row>
    <row r="652">
      <c r="A652" s="5"/>
      <c r="B652" s="5"/>
      <c r="C652" s="5"/>
      <c r="D652" s="5"/>
      <c r="E652" s="5"/>
    </row>
    <row r="653">
      <c r="A653" s="5"/>
      <c r="B653" s="5"/>
      <c r="C653" s="5"/>
      <c r="D653" s="5"/>
      <c r="E653" s="5"/>
    </row>
    <row r="654">
      <c r="A654" s="5"/>
      <c r="B654" s="5"/>
      <c r="C654" s="5"/>
      <c r="D654" s="5"/>
      <c r="E654" s="5"/>
    </row>
    <row r="655">
      <c r="A655" s="5"/>
      <c r="B655" s="5"/>
      <c r="C655" s="5"/>
      <c r="D655" s="5"/>
      <c r="E655" s="5"/>
    </row>
    <row r="656">
      <c r="A656" s="5"/>
      <c r="B656" s="5"/>
      <c r="C656" s="5"/>
      <c r="D656" s="5"/>
      <c r="E656" s="5"/>
    </row>
    <row r="657">
      <c r="A657" s="5"/>
      <c r="B657" s="5"/>
      <c r="C657" s="5"/>
      <c r="D657" s="5"/>
      <c r="E657" s="5"/>
    </row>
    <row r="658">
      <c r="A658" s="5"/>
      <c r="B658" s="5"/>
      <c r="C658" s="5"/>
      <c r="D658" s="5"/>
      <c r="E658" s="5"/>
    </row>
    <row r="659">
      <c r="A659" s="5"/>
      <c r="B659" s="5"/>
      <c r="C659" s="5"/>
      <c r="D659" s="5"/>
      <c r="E659" s="5"/>
    </row>
    <row r="660">
      <c r="A660" s="5"/>
      <c r="B660" s="5"/>
      <c r="C660" s="5"/>
      <c r="D660" s="5"/>
      <c r="E660" s="5"/>
    </row>
    <row r="661">
      <c r="A661" s="5"/>
      <c r="B661" s="5"/>
      <c r="C661" s="5"/>
      <c r="D661" s="5"/>
      <c r="E661" s="5"/>
    </row>
    <row r="662">
      <c r="A662" s="5"/>
      <c r="B662" s="5"/>
      <c r="C662" s="5"/>
      <c r="D662" s="5"/>
      <c r="E662" s="5"/>
    </row>
    <row r="663">
      <c r="A663" s="5"/>
      <c r="B663" s="5"/>
      <c r="C663" s="5"/>
      <c r="D663" s="5"/>
      <c r="E663" s="5"/>
    </row>
    <row r="664">
      <c r="A664" s="5"/>
      <c r="B664" s="5"/>
      <c r="C664" s="5"/>
      <c r="D664" s="5"/>
      <c r="E664" s="5"/>
    </row>
    <row r="665">
      <c r="A665" s="5"/>
      <c r="B665" s="5"/>
      <c r="C665" s="5"/>
      <c r="D665" s="5"/>
      <c r="E665" s="5"/>
    </row>
    <row r="666">
      <c r="A666" s="5"/>
      <c r="B666" s="5"/>
      <c r="C666" s="5"/>
      <c r="D666" s="5"/>
      <c r="E666" s="5"/>
    </row>
    <row r="667">
      <c r="A667" s="5"/>
      <c r="B667" s="5"/>
      <c r="C667" s="5"/>
      <c r="D667" s="5"/>
      <c r="E667" s="5"/>
    </row>
    <row r="668">
      <c r="A668" s="5"/>
      <c r="B668" s="5"/>
      <c r="C668" s="5"/>
      <c r="D668" s="5"/>
      <c r="E668" s="5"/>
    </row>
    <row r="669">
      <c r="A669" s="5"/>
      <c r="B669" s="5"/>
      <c r="C669" s="5"/>
      <c r="D669" s="5"/>
      <c r="E669" s="5"/>
    </row>
    <row r="670">
      <c r="A670" s="5"/>
      <c r="B670" s="5"/>
      <c r="C670" s="5"/>
      <c r="D670" s="5"/>
      <c r="E670" s="5"/>
    </row>
    <row r="671">
      <c r="A671" s="5"/>
      <c r="B671" s="5"/>
      <c r="C671" s="5"/>
      <c r="D671" s="5"/>
      <c r="E671" s="5"/>
    </row>
    <row r="672">
      <c r="A672" s="5"/>
      <c r="B672" s="5"/>
      <c r="C672" s="5"/>
      <c r="D672" s="5"/>
      <c r="E672" s="5"/>
    </row>
    <row r="673">
      <c r="A673" s="5"/>
      <c r="B673" s="5"/>
      <c r="C673" s="5"/>
      <c r="D673" s="5"/>
      <c r="E673" s="5"/>
    </row>
    <row r="674">
      <c r="A674" s="5"/>
      <c r="B674" s="5"/>
      <c r="C674" s="5"/>
      <c r="D674" s="5"/>
      <c r="E674" s="5"/>
    </row>
    <row r="675">
      <c r="A675" s="5"/>
      <c r="B675" s="5"/>
      <c r="C675" s="5"/>
      <c r="D675" s="5"/>
      <c r="E675" s="5"/>
    </row>
    <row r="676">
      <c r="A676" s="5"/>
      <c r="B676" s="5"/>
      <c r="C676" s="5"/>
      <c r="D676" s="5"/>
      <c r="E676" s="5"/>
    </row>
    <row r="677">
      <c r="A677" s="5"/>
      <c r="B677" s="5"/>
      <c r="C677" s="5"/>
      <c r="D677" s="5"/>
      <c r="E677" s="5"/>
    </row>
    <row r="678">
      <c r="A678" s="5"/>
      <c r="B678" s="5"/>
      <c r="C678" s="5"/>
      <c r="D678" s="5"/>
      <c r="E678" s="5"/>
    </row>
    <row r="679">
      <c r="A679" s="5"/>
      <c r="B679" s="5"/>
      <c r="C679" s="5"/>
      <c r="D679" s="5"/>
      <c r="E679" s="5"/>
    </row>
    <row r="680">
      <c r="A680" s="5"/>
      <c r="B680" s="5"/>
      <c r="C680" s="5"/>
      <c r="D680" s="5"/>
      <c r="E680" s="5"/>
    </row>
    <row r="681">
      <c r="A681" s="5"/>
      <c r="B681" s="5"/>
      <c r="C681" s="5"/>
      <c r="D681" s="5"/>
      <c r="E681" s="5"/>
    </row>
    <row r="682">
      <c r="A682" s="5"/>
      <c r="B682" s="5"/>
      <c r="C682" s="5"/>
      <c r="D682" s="5"/>
      <c r="E682" s="5"/>
    </row>
    <row r="683">
      <c r="A683" s="5"/>
      <c r="B683" s="5"/>
      <c r="C683" s="5"/>
      <c r="D683" s="5"/>
      <c r="E683" s="5"/>
    </row>
    <row r="684">
      <c r="A684" s="5"/>
      <c r="B684" s="5"/>
      <c r="C684" s="5"/>
      <c r="D684" s="5"/>
      <c r="E684" s="5"/>
    </row>
    <row r="685">
      <c r="A685" s="5"/>
      <c r="B685" s="5"/>
      <c r="C685" s="5"/>
      <c r="D685" s="5"/>
      <c r="E685" s="5"/>
    </row>
    <row r="686">
      <c r="A686" s="5"/>
      <c r="B686" s="5"/>
      <c r="C686" s="5"/>
      <c r="D686" s="5"/>
      <c r="E686" s="5"/>
    </row>
    <row r="687">
      <c r="A687" s="5"/>
      <c r="B687" s="5"/>
      <c r="C687" s="5"/>
      <c r="D687" s="5"/>
      <c r="E687" s="5"/>
    </row>
    <row r="688">
      <c r="A688" s="5"/>
      <c r="B688" s="5"/>
      <c r="C688" s="5"/>
      <c r="D688" s="5"/>
      <c r="E688" s="5"/>
    </row>
    <row r="689">
      <c r="A689" s="5"/>
      <c r="B689" s="5"/>
      <c r="C689" s="5"/>
      <c r="D689" s="5"/>
      <c r="E689" s="5"/>
    </row>
    <row r="690">
      <c r="A690" s="5"/>
      <c r="B690" s="5"/>
      <c r="C690" s="5"/>
      <c r="D690" s="5"/>
      <c r="E690" s="5"/>
    </row>
    <row r="691">
      <c r="A691" s="5"/>
      <c r="B691" s="5"/>
      <c r="C691" s="5"/>
      <c r="D691" s="5"/>
      <c r="E691" s="5"/>
    </row>
    <row r="692">
      <c r="A692" s="5"/>
      <c r="B692" s="5"/>
      <c r="C692" s="5"/>
      <c r="D692" s="5"/>
      <c r="E692" s="5"/>
    </row>
    <row r="693">
      <c r="A693" s="5"/>
      <c r="B693" s="5"/>
      <c r="C693" s="5"/>
      <c r="D693" s="5"/>
      <c r="E693" s="5"/>
    </row>
    <row r="694">
      <c r="A694" s="5"/>
      <c r="B694" s="5"/>
      <c r="C694" s="5"/>
      <c r="D694" s="5"/>
      <c r="E694" s="5"/>
    </row>
    <row r="695">
      <c r="A695" s="5"/>
      <c r="B695" s="5"/>
      <c r="C695" s="5"/>
      <c r="D695" s="5"/>
      <c r="E695" s="5"/>
    </row>
    <row r="696">
      <c r="A696" s="5"/>
      <c r="B696" s="5"/>
      <c r="C696" s="5"/>
      <c r="D696" s="5"/>
      <c r="E696" s="5"/>
    </row>
    <row r="697">
      <c r="A697" s="5"/>
      <c r="B697" s="5"/>
      <c r="C697" s="5"/>
      <c r="D697" s="5"/>
      <c r="E697" s="5"/>
    </row>
    <row r="698">
      <c r="A698" s="5"/>
      <c r="B698" s="5"/>
      <c r="C698" s="5"/>
      <c r="D698" s="5"/>
      <c r="E698" s="5"/>
    </row>
    <row r="699">
      <c r="A699" s="5"/>
      <c r="B699" s="5"/>
      <c r="C699" s="5"/>
      <c r="D699" s="5"/>
      <c r="E699" s="5"/>
    </row>
    <row r="700">
      <c r="A700" s="5"/>
      <c r="B700" s="5"/>
      <c r="C700" s="5"/>
      <c r="D700" s="5"/>
      <c r="E700" s="5"/>
    </row>
    <row r="701">
      <c r="A701" s="5"/>
      <c r="B701" s="5"/>
      <c r="C701" s="5"/>
      <c r="D701" s="5"/>
      <c r="E701" s="5"/>
    </row>
    <row r="702">
      <c r="A702" s="5"/>
      <c r="B702" s="5"/>
      <c r="C702" s="5"/>
      <c r="D702" s="5"/>
      <c r="E702" s="5"/>
    </row>
    <row r="703">
      <c r="A703" s="5"/>
      <c r="B703" s="5"/>
      <c r="C703" s="5"/>
      <c r="D703" s="5"/>
      <c r="E703" s="5"/>
    </row>
    <row r="704">
      <c r="A704" s="5"/>
      <c r="B704" s="5"/>
      <c r="C704" s="5"/>
      <c r="D704" s="5"/>
      <c r="E704" s="5"/>
    </row>
    <row r="705">
      <c r="A705" s="5"/>
      <c r="B705" s="5"/>
      <c r="C705" s="5"/>
      <c r="D705" s="5"/>
      <c r="E705" s="5"/>
    </row>
    <row r="706">
      <c r="A706" s="5"/>
      <c r="B706" s="5"/>
      <c r="C706" s="5"/>
      <c r="D706" s="5"/>
      <c r="E706" s="5"/>
    </row>
    <row r="707">
      <c r="A707" s="5"/>
      <c r="B707" s="5"/>
      <c r="C707" s="5"/>
      <c r="D707" s="5"/>
      <c r="E707" s="5"/>
    </row>
    <row r="708">
      <c r="A708" s="5"/>
      <c r="B708" s="5"/>
      <c r="C708" s="5"/>
      <c r="D708" s="5"/>
      <c r="E708" s="5"/>
    </row>
    <row r="709">
      <c r="A709" s="5"/>
      <c r="B709" s="5"/>
      <c r="C709" s="5"/>
      <c r="D709" s="5"/>
      <c r="E709" s="5"/>
    </row>
    <row r="710">
      <c r="A710" s="5"/>
      <c r="B710" s="5"/>
      <c r="C710" s="5"/>
      <c r="D710" s="5"/>
      <c r="E710" s="5"/>
    </row>
    <row r="711">
      <c r="A711" s="5"/>
      <c r="B711" s="5"/>
      <c r="C711" s="5"/>
      <c r="D711" s="5"/>
      <c r="E711" s="5"/>
    </row>
    <row r="712">
      <c r="A712" s="5"/>
      <c r="B712" s="5"/>
      <c r="C712" s="5"/>
      <c r="D712" s="5"/>
      <c r="E712" s="5"/>
    </row>
    <row r="713">
      <c r="A713" s="5"/>
      <c r="B713" s="5"/>
      <c r="C713" s="5"/>
      <c r="D713" s="5"/>
      <c r="E713" s="5"/>
    </row>
    <row r="714">
      <c r="A714" s="5"/>
      <c r="B714" s="5"/>
      <c r="C714" s="5"/>
      <c r="D714" s="5"/>
      <c r="E714" s="5"/>
    </row>
    <row r="715">
      <c r="A715" s="5"/>
      <c r="B715" s="5"/>
      <c r="C715" s="5"/>
      <c r="D715" s="5"/>
      <c r="E715" s="5"/>
    </row>
    <row r="716">
      <c r="A716" s="5"/>
      <c r="B716" s="5"/>
      <c r="C716" s="5"/>
      <c r="D716" s="5"/>
      <c r="E716" s="5"/>
    </row>
    <row r="717">
      <c r="A717" s="5"/>
      <c r="B717" s="5"/>
      <c r="C717" s="5"/>
      <c r="D717" s="5"/>
      <c r="E717" s="5"/>
    </row>
    <row r="718">
      <c r="A718" s="5"/>
      <c r="B718" s="5"/>
      <c r="C718" s="5"/>
      <c r="D718" s="5"/>
      <c r="E718" s="5"/>
    </row>
    <row r="719">
      <c r="A719" s="5"/>
      <c r="B719" s="5"/>
      <c r="C719" s="5"/>
      <c r="D719" s="5"/>
      <c r="E719" s="5"/>
    </row>
    <row r="720">
      <c r="A720" s="5"/>
      <c r="B720" s="5"/>
      <c r="C720" s="5"/>
      <c r="D720" s="5"/>
      <c r="E720" s="5"/>
    </row>
    <row r="721">
      <c r="A721" s="5"/>
      <c r="B721" s="5"/>
      <c r="C721" s="5"/>
      <c r="D721" s="5"/>
      <c r="E721" s="5"/>
    </row>
    <row r="722">
      <c r="A722" s="5"/>
      <c r="B722" s="5"/>
      <c r="C722" s="5"/>
      <c r="D722" s="5"/>
      <c r="E722" s="5"/>
    </row>
    <row r="723">
      <c r="A723" s="5"/>
      <c r="B723" s="5"/>
      <c r="C723" s="5"/>
      <c r="D723" s="5"/>
      <c r="E723" s="5"/>
    </row>
    <row r="724">
      <c r="A724" s="5"/>
      <c r="B724" s="5"/>
      <c r="C724" s="5"/>
      <c r="D724" s="5"/>
      <c r="E724" s="5"/>
    </row>
    <row r="725">
      <c r="A725" s="5"/>
      <c r="B725" s="5"/>
      <c r="C725" s="5"/>
      <c r="D725" s="5"/>
      <c r="E725" s="5"/>
    </row>
    <row r="726">
      <c r="A726" s="5"/>
      <c r="B726" s="5"/>
      <c r="C726" s="5"/>
      <c r="D726" s="5"/>
      <c r="E726" s="5"/>
    </row>
    <row r="727">
      <c r="A727" s="5"/>
      <c r="B727" s="5"/>
      <c r="C727" s="5"/>
      <c r="D727" s="5"/>
      <c r="E727" s="5"/>
    </row>
    <row r="728">
      <c r="A728" s="5"/>
      <c r="B728" s="5"/>
      <c r="C728" s="5"/>
      <c r="D728" s="5"/>
      <c r="E728" s="5"/>
    </row>
    <row r="729">
      <c r="A729" s="5"/>
      <c r="B729" s="5"/>
      <c r="C729" s="5"/>
      <c r="D729" s="5"/>
      <c r="E729" s="5"/>
    </row>
    <row r="730">
      <c r="A730" s="5"/>
      <c r="B730" s="5"/>
      <c r="C730" s="5"/>
      <c r="D730" s="5"/>
      <c r="E730" s="5"/>
    </row>
    <row r="731">
      <c r="A731" s="5"/>
      <c r="B731" s="5"/>
      <c r="C731" s="5"/>
      <c r="D731" s="5"/>
      <c r="E731" s="5"/>
    </row>
    <row r="732">
      <c r="A732" s="5"/>
      <c r="B732" s="5"/>
      <c r="C732" s="5"/>
      <c r="D732" s="5"/>
      <c r="E732" s="5"/>
    </row>
    <row r="733">
      <c r="A733" s="5"/>
      <c r="B733" s="5"/>
      <c r="C733" s="5"/>
      <c r="D733" s="5"/>
      <c r="E733" s="5"/>
    </row>
    <row r="734">
      <c r="A734" s="5"/>
      <c r="B734" s="5"/>
      <c r="C734" s="5"/>
      <c r="D734" s="5"/>
      <c r="E734" s="5"/>
    </row>
    <row r="735">
      <c r="A735" s="5"/>
      <c r="B735" s="5"/>
      <c r="C735" s="5"/>
      <c r="D735" s="5"/>
      <c r="E735" s="5"/>
    </row>
    <row r="736">
      <c r="A736" s="5"/>
      <c r="B736" s="5"/>
      <c r="C736" s="5"/>
      <c r="D736" s="5"/>
      <c r="E736" s="5"/>
    </row>
    <row r="737">
      <c r="A737" s="5"/>
      <c r="B737" s="5"/>
      <c r="C737" s="5"/>
      <c r="D737" s="5"/>
      <c r="E737" s="5"/>
    </row>
    <row r="738">
      <c r="A738" s="5"/>
      <c r="B738" s="5"/>
      <c r="C738" s="5"/>
      <c r="D738" s="5"/>
      <c r="E738" s="5"/>
    </row>
    <row r="739">
      <c r="A739" s="5"/>
      <c r="B739" s="5"/>
      <c r="C739" s="5"/>
      <c r="D739" s="5"/>
      <c r="E739" s="5"/>
    </row>
    <row r="740">
      <c r="A740" s="5"/>
      <c r="B740" s="5"/>
      <c r="C740" s="5"/>
      <c r="D740" s="5"/>
      <c r="E740" s="5"/>
    </row>
    <row r="741">
      <c r="A741" s="5"/>
      <c r="B741" s="5"/>
      <c r="C741" s="5"/>
      <c r="D741" s="5"/>
      <c r="E741" s="5"/>
    </row>
    <row r="742">
      <c r="A742" s="5"/>
      <c r="B742" s="5"/>
      <c r="C742" s="5"/>
      <c r="D742" s="5"/>
      <c r="E742" s="5"/>
    </row>
    <row r="743">
      <c r="A743" s="5"/>
      <c r="B743" s="5"/>
      <c r="C743" s="5"/>
      <c r="D743" s="5"/>
      <c r="E743" s="5"/>
    </row>
    <row r="744">
      <c r="A744" s="5"/>
      <c r="B744" s="5"/>
      <c r="C744" s="5"/>
      <c r="D744" s="5"/>
      <c r="E744" s="5"/>
    </row>
    <row r="745">
      <c r="A745" s="5"/>
      <c r="B745" s="5"/>
      <c r="C745" s="5"/>
      <c r="D745" s="5"/>
      <c r="E745" s="5"/>
    </row>
    <row r="746">
      <c r="A746" s="5"/>
      <c r="B746" s="5"/>
      <c r="C746" s="5"/>
      <c r="D746" s="5"/>
      <c r="E746" s="5"/>
    </row>
    <row r="747">
      <c r="A747" s="5"/>
      <c r="B747" s="5"/>
      <c r="C747" s="5"/>
      <c r="D747" s="5"/>
      <c r="E747" s="5"/>
    </row>
    <row r="748">
      <c r="A748" s="5"/>
      <c r="B748" s="5"/>
      <c r="C748" s="5"/>
      <c r="D748" s="5"/>
      <c r="E748" s="5"/>
    </row>
    <row r="749">
      <c r="A749" s="5"/>
      <c r="B749" s="5"/>
      <c r="C749" s="5"/>
      <c r="D749" s="5"/>
      <c r="E749" s="5"/>
    </row>
    <row r="750">
      <c r="A750" s="5"/>
      <c r="B750" s="5"/>
      <c r="C750" s="5"/>
      <c r="D750" s="5"/>
      <c r="E750" s="5"/>
    </row>
    <row r="751">
      <c r="A751" s="5"/>
      <c r="B751" s="5"/>
      <c r="C751" s="5"/>
      <c r="D751" s="5"/>
      <c r="E751" s="5"/>
    </row>
    <row r="752">
      <c r="A752" s="5"/>
      <c r="B752" s="5"/>
      <c r="C752" s="5"/>
      <c r="D752" s="5"/>
      <c r="E752" s="5"/>
    </row>
    <row r="753">
      <c r="A753" s="5"/>
      <c r="B753" s="5"/>
      <c r="C753" s="5"/>
      <c r="D753" s="5"/>
      <c r="E753" s="5"/>
    </row>
    <row r="754">
      <c r="A754" s="5"/>
      <c r="B754" s="5"/>
      <c r="C754" s="5"/>
      <c r="D754" s="5"/>
      <c r="E754" s="5"/>
    </row>
    <row r="755">
      <c r="A755" s="5"/>
      <c r="B755" s="5"/>
      <c r="C755" s="5"/>
      <c r="D755" s="5"/>
      <c r="E755" s="5"/>
    </row>
    <row r="756">
      <c r="A756" s="5"/>
      <c r="B756" s="5"/>
      <c r="C756" s="5"/>
      <c r="D756" s="5"/>
      <c r="E756" s="5"/>
    </row>
    <row r="757">
      <c r="A757" s="5"/>
      <c r="B757" s="5"/>
      <c r="C757" s="5"/>
      <c r="D757" s="5"/>
      <c r="E757" s="5"/>
    </row>
    <row r="758">
      <c r="A758" s="5"/>
      <c r="B758" s="5"/>
      <c r="C758" s="5"/>
      <c r="D758" s="5"/>
      <c r="E758" s="5"/>
    </row>
    <row r="759">
      <c r="A759" s="5"/>
      <c r="B759" s="5"/>
      <c r="C759" s="5"/>
      <c r="D759" s="5"/>
      <c r="E759" s="5"/>
    </row>
    <row r="760">
      <c r="A760" s="5"/>
      <c r="B760" s="5"/>
      <c r="C760" s="5"/>
      <c r="D760" s="5"/>
      <c r="E760" s="5"/>
    </row>
    <row r="761">
      <c r="A761" s="5"/>
      <c r="B761" s="5"/>
      <c r="C761" s="5"/>
      <c r="D761" s="5"/>
      <c r="E761" s="5"/>
    </row>
    <row r="762">
      <c r="A762" s="5"/>
      <c r="B762" s="5"/>
      <c r="C762" s="5"/>
      <c r="D762" s="5"/>
      <c r="E762" s="5"/>
    </row>
    <row r="763">
      <c r="A763" s="5"/>
      <c r="B763" s="5"/>
      <c r="C763" s="5"/>
      <c r="D763" s="5"/>
      <c r="E763" s="5"/>
    </row>
    <row r="764">
      <c r="A764" s="5"/>
      <c r="B764" s="5"/>
      <c r="C764" s="5"/>
      <c r="D764" s="5"/>
      <c r="E764" s="5"/>
    </row>
    <row r="765">
      <c r="A765" s="5"/>
      <c r="B765" s="5"/>
      <c r="C765" s="5"/>
      <c r="D765" s="5"/>
      <c r="E765" s="5"/>
    </row>
    <row r="766">
      <c r="A766" s="5"/>
      <c r="B766" s="5"/>
      <c r="C766" s="5"/>
      <c r="D766" s="5"/>
      <c r="E766" s="5"/>
    </row>
    <row r="767">
      <c r="A767" s="5"/>
      <c r="B767" s="5"/>
      <c r="C767" s="5"/>
      <c r="D767" s="5"/>
      <c r="E767" s="5"/>
    </row>
    <row r="768">
      <c r="A768" s="5"/>
      <c r="B768" s="5"/>
      <c r="C768" s="5"/>
      <c r="D768" s="5"/>
      <c r="E768" s="5"/>
    </row>
    <row r="769">
      <c r="A769" s="5"/>
      <c r="B769" s="5"/>
      <c r="C769" s="5"/>
      <c r="D769" s="5"/>
      <c r="E769" s="5"/>
    </row>
    <row r="770">
      <c r="A770" s="5"/>
      <c r="B770" s="5"/>
      <c r="C770" s="5"/>
      <c r="D770" s="5"/>
      <c r="E770" s="5"/>
    </row>
    <row r="771">
      <c r="A771" s="5"/>
      <c r="B771" s="5"/>
      <c r="C771" s="5"/>
      <c r="D771" s="5"/>
      <c r="E771" s="5"/>
    </row>
    <row r="772">
      <c r="A772" s="5"/>
      <c r="B772" s="5"/>
      <c r="C772" s="5"/>
      <c r="D772" s="5"/>
      <c r="E772" s="5"/>
    </row>
    <row r="773">
      <c r="A773" s="5"/>
      <c r="B773" s="5"/>
      <c r="C773" s="5"/>
      <c r="D773" s="5"/>
      <c r="E773" s="5"/>
    </row>
    <row r="774">
      <c r="A774" s="5"/>
      <c r="B774" s="5"/>
      <c r="C774" s="5"/>
      <c r="D774" s="5"/>
      <c r="E774" s="5"/>
    </row>
    <row r="775">
      <c r="A775" s="5"/>
      <c r="B775" s="5"/>
      <c r="C775" s="5"/>
      <c r="D775" s="5"/>
      <c r="E775" s="5"/>
    </row>
    <row r="776">
      <c r="A776" s="5"/>
      <c r="B776" s="5"/>
      <c r="C776" s="5"/>
      <c r="D776" s="5"/>
      <c r="E776" s="5"/>
    </row>
    <row r="777">
      <c r="A777" s="5"/>
      <c r="B777" s="5"/>
      <c r="C777" s="5"/>
      <c r="D777" s="5"/>
      <c r="E777" s="5"/>
    </row>
    <row r="778">
      <c r="A778" s="5"/>
      <c r="B778" s="5"/>
      <c r="C778" s="5"/>
      <c r="D778" s="5"/>
      <c r="E778" s="5"/>
    </row>
    <row r="779">
      <c r="A779" s="5"/>
      <c r="B779" s="5"/>
      <c r="C779" s="5"/>
      <c r="D779" s="5"/>
      <c r="E779" s="5"/>
    </row>
    <row r="780">
      <c r="A780" s="5"/>
      <c r="B780" s="5"/>
      <c r="C780" s="5"/>
      <c r="D780" s="5"/>
      <c r="E780" s="5"/>
    </row>
    <row r="781">
      <c r="A781" s="5"/>
      <c r="B781" s="5"/>
      <c r="C781" s="5"/>
      <c r="D781" s="5"/>
      <c r="E781" s="5"/>
    </row>
    <row r="782">
      <c r="A782" s="5"/>
      <c r="B782" s="5"/>
      <c r="C782" s="5"/>
      <c r="D782" s="5"/>
      <c r="E782" s="5"/>
    </row>
    <row r="783">
      <c r="A783" s="5"/>
      <c r="B783" s="5"/>
      <c r="C783" s="5"/>
      <c r="D783" s="5"/>
      <c r="E783" s="5"/>
    </row>
    <row r="784">
      <c r="A784" s="5"/>
      <c r="B784" s="5"/>
      <c r="C784" s="5"/>
      <c r="D784" s="5"/>
      <c r="E784" s="5"/>
    </row>
    <row r="785">
      <c r="A785" s="5"/>
      <c r="B785" s="5"/>
      <c r="C785" s="5"/>
      <c r="D785" s="5"/>
      <c r="E785" s="5"/>
    </row>
    <row r="786">
      <c r="A786" s="5"/>
      <c r="B786" s="5"/>
      <c r="C786" s="5"/>
      <c r="D786" s="5"/>
      <c r="E786" s="5"/>
    </row>
    <row r="787">
      <c r="A787" s="5"/>
      <c r="B787" s="5"/>
      <c r="C787" s="5"/>
      <c r="D787" s="5"/>
      <c r="E787" s="5"/>
    </row>
    <row r="788">
      <c r="A788" s="5"/>
      <c r="B788" s="5"/>
      <c r="C788" s="5"/>
      <c r="D788" s="5"/>
      <c r="E788" s="5"/>
    </row>
    <row r="789">
      <c r="A789" s="5"/>
      <c r="B789" s="5"/>
      <c r="C789" s="5"/>
      <c r="D789" s="5"/>
      <c r="E789" s="5"/>
    </row>
    <row r="790">
      <c r="A790" s="5"/>
      <c r="B790" s="5"/>
      <c r="C790" s="5"/>
      <c r="D790" s="5"/>
      <c r="E790" s="5"/>
    </row>
    <row r="791">
      <c r="A791" s="5"/>
      <c r="B791" s="5"/>
      <c r="C791" s="5"/>
      <c r="D791" s="5"/>
      <c r="E791" s="5"/>
    </row>
    <row r="792">
      <c r="A792" s="5"/>
      <c r="B792" s="5"/>
      <c r="C792" s="5"/>
      <c r="D792" s="5"/>
      <c r="E792" s="5"/>
    </row>
    <row r="793">
      <c r="A793" s="5"/>
      <c r="B793" s="5"/>
      <c r="C793" s="5"/>
      <c r="D793" s="5"/>
      <c r="E793" s="5"/>
    </row>
    <row r="794">
      <c r="A794" s="5"/>
      <c r="B794" s="5"/>
      <c r="C794" s="5"/>
      <c r="D794" s="5"/>
      <c r="E794" s="5"/>
    </row>
    <row r="795">
      <c r="A795" s="5"/>
      <c r="B795" s="5"/>
      <c r="C795" s="5"/>
      <c r="D795" s="5"/>
      <c r="E795" s="5"/>
    </row>
    <row r="796">
      <c r="A796" s="5"/>
      <c r="B796" s="5"/>
      <c r="C796" s="5"/>
      <c r="D796" s="5"/>
      <c r="E796" s="5"/>
    </row>
    <row r="797">
      <c r="A797" s="5"/>
      <c r="B797" s="5"/>
      <c r="C797" s="5"/>
      <c r="D797" s="5"/>
      <c r="E797" s="5"/>
    </row>
    <row r="798">
      <c r="A798" s="5"/>
      <c r="B798" s="5"/>
      <c r="C798" s="5"/>
      <c r="D798" s="5"/>
      <c r="E798" s="5"/>
    </row>
    <row r="799">
      <c r="A799" s="5"/>
      <c r="B799" s="5"/>
      <c r="C799" s="5"/>
      <c r="D799" s="5"/>
      <c r="E799" s="5"/>
    </row>
    <row r="800">
      <c r="A800" s="5"/>
      <c r="B800" s="5"/>
      <c r="C800" s="5"/>
      <c r="D800" s="5"/>
      <c r="E800" s="5"/>
    </row>
    <row r="801">
      <c r="A801" s="5"/>
      <c r="B801" s="5"/>
      <c r="C801" s="5"/>
      <c r="D801" s="5"/>
      <c r="E801" s="5"/>
    </row>
    <row r="802">
      <c r="A802" s="5"/>
      <c r="B802" s="5"/>
      <c r="C802" s="5"/>
      <c r="D802" s="5"/>
      <c r="E802" s="5"/>
    </row>
    <row r="803">
      <c r="A803" s="5"/>
      <c r="B803" s="5"/>
      <c r="C803" s="5"/>
      <c r="D803" s="5"/>
      <c r="E803" s="5"/>
    </row>
    <row r="804">
      <c r="A804" s="5"/>
      <c r="B804" s="5"/>
      <c r="C804" s="5"/>
      <c r="D804" s="5"/>
      <c r="E804" s="5"/>
    </row>
    <row r="805">
      <c r="A805" s="5"/>
      <c r="B805" s="5"/>
      <c r="C805" s="5"/>
      <c r="D805" s="5"/>
      <c r="E805" s="5"/>
    </row>
    <row r="806">
      <c r="A806" s="5"/>
      <c r="B806" s="5"/>
      <c r="C806" s="5"/>
      <c r="D806" s="5"/>
      <c r="E806" s="5"/>
    </row>
    <row r="807">
      <c r="A807" s="5"/>
      <c r="B807" s="5"/>
      <c r="C807" s="5"/>
      <c r="D807" s="5"/>
      <c r="E807" s="5"/>
    </row>
    <row r="808">
      <c r="A808" s="5"/>
      <c r="B808" s="5"/>
      <c r="C808" s="5"/>
      <c r="D808" s="5"/>
      <c r="E808" s="5"/>
    </row>
    <row r="809">
      <c r="A809" s="5"/>
      <c r="B809" s="5"/>
      <c r="C809" s="5"/>
      <c r="D809" s="5"/>
      <c r="E809" s="5"/>
    </row>
    <row r="810">
      <c r="A810" s="5"/>
      <c r="B810" s="5"/>
      <c r="C810" s="5"/>
      <c r="D810" s="5"/>
      <c r="E810" s="5"/>
    </row>
    <row r="811">
      <c r="A811" s="5"/>
      <c r="B811" s="5"/>
      <c r="C811" s="5"/>
      <c r="D811" s="5"/>
      <c r="E811" s="5"/>
    </row>
    <row r="812">
      <c r="A812" s="5"/>
      <c r="B812" s="5"/>
      <c r="C812" s="5"/>
      <c r="D812" s="5"/>
      <c r="E812" s="5"/>
    </row>
    <row r="813">
      <c r="A813" s="5"/>
      <c r="B813" s="5"/>
      <c r="C813" s="5"/>
      <c r="D813" s="5"/>
      <c r="E813" s="5"/>
    </row>
    <row r="814">
      <c r="A814" s="5"/>
      <c r="B814" s="5"/>
      <c r="C814" s="5"/>
      <c r="D814" s="5"/>
      <c r="E814" s="5"/>
    </row>
    <row r="815">
      <c r="A815" s="5"/>
      <c r="B815" s="5"/>
      <c r="C815" s="5"/>
      <c r="D815" s="5"/>
      <c r="E815" s="5"/>
    </row>
    <row r="816">
      <c r="A816" s="5"/>
      <c r="B816" s="5"/>
      <c r="C816" s="5"/>
      <c r="D816" s="5"/>
      <c r="E816" s="5"/>
    </row>
    <row r="817">
      <c r="A817" s="5"/>
      <c r="B817" s="5"/>
      <c r="C817" s="5"/>
      <c r="D817" s="5"/>
      <c r="E817" s="5"/>
    </row>
    <row r="818">
      <c r="A818" s="5"/>
      <c r="B818" s="5"/>
      <c r="C818" s="5"/>
      <c r="D818" s="5"/>
      <c r="E818" s="5"/>
    </row>
    <row r="819">
      <c r="A819" s="5"/>
      <c r="B819" s="5"/>
      <c r="C819" s="5"/>
      <c r="D819" s="5"/>
      <c r="E819" s="5"/>
    </row>
    <row r="820">
      <c r="A820" s="5"/>
      <c r="B820" s="5"/>
      <c r="C820" s="5"/>
      <c r="D820" s="5"/>
      <c r="E820" s="5"/>
    </row>
    <row r="821">
      <c r="A821" s="5"/>
      <c r="B821" s="5"/>
      <c r="C821" s="5"/>
      <c r="D821" s="5"/>
      <c r="E821" s="5"/>
    </row>
    <row r="822">
      <c r="A822" s="5"/>
      <c r="B822" s="5"/>
      <c r="C822" s="5"/>
      <c r="D822" s="5"/>
      <c r="E822" s="5"/>
    </row>
    <row r="823">
      <c r="A823" s="5"/>
      <c r="B823" s="5"/>
      <c r="C823" s="5"/>
      <c r="D823" s="5"/>
      <c r="E823" s="5"/>
    </row>
    <row r="824">
      <c r="A824" s="5"/>
      <c r="B824" s="5"/>
      <c r="C824" s="5"/>
      <c r="D824" s="5"/>
      <c r="E824" s="5"/>
    </row>
    <row r="825">
      <c r="A825" s="5"/>
      <c r="B825" s="5"/>
      <c r="C825" s="5"/>
      <c r="D825" s="5"/>
      <c r="E825" s="5"/>
    </row>
    <row r="826">
      <c r="A826" s="5"/>
      <c r="B826" s="5"/>
      <c r="C826" s="5"/>
      <c r="D826" s="5"/>
      <c r="E826" s="5"/>
    </row>
    <row r="827">
      <c r="A827" s="5"/>
      <c r="B827" s="5"/>
      <c r="C827" s="5"/>
      <c r="D827" s="5"/>
      <c r="E827" s="5"/>
    </row>
    <row r="828">
      <c r="A828" s="5"/>
      <c r="B828" s="5"/>
      <c r="C828" s="5"/>
      <c r="D828" s="5"/>
      <c r="E828" s="5"/>
    </row>
    <row r="829">
      <c r="A829" s="5"/>
      <c r="B829" s="5"/>
      <c r="C829" s="5"/>
      <c r="D829" s="5"/>
      <c r="E829" s="5"/>
    </row>
    <row r="830">
      <c r="A830" s="5"/>
      <c r="B830" s="5"/>
      <c r="C830" s="5"/>
      <c r="D830" s="5"/>
      <c r="E830" s="5"/>
    </row>
    <row r="831">
      <c r="A831" s="5"/>
      <c r="B831" s="5"/>
      <c r="C831" s="5"/>
      <c r="D831" s="5"/>
      <c r="E831" s="5"/>
    </row>
    <row r="832">
      <c r="A832" s="5"/>
      <c r="B832" s="5"/>
      <c r="C832" s="5"/>
      <c r="D832" s="5"/>
      <c r="E832" s="5"/>
    </row>
    <row r="833">
      <c r="A833" s="5"/>
      <c r="B833" s="5"/>
      <c r="C833" s="5"/>
      <c r="D833" s="5"/>
      <c r="E833" s="5"/>
    </row>
    <row r="834">
      <c r="A834" s="5"/>
      <c r="B834" s="5"/>
      <c r="C834" s="5"/>
      <c r="D834" s="5"/>
      <c r="E834" s="5"/>
    </row>
    <row r="835">
      <c r="A835" s="5"/>
      <c r="B835" s="5"/>
      <c r="C835" s="5"/>
      <c r="D835" s="5"/>
      <c r="E835" s="5"/>
    </row>
    <row r="836">
      <c r="A836" s="5"/>
      <c r="B836" s="5"/>
      <c r="C836" s="5"/>
      <c r="D836" s="5"/>
      <c r="E836" s="5"/>
    </row>
    <row r="837">
      <c r="A837" s="5"/>
      <c r="B837" s="5"/>
      <c r="C837" s="5"/>
      <c r="D837" s="5"/>
      <c r="E837" s="5"/>
    </row>
    <row r="838">
      <c r="A838" s="5"/>
      <c r="B838" s="5"/>
      <c r="C838" s="5"/>
      <c r="D838" s="5"/>
      <c r="E838" s="5"/>
    </row>
    <row r="839">
      <c r="A839" s="5"/>
      <c r="B839" s="5"/>
      <c r="C839" s="5"/>
      <c r="D839" s="5"/>
      <c r="E839" s="5"/>
    </row>
    <row r="840">
      <c r="A840" s="5"/>
      <c r="B840" s="5"/>
      <c r="C840" s="5"/>
      <c r="D840" s="5"/>
      <c r="E840" s="5"/>
    </row>
    <row r="841">
      <c r="A841" s="5"/>
      <c r="B841" s="5"/>
      <c r="C841" s="5"/>
      <c r="D841" s="5"/>
      <c r="E841" s="5"/>
    </row>
    <row r="842">
      <c r="A842" s="5"/>
      <c r="B842" s="5"/>
      <c r="C842" s="5"/>
      <c r="D842" s="5"/>
      <c r="E842" s="5"/>
    </row>
    <row r="843">
      <c r="A843" s="5"/>
      <c r="B843" s="5"/>
      <c r="C843" s="5"/>
      <c r="D843" s="5"/>
      <c r="E843" s="5"/>
    </row>
    <row r="844">
      <c r="A844" s="5"/>
      <c r="B844" s="5"/>
      <c r="C844" s="5"/>
      <c r="D844" s="5"/>
      <c r="E844" s="5"/>
    </row>
    <row r="845">
      <c r="A845" s="5"/>
      <c r="B845" s="5"/>
      <c r="C845" s="5"/>
      <c r="D845" s="5"/>
      <c r="E845" s="5"/>
    </row>
    <row r="846">
      <c r="A846" s="5"/>
      <c r="B846" s="5"/>
      <c r="C846" s="5"/>
      <c r="D846" s="5"/>
      <c r="E846" s="5"/>
    </row>
    <row r="847">
      <c r="A847" s="5"/>
      <c r="B847" s="5"/>
      <c r="C847" s="5"/>
      <c r="D847" s="5"/>
      <c r="E847" s="5"/>
    </row>
    <row r="848">
      <c r="A848" s="5"/>
      <c r="B848" s="5"/>
      <c r="C848" s="5"/>
      <c r="D848" s="5"/>
      <c r="E848" s="5"/>
    </row>
    <row r="849">
      <c r="A849" s="5"/>
      <c r="B849" s="5"/>
      <c r="C849" s="5"/>
      <c r="D849" s="5"/>
      <c r="E849" s="5"/>
    </row>
    <row r="850">
      <c r="A850" s="5"/>
      <c r="B850" s="5"/>
      <c r="C850" s="5"/>
      <c r="D850" s="5"/>
      <c r="E850" s="5"/>
    </row>
    <row r="851">
      <c r="A851" s="5"/>
      <c r="B851" s="5"/>
      <c r="C851" s="5"/>
      <c r="D851" s="5"/>
      <c r="E851" s="5"/>
    </row>
    <row r="852">
      <c r="A852" s="5"/>
      <c r="B852" s="5"/>
      <c r="C852" s="5"/>
      <c r="D852" s="5"/>
      <c r="E852" s="5"/>
    </row>
    <row r="853">
      <c r="A853" s="5"/>
      <c r="B853" s="5"/>
      <c r="C853" s="5"/>
      <c r="D853" s="5"/>
      <c r="E853" s="5"/>
    </row>
    <row r="854">
      <c r="A854" s="5"/>
      <c r="B854" s="5"/>
      <c r="C854" s="5"/>
      <c r="D854" s="5"/>
      <c r="E854" s="5"/>
    </row>
    <row r="855">
      <c r="A855" s="5"/>
      <c r="B855" s="5"/>
      <c r="C855" s="5"/>
      <c r="D855" s="5"/>
      <c r="E855" s="5"/>
    </row>
    <row r="856">
      <c r="A856" s="5"/>
      <c r="B856" s="5"/>
      <c r="C856" s="5"/>
      <c r="D856" s="5"/>
      <c r="E856" s="5"/>
    </row>
    <row r="857">
      <c r="A857" s="5"/>
      <c r="B857" s="5"/>
      <c r="C857" s="5"/>
      <c r="D857" s="5"/>
      <c r="E857" s="5"/>
    </row>
    <row r="858">
      <c r="A858" s="5"/>
      <c r="B858" s="5"/>
      <c r="C858" s="5"/>
      <c r="D858" s="5"/>
      <c r="E858" s="5"/>
    </row>
    <row r="859">
      <c r="A859" s="5"/>
      <c r="B859" s="5"/>
      <c r="C859" s="5"/>
      <c r="D859" s="5"/>
      <c r="E859" s="5"/>
    </row>
    <row r="860">
      <c r="A860" s="5"/>
      <c r="B860" s="5"/>
      <c r="C860" s="5"/>
      <c r="D860" s="5"/>
      <c r="E860" s="5"/>
    </row>
    <row r="861">
      <c r="A861" s="5"/>
      <c r="B861" s="5"/>
      <c r="C861" s="5"/>
      <c r="D861" s="5"/>
      <c r="E861" s="5"/>
    </row>
    <row r="862">
      <c r="A862" s="5"/>
      <c r="B862" s="5"/>
      <c r="C862" s="5"/>
      <c r="D862" s="5"/>
      <c r="E862" s="5"/>
    </row>
    <row r="863">
      <c r="A863" s="5"/>
      <c r="B863" s="5"/>
      <c r="C863" s="5"/>
      <c r="D863" s="5"/>
      <c r="E863" s="5"/>
    </row>
    <row r="864">
      <c r="A864" s="5"/>
      <c r="B864" s="5"/>
      <c r="C864" s="5"/>
      <c r="D864" s="5"/>
      <c r="E864" s="5"/>
    </row>
    <row r="865">
      <c r="A865" s="5"/>
      <c r="B865" s="5"/>
      <c r="C865" s="5"/>
      <c r="D865" s="5"/>
      <c r="E865" s="5"/>
    </row>
    <row r="866">
      <c r="A866" s="5"/>
      <c r="B866" s="5"/>
      <c r="C866" s="5"/>
      <c r="D866" s="5"/>
      <c r="E866" s="5"/>
    </row>
    <row r="867">
      <c r="A867" s="5"/>
      <c r="B867" s="5"/>
      <c r="C867" s="5"/>
      <c r="D867" s="5"/>
      <c r="E867" s="5"/>
    </row>
    <row r="868">
      <c r="A868" s="5"/>
      <c r="B868" s="5"/>
      <c r="C868" s="5"/>
      <c r="D868" s="5"/>
      <c r="E868" s="5"/>
    </row>
    <row r="869">
      <c r="A869" s="5"/>
      <c r="B869" s="5"/>
      <c r="C869" s="5"/>
      <c r="D869" s="5"/>
      <c r="E869" s="5"/>
    </row>
    <row r="870">
      <c r="A870" s="5"/>
      <c r="B870" s="5"/>
      <c r="C870" s="5"/>
      <c r="D870" s="5"/>
      <c r="E870" s="5"/>
    </row>
    <row r="871">
      <c r="A871" s="5"/>
      <c r="B871" s="5"/>
      <c r="C871" s="5"/>
      <c r="D871" s="5"/>
      <c r="E871" s="5"/>
    </row>
    <row r="872">
      <c r="A872" s="5"/>
      <c r="B872" s="5"/>
      <c r="C872" s="5"/>
      <c r="D872" s="5"/>
      <c r="E872" s="5"/>
    </row>
    <row r="873">
      <c r="A873" s="5"/>
      <c r="B873" s="5"/>
      <c r="C873" s="5"/>
      <c r="D873" s="5"/>
      <c r="E873" s="5"/>
    </row>
    <row r="874">
      <c r="A874" s="5"/>
      <c r="B874" s="5"/>
      <c r="C874" s="5"/>
      <c r="D874" s="5"/>
      <c r="E874" s="5"/>
    </row>
    <row r="875">
      <c r="A875" s="5"/>
      <c r="B875" s="5"/>
      <c r="C875" s="5"/>
      <c r="D875" s="5"/>
      <c r="E875" s="5"/>
    </row>
    <row r="876">
      <c r="A876" s="5"/>
      <c r="B876" s="5"/>
      <c r="C876" s="5"/>
      <c r="D876" s="5"/>
      <c r="E876" s="5"/>
    </row>
    <row r="877">
      <c r="A877" s="5"/>
      <c r="B877" s="5"/>
      <c r="C877" s="5"/>
      <c r="D877" s="5"/>
      <c r="E877" s="5"/>
    </row>
    <row r="878">
      <c r="A878" s="5"/>
      <c r="B878" s="5"/>
      <c r="C878" s="5"/>
      <c r="D878" s="5"/>
      <c r="E878" s="5"/>
    </row>
    <row r="879">
      <c r="A879" s="5"/>
      <c r="B879" s="5"/>
      <c r="C879" s="5"/>
      <c r="D879" s="5"/>
      <c r="E879" s="5"/>
    </row>
    <row r="880">
      <c r="A880" s="5"/>
      <c r="B880" s="5"/>
      <c r="C880" s="5"/>
      <c r="D880" s="5"/>
      <c r="E880" s="5"/>
    </row>
    <row r="881">
      <c r="A881" s="5"/>
      <c r="B881" s="5"/>
      <c r="C881" s="5"/>
      <c r="D881" s="5"/>
      <c r="E881" s="5"/>
    </row>
    <row r="882">
      <c r="A882" s="5"/>
      <c r="B882" s="5"/>
      <c r="C882" s="5"/>
      <c r="D882" s="5"/>
      <c r="E882" s="5"/>
    </row>
    <row r="883">
      <c r="A883" s="5"/>
      <c r="B883" s="5"/>
      <c r="C883" s="5"/>
      <c r="D883" s="5"/>
      <c r="E883" s="5"/>
    </row>
    <row r="884">
      <c r="A884" s="5"/>
      <c r="B884" s="5"/>
      <c r="C884" s="5"/>
      <c r="D884" s="5"/>
      <c r="E884" s="5"/>
    </row>
    <row r="885">
      <c r="A885" s="5"/>
      <c r="B885" s="5"/>
      <c r="C885" s="5"/>
      <c r="D885" s="5"/>
      <c r="E885" s="5"/>
    </row>
    <row r="886">
      <c r="A886" s="5"/>
      <c r="B886" s="5"/>
      <c r="C886" s="5"/>
      <c r="D886" s="5"/>
      <c r="E886" s="5"/>
    </row>
    <row r="887">
      <c r="A887" s="5"/>
      <c r="B887" s="5"/>
      <c r="C887" s="5"/>
      <c r="D887" s="5"/>
      <c r="E887" s="5"/>
    </row>
    <row r="888">
      <c r="A888" s="5"/>
      <c r="B888" s="5"/>
      <c r="C888" s="5"/>
      <c r="D888" s="5"/>
      <c r="E888" s="5"/>
    </row>
    <row r="889">
      <c r="A889" s="5"/>
      <c r="B889" s="5"/>
      <c r="C889" s="5"/>
      <c r="D889" s="5"/>
      <c r="E889" s="5"/>
    </row>
    <row r="890">
      <c r="A890" s="5"/>
      <c r="B890" s="5"/>
      <c r="C890" s="5"/>
      <c r="D890" s="5"/>
      <c r="E890" s="5"/>
    </row>
    <row r="891">
      <c r="A891" s="5"/>
      <c r="B891" s="5"/>
      <c r="C891" s="5"/>
      <c r="D891" s="5"/>
      <c r="E891" s="5"/>
    </row>
    <row r="892">
      <c r="A892" s="5"/>
      <c r="B892" s="5"/>
      <c r="C892" s="5"/>
      <c r="D892" s="5"/>
      <c r="E892" s="5"/>
    </row>
    <row r="893">
      <c r="A893" s="5"/>
      <c r="B893" s="5"/>
      <c r="C893" s="5"/>
      <c r="D893" s="5"/>
      <c r="E893" s="5"/>
    </row>
    <row r="894">
      <c r="A894" s="5"/>
      <c r="B894" s="5"/>
      <c r="C894" s="5"/>
      <c r="D894" s="5"/>
      <c r="E894" s="5"/>
    </row>
    <row r="895">
      <c r="A895" s="5"/>
      <c r="B895" s="5"/>
      <c r="C895" s="5"/>
      <c r="D895" s="5"/>
      <c r="E895" s="5"/>
    </row>
    <row r="896">
      <c r="A896" s="5"/>
      <c r="B896" s="5"/>
      <c r="C896" s="5"/>
      <c r="D896" s="5"/>
      <c r="E896" s="5"/>
    </row>
    <row r="897">
      <c r="A897" s="5"/>
      <c r="B897" s="5"/>
      <c r="C897" s="5"/>
      <c r="D897" s="5"/>
      <c r="E897" s="5"/>
    </row>
    <row r="898">
      <c r="A898" s="5"/>
      <c r="B898" s="5"/>
      <c r="C898" s="5"/>
      <c r="D898" s="5"/>
      <c r="E898" s="5"/>
    </row>
    <row r="899">
      <c r="A899" s="5"/>
      <c r="B899" s="5"/>
      <c r="C899" s="5"/>
      <c r="D899" s="5"/>
      <c r="E899" s="5"/>
    </row>
    <row r="900">
      <c r="A900" s="5"/>
      <c r="B900" s="5"/>
      <c r="C900" s="5"/>
      <c r="D900" s="5"/>
      <c r="E900" s="5"/>
    </row>
    <row r="901">
      <c r="A901" s="5"/>
      <c r="B901" s="5"/>
      <c r="C901" s="5"/>
      <c r="D901" s="5"/>
      <c r="E901" s="5"/>
    </row>
    <row r="902">
      <c r="A902" s="5"/>
      <c r="B902" s="5"/>
      <c r="C902" s="5"/>
      <c r="D902" s="5"/>
      <c r="E902" s="5"/>
    </row>
    <row r="903">
      <c r="A903" s="5"/>
      <c r="B903" s="5"/>
      <c r="C903" s="5"/>
      <c r="D903" s="5"/>
      <c r="E903" s="5"/>
    </row>
    <row r="904">
      <c r="A904" s="5"/>
      <c r="B904" s="5"/>
      <c r="C904" s="5"/>
      <c r="D904" s="5"/>
      <c r="E904" s="5"/>
    </row>
    <row r="905">
      <c r="A905" s="5"/>
      <c r="B905" s="5"/>
      <c r="C905" s="5"/>
      <c r="D905" s="5"/>
      <c r="E905" s="5"/>
    </row>
    <row r="906">
      <c r="A906" s="5"/>
      <c r="B906" s="5"/>
      <c r="C906" s="5"/>
      <c r="D906" s="5"/>
      <c r="E906" s="5"/>
    </row>
    <row r="907">
      <c r="A907" s="5"/>
      <c r="B907" s="5"/>
      <c r="C907" s="5"/>
      <c r="D907" s="5"/>
      <c r="E907" s="5"/>
    </row>
    <row r="908">
      <c r="A908" s="5"/>
      <c r="B908" s="5"/>
      <c r="C908" s="5"/>
      <c r="D908" s="5"/>
      <c r="E908" s="5"/>
    </row>
    <row r="909">
      <c r="A909" s="5"/>
      <c r="B909" s="5"/>
      <c r="C909" s="5"/>
      <c r="D909" s="5"/>
      <c r="E909" s="5"/>
    </row>
    <row r="910">
      <c r="A910" s="5"/>
      <c r="B910" s="5"/>
      <c r="C910" s="5"/>
      <c r="D910" s="5"/>
      <c r="E910" s="5"/>
    </row>
    <row r="911">
      <c r="A911" s="5"/>
      <c r="B911" s="5"/>
      <c r="C911" s="5"/>
      <c r="D911" s="5"/>
      <c r="E911" s="5"/>
    </row>
    <row r="912">
      <c r="A912" s="5"/>
      <c r="B912" s="5"/>
      <c r="C912" s="5"/>
      <c r="D912" s="5"/>
      <c r="E912" s="5"/>
    </row>
    <row r="913">
      <c r="A913" s="5"/>
      <c r="B913" s="5"/>
      <c r="C913" s="5"/>
      <c r="D913" s="5"/>
      <c r="E913" s="5"/>
    </row>
    <row r="914">
      <c r="A914" s="5"/>
      <c r="B914" s="5"/>
      <c r="C914" s="5"/>
      <c r="D914" s="5"/>
      <c r="E914" s="5"/>
    </row>
    <row r="915">
      <c r="A915" s="5"/>
      <c r="B915" s="5"/>
      <c r="C915" s="5"/>
      <c r="D915" s="5"/>
      <c r="E915" s="5"/>
    </row>
    <row r="916">
      <c r="A916" s="5"/>
      <c r="B916" s="5"/>
      <c r="C916" s="5"/>
      <c r="D916" s="5"/>
      <c r="E916" s="5"/>
    </row>
    <row r="917">
      <c r="A917" s="5"/>
      <c r="B917" s="5"/>
      <c r="C917" s="5"/>
      <c r="D917" s="5"/>
      <c r="E917" s="5"/>
    </row>
    <row r="918">
      <c r="A918" s="5"/>
      <c r="B918" s="5"/>
      <c r="C918" s="5"/>
      <c r="D918" s="5"/>
      <c r="E918" s="5"/>
    </row>
    <row r="919">
      <c r="A919" s="5"/>
      <c r="B919" s="5"/>
      <c r="C919" s="5"/>
      <c r="D919" s="5"/>
      <c r="E919" s="5"/>
    </row>
    <row r="920">
      <c r="A920" s="5"/>
      <c r="B920" s="5"/>
      <c r="C920" s="5"/>
      <c r="D920" s="5"/>
      <c r="E920" s="5"/>
    </row>
    <row r="921">
      <c r="A921" s="5"/>
      <c r="B921" s="5"/>
      <c r="C921" s="5"/>
      <c r="D921" s="5"/>
      <c r="E921" s="5"/>
    </row>
    <row r="922">
      <c r="A922" s="5"/>
      <c r="B922" s="5"/>
      <c r="C922" s="5"/>
      <c r="D922" s="5"/>
      <c r="E922" s="5"/>
    </row>
    <row r="923">
      <c r="A923" s="5"/>
      <c r="B923" s="5"/>
      <c r="C923" s="5"/>
      <c r="D923" s="5"/>
      <c r="E923" s="5"/>
    </row>
    <row r="924">
      <c r="A924" s="5"/>
      <c r="B924" s="5"/>
      <c r="C924" s="5"/>
      <c r="D924" s="5"/>
      <c r="E924" s="5"/>
    </row>
    <row r="925">
      <c r="A925" s="5"/>
      <c r="B925" s="5"/>
      <c r="C925" s="5"/>
      <c r="D925" s="5"/>
      <c r="E925" s="5"/>
    </row>
    <row r="926">
      <c r="A926" s="5"/>
      <c r="B926" s="5"/>
      <c r="C926" s="5"/>
      <c r="D926" s="5"/>
      <c r="E926" s="5"/>
    </row>
    <row r="927">
      <c r="A927" s="5"/>
      <c r="B927" s="5"/>
      <c r="C927" s="5"/>
      <c r="D927" s="5"/>
      <c r="E927" s="5"/>
    </row>
    <row r="928">
      <c r="A928" s="5"/>
      <c r="B928" s="5"/>
      <c r="C928" s="5"/>
      <c r="D928" s="5"/>
      <c r="E928" s="5"/>
    </row>
    <row r="929">
      <c r="A929" s="5"/>
      <c r="B929" s="5"/>
      <c r="C929" s="5"/>
      <c r="D929" s="5"/>
      <c r="E929" s="5"/>
    </row>
    <row r="930">
      <c r="A930" s="5"/>
      <c r="B930" s="5"/>
      <c r="C930" s="5"/>
      <c r="D930" s="5"/>
      <c r="E930" s="5"/>
    </row>
    <row r="931">
      <c r="A931" s="5"/>
      <c r="B931" s="5"/>
      <c r="C931" s="5"/>
      <c r="D931" s="5"/>
      <c r="E931" s="5"/>
    </row>
    <row r="932">
      <c r="A932" s="5"/>
      <c r="B932" s="5"/>
      <c r="C932" s="5"/>
      <c r="D932" s="5"/>
      <c r="E932" s="5"/>
    </row>
    <row r="933">
      <c r="A933" s="5"/>
      <c r="B933" s="5"/>
      <c r="C933" s="5"/>
      <c r="D933" s="5"/>
      <c r="E933" s="5"/>
    </row>
    <row r="934">
      <c r="A934" s="5"/>
      <c r="B934" s="5"/>
      <c r="C934" s="5"/>
      <c r="D934" s="5"/>
      <c r="E934" s="5"/>
    </row>
    <row r="935">
      <c r="A935" s="5"/>
      <c r="B935" s="5"/>
      <c r="C935" s="5"/>
      <c r="D935" s="5"/>
      <c r="E935" s="5"/>
    </row>
    <row r="936">
      <c r="A936" s="5"/>
      <c r="B936" s="5"/>
      <c r="C936" s="5"/>
      <c r="D936" s="5"/>
      <c r="E936" s="5"/>
    </row>
    <row r="937">
      <c r="A937" s="5"/>
      <c r="B937" s="5"/>
      <c r="C937" s="5"/>
      <c r="D937" s="5"/>
      <c r="E937" s="5"/>
    </row>
    <row r="938">
      <c r="A938" s="5"/>
      <c r="B938" s="5"/>
      <c r="C938" s="5"/>
      <c r="D938" s="5"/>
      <c r="E938" s="5"/>
    </row>
    <row r="939">
      <c r="A939" s="5"/>
      <c r="B939" s="5"/>
      <c r="C939" s="5"/>
      <c r="D939" s="5"/>
      <c r="E939" s="5"/>
    </row>
    <row r="940">
      <c r="A940" s="5"/>
      <c r="B940" s="5"/>
      <c r="C940" s="5"/>
      <c r="D940" s="5"/>
      <c r="E940" s="5"/>
    </row>
    <row r="941">
      <c r="A941" s="5"/>
      <c r="B941" s="5"/>
      <c r="C941" s="5"/>
      <c r="D941" s="5"/>
      <c r="E941" s="5"/>
    </row>
    <row r="942">
      <c r="A942" s="5"/>
      <c r="B942" s="5"/>
      <c r="C942" s="5"/>
      <c r="D942" s="5"/>
      <c r="E942" s="5"/>
    </row>
    <row r="943">
      <c r="A943" s="5"/>
      <c r="B943" s="5"/>
      <c r="C943" s="5"/>
      <c r="D943" s="5"/>
      <c r="E943" s="5"/>
    </row>
    <row r="944">
      <c r="A944" s="5"/>
      <c r="B944" s="5"/>
      <c r="C944" s="5"/>
      <c r="D944" s="5"/>
      <c r="E944" s="5"/>
    </row>
    <row r="945">
      <c r="A945" s="5"/>
      <c r="B945" s="5"/>
      <c r="C945" s="5"/>
      <c r="D945" s="5"/>
      <c r="E945" s="5"/>
    </row>
    <row r="946">
      <c r="A946" s="5"/>
      <c r="B946" s="5"/>
      <c r="C946" s="5"/>
      <c r="D946" s="5"/>
      <c r="E946" s="5"/>
    </row>
    <row r="947">
      <c r="A947" s="5"/>
      <c r="B947" s="5"/>
      <c r="C947" s="5"/>
      <c r="D947" s="5"/>
      <c r="E947" s="5"/>
    </row>
    <row r="948">
      <c r="A948" s="5"/>
      <c r="B948" s="5"/>
      <c r="C948" s="5"/>
      <c r="D948" s="5"/>
      <c r="E948" s="5"/>
    </row>
    <row r="949">
      <c r="A949" s="5"/>
      <c r="B949" s="5"/>
      <c r="C949" s="5"/>
      <c r="D949" s="5"/>
      <c r="E949" s="5"/>
    </row>
    <row r="950">
      <c r="A950" s="5"/>
      <c r="B950" s="5"/>
      <c r="C950" s="5"/>
      <c r="D950" s="5"/>
      <c r="E950" s="5"/>
    </row>
    <row r="951">
      <c r="A951" s="5"/>
      <c r="B951" s="5"/>
      <c r="C951" s="5"/>
      <c r="D951" s="5"/>
      <c r="E951" s="5"/>
    </row>
    <row r="952">
      <c r="A952" s="5"/>
      <c r="B952" s="5"/>
      <c r="C952" s="5"/>
      <c r="D952" s="5"/>
      <c r="E952" s="5"/>
    </row>
    <row r="953">
      <c r="A953" s="5"/>
      <c r="B953" s="5"/>
      <c r="C953" s="5"/>
      <c r="D953" s="5"/>
      <c r="E953" s="5"/>
    </row>
    <row r="954">
      <c r="A954" s="5"/>
      <c r="B954" s="5"/>
      <c r="C954" s="5"/>
      <c r="D954" s="5"/>
      <c r="E954" s="5"/>
    </row>
    <row r="955">
      <c r="A955" s="5"/>
      <c r="B955" s="5"/>
      <c r="C955" s="5"/>
      <c r="D955" s="5"/>
      <c r="E955" s="5"/>
    </row>
    <row r="956">
      <c r="A956" s="5"/>
      <c r="B956" s="5"/>
      <c r="C956" s="5"/>
      <c r="D956" s="5"/>
      <c r="E956" s="5"/>
    </row>
    <row r="957">
      <c r="A957" s="5"/>
      <c r="B957" s="5"/>
      <c r="C957" s="5"/>
      <c r="D957" s="5"/>
      <c r="E957" s="5"/>
    </row>
    <row r="958">
      <c r="A958" s="5"/>
      <c r="B958" s="5"/>
      <c r="C958" s="5"/>
      <c r="D958" s="5"/>
      <c r="E958" s="5"/>
    </row>
    <row r="959">
      <c r="A959" s="5"/>
      <c r="B959" s="5"/>
      <c r="C959" s="5"/>
      <c r="D959" s="5"/>
      <c r="E959" s="5"/>
    </row>
    <row r="960">
      <c r="A960" s="5"/>
      <c r="B960" s="5"/>
      <c r="C960" s="5"/>
      <c r="D960" s="5"/>
      <c r="E960" s="5"/>
    </row>
    <row r="961">
      <c r="A961" s="5"/>
      <c r="B961" s="5"/>
      <c r="C961" s="5"/>
      <c r="D961" s="5"/>
      <c r="E961" s="5"/>
    </row>
    <row r="962">
      <c r="A962" s="5"/>
      <c r="B962" s="5"/>
      <c r="C962" s="5"/>
      <c r="D962" s="5"/>
      <c r="E962" s="5"/>
    </row>
    <row r="963">
      <c r="A963" s="5"/>
      <c r="B963" s="5"/>
      <c r="C963" s="5"/>
      <c r="D963" s="5"/>
      <c r="E963" s="5"/>
    </row>
    <row r="964">
      <c r="A964" s="5"/>
      <c r="B964" s="5"/>
      <c r="C964" s="5"/>
      <c r="D964" s="5"/>
      <c r="E964" s="5"/>
    </row>
    <row r="965">
      <c r="A965" s="5"/>
      <c r="B965" s="5"/>
      <c r="C965" s="5"/>
      <c r="D965" s="5"/>
      <c r="E965" s="5"/>
    </row>
    <row r="966">
      <c r="A966" s="5"/>
      <c r="B966" s="5"/>
      <c r="C966" s="5"/>
      <c r="D966" s="5"/>
      <c r="E966" s="5"/>
    </row>
    <row r="967">
      <c r="A967" s="5"/>
      <c r="B967" s="5"/>
      <c r="C967" s="5"/>
      <c r="D967" s="5"/>
      <c r="E967" s="5"/>
    </row>
    <row r="968">
      <c r="A968" s="5"/>
      <c r="B968" s="5"/>
      <c r="C968" s="5"/>
      <c r="D968" s="5"/>
      <c r="E968" s="5"/>
    </row>
    <row r="969">
      <c r="A969" s="5"/>
      <c r="B969" s="5"/>
      <c r="C969" s="5"/>
      <c r="D969" s="5"/>
      <c r="E969" s="5"/>
    </row>
    <row r="970">
      <c r="A970" s="5"/>
      <c r="B970" s="5"/>
      <c r="C970" s="5"/>
      <c r="D970" s="5"/>
      <c r="E970" s="5"/>
    </row>
    <row r="971">
      <c r="A971" s="5"/>
      <c r="B971" s="5"/>
      <c r="C971" s="5"/>
      <c r="D971" s="5"/>
      <c r="E971" s="5"/>
    </row>
    <row r="972">
      <c r="A972" s="5"/>
      <c r="B972" s="5"/>
      <c r="C972" s="5"/>
      <c r="D972" s="5"/>
      <c r="E972" s="5"/>
    </row>
    <row r="973">
      <c r="A973" s="5"/>
      <c r="B973" s="5"/>
      <c r="C973" s="5"/>
      <c r="D973" s="5"/>
      <c r="E973" s="5"/>
    </row>
    <row r="974">
      <c r="A974" s="5"/>
      <c r="B974" s="5"/>
      <c r="C974" s="5"/>
      <c r="D974" s="5"/>
      <c r="E974" s="5"/>
    </row>
    <row r="975">
      <c r="A975" s="5"/>
      <c r="B975" s="5"/>
      <c r="C975" s="5"/>
      <c r="D975" s="5"/>
      <c r="E975" s="5"/>
    </row>
    <row r="976">
      <c r="A976" s="5"/>
      <c r="B976" s="5"/>
      <c r="C976" s="5"/>
      <c r="D976" s="5"/>
      <c r="E976" s="5"/>
    </row>
    <row r="977">
      <c r="A977" s="5"/>
      <c r="B977" s="5"/>
      <c r="C977" s="5"/>
      <c r="D977" s="5"/>
      <c r="E977" s="5"/>
    </row>
    <row r="978">
      <c r="A978" s="5"/>
      <c r="B978" s="5"/>
      <c r="C978" s="5"/>
      <c r="D978" s="5"/>
      <c r="E978" s="5"/>
    </row>
    <row r="979">
      <c r="A979" s="5"/>
      <c r="B979" s="5"/>
      <c r="C979" s="5"/>
      <c r="D979" s="5"/>
      <c r="E979" s="5"/>
    </row>
    <row r="980">
      <c r="A980" s="5"/>
      <c r="B980" s="5"/>
      <c r="C980" s="5"/>
      <c r="D980" s="5"/>
      <c r="E980" s="5"/>
    </row>
    <row r="981">
      <c r="A981" s="5"/>
      <c r="B981" s="5"/>
      <c r="C981" s="5"/>
      <c r="D981" s="5"/>
      <c r="E981" s="5"/>
    </row>
    <row r="982">
      <c r="A982" s="5"/>
      <c r="B982" s="5"/>
      <c r="C982" s="5"/>
      <c r="D982" s="5"/>
      <c r="E982" s="5"/>
    </row>
    <row r="983">
      <c r="A983" s="5"/>
      <c r="B983" s="5"/>
      <c r="C983" s="5"/>
      <c r="D983" s="5"/>
      <c r="E983" s="5"/>
    </row>
    <row r="984">
      <c r="A984" s="5"/>
      <c r="B984" s="5"/>
      <c r="C984" s="5"/>
      <c r="D984" s="5"/>
      <c r="E984" s="5"/>
    </row>
    <row r="985">
      <c r="A985" s="5"/>
      <c r="B985" s="5"/>
      <c r="C985" s="5"/>
      <c r="D985" s="5"/>
      <c r="E985" s="5"/>
    </row>
    <row r="986">
      <c r="A986" s="5"/>
      <c r="B986" s="5"/>
      <c r="C986" s="5"/>
      <c r="D986" s="5"/>
      <c r="E986" s="5"/>
    </row>
    <row r="987">
      <c r="A987" s="5"/>
      <c r="B987" s="5"/>
      <c r="C987" s="5"/>
      <c r="D987" s="5"/>
      <c r="E987" s="5"/>
    </row>
    <row r="988">
      <c r="A988" s="5"/>
      <c r="B988" s="5"/>
      <c r="C988" s="5"/>
      <c r="D988" s="5"/>
      <c r="E988" s="5"/>
    </row>
    <row r="989">
      <c r="A989" s="5"/>
      <c r="B989" s="5"/>
      <c r="C989" s="5"/>
      <c r="D989" s="5"/>
      <c r="E989" s="5"/>
    </row>
    <row r="990">
      <c r="A990" s="5"/>
      <c r="B990" s="5"/>
      <c r="C990" s="5"/>
      <c r="D990" s="5"/>
      <c r="E990" s="5"/>
    </row>
    <row r="991">
      <c r="A991" s="5"/>
      <c r="B991" s="5"/>
      <c r="C991" s="5"/>
      <c r="D991" s="5"/>
      <c r="E991" s="5"/>
    </row>
    <row r="992">
      <c r="A992" s="5"/>
      <c r="B992" s="5"/>
      <c r="C992" s="5"/>
      <c r="D992" s="5"/>
      <c r="E992" s="5"/>
    </row>
    <row r="993">
      <c r="A993" s="5"/>
      <c r="B993" s="5"/>
      <c r="C993" s="5"/>
      <c r="D993" s="5"/>
      <c r="E993" s="5"/>
    </row>
    <row r="994">
      <c r="A994" s="5"/>
      <c r="B994" s="5"/>
      <c r="C994" s="5"/>
      <c r="D994" s="5"/>
      <c r="E994" s="5"/>
    </row>
    <row r="995">
      <c r="A995" s="5"/>
      <c r="B995" s="5"/>
      <c r="C995" s="5"/>
      <c r="D995" s="5"/>
      <c r="E995" s="5"/>
    </row>
    <row r="996">
      <c r="A996" s="5"/>
      <c r="B996" s="5"/>
      <c r="C996" s="5"/>
      <c r="D996" s="5"/>
      <c r="E996" s="5"/>
    </row>
    <row r="997">
      <c r="A997" s="5"/>
      <c r="B997" s="5"/>
      <c r="C997" s="5"/>
      <c r="D997" s="5"/>
      <c r="E997" s="5"/>
    </row>
    <row r="998">
      <c r="A998" s="5"/>
      <c r="B998" s="5"/>
      <c r="C998" s="5"/>
      <c r="D998" s="5"/>
      <c r="E998" s="5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</v>
      </c>
      <c r="B1" s="4" t="s">
        <v>17</v>
      </c>
      <c r="C1" s="4" t="s">
        <v>2</v>
      </c>
    </row>
    <row r="2">
      <c r="A2" s="4" t="s">
        <v>23</v>
      </c>
      <c r="B2" s="4" t="s">
        <v>25</v>
      </c>
      <c r="C2" s="6">
        <v>102.0</v>
      </c>
    </row>
    <row r="3">
      <c r="A3" s="4" t="s">
        <v>31</v>
      </c>
      <c r="B3" s="4" t="s">
        <v>25</v>
      </c>
      <c r="C3" s="6">
        <v>202.0</v>
      </c>
    </row>
    <row r="4">
      <c r="A4" s="10" t="s">
        <v>35</v>
      </c>
      <c r="B4" s="4" t="s">
        <v>25</v>
      </c>
      <c r="C4" s="6">
        <v>302.0</v>
      </c>
    </row>
    <row r="5">
      <c r="A5" s="4" t="s">
        <v>42</v>
      </c>
      <c r="B5" s="4" t="s">
        <v>25</v>
      </c>
      <c r="C5" s="6">
        <v>402.0</v>
      </c>
    </row>
    <row r="6">
      <c r="A6" s="4" t="s">
        <v>42</v>
      </c>
      <c r="B6" s="4" t="s">
        <v>44</v>
      </c>
      <c r="C6" s="6">
        <v>403.0</v>
      </c>
    </row>
    <row r="7">
      <c r="A7" s="4" t="s">
        <v>45</v>
      </c>
      <c r="B7" s="4" t="s">
        <v>25</v>
      </c>
      <c r="C7" s="6">
        <v>502.0</v>
      </c>
    </row>
    <row r="8">
      <c r="A8" s="4" t="s">
        <v>45</v>
      </c>
      <c r="B8" s="4" t="s">
        <v>44</v>
      </c>
      <c r="C8" s="6">
        <v>503.0</v>
      </c>
    </row>
    <row r="9">
      <c r="A9" s="4" t="s">
        <v>47</v>
      </c>
      <c r="B9" s="4" t="s">
        <v>25</v>
      </c>
      <c r="C9" s="6">
        <v>602.0</v>
      </c>
    </row>
    <row r="10">
      <c r="A10" s="4" t="s">
        <v>47</v>
      </c>
      <c r="B10" s="4" t="s">
        <v>44</v>
      </c>
      <c r="C10" s="6">
        <v>603.0</v>
      </c>
    </row>
    <row r="11">
      <c r="A11" s="4" t="s">
        <v>49</v>
      </c>
      <c r="B11" s="4" t="s">
        <v>25</v>
      </c>
      <c r="C11" s="6">
        <v>702.0</v>
      </c>
    </row>
    <row r="12">
      <c r="A12" s="4" t="s">
        <v>49</v>
      </c>
      <c r="B12" s="4" t="s">
        <v>44</v>
      </c>
      <c r="C12" s="6">
        <v>703.0</v>
      </c>
    </row>
    <row r="13">
      <c r="A13" s="4" t="s">
        <v>51</v>
      </c>
      <c r="B13" s="4" t="s">
        <v>25</v>
      </c>
      <c r="C13" s="6">
        <v>802.0</v>
      </c>
    </row>
    <row r="14">
      <c r="A14" s="4" t="s">
        <v>51</v>
      </c>
      <c r="B14" s="4" t="s">
        <v>25</v>
      </c>
      <c r="C14" s="6">
        <v>802.0</v>
      </c>
    </row>
    <row r="15">
      <c r="A15" s="4" t="s">
        <v>55</v>
      </c>
      <c r="B15" s="4" t="s">
        <v>25</v>
      </c>
      <c r="C15" s="6">
        <v>902.0</v>
      </c>
    </row>
    <row r="16">
      <c r="A16" s="4" t="s">
        <v>55</v>
      </c>
      <c r="B16" s="4" t="s">
        <v>44</v>
      </c>
      <c r="C16" s="6">
        <v>903.0</v>
      </c>
    </row>
    <row r="17">
      <c r="A17" s="4" t="s">
        <v>57</v>
      </c>
      <c r="B17" s="4" t="s">
        <v>25</v>
      </c>
      <c r="C17" s="6">
        <v>1002.0</v>
      </c>
    </row>
    <row r="18">
      <c r="A18" s="4" t="s">
        <v>57</v>
      </c>
      <c r="B18" s="4" t="s">
        <v>44</v>
      </c>
      <c r="C18" s="6">
        <v>1003.0</v>
      </c>
    </row>
    <row r="19">
      <c r="A19" s="4" t="s">
        <v>60</v>
      </c>
      <c r="B19" s="4" t="s">
        <v>25</v>
      </c>
      <c r="C19" s="6">
        <v>1102.0</v>
      </c>
    </row>
    <row r="20">
      <c r="A20" s="4" t="s">
        <v>60</v>
      </c>
      <c r="B20" s="4" t="s">
        <v>44</v>
      </c>
      <c r="C20" s="6">
        <v>1103.0</v>
      </c>
    </row>
    <row r="21">
      <c r="A21" s="4" t="s">
        <v>64</v>
      </c>
      <c r="B21" s="4" t="s">
        <v>25</v>
      </c>
      <c r="C21" s="6">
        <v>1202.0</v>
      </c>
    </row>
    <row r="22">
      <c r="A22" s="4" t="s">
        <v>64</v>
      </c>
      <c r="B22" s="4" t="s">
        <v>44</v>
      </c>
      <c r="C22" s="6">
        <v>1203.0</v>
      </c>
    </row>
    <row r="23">
      <c r="A23" s="4" t="s">
        <v>66</v>
      </c>
      <c r="B23" s="4" t="s">
        <v>25</v>
      </c>
      <c r="C23" s="6">
        <v>1302.0</v>
      </c>
    </row>
    <row r="24">
      <c r="A24" s="4" t="s">
        <v>66</v>
      </c>
      <c r="B24" s="4" t="s">
        <v>44</v>
      </c>
      <c r="C24" s="6">
        <v>1303.0</v>
      </c>
    </row>
    <row r="25">
      <c r="A25" s="4" t="s">
        <v>69</v>
      </c>
      <c r="B25" s="4" t="s">
        <v>25</v>
      </c>
      <c r="C25" s="6">
        <v>1402.0</v>
      </c>
    </row>
    <row r="26">
      <c r="A26" s="4" t="s">
        <v>69</v>
      </c>
      <c r="B26" s="4" t="s">
        <v>44</v>
      </c>
      <c r="C26" s="6">
        <v>1403.0</v>
      </c>
    </row>
    <row r="27">
      <c r="A27" s="4" t="s">
        <v>74</v>
      </c>
      <c r="B27" s="4" t="s">
        <v>25</v>
      </c>
      <c r="C27" s="6">
        <v>1502.0</v>
      </c>
    </row>
    <row r="28">
      <c r="A28" s="4" t="s">
        <v>74</v>
      </c>
      <c r="B28" s="4" t="s">
        <v>44</v>
      </c>
      <c r="C28" s="6">
        <v>1503.0</v>
      </c>
    </row>
    <row r="29">
      <c r="A29" s="4" t="s">
        <v>76</v>
      </c>
      <c r="B29" s="4" t="s">
        <v>25</v>
      </c>
      <c r="C29" s="6">
        <v>1602.0</v>
      </c>
    </row>
    <row r="30">
      <c r="A30" s="4" t="s">
        <v>78</v>
      </c>
      <c r="B30" s="4" t="s">
        <v>25</v>
      </c>
      <c r="C30" s="6">
        <v>1702.0</v>
      </c>
    </row>
    <row r="31">
      <c r="A31" s="4" t="s">
        <v>78</v>
      </c>
      <c r="B31" s="4" t="s">
        <v>44</v>
      </c>
      <c r="C31" s="6">
        <v>1703.0</v>
      </c>
    </row>
    <row r="32">
      <c r="A32" s="4" t="s">
        <v>80</v>
      </c>
      <c r="B32" s="4" t="s">
        <v>25</v>
      </c>
      <c r="C32" s="6">
        <v>1902.0</v>
      </c>
    </row>
    <row r="33">
      <c r="A33" s="4" t="s">
        <v>80</v>
      </c>
      <c r="B33" s="4" t="s">
        <v>44</v>
      </c>
      <c r="C33" s="6">
        <v>1903.0</v>
      </c>
    </row>
    <row r="34">
      <c r="A34" s="4" t="s">
        <v>86</v>
      </c>
      <c r="B34" s="4" t="s">
        <v>25</v>
      </c>
      <c r="C34" s="6">
        <v>2002.0</v>
      </c>
    </row>
    <row r="35">
      <c r="A35" s="4" t="s">
        <v>86</v>
      </c>
      <c r="B35" s="4" t="s">
        <v>44</v>
      </c>
      <c r="C35" s="6">
        <v>2003.0</v>
      </c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6.0"/>
    <col customWidth="1" min="3" max="3" width="26.63"/>
    <col customWidth="1" min="4" max="4" width="27.75"/>
    <col customWidth="1" min="5" max="5" width="8.38"/>
    <col customWidth="1" min="6" max="6" width="13.5"/>
    <col customWidth="1" min="7" max="7" width="9.75"/>
    <col customWidth="1" min="8" max="8" width="10.38"/>
    <col customWidth="1" min="9" max="9" width="8.88"/>
    <col customWidth="1" min="10" max="10" width="6.88"/>
    <col customWidth="1" min="11" max="11" width="30.63"/>
  </cols>
  <sheetData>
    <row r="1">
      <c r="A1" s="23" t="s">
        <v>0</v>
      </c>
      <c r="B1" s="23" t="s">
        <v>3</v>
      </c>
      <c r="C1" s="24" t="s">
        <v>548</v>
      </c>
      <c r="D1" s="24" t="s">
        <v>5</v>
      </c>
      <c r="E1" s="25" t="s">
        <v>6</v>
      </c>
      <c r="F1" s="25" t="s">
        <v>11</v>
      </c>
      <c r="G1" s="23" t="s">
        <v>15</v>
      </c>
      <c r="H1" s="23" t="s">
        <v>18</v>
      </c>
      <c r="I1" s="23" t="s">
        <v>20</v>
      </c>
      <c r="J1" s="26" t="s">
        <v>552</v>
      </c>
      <c r="K1" s="23" t="s">
        <v>553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>
      <c r="A2" s="28">
        <v>1.0</v>
      </c>
      <c r="B2" s="28" t="s">
        <v>29</v>
      </c>
      <c r="C2" s="29" t="s">
        <v>120</v>
      </c>
      <c r="D2" s="29" t="s">
        <v>121</v>
      </c>
      <c r="E2" s="30">
        <v>13480.0</v>
      </c>
      <c r="F2" s="28">
        <v>0.0</v>
      </c>
      <c r="G2" s="28" t="s">
        <v>554</v>
      </c>
      <c r="H2" s="28">
        <f t="array" ref="H2">INDEX(CC!C:C,MATCH(1,(CC!A:A=G2)*(CC!B:B=I2),0))</f>
        <v>1702</v>
      </c>
      <c r="I2" s="28" t="s">
        <v>25</v>
      </c>
      <c r="J2" s="31">
        <v>13480.0</v>
      </c>
      <c r="K2" s="28" t="str">
        <f>IFERROR(__xludf.DUMMYFUNCTION("IFERROR(
INDEX(
FILTER(
MAP(
reglas!$B$2:$B$240,
reglas!$C$2:$C$240,
reglas!$D$2:$D$240,
reglas!$E$2:$E$240,
LAMBDA(rEmisor,rPatron,rConcepto,rTipo,
IF(
AND(
OR(
UPPER(TRIM(rEmisor))=UPPER(TRIM(C2)),
UPPER(TRIM(rEmisor))=""CUALQUIERA""
),
OR(
UPPER(TRIM(r"&amp;"Tipo))=""SOLO EMISOR"",
AND(
UPPER(TRIM(rTipo))=""EXACTA"",
UPPER(TRIM(AG2))=UPPER(TRIM(rPatron))
),
AND(
OR(
UPPER(TRIM(rTipo))=""CONTIENE"",
UPPER(TRIM(rTipo))=""COINCIDENCIA""
),
ISNUMBER(SEARCH(UPPER(TRIM(rPatron)),UPPER(TRIM(D2))))
)
)
),
rConcepto,
"&amp;"""""
)
)
),
MAP(
reglas!$B$2:$B$240,
reglas!$C$2:$C$240,
reglas!$D$2:$D$240,
reglas!$E$2:$E$240,
LAMBDA(rEmisor,rPatron,rConcepto,rTipo,
IF(
AND(
OR(
UPPER(TRIM(rEmisor))=UPPER(TRIM(C2)),
UPPER(TRIM(rEmisor))=""CUALQUIERA""
),
OR(
UPPER(TRIM(rTipo))=""SOL"&amp;"O EMISOR"",
AND(
UPPER(TRIM(rTipo))=""EXACTA"",
UPPER(TRIM(D2))=UPPER(TRIM(rPatron))
),
AND(
OR(
UPPER(TRIM(rTipo))=""CONTIENE"",
UPPER(TRIM(rTipo))=""COINCIDENCIA""
),
ISNUMBER(SEARCH(UPPER(TRIM(rPatron)),UPPER(TRIM(D2))))
)
)
),
rConcepto,
""""
)
)
)&lt;&gt;"&amp;"""""
),
1
),
""""
)"),"CUOTAS Y SUSCRIPCIONES")</f>
        <v>CUOTAS Y SUSCRIPCIONES</v>
      </c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</row>
    <row r="3">
      <c r="A3" s="32"/>
      <c r="B3" s="32"/>
      <c r="C3" s="29" t="s">
        <v>120</v>
      </c>
      <c r="D3" s="29" t="s">
        <v>557</v>
      </c>
      <c r="E3" s="30">
        <v>3423.0</v>
      </c>
      <c r="F3" s="28">
        <v>0.0</v>
      </c>
      <c r="G3" s="28" t="s">
        <v>554</v>
      </c>
      <c r="H3" s="28">
        <f t="array" ref="H3">INDEX(CC!C:C,MATCH(1,(CC!A:A=G3)*(CC!B:B=I3),0))</f>
        <v>1702</v>
      </c>
      <c r="I3" s="28" t="s">
        <v>25</v>
      </c>
      <c r="J3" s="31">
        <v>1141.0</v>
      </c>
      <c r="K3" s="28" t="str">
        <f>IFERROR(__xludf.DUMMYFUNCTION("IFERROR(
INDEX(
FILTER(
MAP(
reglas!$B$2:$B$240,
reglas!$C$2:$C$240,
reglas!$D$2:$D$240,
reglas!$E$2:$E$240,
LAMBDA(rEmisor,rPatron,rConcepto,rTipo,
IF(
AND(
OR(
UPPER(TRIM(rEmisor))=UPPER(TRIM(C3)),
UPPER(TRIM(rEmisor))=""CUALQUIERA""
),
OR(
UPPER(TRIM(r"&amp;"Tipo))=""SOLO EMISOR"",
AND(
UPPER(TRIM(rTipo))=""EXACTA"",
UPPER(TRIM(AG3))=UPPER(TRIM(rPatron))
),
AND(
OR(
UPPER(TRIM(rTipo))=""CONTIENE"",
UPPER(TRIM(rTipo))=""COINCIDENCIA""
),
ISNUMBER(SEARCH(UPPER(TRIM(rPatron)),UPPER(TRIM(D3))))
)
)
),
rConcepto,
"&amp;"""""
)
)
),
MAP(
reglas!$B$2:$B$240,
reglas!$C$2:$C$240,
reglas!$D$2:$D$240,
reglas!$E$2:$E$240,
LAMBDA(rEmisor,rPatron,rConcepto,rTipo,
IF(
AND(
OR(
UPPER(TRIM(rEmisor))=UPPER(TRIM(C3)),
UPPER(TRIM(rEmisor))=""CUALQUIERA""
),
OR(
UPPER(TRIM(rTipo))=""SOL"&amp;"O EMISOR"",
AND(
UPPER(TRIM(rTipo))=""EXACTA"",
UPPER(TRIM(D3))=UPPER(TRIM(rPatron))
),
AND(
OR(
UPPER(TRIM(rTipo))=""CONTIENE"",
UPPER(TRIM(rTipo))=""COINCIDENCIA""
),
ISNUMBER(SEARCH(UPPER(TRIM(rPatron)),UPPER(TRIM(D3))))
)
)
),
rConcepto,
""""
)
)
)&lt;&gt;"&amp;"""""
),
1
),
""""
)"),"CUOTAS Y SUSCRIPCIONES")</f>
        <v>CUOTAS Y SUSCRIPCIONES</v>
      </c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</row>
    <row r="4">
      <c r="A4" s="32"/>
      <c r="B4" s="32"/>
      <c r="C4" s="29" t="s">
        <v>120</v>
      </c>
      <c r="D4" s="29" t="s">
        <v>557</v>
      </c>
      <c r="E4" s="32"/>
      <c r="F4" s="32"/>
      <c r="G4" s="28" t="s">
        <v>55</v>
      </c>
      <c r="H4" s="28">
        <f t="array" ref="H4">INDEX(CC!C:C,MATCH(1,(CC!A:A=G4)*(CC!B:B=I4),0))</f>
        <v>902</v>
      </c>
      <c r="I4" s="28" t="s">
        <v>25</v>
      </c>
      <c r="J4" s="31">
        <v>1141.0</v>
      </c>
      <c r="K4" s="28" t="str">
        <f>IFERROR(__xludf.DUMMYFUNCTION("IFERROR(
INDEX(
FILTER(
MAP(
reglas!$B$2:$B$240,
reglas!$C$2:$C$240,
reglas!$D$2:$D$240,
reglas!$E$2:$E$240,
LAMBDA(rEmisor,rPatron,rConcepto,rTipo,
IF(
AND(
OR(
UPPER(TRIM(rEmisor))=UPPER(TRIM(C4)),
UPPER(TRIM(rEmisor))=""CUALQUIERA""
),
OR(
UPPER(TRIM(r"&amp;"Tipo))=""SOLO EMISOR"",
AND(
UPPER(TRIM(rTipo))=""EXACTA"",
UPPER(TRIM(AG4))=UPPER(TRIM(rPatron))
),
AND(
OR(
UPPER(TRIM(rTipo))=""CONTIENE"",
UPPER(TRIM(rTipo))=""COINCIDENCIA""
),
ISNUMBER(SEARCH(UPPER(TRIM(rPatron)),UPPER(TRIM(D4))))
)
)
),
rConcepto,
"&amp;"""""
)
)
),
MAP(
reglas!$B$2:$B$240,
reglas!$C$2:$C$240,
reglas!$D$2:$D$240,
reglas!$E$2:$E$240,
LAMBDA(rEmisor,rPatron,rConcepto,rTipo,
IF(
AND(
OR(
UPPER(TRIM(rEmisor))=UPPER(TRIM(C4)),
UPPER(TRIM(rEmisor))=""CUALQUIERA""
),
OR(
UPPER(TRIM(rTipo))=""SOL"&amp;"O EMISOR"",
AND(
UPPER(TRIM(rTipo))=""EXACTA"",
UPPER(TRIM(D4))=UPPER(TRIM(rPatron))
),
AND(
OR(
UPPER(TRIM(rTipo))=""CONTIENE"",
UPPER(TRIM(rTipo))=""COINCIDENCIA""
),
ISNUMBER(SEARCH(UPPER(TRIM(rPatron)),UPPER(TRIM(D4))))
)
)
),
rConcepto,
""""
)
)
)&lt;&gt;"&amp;"""""
),
1
),
""""
)"),"CUOTAS Y SUSCRIPCIONES")</f>
        <v>CUOTAS Y SUSCRIPCIONES</v>
      </c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</row>
    <row r="5">
      <c r="A5" s="32"/>
      <c r="B5" s="32"/>
      <c r="C5" s="29" t="s">
        <v>120</v>
      </c>
      <c r="D5" s="29" t="s">
        <v>557</v>
      </c>
      <c r="E5" s="32"/>
      <c r="F5" s="32"/>
      <c r="G5" s="28" t="s">
        <v>551</v>
      </c>
      <c r="H5" s="28">
        <f t="array" ref="H5">INDEX(CC!C:C,MATCH(1,(CC!A:A=G5)*(CC!B:B=I5),0))</f>
        <v>1202</v>
      </c>
      <c r="I5" s="28" t="s">
        <v>25</v>
      </c>
      <c r="J5" s="31">
        <v>1141.0</v>
      </c>
      <c r="K5" s="28" t="str">
        <f>IFERROR(__xludf.DUMMYFUNCTION("IFERROR(
INDEX(
FILTER(
MAP(
reglas!$B$2:$B$240,
reglas!$C$2:$C$240,
reglas!$D$2:$D$240,
reglas!$E$2:$E$240,
LAMBDA(rEmisor,rPatron,rConcepto,rTipo,
IF(
AND(
OR(
UPPER(TRIM(rEmisor))=UPPER(TRIM(C5)),
UPPER(TRIM(rEmisor))=""CUALQUIERA""
),
OR(
UPPER(TRIM(r"&amp;"Tipo))=""SOLO EMISOR"",
AND(
UPPER(TRIM(rTipo))=""EXACTA"",
UPPER(TRIM(AG5))=UPPER(TRIM(rPatron))
),
AND(
OR(
UPPER(TRIM(rTipo))=""CONTIENE"",
UPPER(TRIM(rTipo))=""COINCIDENCIA""
),
ISNUMBER(SEARCH(UPPER(TRIM(rPatron)),UPPER(TRIM(D5))))
)
)
),
rConcepto,
"&amp;"""""
)
)
),
MAP(
reglas!$B$2:$B$240,
reglas!$C$2:$C$240,
reglas!$D$2:$D$240,
reglas!$E$2:$E$240,
LAMBDA(rEmisor,rPatron,rConcepto,rTipo,
IF(
AND(
OR(
UPPER(TRIM(rEmisor))=UPPER(TRIM(C5)),
UPPER(TRIM(rEmisor))=""CUALQUIERA""
),
OR(
UPPER(TRIM(rTipo))=""SOL"&amp;"O EMISOR"",
AND(
UPPER(TRIM(rTipo))=""EXACTA"",
UPPER(TRIM(D5))=UPPER(TRIM(rPatron))
),
AND(
OR(
UPPER(TRIM(rTipo))=""CONTIENE"",
UPPER(TRIM(rTipo))=""COINCIDENCIA""
),
ISNUMBER(SEARCH(UPPER(TRIM(rPatron)),UPPER(TRIM(D5))))
)
)
),
rConcepto,
""""
)
)
)&lt;&gt;"&amp;"""""
),
1
),
""""
)"),"CUOTAS Y SUSCRIPCIONES")</f>
        <v>CUOTAS Y SUSCRIPCIONES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</row>
    <row r="6">
      <c r="A6" s="32"/>
      <c r="B6" s="28" t="s">
        <v>29</v>
      </c>
      <c r="C6" s="29" t="s">
        <v>172</v>
      </c>
      <c r="D6" s="29" t="s">
        <v>559</v>
      </c>
      <c r="E6" s="30">
        <v>11500.0</v>
      </c>
      <c r="F6" s="28">
        <v>0.0</v>
      </c>
      <c r="G6" s="28" t="s">
        <v>250</v>
      </c>
      <c r="H6" s="28">
        <f t="array" ref="H6">INDEX(CC!C:C,MATCH(1,(CC!A:A=G6)*(CC!B:B=I6),0))</f>
        <v>1402</v>
      </c>
      <c r="I6" s="28" t="s">
        <v>25</v>
      </c>
      <c r="J6" s="31">
        <v>11500.0</v>
      </c>
      <c r="K6" s="28" t="str">
        <f>IFERROR(__xludf.DUMMYFUNCTION("IFERROR(
INDEX(
FILTER(
MAP(
reglas!$B$2:$B$240,
reglas!$C$2:$C$240,
reglas!$D$2:$D$240,
reglas!$E$2:$E$240,
LAMBDA(rEmisor,rPatron,rConcepto,rTipo,
IF(
AND(
OR(
UPPER(TRIM(rEmisor))=UPPER(TRIM(C6)),
UPPER(TRIM(rEmisor))=""CUALQUIERA""
),
OR(
UPPER(TRIM(r"&amp;"Tipo))=""SOLO EMISOR"",
AND(
UPPER(TRIM(rTipo))=""EXACTA"",
UPPER(TRIM(AG6))=UPPER(TRIM(rPatron))
),
AND(
OR(
UPPER(TRIM(rTipo))=""CONTIENE"",
UPPER(TRIM(rTipo))=""COINCIDENCIA""
),
ISNUMBER(SEARCH(UPPER(TRIM(rPatron)),UPPER(TRIM(D6))))
)
)
),
rConcepto,
"&amp;"""""
)
)
),
MAP(
reglas!$B$2:$B$240,
reglas!$C$2:$C$240,
reglas!$D$2:$D$240,
reglas!$E$2:$E$240,
LAMBDA(rEmisor,rPatron,rConcepto,rTipo,
IF(
AND(
OR(
UPPER(TRIM(rEmisor))=UPPER(TRIM(C6)),
UPPER(TRIM(rEmisor))=""CUALQUIERA""
),
OR(
UPPER(TRIM(rTipo))=""SOL"&amp;"O EMISOR"",
AND(
UPPER(TRIM(rTipo))=""EXACTA"",
UPPER(TRIM(D6))=UPPER(TRIM(rPatron))
),
AND(
OR(
UPPER(TRIM(rTipo))=""CONTIENE"",
UPPER(TRIM(rTipo))=""COINCIDENCIA""
),
ISNUMBER(SEARCH(UPPER(TRIM(rPatron)),UPPER(TRIM(D6))))
)
)
),
rConcepto,
""""
)
)
)&lt;&gt;"&amp;"""""
),
1
),
""""
)"),"TRANSPORTE")</f>
        <v>TRANSPORTE</v>
      </c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</row>
    <row r="7">
      <c r="A7" s="32"/>
      <c r="B7" s="28" t="s">
        <v>29</v>
      </c>
      <c r="C7" s="29" t="s">
        <v>278</v>
      </c>
      <c r="D7" s="29" t="s">
        <v>560</v>
      </c>
      <c r="E7" s="30">
        <v>3500.0</v>
      </c>
      <c r="F7" s="28">
        <v>0.0</v>
      </c>
      <c r="G7" s="28" t="s">
        <v>250</v>
      </c>
      <c r="H7" s="28">
        <f t="array" ref="H7">INDEX(CC!C:C,MATCH(1,(CC!A:A=G7)*(CC!B:B=I7),0))</f>
        <v>1402</v>
      </c>
      <c r="I7" s="28" t="s">
        <v>25</v>
      </c>
      <c r="J7" s="31">
        <v>3500.0</v>
      </c>
      <c r="K7" s="28" t="str">
        <f>IFERROR(__xludf.DUMMYFUNCTION("IFERROR(
INDEX(
FILTER(
MAP(
reglas!$B$2:$B$240,
reglas!$C$2:$C$240,
reglas!$D$2:$D$240,
reglas!$E$2:$E$240,
LAMBDA(rEmisor,rPatron,rConcepto,rTipo,
IF(
AND(
OR(
UPPER(TRIM(rEmisor))=UPPER(TRIM(C7)),
UPPER(TRIM(rEmisor))=""CUALQUIERA""
),
OR(
UPPER(TRIM(r"&amp;"Tipo))=""SOLO EMISOR"",
AND(
UPPER(TRIM(rTipo))=""EXACTA"",
UPPER(TRIM(AG7))=UPPER(TRIM(rPatron))
),
AND(
OR(
UPPER(TRIM(rTipo))=""CONTIENE"",
UPPER(TRIM(rTipo))=""COINCIDENCIA""
),
ISNUMBER(SEARCH(UPPER(TRIM(rPatron)),UPPER(TRIM(D7))))
)
)
),
rConcepto,
"&amp;"""""
)
)
),
MAP(
reglas!$B$2:$B$240,
reglas!$C$2:$C$240,
reglas!$D$2:$D$240,
reglas!$E$2:$E$240,
LAMBDA(rEmisor,rPatron,rConcepto,rTipo,
IF(
AND(
OR(
UPPER(TRIM(rEmisor))=UPPER(TRIM(C7)),
UPPER(TRIM(rEmisor))=""CUALQUIERA""
),
OR(
UPPER(TRIM(rTipo))=""SOL"&amp;"O EMISOR"",
AND(
UPPER(TRIM(rTipo))=""EXACTA"",
UPPER(TRIM(D7))=UPPER(TRIM(rPatron))
),
AND(
OR(
UPPER(TRIM(rTipo))=""CONTIENE"",
UPPER(TRIM(rTipo))=""COINCIDENCIA""
),
ISNUMBER(SEARCH(UPPER(TRIM(rPatron)),UPPER(TRIM(D7))))
)
)
),
rConcepto,
""""
)
)
)&lt;&gt;"&amp;"""""
),
1
),
""""
)"),"MANIOBRAS")</f>
        <v>MANIOBRAS</v>
      </c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</row>
    <row r="8">
      <c r="A8" s="32"/>
      <c r="B8" s="28" t="s">
        <v>29</v>
      </c>
      <c r="C8" s="29" t="s">
        <v>172</v>
      </c>
      <c r="D8" s="29" t="s">
        <v>561</v>
      </c>
      <c r="E8" s="30">
        <v>11500.0</v>
      </c>
      <c r="F8" s="28">
        <v>0.0</v>
      </c>
      <c r="G8" s="28" t="s">
        <v>250</v>
      </c>
      <c r="H8" s="28">
        <f t="array" ref="H8">INDEX(CC!C:C,MATCH(1,(CC!A:A=G8)*(CC!B:B=I8),0))</f>
        <v>1402</v>
      </c>
      <c r="I8" s="28" t="s">
        <v>25</v>
      </c>
      <c r="J8" s="31">
        <v>11500.0</v>
      </c>
      <c r="K8" s="28" t="str">
        <f>IFERROR(__xludf.DUMMYFUNCTION("IFERROR(
INDEX(
FILTER(
MAP(
reglas!$B$2:$B$240,
reglas!$C$2:$C$240,
reglas!$D$2:$D$240,
reglas!$E$2:$E$240,
LAMBDA(rEmisor,rPatron,rConcepto,rTipo,
IF(
AND(
OR(
UPPER(TRIM(rEmisor))=UPPER(TRIM(C8)),
UPPER(TRIM(rEmisor))=""CUALQUIERA""
),
OR(
UPPER(TRIM(r"&amp;"Tipo))=""SOLO EMISOR"",
AND(
UPPER(TRIM(rTipo))=""EXACTA"",
UPPER(TRIM(AG8))=UPPER(TRIM(rPatron))
),
AND(
OR(
UPPER(TRIM(rTipo))=""CONTIENE"",
UPPER(TRIM(rTipo))=""COINCIDENCIA""
),
ISNUMBER(SEARCH(UPPER(TRIM(rPatron)),UPPER(TRIM(D8))))
)
)
),
rConcepto,
"&amp;"""""
)
)
),
MAP(
reglas!$B$2:$B$240,
reglas!$C$2:$C$240,
reglas!$D$2:$D$240,
reglas!$E$2:$E$240,
LAMBDA(rEmisor,rPatron,rConcepto,rTipo,
IF(
AND(
OR(
UPPER(TRIM(rEmisor))=UPPER(TRIM(C8)),
UPPER(TRIM(rEmisor))=""CUALQUIERA""
),
OR(
UPPER(TRIM(rTipo))=""SOL"&amp;"O EMISOR"",
AND(
UPPER(TRIM(rTipo))=""EXACTA"",
UPPER(TRIM(D8))=UPPER(TRIM(rPatron))
),
AND(
OR(
UPPER(TRIM(rTipo))=""CONTIENE"",
UPPER(TRIM(rTipo))=""COINCIDENCIA""
),
ISNUMBER(SEARCH(UPPER(TRIM(rPatron)),UPPER(TRIM(D8))))
)
)
),
rConcepto,
""""
)
)
)&lt;&gt;"&amp;"""""
),
1
),
""""
)"),"TRANSPORTE")</f>
        <v>TRANSPORTE</v>
      </c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</row>
    <row r="9">
      <c r="A9" s="32"/>
      <c r="B9" s="28" t="s">
        <v>29</v>
      </c>
      <c r="C9" s="29" t="s">
        <v>172</v>
      </c>
      <c r="D9" s="29" t="s">
        <v>562</v>
      </c>
      <c r="E9" s="30">
        <v>11500.0</v>
      </c>
      <c r="F9" s="28">
        <v>0.0</v>
      </c>
      <c r="G9" s="28" t="s">
        <v>250</v>
      </c>
      <c r="H9" s="28">
        <f t="array" ref="H9">INDEX(CC!C:C,MATCH(1,(CC!A:A=G9)*(CC!B:B=I9),0))</f>
        <v>1402</v>
      </c>
      <c r="I9" s="28" t="s">
        <v>25</v>
      </c>
      <c r="J9" s="31">
        <v>11500.0</v>
      </c>
      <c r="K9" s="28" t="str">
        <f>IFERROR(__xludf.DUMMYFUNCTION("IFERROR(
INDEX(
FILTER(
MAP(
reglas!$B$2:$B$240,
reglas!$C$2:$C$240,
reglas!$D$2:$D$240,
reglas!$E$2:$E$240,
LAMBDA(rEmisor,rPatron,rConcepto,rTipo,
IF(
AND(
OR(
UPPER(TRIM(rEmisor))=UPPER(TRIM(C9)),
UPPER(TRIM(rEmisor))=""CUALQUIERA""
),
OR(
UPPER(TRIM(r"&amp;"Tipo))=""SOLO EMISOR"",
AND(
UPPER(TRIM(rTipo))=""EXACTA"",
UPPER(TRIM(AG9))=UPPER(TRIM(rPatron))
),
AND(
OR(
UPPER(TRIM(rTipo))=""CONTIENE"",
UPPER(TRIM(rTipo))=""COINCIDENCIA""
),
ISNUMBER(SEARCH(UPPER(TRIM(rPatron)),UPPER(TRIM(D9))))
)
)
),
rConcepto,
"&amp;"""""
)
)
),
MAP(
reglas!$B$2:$B$240,
reglas!$C$2:$C$240,
reglas!$D$2:$D$240,
reglas!$E$2:$E$240,
LAMBDA(rEmisor,rPatron,rConcepto,rTipo,
IF(
AND(
OR(
UPPER(TRIM(rEmisor))=UPPER(TRIM(C9)),
UPPER(TRIM(rEmisor))=""CUALQUIERA""
),
OR(
UPPER(TRIM(rTipo))=""SOL"&amp;"O EMISOR"",
AND(
UPPER(TRIM(rTipo))=""EXACTA"",
UPPER(TRIM(D9))=UPPER(TRIM(rPatron))
),
AND(
OR(
UPPER(TRIM(rTipo))=""CONTIENE"",
UPPER(TRIM(rTipo))=""COINCIDENCIA""
),
ISNUMBER(SEARCH(UPPER(TRIM(rPatron)),UPPER(TRIM(D9))))
)
)
),
rConcepto,
""""
)
)
)&lt;&gt;"&amp;"""""
),
1
),
""""
)"),"TRANSPORTE")</f>
        <v>TRANSPORTE</v>
      </c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</row>
    <row r="10">
      <c r="A10" s="28">
        <v>1.0</v>
      </c>
      <c r="B10" s="28" t="s">
        <v>29</v>
      </c>
      <c r="C10" s="29" t="s">
        <v>192</v>
      </c>
      <c r="D10" s="29" t="s">
        <v>563</v>
      </c>
      <c r="E10" s="28">
        <v>140.0</v>
      </c>
      <c r="F10" s="28">
        <v>0.0</v>
      </c>
      <c r="G10" s="28" t="s">
        <v>225</v>
      </c>
      <c r="H10" s="28">
        <f t="array" ref="H10">INDEX(CC!C:C,MATCH(1,(CC!A:A=G10)*(CC!B:B=I10),0))</f>
        <v>102</v>
      </c>
      <c r="I10" s="28" t="s">
        <v>25</v>
      </c>
      <c r="J10" s="31">
        <v>140.0</v>
      </c>
      <c r="K10" s="28" t="str">
        <f>IFERROR(__xludf.DUMMYFUNCTION("IFERROR(
INDEX(
FILTER(
MAP(
reglas!$B$2:$B$240,
reglas!$C$2:$C$240,
reglas!$D$2:$D$240,
reglas!$E$2:$E$240,
LAMBDA(rEmisor,rPatron,rConcepto,rTipo,
IF(
AND(
OR(
UPPER(TRIM(rEmisor))=UPPER(TRIM(C10)),
UPPER(TRIM(rEmisor))=""CUALQUIERA""
),
OR(
UPPER(TRIM("&amp;"rTipo))=""SOLO EMISOR"",
AND(
UPPER(TRIM(rTipo))=""EXACTA"",
UPPER(TRIM(AG10))=UPPER(TRIM(rPatron))
),
AND(
OR(
UPPER(TRIM(rTipo))=""CONTIENE"",
UPPER(TRIM(rTipo))=""COINCIDENCIA""
),
ISNUMBER(SEARCH(UPPER(TRIM(rPatron)),UPPER(TRIM(D10))))
)
)
),
rConcept"&amp;"o,
""""
)
)
),
MAP(
reglas!$B$2:$B$240,
reglas!$C$2:$C$240,
reglas!$D$2:$D$240,
reglas!$E$2:$E$240,
LAMBDA(rEmisor,rPatron,rConcepto,rTipo,
IF(
AND(
OR(
UPPER(TRIM(rEmisor))=UPPER(TRIM(C10)),
UPPER(TRIM(rEmisor))=""CUALQUIERA""
),
OR(
UPPER(TRIM(rTipo))="&amp;"""SOLO EMISOR"",
AND(
UPPER(TRIM(rTipo))=""EXACTA"",
UPPER(TRIM(D10))=UPPER(TRIM(rPatron))
),
AND(
OR(
UPPER(TRIM(rTipo))=""CONTIENE"",
UPPER(TRIM(rTipo))=""COINCIDENCIA""
),
ISNUMBER(SEARCH(UPPER(TRIM(rPatron)),UPPER(TRIM(D10))))
)
)
),
rConcepto,
""""
)"&amp;"
)
)&lt;&gt;""""
),
1
),
""""
)"),"SERVICIO EN LA NUBE")</f>
        <v>SERVICIO EN LA NUBE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</row>
    <row r="11">
      <c r="A11" s="32"/>
      <c r="B11" s="28" t="s">
        <v>29</v>
      </c>
      <c r="C11" s="29" t="s">
        <v>190</v>
      </c>
      <c r="D11" s="29" t="s">
        <v>564</v>
      </c>
      <c r="E11" s="30">
        <v>6800.0</v>
      </c>
      <c r="F11" s="28">
        <v>0.0</v>
      </c>
      <c r="G11" s="28" t="s">
        <v>84</v>
      </c>
      <c r="H11" s="28">
        <f t="array" ref="H11">INDEX(CC!C:C,MATCH(1,(CC!A:A=G11)*(CC!B:B=I11),0))</f>
        <v>1002</v>
      </c>
      <c r="I11" s="28" t="s">
        <v>25</v>
      </c>
      <c r="J11" s="31">
        <v>6800.0</v>
      </c>
      <c r="K11" s="28" t="str">
        <f>IFERROR(__xludf.DUMMYFUNCTION("IFERROR(
INDEX(
FILTER(
MAP(
reglas!$B$2:$B$240,
reglas!$C$2:$C$240,
reglas!$D$2:$D$240,
reglas!$E$2:$E$240,
LAMBDA(rEmisor,rPatron,rConcepto,rTipo,
IF(
AND(
OR(
UPPER(TRIM(rEmisor))=UPPER(TRIM(C11)),
UPPER(TRIM(rEmisor))=""CUALQUIERA""
),
OR(
UPPER(TRIM("&amp;"rTipo))=""SOLO EMISOR"",
AND(
UPPER(TRIM(rTipo))=""EXACTA"",
UPPER(TRIM(AG11))=UPPER(TRIM(rPatron))
),
AND(
OR(
UPPER(TRIM(rTipo))=""CONTIENE"",
UPPER(TRIM(rTipo))=""COINCIDENCIA""
),
ISNUMBER(SEARCH(UPPER(TRIM(rPatron)),UPPER(TRIM(D11))))
)
)
),
rConcept"&amp;"o,
""""
)
)
),
MAP(
reglas!$B$2:$B$240,
reglas!$C$2:$C$240,
reglas!$D$2:$D$240,
reglas!$E$2:$E$240,
LAMBDA(rEmisor,rPatron,rConcepto,rTipo,
IF(
AND(
OR(
UPPER(TRIM(rEmisor))=UPPER(TRIM(C11)),
UPPER(TRIM(rEmisor))=""CUALQUIERA""
),
OR(
UPPER(TRIM(rTipo))="&amp;"""SOLO EMISOR"",
AND(
UPPER(TRIM(rTipo))=""EXACTA"",
UPPER(TRIM(D11))=UPPER(TRIM(rPatron))
),
AND(
OR(
UPPER(TRIM(rTipo))=""CONTIENE"",
UPPER(TRIM(rTipo))=""COINCIDENCIA""
),
ISNUMBER(SEARCH(UPPER(TRIM(rPatron)),UPPER(TRIM(D11))))
)
)
),
rConcepto,
""""
)"&amp;"
)
)&lt;&gt;""""
),
1
),
""""
)"),"INTERNET")</f>
        <v>INTERNET</v>
      </c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</row>
    <row r="12">
      <c r="A12" s="32"/>
      <c r="B12" s="28" t="s">
        <v>29</v>
      </c>
      <c r="C12" s="29" t="s">
        <v>172</v>
      </c>
      <c r="D12" s="29" t="s">
        <v>561</v>
      </c>
      <c r="E12" s="30">
        <v>11500.0</v>
      </c>
      <c r="F12" s="28">
        <v>0.0</v>
      </c>
      <c r="G12" s="28" t="s">
        <v>250</v>
      </c>
      <c r="H12" s="28">
        <f t="array" ref="H12">INDEX(CC!C:C,MATCH(1,(CC!A:A=G12)*(CC!B:B=I12),0))</f>
        <v>1402</v>
      </c>
      <c r="I12" s="28" t="s">
        <v>25</v>
      </c>
      <c r="J12" s="31">
        <v>11500.0</v>
      </c>
      <c r="K12" s="28" t="str">
        <f>IFERROR(__xludf.DUMMYFUNCTION("IFERROR(
INDEX(
FILTER(
MAP(
reglas!$B$2:$B$240,
reglas!$C$2:$C$240,
reglas!$D$2:$D$240,
reglas!$E$2:$E$240,
LAMBDA(rEmisor,rPatron,rConcepto,rTipo,
IF(
AND(
OR(
UPPER(TRIM(rEmisor))=UPPER(TRIM(C12)),
UPPER(TRIM(rEmisor))=""CUALQUIERA""
),
OR(
UPPER(TRIM("&amp;"rTipo))=""SOLO EMISOR"",
AND(
UPPER(TRIM(rTipo))=""EXACTA"",
UPPER(TRIM(AG12))=UPPER(TRIM(rPatron))
),
AND(
OR(
UPPER(TRIM(rTipo))=""CONTIENE"",
UPPER(TRIM(rTipo))=""COINCIDENCIA""
),
ISNUMBER(SEARCH(UPPER(TRIM(rPatron)),UPPER(TRIM(D12))))
)
)
),
rConcept"&amp;"o,
""""
)
)
),
MAP(
reglas!$B$2:$B$240,
reglas!$C$2:$C$240,
reglas!$D$2:$D$240,
reglas!$E$2:$E$240,
LAMBDA(rEmisor,rPatron,rConcepto,rTipo,
IF(
AND(
OR(
UPPER(TRIM(rEmisor))=UPPER(TRIM(C12)),
UPPER(TRIM(rEmisor))=""CUALQUIERA""
),
OR(
UPPER(TRIM(rTipo))="&amp;"""SOLO EMISOR"",
AND(
UPPER(TRIM(rTipo))=""EXACTA"",
UPPER(TRIM(D12))=UPPER(TRIM(rPatron))
),
AND(
OR(
UPPER(TRIM(rTipo))=""CONTIENE"",
UPPER(TRIM(rTipo))=""COINCIDENCIA""
),
ISNUMBER(SEARCH(UPPER(TRIM(rPatron)),UPPER(TRIM(D12))))
)
)
),
rConcepto,
""""
)"&amp;"
)
)&lt;&gt;""""
),
1
),
""""
)"),"TRANSPORTE")</f>
        <v>TRANSPORTE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</row>
    <row r="13">
      <c r="A13" s="32"/>
      <c r="B13" s="28" t="s">
        <v>29</v>
      </c>
      <c r="C13" s="29" t="s">
        <v>172</v>
      </c>
      <c r="D13" s="29" t="s">
        <v>562</v>
      </c>
      <c r="E13" s="30">
        <v>11500.0</v>
      </c>
      <c r="F13" s="28">
        <v>0.0</v>
      </c>
      <c r="G13" s="28" t="s">
        <v>250</v>
      </c>
      <c r="H13" s="28">
        <f t="array" ref="H13">INDEX(CC!C:C,MATCH(1,(CC!A:A=G13)*(CC!B:B=I13),0))</f>
        <v>1402</v>
      </c>
      <c r="I13" s="28" t="s">
        <v>25</v>
      </c>
      <c r="J13" s="31">
        <v>11500.0</v>
      </c>
      <c r="K13" s="28" t="str">
        <f>IFERROR(__xludf.DUMMYFUNCTION("IFERROR(
INDEX(
FILTER(
MAP(
reglas!$B$2:$B$240,
reglas!$C$2:$C$240,
reglas!$D$2:$D$240,
reglas!$E$2:$E$240,
LAMBDA(rEmisor,rPatron,rConcepto,rTipo,
IF(
AND(
OR(
UPPER(TRIM(rEmisor))=UPPER(TRIM(C13)),
UPPER(TRIM(rEmisor))=""CUALQUIERA""
),
OR(
UPPER(TRIM("&amp;"rTipo))=""SOLO EMISOR"",
AND(
UPPER(TRIM(rTipo))=""EXACTA"",
UPPER(TRIM(AG13))=UPPER(TRIM(rPatron))
),
AND(
OR(
UPPER(TRIM(rTipo))=""CONTIENE"",
UPPER(TRIM(rTipo))=""COINCIDENCIA""
),
ISNUMBER(SEARCH(UPPER(TRIM(rPatron)),UPPER(TRIM(D13))))
)
)
),
rConcept"&amp;"o,
""""
)
)
),
MAP(
reglas!$B$2:$B$240,
reglas!$C$2:$C$240,
reglas!$D$2:$D$240,
reglas!$E$2:$E$240,
LAMBDA(rEmisor,rPatron,rConcepto,rTipo,
IF(
AND(
OR(
UPPER(TRIM(rEmisor))=UPPER(TRIM(C13)),
UPPER(TRIM(rEmisor))=""CUALQUIERA""
),
OR(
UPPER(TRIM(rTipo))="&amp;"""SOLO EMISOR"",
AND(
UPPER(TRIM(rTipo))=""EXACTA"",
UPPER(TRIM(D13))=UPPER(TRIM(rPatron))
),
AND(
OR(
UPPER(TRIM(rTipo))=""CONTIENE"",
UPPER(TRIM(rTipo))=""COINCIDENCIA""
),
ISNUMBER(SEARCH(UPPER(TRIM(rPatron)),UPPER(TRIM(D13))))
)
)
),
rConcepto,
""""
)"&amp;"
)
)&lt;&gt;""""
),
1
),
""""
)"),"TRANSPORTE")</f>
        <v>TRANSPORTE</v>
      </c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</row>
    <row r="14">
      <c r="A14" s="32"/>
      <c r="B14" s="28" t="s">
        <v>29</v>
      </c>
      <c r="C14" s="29" t="s">
        <v>278</v>
      </c>
      <c r="D14" s="29" t="s">
        <v>560</v>
      </c>
      <c r="E14" s="30">
        <v>3500.0</v>
      </c>
      <c r="F14" s="28">
        <v>0.0</v>
      </c>
      <c r="G14" s="28" t="s">
        <v>250</v>
      </c>
      <c r="H14" s="28">
        <f t="array" ref="H14">INDEX(CC!C:C,MATCH(1,(CC!A:A=G14)*(CC!B:B=I14),0))</f>
        <v>1402</v>
      </c>
      <c r="I14" s="28" t="s">
        <v>25</v>
      </c>
      <c r="J14" s="31">
        <v>3500.0</v>
      </c>
      <c r="K14" s="28" t="str">
        <f>IFERROR(__xludf.DUMMYFUNCTION("IFERROR(
INDEX(
FILTER(
MAP(
reglas!$B$2:$B$240,
reglas!$C$2:$C$240,
reglas!$D$2:$D$240,
reglas!$E$2:$E$240,
LAMBDA(rEmisor,rPatron,rConcepto,rTipo,
IF(
AND(
OR(
UPPER(TRIM(rEmisor))=UPPER(TRIM(C14)),
UPPER(TRIM(rEmisor))=""CUALQUIERA""
),
OR(
UPPER(TRIM("&amp;"rTipo))=""SOLO EMISOR"",
AND(
UPPER(TRIM(rTipo))=""EXACTA"",
UPPER(TRIM(AG14))=UPPER(TRIM(rPatron))
),
AND(
OR(
UPPER(TRIM(rTipo))=""CONTIENE"",
UPPER(TRIM(rTipo))=""COINCIDENCIA""
),
ISNUMBER(SEARCH(UPPER(TRIM(rPatron)),UPPER(TRIM(D14))))
)
)
),
rConcept"&amp;"o,
""""
)
)
),
MAP(
reglas!$B$2:$B$240,
reglas!$C$2:$C$240,
reglas!$D$2:$D$240,
reglas!$E$2:$E$240,
LAMBDA(rEmisor,rPatron,rConcepto,rTipo,
IF(
AND(
OR(
UPPER(TRIM(rEmisor))=UPPER(TRIM(C14)),
UPPER(TRIM(rEmisor))=""CUALQUIERA""
),
OR(
UPPER(TRIM(rTipo))="&amp;"""SOLO EMISOR"",
AND(
UPPER(TRIM(rTipo))=""EXACTA"",
UPPER(TRIM(D14))=UPPER(TRIM(rPatron))
),
AND(
OR(
UPPER(TRIM(rTipo))=""CONTIENE"",
UPPER(TRIM(rTipo))=""COINCIDENCIA""
),
ISNUMBER(SEARCH(UPPER(TRIM(rPatron)),UPPER(TRIM(D14))))
)
)
),
rConcepto,
""""
)"&amp;"
)
)&lt;&gt;""""
),
1
),
""""
)"),"MANIOBRAS")</f>
        <v>MANIOBRAS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</row>
    <row r="15">
      <c r="A15" s="32"/>
      <c r="B15" s="28" t="s">
        <v>29</v>
      </c>
      <c r="C15" s="29" t="s">
        <v>453</v>
      </c>
      <c r="D15" s="29" t="s">
        <v>454</v>
      </c>
      <c r="E15" s="30">
        <v>212500.0</v>
      </c>
      <c r="F15" s="28">
        <v>0.0</v>
      </c>
      <c r="G15" s="28" t="s">
        <v>225</v>
      </c>
      <c r="H15" s="28">
        <f t="array" ref="H15">INDEX(CC!C:C,MATCH(1,(CC!A:A=G15)*(CC!B:B=I15),0))</f>
        <v>102</v>
      </c>
      <c r="I15" s="28" t="s">
        <v>25</v>
      </c>
      <c r="J15" s="33"/>
      <c r="K15" s="28" t="str">
        <f>IFERROR(__xludf.DUMMYFUNCTION("IFERROR(
INDEX(
FILTER(
MAP(
reglas!$B$2:$B$240,
reglas!$C$2:$C$240,
reglas!$D$2:$D$240,
reglas!$E$2:$E$240,
LAMBDA(rEmisor,rPatron,rConcepto,rTipo,
IF(
AND(
OR(
UPPER(TRIM(rEmisor))=UPPER(TRIM(C15)),
UPPER(TRIM(rEmisor))=""CUALQUIERA""
),
OR(
UPPER(TRIM("&amp;"rTipo))=""SOLO EMISOR"",
AND(
UPPER(TRIM(rTipo))=""EXACTA"",
UPPER(TRIM(AG15))=UPPER(TRIM(rPatron))
),
AND(
OR(
UPPER(TRIM(rTipo))=""CONTIENE"",
UPPER(TRIM(rTipo))=""COINCIDENCIA""
),
ISNUMBER(SEARCH(UPPER(TRIM(rPatron)),UPPER(TRIM(D15))))
)
)
),
rConcept"&amp;"o,
""""
)
)
),
MAP(
reglas!$B$2:$B$240,
reglas!$C$2:$C$240,
reglas!$D$2:$D$240,
reglas!$E$2:$E$240,
LAMBDA(rEmisor,rPatron,rConcepto,rTipo,
IF(
AND(
OR(
UPPER(TRIM(rEmisor))=UPPER(TRIM(C15)),
UPPER(TRIM(rEmisor))=""CUALQUIERA""
),
OR(
UPPER(TRIM(rTipo))="&amp;"""SOLO EMISOR"",
AND(
UPPER(TRIM(rTipo))=""EXACTA"",
UPPER(TRIM(D15))=UPPER(TRIM(rPatron))
),
AND(
OR(
UPPER(TRIM(rTipo))=""CONTIENE"",
UPPER(TRIM(rTipo))=""COINCIDENCIA""
),
ISNUMBER(SEARCH(UPPER(TRIM(rPatron)),UPPER(TRIM(D15))))
)
)
),
rConcepto,
""""
)"&amp;"
)
)&lt;&gt;""""
),
1
),
""""
)"),"OTRAS ASESORIAS")</f>
        <v>OTRAS ASESORIAS</v>
      </c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</row>
    <row r="16">
      <c r="A16" s="32"/>
      <c r="B16" s="28" t="s">
        <v>29</v>
      </c>
      <c r="C16" s="29" t="s">
        <v>169</v>
      </c>
      <c r="D16" s="29" t="s">
        <v>576</v>
      </c>
      <c r="E16" s="30">
        <v>11500.0</v>
      </c>
      <c r="F16" s="28">
        <v>0.0</v>
      </c>
      <c r="G16" s="28" t="s">
        <v>250</v>
      </c>
      <c r="H16" s="28">
        <f t="array" ref="H16">INDEX(CC!C:C,MATCH(1,(CC!A:A=G16)*(CC!B:B=I16),0))</f>
        <v>1403</v>
      </c>
      <c r="I16" s="28" t="s">
        <v>44</v>
      </c>
      <c r="J16" s="31">
        <v>11500.0</v>
      </c>
      <c r="K16" s="28" t="str">
        <f>IFERROR(__xludf.DUMMYFUNCTION("IFERROR(
INDEX(
FILTER(
MAP(
reglas!$B$2:$B$240,
reglas!$C$2:$C$240,
reglas!$D$2:$D$240,
reglas!$E$2:$E$240,
LAMBDA(rEmisor,rPatron,rConcepto,rTipo,
IF(
AND(
OR(
UPPER(TRIM(rEmisor))=UPPER(TRIM(C16)),
UPPER(TRIM(rEmisor))=""CUALQUIERA""
),
OR(
UPPER(TRIM("&amp;"rTipo))=""SOLO EMISOR"",
AND(
UPPER(TRIM(rTipo))=""EXACTA"",
UPPER(TRIM(AG16))=UPPER(TRIM(rPatron))
),
AND(
OR(
UPPER(TRIM(rTipo))=""CONTIENE"",
UPPER(TRIM(rTipo))=""COINCIDENCIA""
),
ISNUMBER(SEARCH(UPPER(TRIM(rPatron)),UPPER(TRIM(D16))))
)
)
),
rConcept"&amp;"o,
""""
)
)
),
MAP(
reglas!$B$2:$B$240,
reglas!$C$2:$C$240,
reglas!$D$2:$D$240,
reglas!$E$2:$E$240,
LAMBDA(rEmisor,rPatron,rConcepto,rTipo,
IF(
AND(
OR(
UPPER(TRIM(rEmisor))=UPPER(TRIM(C16)),
UPPER(TRIM(rEmisor))=""CUALQUIERA""
),
OR(
UPPER(TRIM(rTipo))="&amp;"""SOLO EMISOR"",
AND(
UPPER(TRIM(rTipo))=""EXACTA"",
UPPER(TRIM(D16))=UPPER(TRIM(rPatron))
),
AND(
OR(
UPPER(TRIM(rTipo))=""CONTIENE"",
UPPER(TRIM(rTipo))=""COINCIDENCIA""
),
ISNUMBER(SEARCH(UPPER(TRIM(rPatron)),UPPER(TRIM(D16))))
)
)
),
rConcepto,
""""
)"&amp;"
)
)&lt;&gt;""""
),
1
),
""""
)"),"TRANSPORTE")</f>
        <v>TRANSPORTE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>
      <c r="A17" s="32"/>
      <c r="B17" s="28" t="s">
        <v>29</v>
      </c>
      <c r="C17" s="29" t="s">
        <v>453</v>
      </c>
      <c r="D17" s="29" t="s">
        <v>454</v>
      </c>
      <c r="E17" s="30">
        <v>207500.0</v>
      </c>
      <c r="F17" s="28">
        <v>0.0</v>
      </c>
      <c r="G17" s="28" t="s">
        <v>225</v>
      </c>
      <c r="H17" s="28">
        <f t="array" ref="H17">INDEX(CC!C:C,MATCH(1,(CC!A:A=G17)*(CC!B:B=I17),0))</f>
        <v>102</v>
      </c>
      <c r="I17" s="28" t="s">
        <v>25</v>
      </c>
      <c r="J17" s="31">
        <v>207500.0</v>
      </c>
      <c r="K17" s="28" t="str">
        <f>IFERROR(__xludf.DUMMYFUNCTION("IFERROR(
INDEX(
FILTER(
MAP(
reglas!$B$2:$B$240,
reglas!$C$2:$C$240,
reglas!$D$2:$D$240,
reglas!$E$2:$E$240,
LAMBDA(rEmisor,rPatron,rConcepto,rTipo,
IF(
AND(
OR(
UPPER(TRIM(rEmisor))=UPPER(TRIM(C17)),
UPPER(TRIM(rEmisor))=""CUALQUIERA""
),
OR(
UPPER(TRIM("&amp;"rTipo))=""SOLO EMISOR"",
AND(
UPPER(TRIM(rTipo))=""EXACTA"",
UPPER(TRIM(AG17))=UPPER(TRIM(rPatron))
),
AND(
OR(
UPPER(TRIM(rTipo))=""CONTIENE"",
UPPER(TRIM(rTipo))=""COINCIDENCIA""
),
ISNUMBER(SEARCH(UPPER(TRIM(rPatron)),UPPER(TRIM(D17))))
)
)
),
rConcept"&amp;"o,
""""
)
)
),
MAP(
reglas!$B$2:$B$240,
reglas!$C$2:$C$240,
reglas!$D$2:$D$240,
reglas!$E$2:$E$240,
LAMBDA(rEmisor,rPatron,rConcepto,rTipo,
IF(
AND(
OR(
UPPER(TRIM(rEmisor))=UPPER(TRIM(C17)),
UPPER(TRIM(rEmisor))=""CUALQUIERA""
),
OR(
UPPER(TRIM(rTipo))="&amp;"""SOLO EMISOR"",
AND(
UPPER(TRIM(rTipo))=""EXACTA"",
UPPER(TRIM(D17))=UPPER(TRIM(rPatron))
),
AND(
OR(
UPPER(TRIM(rTipo))=""CONTIENE"",
UPPER(TRIM(rTipo))=""COINCIDENCIA""
),
ISNUMBER(SEARCH(UPPER(TRIM(rPatron)),UPPER(TRIM(D17))))
)
)
),
rConcepto,
""""
)"&amp;"
)
)&lt;&gt;""""
),
1
),
""""
)"),"OTRAS ASESORIAS")</f>
        <v>OTRAS ASESORIAS</v>
      </c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</row>
    <row r="18">
      <c r="A18" s="32"/>
      <c r="B18" s="28" t="s">
        <v>29</v>
      </c>
      <c r="C18" s="29" t="s">
        <v>172</v>
      </c>
      <c r="D18" s="29" t="s">
        <v>577</v>
      </c>
      <c r="E18" s="30">
        <v>11500.0</v>
      </c>
      <c r="F18" s="28">
        <v>0.0</v>
      </c>
      <c r="G18" s="28" t="s">
        <v>250</v>
      </c>
      <c r="H18" s="28">
        <f t="array" ref="H18">INDEX(CC!C:C,MATCH(1,(CC!A:A=G18)*(CC!B:B=I18),0))</f>
        <v>1402</v>
      </c>
      <c r="I18" s="28" t="s">
        <v>25</v>
      </c>
      <c r="J18" s="31">
        <v>11500.0</v>
      </c>
      <c r="K18" s="28" t="str">
        <f>IFERROR(__xludf.DUMMYFUNCTION("IFERROR(
INDEX(
FILTER(
MAP(
reglas!$B$2:$B$240,
reglas!$C$2:$C$240,
reglas!$D$2:$D$240,
reglas!$E$2:$E$240,
LAMBDA(rEmisor,rPatron,rConcepto,rTipo,
IF(
AND(
OR(
UPPER(TRIM(rEmisor))=UPPER(TRIM(C18)),
UPPER(TRIM(rEmisor))=""CUALQUIERA""
),
OR(
UPPER(TRIM("&amp;"rTipo))=""SOLO EMISOR"",
AND(
UPPER(TRIM(rTipo))=""EXACTA"",
UPPER(TRIM(AG18))=UPPER(TRIM(rPatron))
),
AND(
OR(
UPPER(TRIM(rTipo))=""CONTIENE"",
UPPER(TRIM(rTipo))=""COINCIDENCIA""
),
ISNUMBER(SEARCH(UPPER(TRIM(rPatron)),UPPER(TRIM(D18))))
)
)
),
rConcept"&amp;"o,
""""
)
)
),
MAP(
reglas!$B$2:$B$240,
reglas!$C$2:$C$240,
reglas!$D$2:$D$240,
reglas!$E$2:$E$240,
LAMBDA(rEmisor,rPatron,rConcepto,rTipo,
IF(
AND(
OR(
UPPER(TRIM(rEmisor))=UPPER(TRIM(C18)),
UPPER(TRIM(rEmisor))=""CUALQUIERA""
),
OR(
UPPER(TRIM(rTipo))="&amp;"""SOLO EMISOR"",
AND(
UPPER(TRIM(rTipo))=""EXACTA"",
UPPER(TRIM(D18))=UPPER(TRIM(rPatron))
),
AND(
OR(
UPPER(TRIM(rTipo))=""CONTIENE"",
UPPER(TRIM(rTipo))=""COINCIDENCIA""
),
ISNUMBER(SEARCH(UPPER(TRIM(rPatron)),UPPER(TRIM(D18))))
)
)
),
rConcepto,
""""
)"&amp;"
)
)&lt;&gt;""""
),
1
),
""""
)"),"TRANSPORTE")</f>
        <v>TRANSPORTE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</row>
    <row r="19">
      <c r="A19" s="28">
        <v>1.0</v>
      </c>
      <c r="B19" s="28" t="s">
        <v>29</v>
      </c>
      <c r="C19" s="29" t="s">
        <v>271</v>
      </c>
      <c r="D19" s="29" t="s">
        <v>582</v>
      </c>
      <c r="E19" s="28">
        <v>600.0</v>
      </c>
      <c r="F19" s="28">
        <v>478.0</v>
      </c>
      <c r="G19" s="28" t="s">
        <v>84</v>
      </c>
      <c r="H19" s="28">
        <f t="array" ref="H19">INDEX(CC!C:C,MATCH(1,(CC!A:A=G19)*(CC!B:B=I19),0))</f>
        <v>1002</v>
      </c>
      <c r="I19" s="28" t="s">
        <v>25</v>
      </c>
      <c r="J19" s="31">
        <v>122.0</v>
      </c>
      <c r="K19" s="28" t="str">
        <f>IFERROR(__xludf.DUMMYFUNCTION("IFERROR(
INDEX(
FILTER(
MAP(
reglas!$B$2:$B$240,
reglas!$C$2:$C$240,
reglas!$D$2:$D$240,
reglas!$E$2:$E$240,
LAMBDA(rEmisor,rPatron,rConcepto,rTipo,
IF(
AND(
OR(
UPPER(TRIM(rEmisor))=UPPER(TRIM(C19)),
UPPER(TRIM(rEmisor))=""CUALQUIERA""
),
OR(
UPPER(TRIM("&amp;"rTipo))=""SOLO EMISOR"",
AND(
UPPER(TRIM(rTipo))=""EXACTA"",
UPPER(TRIM(AG19))=UPPER(TRIM(rPatron))
),
AND(
OR(
UPPER(TRIM(rTipo))=""CONTIENE"",
UPPER(TRIM(rTipo))=""COINCIDENCIA""
),
ISNUMBER(SEARCH(UPPER(TRIM(rPatron)),UPPER(TRIM(D19))))
)
)
),
rConcept"&amp;"o,
""""
)
)
),
MAP(
reglas!$B$2:$B$240,
reglas!$C$2:$C$240,
reglas!$D$2:$D$240,
reglas!$E$2:$E$240,
LAMBDA(rEmisor,rPatron,rConcepto,rTipo,
IF(
AND(
OR(
UPPER(TRIM(rEmisor))=UPPER(TRIM(C19)),
UPPER(TRIM(rEmisor))=""CUALQUIERA""
),
OR(
UPPER(TRIM(rTipo))="&amp;"""SOLO EMISOR"",
AND(
UPPER(TRIM(rTipo))=""EXACTA"",
UPPER(TRIM(D19))=UPPER(TRIM(rPatron))
),
AND(
OR(
UPPER(TRIM(rTipo))=""CONTIENE"",
UPPER(TRIM(rTipo))=""COINCIDENCIA""
),
ISNUMBER(SEARCH(UPPER(TRIM(rPatron)),UPPER(TRIM(D19))))
)
)
),
rConcepto,
""""
)"&amp;"
)
)&lt;&gt;""""
),
1
),
""""
)"),"MANIOBRAS")</f>
        <v>MANIOBRAS</v>
      </c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</row>
    <row r="20">
      <c r="A20" s="32"/>
      <c r="B20" s="32"/>
      <c r="C20" s="29" t="s">
        <v>271</v>
      </c>
      <c r="D20" s="29" t="s">
        <v>585</v>
      </c>
      <c r="E20" s="28">
        <v>634.54</v>
      </c>
      <c r="F20" s="28">
        <v>0.0</v>
      </c>
      <c r="G20" s="28" t="s">
        <v>84</v>
      </c>
      <c r="H20" s="28">
        <f t="array" ref="H20">INDEX(CC!C:C,MATCH(1,(CC!A:A=G20)*(CC!B:B=I20),0))</f>
        <v>1002</v>
      </c>
      <c r="I20" s="28" t="s">
        <v>25</v>
      </c>
      <c r="J20" s="31">
        <v>634.54</v>
      </c>
      <c r="K20" s="28" t="str">
        <f>IFERROR(__xludf.DUMMYFUNCTION("IFERROR(
INDEX(
FILTER(
MAP(
reglas!$B$2:$B$240,
reglas!$C$2:$C$240,
reglas!$D$2:$D$240,
reglas!$E$2:$E$240,
LAMBDA(rEmisor,rPatron,rConcepto,rTipo,
IF(
AND(
OR(
UPPER(TRIM(rEmisor))=UPPER(TRIM(C20)),
UPPER(TRIM(rEmisor))=""CUALQUIERA""
),
OR(
UPPER(TRIM("&amp;"rTipo))=""SOLO EMISOR"",
AND(
UPPER(TRIM(rTipo))=""EXACTA"",
UPPER(TRIM(AG20))=UPPER(TRIM(rPatron))
),
AND(
OR(
UPPER(TRIM(rTipo))=""CONTIENE"",
UPPER(TRIM(rTipo))=""COINCIDENCIA""
),
ISNUMBER(SEARCH(UPPER(TRIM(rPatron)),UPPER(TRIM(D20))))
)
)
),
rConcept"&amp;"o,
""""
)
)
),
MAP(
reglas!$B$2:$B$240,
reglas!$C$2:$C$240,
reglas!$D$2:$D$240,
reglas!$E$2:$E$240,
LAMBDA(rEmisor,rPatron,rConcepto,rTipo,
IF(
AND(
OR(
UPPER(TRIM(rEmisor))=UPPER(TRIM(C20)),
UPPER(TRIM(rEmisor))=""CUALQUIERA""
),
OR(
UPPER(TRIM(rTipo))="&amp;"""SOLO EMISOR"",
AND(
UPPER(TRIM(rTipo))=""EXACTA"",
UPPER(TRIM(D20))=UPPER(TRIM(rPatron))
),
AND(
OR(
UPPER(TRIM(rTipo))=""CONTIENE"",
UPPER(TRIM(rTipo))=""COINCIDENCIA""
),
ISNUMBER(SEARCH(UPPER(TRIM(rPatron)),UPPER(TRIM(D20))))
)
)
),
rConcepto,
""""
)"&amp;"
)
)&lt;&gt;""""
),
1
),
""""
)"),"MANIOBRAS")</f>
        <v>MANIOBRAS</v>
      </c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</row>
    <row r="21">
      <c r="A21" s="32"/>
      <c r="B21" s="32"/>
      <c r="C21" s="29" t="s">
        <v>271</v>
      </c>
      <c r="D21" s="29" t="s">
        <v>586</v>
      </c>
      <c r="E21" s="28">
        <v>634.89</v>
      </c>
      <c r="F21" s="28">
        <v>0.0</v>
      </c>
      <c r="G21" s="28" t="s">
        <v>84</v>
      </c>
      <c r="H21" s="28">
        <f t="array" ref="H21">INDEX(CC!C:C,MATCH(1,(CC!A:A=G21)*(CC!B:B=I21),0))</f>
        <v>1002</v>
      </c>
      <c r="I21" s="28" t="s">
        <v>25</v>
      </c>
      <c r="J21" s="31">
        <v>634.89</v>
      </c>
      <c r="K21" s="28" t="str">
        <f>IFERROR(__xludf.DUMMYFUNCTION("IFERROR(
INDEX(
FILTER(
MAP(
reglas!$B$2:$B$240,
reglas!$C$2:$C$240,
reglas!$D$2:$D$240,
reglas!$E$2:$E$240,
LAMBDA(rEmisor,rPatron,rConcepto,rTipo,
IF(
AND(
OR(
UPPER(TRIM(rEmisor))=UPPER(TRIM(C21)),
UPPER(TRIM(rEmisor))=""CUALQUIERA""
),
OR(
UPPER(TRIM("&amp;"rTipo))=""SOLO EMISOR"",
AND(
UPPER(TRIM(rTipo))=""EXACTA"",
UPPER(TRIM(AG21))=UPPER(TRIM(rPatron))
),
AND(
OR(
UPPER(TRIM(rTipo))=""CONTIENE"",
UPPER(TRIM(rTipo))=""COINCIDENCIA""
),
ISNUMBER(SEARCH(UPPER(TRIM(rPatron)),UPPER(TRIM(D21))))
)
)
),
rConcept"&amp;"o,
""""
)
)
),
MAP(
reglas!$B$2:$B$240,
reglas!$C$2:$C$240,
reglas!$D$2:$D$240,
reglas!$E$2:$E$240,
LAMBDA(rEmisor,rPatron,rConcepto,rTipo,
IF(
AND(
OR(
UPPER(TRIM(rEmisor))=UPPER(TRIM(C21)),
UPPER(TRIM(rEmisor))=""CUALQUIERA""
),
OR(
UPPER(TRIM(rTipo))="&amp;"""SOLO EMISOR"",
AND(
UPPER(TRIM(rTipo))=""EXACTA"",
UPPER(TRIM(D21))=UPPER(TRIM(rPatron))
),
AND(
OR(
UPPER(TRIM(rTipo))=""CONTIENE"",
UPPER(TRIM(rTipo))=""COINCIDENCIA""
),
ISNUMBER(SEARCH(UPPER(TRIM(rPatron)),UPPER(TRIM(D21))))
)
)
),
rConcepto,
""""
)"&amp;"
)
)&lt;&gt;""""
),
1
),
""""
)"),"MANIOBRAS")</f>
        <v>MANIOBRAS</v>
      </c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</row>
    <row r="22">
      <c r="A22" s="32"/>
      <c r="B22" s="32"/>
      <c r="C22" s="29" t="s">
        <v>271</v>
      </c>
      <c r="D22" s="29" t="s">
        <v>587</v>
      </c>
      <c r="E22" s="28">
        <v>580.56</v>
      </c>
      <c r="F22" s="28">
        <v>0.0</v>
      </c>
      <c r="G22" s="28" t="s">
        <v>84</v>
      </c>
      <c r="H22" s="28">
        <f t="array" ref="H22">INDEX(CC!C:C,MATCH(1,(CC!A:A=G22)*(CC!B:B=I22),0))</f>
        <v>1002</v>
      </c>
      <c r="I22" s="28" t="s">
        <v>25</v>
      </c>
      <c r="J22" s="31">
        <v>580.56</v>
      </c>
      <c r="K22" s="28" t="str">
        <f>IFERROR(__xludf.DUMMYFUNCTION("IFERROR(
INDEX(
FILTER(
MAP(
reglas!$B$2:$B$240,
reglas!$C$2:$C$240,
reglas!$D$2:$D$240,
reglas!$E$2:$E$240,
LAMBDA(rEmisor,rPatron,rConcepto,rTipo,
IF(
AND(
OR(
UPPER(TRIM(rEmisor))=UPPER(TRIM(C22)),
UPPER(TRIM(rEmisor))=""CUALQUIERA""
),
OR(
UPPER(TRIM("&amp;"rTipo))=""SOLO EMISOR"",
AND(
UPPER(TRIM(rTipo))=""EXACTA"",
UPPER(TRIM(AG22))=UPPER(TRIM(rPatron))
),
AND(
OR(
UPPER(TRIM(rTipo))=""CONTIENE"",
UPPER(TRIM(rTipo))=""COINCIDENCIA""
),
ISNUMBER(SEARCH(UPPER(TRIM(rPatron)),UPPER(TRIM(D22))))
)
)
),
rConcept"&amp;"o,
""""
)
)
),
MAP(
reglas!$B$2:$B$240,
reglas!$C$2:$C$240,
reglas!$D$2:$D$240,
reglas!$E$2:$E$240,
LAMBDA(rEmisor,rPatron,rConcepto,rTipo,
IF(
AND(
OR(
UPPER(TRIM(rEmisor))=UPPER(TRIM(C22)),
UPPER(TRIM(rEmisor))=""CUALQUIERA""
),
OR(
UPPER(TRIM(rTipo))="&amp;"""SOLO EMISOR"",
AND(
UPPER(TRIM(rTipo))=""EXACTA"",
UPPER(TRIM(D22))=UPPER(TRIM(rPatron))
),
AND(
OR(
UPPER(TRIM(rTipo))=""CONTIENE"",
UPPER(TRIM(rTipo))=""COINCIDENCIA""
),
ISNUMBER(SEARCH(UPPER(TRIM(rPatron)),UPPER(TRIM(D22))))
)
)
),
rConcepto,
""""
)"&amp;"
)
)&lt;&gt;""""
),
1
),
""""
)"),"MANIOBRAS")</f>
        <v>MANIOBRAS</v>
      </c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</row>
    <row r="23">
      <c r="A23" s="32"/>
      <c r="B23" s="32"/>
      <c r="C23" s="29" t="s">
        <v>271</v>
      </c>
      <c r="D23" s="29" t="s">
        <v>589</v>
      </c>
      <c r="E23" s="28">
        <v>634.89</v>
      </c>
      <c r="F23" s="28">
        <v>0.0</v>
      </c>
      <c r="G23" s="28" t="s">
        <v>84</v>
      </c>
      <c r="H23" s="28">
        <f t="array" ref="H23">INDEX(CC!C:C,MATCH(1,(CC!A:A=G23)*(CC!B:B=I23),0))</f>
        <v>1002</v>
      </c>
      <c r="I23" s="28" t="s">
        <v>25</v>
      </c>
      <c r="J23" s="31">
        <v>634.89</v>
      </c>
      <c r="K23" s="28" t="str">
        <f>IFERROR(__xludf.DUMMYFUNCTION("IFERROR(
INDEX(
FILTER(
MAP(
reglas!$B$2:$B$240,
reglas!$C$2:$C$240,
reglas!$D$2:$D$240,
reglas!$E$2:$E$240,
LAMBDA(rEmisor,rPatron,rConcepto,rTipo,
IF(
AND(
OR(
UPPER(TRIM(rEmisor))=UPPER(TRIM(C23)),
UPPER(TRIM(rEmisor))=""CUALQUIERA""
),
OR(
UPPER(TRIM("&amp;"rTipo))=""SOLO EMISOR"",
AND(
UPPER(TRIM(rTipo))=""EXACTA"",
UPPER(TRIM(AG23))=UPPER(TRIM(rPatron))
),
AND(
OR(
UPPER(TRIM(rTipo))=""CONTIENE"",
UPPER(TRIM(rTipo))=""COINCIDENCIA""
),
ISNUMBER(SEARCH(UPPER(TRIM(rPatron)),UPPER(TRIM(D23))))
)
)
),
rConcept"&amp;"o,
""""
)
)
),
MAP(
reglas!$B$2:$B$240,
reglas!$C$2:$C$240,
reglas!$D$2:$D$240,
reglas!$E$2:$E$240,
LAMBDA(rEmisor,rPatron,rConcepto,rTipo,
IF(
AND(
OR(
UPPER(TRIM(rEmisor))=UPPER(TRIM(C23)),
UPPER(TRIM(rEmisor))=""CUALQUIERA""
),
OR(
UPPER(TRIM(rTipo))="&amp;"""SOLO EMISOR"",
AND(
UPPER(TRIM(rTipo))=""EXACTA"",
UPPER(TRIM(D23))=UPPER(TRIM(rPatron))
),
AND(
OR(
UPPER(TRIM(rTipo))=""CONTIENE"",
UPPER(TRIM(rTipo))=""COINCIDENCIA""
),
ISNUMBER(SEARCH(UPPER(TRIM(rPatron)),UPPER(TRIM(D23))))
)
)
),
rConcepto,
""""
)"&amp;"
)
)&lt;&gt;""""
),
1
),
""""
)"),"MANIOBRAS")</f>
        <v>MANIOBRAS</v>
      </c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</row>
    <row r="24">
      <c r="A24" s="32"/>
      <c r="B24" s="32"/>
      <c r="C24" s="29" t="s">
        <v>271</v>
      </c>
      <c r="D24" s="29" t="s">
        <v>593</v>
      </c>
      <c r="E24" s="28">
        <v>360.49</v>
      </c>
      <c r="F24" s="28">
        <v>0.0</v>
      </c>
      <c r="G24" s="28" t="s">
        <v>84</v>
      </c>
      <c r="H24" s="28">
        <f t="array" ref="H24">INDEX(CC!C:C,MATCH(1,(CC!A:A=G24)*(CC!B:B=I24),0))</f>
        <v>1002</v>
      </c>
      <c r="I24" s="28" t="s">
        <v>25</v>
      </c>
      <c r="J24" s="31">
        <v>360.49</v>
      </c>
      <c r="K24" s="28" t="str">
        <f>IFERROR(__xludf.DUMMYFUNCTION("IFERROR(
INDEX(
FILTER(
MAP(
reglas!$B$2:$B$240,
reglas!$C$2:$C$240,
reglas!$D$2:$D$240,
reglas!$E$2:$E$240,
LAMBDA(rEmisor,rPatron,rConcepto,rTipo,
IF(
AND(
OR(
UPPER(TRIM(rEmisor))=UPPER(TRIM(C24)),
UPPER(TRIM(rEmisor))=""CUALQUIERA""
),
OR(
UPPER(TRIM("&amp;"rTipo))=""SOLO EMISOR"",
AND(
UPPER(TRIM(rTipo))=""EXACTA"",
UPPER(TRIM(AG24))=UPPER(TRIM(rPatron))
),
AND(
OR(
UPPER(TRIM(rTipo))=""CONTIENE"",
UPPER(TRIM(rTipo))=""COINCIDENCIA""
),
ISNUMBER(SEARCH(UPPER(TRIM(rPatron)),UPPER(TRIM(D24))))
)
)
),
rConcept"&amp;"o,
""""
)
)
),
MAP(
reglas!$B$2:$B$240,
reglas!$C$2:$C$240,
reglas!$D$2:$D$240,
reglas!$E$2:$E$240,
LAMBDA(rEmisor,rPatron,rConcepto,rTipo,
IF(
AND(
OR(
UPPER(TRIM(rEmisor))=UPPER(TRIM(C24)),
UPPER(TRIM(rEmisor))=""CUALQUIERA""
),
OR(
UPPER(TRIM(rTipo))="&amp;"""SOLO EMISOR"",
AND(
UPPER(TRIM(rTipo))=""EXACTA"",
UPPER(TRIM(D24))=UPPER(TRIM(rPatron))
),
AND(
OR(
UPPER(TRIM(rTipo))=""CONTIENE"",
UPPER(TRIM(rTipo))=""COINCIDENCIA""
),
ISNUMBER(SEARCH(UPPER(TRIM(rPatron)),UPPER(TRIM(D24))))
)
)
),
rConcepto,
""""
)"&amp;"
)
)&lt;&gt;""""
),
1
),
""""
)"),"MANIOBRAS")</f>
        <v>MANIOBRAS</v>
      </c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</row>
    <row r="25">
      <c r="A25" s="32"/>
      <c r="B25" s="32"/>
      <c r="C25" s="29" t="s">
        <v>271</v>
      </c>
      <c r="D25" s="29" t="s">
        <v>596</v>
      </c>
      <c r="E25" s="28">
        <v>666.13</v>
      </c>
      <c r="F25" s="28">
        <v>0.0</v>
      </c>
      <c r="G25" s="28" t="s">
        <v>84</v>
      </c>
      <c r="H25" s="28">
        <f t="array" ref="H25">INDEX(CC!C:C,MATCH(1,(CC!A:A=G25)*(CC!B:B=I25),0))</f>
        <v>1002</v>
      </c>
      <c r="I25" s="28" t="s">
        <v>25</v>
      </c>
      <c r="J25" s="31">
        <v>666.13</v>
      </c>
      <c r="K25" s="28" t="str">
        <f>IFERROR(__xludf.DUMMYFUNCTION("IFERROR(
INDEX(
FILTER(
MAP(
reglas!$B$2:$B$240,
reglas!$C$2:$C$240,
reglas!$D$2:$D$240,
reglas!$E$2:$E$240,
LAMBDA(rEmisor,rPatron,rConcepto,rTipo,
IF(
AND(
OR(
UPPER(TRIM(rEmisor))=UPPER(TRIM(C25)),
UPPER(TRIM(rEmisor))=""CUALQUIERA""
),
OR(
UPPER(TRIM("&amp;"rTipo))=""SOLO EMISOR"",
AND(
UPPER(TRIM(rTipo))=""EXACTA"",
UPPER(TRIM(AG25))=UPPER(TRIM(rPatron))
),
AND(
OR(
UPPER(TRIM(rTipo))=""CONTIENE"",
UPPER(TRIM(rTipo))=""COINCIDENCIA""
),
ISNUMBER(SEARCH(UPPER(TRIM(rPatron)),UPPER(TRIM(D25))))
)
)
),
rConcept"&amp;"o,
""""
)
)
),
MAP(
reglas!$B$2:$B$240,
reglas!$C$2:$C$240,
reglas!$D$2:$D$240,
reglas!$E$2:$E$240,
LAMBDA(rEmisor,rPatron,rConcepto,rTipo,
IF(
AND(
OR(
UPPER(TRIM(rEmisor))=UPPER(TRIM(C25)),
UPPER(TRIM(rEmisor))=""CUALQUIERA""
),
OR(
UPPER(TRIM(rTipo))="&amp;"""SOLO EMISOR"",
AND(
UPPER(TRIM(rTipo))=""EXACTA"",
UPPER(TRIM(D25))=UPPER(TRIM(rPatron))
),
AND(
OR(
UPPER(TRIM(rTipo))=""CONTIENE"",
UPPER(TRIM(rTipo))=""COINCIDENCIA""
),
ISNUMBER(SEARCH(UPPER(TRIM(rPatron)),UPPER(TRIM(D25))))
)
)
),
rConcepto,
""""
)"&amp;"
)
)&lt;&gt;""""
),
1
),
""""
)"),"MANIOBRAS")</f>
        <v>MANIOBRAS</v>
      </c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</row>
    <row r="26">
      <c r="A26" s="32"/>
      <c r="B26" s="28" t="s">
        <v>29</v>
      </c>
      <c r="C26" s="29" t="s">
        <v>278</v>
      </c>
      <c r="D26" s="29" t="s">
        <v>560</v>
      </c>
      <c r="E26" s="30">
        <v>3500.0</v>
      </c>
      <c r="F26" s="28">
        <v>0.0</v>
      </c>
      <c r="G26" s="28" t="s">
        <v>250</v>
      </c>
      <c r="H26" s="28">
        <f t="array" ref="H26">INDEX(CC!C:C,MATCH(1,(CC!A:A=G26)*(CC!B:B=I26),0))</f>
        <v>1402</v>
      </c>
      <c r="I26" s="28" t="s">
        <v>25</v>
      </c>
      <c r="J26" s="31">
        <v>3500.0</v>
      </c>
      <c r="K26" s="28" t="str">
        <f>IFERROR(__xludf.DUMMYFUNCTION("IFERROR(
INDEX(
FILTER(
MAP(
reglas!$B$2:$B$240,
reglas!$C$2:$C$240,
reglas!$D$2:$D$240,
reglas!$E$2:$E$240,
LAMBDA(rEmisor,rPatron,rConcepto,rTipo,
IF(
AND(
OR(
UPPER(TRIM(rEmisor))=UPPER(TRIM(C26)),
UPPER(TRIM(rEmisor))=""CUALQUIERA""
),
OR(
UPPER(TRIM("&amp;"rTipo))=""SOLO EMISOR"",
AND(
UPPER(TRIM(rTipo))=""EXACTA"",
UPPER(TRIM(AG26))=UPPER(TRIM(rPatron))
),
AND(
OR(
UPPER(TRIM(rTipo))=""CONTIENE"",
UPPER(TRIM(rTipo))=""COINCIDENCIA""
),
ISNUMBER(SEARCH(UPPER(TRIM(rPatron)),UPPER(TRIM(D26))))
)
)
),
rConcept"&amp;"o,
""""
)
)
),
MAP(
reglas!$B$2:$B$240,
reglas!$C$2:$C$240,
reglas!$D$2:$D$240,
reglas!$E$2:$E$240,
LAMBDA(rEmisor,rPatron,rConcepto,rTipo,
IF(
AND(
OR(
UPPER(TRIM(rEmisor))=UPPER(TRIM(C26)),
UPPER(TRIM(rEmisor))=""CUALQUIERA""
),
OR(
UPPER(TRIM(rTipo))="&amp;"""SOLO EMISOR"",
AND(
UPPER(TRIM(rTipo))=""EXACTA"",
UPPER(TRIM(D26))=UPPER(TRIM(rPatron))
),
AND(
OR(
UPPER(TRIM(rTipo))=""CONTIENE"",
UPPER(TRIM(rTipo))=""COINCIDENCIA""
),
ISNUMBER(SEARCH(UPPER(TRIM(rPatron)),UPPER(TRIM(D26))))
)
)
),
rConcepto,
""""
)"&amp;"
)
)&lt;&gt;""""
),
1
),
""""
)"),"MANIOBRAS")</f>
        <v>MANIOBRAS</v>
      </c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>
      <c r="A27" s="32"/>
      <c r="B27" s="28" t="s">
        <v>29</v>
      </c>
      <c r="C27" s="29" t="s">
        <v>232</v>
      </c>
      <c r="D27" s="29" t="s">
        <v>597</v>
      </c>
      <c r="E27" s="30">
        <v>20000.0</v>
      </c>
      <c r="F27" s="28">
        <v>0.0</v>
      </c>
      <c r="G27" s="28" t="s">
        <v>539</v>
      </c>
      <c r="H27" s="28">
        <f t="array" ref="H27">INDEX(CC!C:C,MATCH(1,(CC!A:A=G27)*(CC!B:B=I27),0))</f>
        <v>1302</v>
      </c>
      <c r="I27" s="28" t="s">
        <v>25</v>
      </c>
      <c r="J27" s="5"/>
      <c r="K27" s="28" t="str">
        <f>IFERROR(__xludf.DUMMYFUNCTION("IFERROR(
INDEX(
FILTER(
MAP(
reglas!$B$2:$B$240,
reglas!$C$2:$C$240,
reglas!$D$2:$D$240,
reglas!$E$2:$E$240,
LAMBDA(rEmisor,rPatron,rConcepto,rTipo,
IF(
AND(
OR(
UPPER(TRIM(rEmisor))=UPPER(TRIM(C27)),
UPPER(TRIM(rEmisor))=""CUALQUIERA""
),
OR(
UPPER(TRIM("&amp;"rTipo))=""SOLO EMISOR"",
AND(
UPPER(TRIM(rTipo))=""EXACTA"",
UPPER(TRIM(AG27))=UPPER(TRIM(rPatron))
),
AND(
OR(
UPPER(TRIM(rTipo))=""CONTIENE"",
UPPER(TRIM(rTipo))=""COINCIDENCIA""
),
ISNUMBER(SEARCH(UPPER(TRIM(rPatron)),UPPER(TRIM(D27))))
)
)
),
rConcept"&amp;"o,
""""
)
)
),
MAP(
reglas!$B$2:$B$240,
reglas!$C$2:$C$240,
reglas!$D$2:$D$240,
reglas!$E$2:$E$240,
LAMBDA(rEmisor,rPatron,rConcepto,rTipo,
IF(
AND(
OR(
UPPER(TRIM(rEmisor))=UPPER(TRIM(C27)),
UPPER(TRIM(rEmisor))=""CUALQUIERA""
),
OR(
UPPER(TRIM(rTipo))="&amp;"""SOLO EMISOR"",
AND(
UPPER(TRIM(rTipo))=""EXACTA"",
UPPER(TRIM(D27))=UPPER(TRIM(rPatron))
),
AND(
OR(
UPPER(TRIM(rTipo))=""CONTIENE"",
UPPER(TRIM(rTipo))=""COINCIDENCIA""
),
ISNUMBER(SEARCH(UPPER(TRIM(rPatron)),UPPER(TRIM(D27))))
)
)
),
rConcepto,
""""
)"&amp;"
)
)&lt;&gt;""""
),
1
),
""""
)"),"VALIDACION")</f>
        <v>VALIDACION</v>
      </c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</row>
    <row r="28">
      <c r="A28" s="32"/>
      <c r="B28" s="32"/>
      <c r="C28" s="29" t="s">
        <v>232</v>
      </c>
      <c r="D28" s="29" t="s">
        <v>597</v>
      </c>
      <c r="E28" s="32"/>
      <c r="F28" s="32"/>
      <c r="G28" s="28" t="s">
        <v>601</v>
      </c>
      <c r="H28" s="28">
        <f t="array" ref="H28">INDEX(CC!C:C,MATCH(1,(CC!A:A=G28)*(CC!B:B=I28),0))</f>
        <v>402</v>
      </c>
      <c r="I28" s="28" t="s">
        <v>25</v>
      </c>
      <c r="J28" s="5"/>
      <c r="K28" s="28" t="str">
        <f>IFERROR(__xludf.DUMMYFUNCTION("IFERROR(
INDEX(
FILTER(
MAP(
reglas!$B$2:$B$240,
reglas!$C$2:$C$240,
reglas!$D$2:$D$240,
reglas!$E$2:$E$240,
LAMBDA(rEmisor,rPatron,rConcepto,rTipo,
IF(
AND(
OR(
UPPER(TRIM(rEmisor))=UPPER(TRIM(C28)),
UPPER(TRIM(rEmisor))=""CUALQUIERA""
),
OR(
UPPER(TRIM("&amp;"rTipo))=""SOLO EMISOR"",
AND(
UPPER(TRIM(rTipo))=""EXACTA"",
UPPER(TRIM(AG28))=UPPER(TRIM(rPatron))
),
AND(
OR(
UPPER(TRIM(rTipo))=""CONTIENE"",
UPPER(TRIM(rTipo))=""COINCIDENCIA""
),
ISNUMBER(SEARCH(UPPER(TRIM(rPatron)),UPPER(TRIM(D28))))
)
)
),
rConcept"&amp;"o,
""""
)
)
),
MAP(
reglas!$B$2:$B$240,
reglas!$C$2:$C$240,
reglas!$D$2:$D$240,
reglas!$E$2:$E$240,
LAMBDA(rEmisor,rPatron,rConcepto,rTipo,
IF(
AND(
OR(
UPPER(TRIM(rEmisor))=UPPER(TRIM(C28)),
UPPER(TRIM(rEmisor))=""CUALQUIERA""
),
OR(
UPPER(TRIM(rTipo))="&amp;"""SOLO EMISOR"",
AND(
UPPER(TRIM(rTipo))=""EXACTA"",
UPPER(TRIM(D28))=UPPER(TRIM(rPatron))
),
AND(
OR(
UPPER(TRIM(rTipo))=""CONTIENE"",
UPPER(TRIM(rTipo))=""COINCIDENCIA""
),
ISNUMBER(SEARCH(UPPER(TRIM(rPatron)),UPPER(TRIM(D28))))
)
)
),
rConcepto,
""""
)"&amp;"
)
)&lt;&gt;""""
),
1
),
""""
)"),"VALIDACION")</f>
        <v>VALIDACION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>
      <c r="A29" s="32"/>
      <c r="B29" s="32"/>
      <c r="C29" s="29" t="s">
        <v>232</v>
      </c>
      <c r="D29" s="29" t="s">
        <v>597</v>
      </c>
      <c r="E29" s="32"/>
      <c r="F29" s="32"/>
      <c r="G29" s="28" t="s">
        <v>551</v>
      </c>
      <c r="H29" s="28">
        <f t="array" ref="H29">INDEX(CC!C:C,MATCH(1,(CC!A:A=G29)*(CC!B:B=I29),0))</f>
        <v>1202</v>
      </c>
      <c r="I29" s="28" t="s">
        <v>25</v>
      </c>
      <c r="J29" s="5"/>
      <c r="K29" s="28" t="str">
        <f>IFERROR(__xludf.DUMMYFUNCTION("IFERROR(
INDEX(
FILTER(
MAP(
reglas!$B$2:$B$240,
reglas!$C$2:$C$240,
reglas!$D$2:$D$240,
reglas!$E$2:$E$240,
LAMBDA(rEmisor,rPatron,rConcepto,rTipo,
IF(
AND(
OR(
UPPER(TRIM(rEmisor))=UPPER(TRIM(C29)),
UPPER(TRIM(rEmisor))=""CUALQUIERA""
),
OR(
UPPER(TRIM("&amp;"rTipo))=""SOLO EMISOR"",
AND(
UPPER(TRIM(rTipo))=""EXACTA"",
UPPER(TRIM(AG29))=UPPER(TRIM(rPatron))
),
AND(
OR(
UPPER(TRIM(rTipo))=""CONTIENE"",
UPPER(TRIM(rTipo))=""COINCIDENCIA""
),
ISNUMBER(SEARCH(UPPER(TRIM(rPatron)),UPPER(TRIM(D29))))
)
)
),
rConcept"&amp;"o,
""""
)
)
),
MAP(
reglas!$B$2:$B$240,
reglas!$C$2:$C$240,
reglas!$D$2:$D$240,
reglas!$E$2:$E$240,
LAMBDA(rEmisor,rPatron,rConcepto,rTipo,
IF(
AND(
OR(
UPPER(TRIM(rEmisor))=UPPER(TRIM(C29)),
UPPER(TRIM(rEmisor))=""CUALQUIERA""
),
OR(
UPPER(TRIM(rTipo))="&amp;"""SOLO EMISOR"",
AND(
UPPER(TRIM(rTipo))=""EXACTA"",
UPPER(TRIM(D29))=UPPER(TRIM(rPatron))
),
AND(
OR(
UPPER(TRIM(rTipo))=""CONTIENE"",
UPPER(TRIM(rTipo))=""COINCIDENCIA""
),
ISNUMBER(SEARCH(UPPER(TRIM(rPatron)),UPPER(TRIM(D29))))
)
)
),
rConcepto,
""""
)"&amp;"
)
)&lt;&gt;""""
),
1
),
""""
)"),"VALIDACION")</f>
        <v>VALIDACION</v>
      </c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</row>
    <row r="30">
      <c r="A30" s="32"/>
      <c r="B30" s="28" t="s">
        <v>29</v>
      </c>
      <c r="C30" s="29" t="s">
        <v>172</v>
      </c>
      <c r="D30" s="29" t="s">
        <v>561</v>
      </c>
      <c r="E30" s="30">
        <v>11500.0</v>
      </c>
      <c r="F30" s="28">
        <v>0.0</v>
      </c>
      <c r="G30" s="28" t="s">
        <v>250</v>
      </c>
      <c r="H30" s="28">
        <f t="array" ref="H30">INDEX(CC!C:C,MATCH(1,(CC!A:A=G30)*(CC!B:B=I30),0))</f>
        <v>1402</v>
      </c>
      <c r="I30" s="28" t="s">
        <v>25</v>
      </c>
      <c r="J30" s="31">
        <v>11500.0</v>
      </c>
      <c r="K30" s="28" t="str">
        <f>IFERROR(__xludf.DUMMYFUNCTION("IFERROR(
INDEX(
FILTER(
MAP(
reglas!$B$2:$B$240,
reglas!$C$2:$C$240,
reglas!$D$2:$D$240,
reglas!$E$2:$E$240,
LAMBDA(rEmisor,rPatron,rConcepto,rTipo,
IF(
AND(
OR(
UPPER(TRIM(rEmisor))=UPPER(TRIM(C30)),
UPPER(TRIM(rEmisor))=""CUALQUIERA""
),
OR(
UPPER(TRIM("&amp;"rTipo))=""SOLO EMISOR"",
AND(
UPPER(TRIM(rTipo))=""EXACTA"",
UPPER(TRIM(AG30))=UPPER(TRIM(rPatron))
),
AND(
OR(
UPPER(TRIM(rTipo))=""CONTIENE"",
UPPER(TRIM(rTipo))=""COINCIDENCIA""
),
ISNUMBER(SEARCH(UPPER(TRIM(rPatron)),UPPER(TRIM(D30))))
)
)
),
rConcept"&amp;"o,
""""
)
)
),
MAP(
reglas!$B$2:$B$240,
reglas!$C$2:$C$240,
reglas!$D$2:$D$240,
reglas!$E$2:$E$240,
LAMBDA(rEmisor,rPatron,rConcepto,rTipo,
IF(
AND(
OR(
UPPER(TRIM(rEmisor))=UPPER(TRIM(C30)),
UPPER(TRIM(rEmisor))=""CUALQUIERA""
),
OR(
UPPER(TRIM(rTipo))="&amp;"""SOLO EMISOR"",
AND(
UPPER(TRIM(rTipo))=""EXACTA"",
UPPER(TRIM(D30))=UPPER(TRIM(rPatron))
),
AND(
OR(
UPPER(TRIM(rTipo))=""CONTIENE"",
UPPER(TRIM(rTipo))=""COINCIDENCIA""
),
ISNUMBER(SEARCH(UPPER(TRIM(rPatron)),UPPER(TRIM(D30))))
)
)
),
rConcepto,
""""
)"&amp;"
)
)&lt;&gt;""""
),
1
),
""""
)"),"TRANSPORTE")</f>
        <v>TRANSPORTE</v>
      </c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>
      <c r="A31" s="32"/>
      <c r="B31" s="28" t="s">
        <v>29</v>
      </c>
      <c r="C31" s="29" t="s">
        <v>259</v>
      </c>
      <c r="D31" s="29" t="s">
        <v>636</v>
      </c>
      <c r="E31" s="28">
        <v>605.87</v>
      </c>
      <c r="F31" s="28">
        <v>0.0</v>
      </c>
      <c r="G31" s="28" t="s">
        <v>581</v>
      </c>
      <c r="H31" s="28">
        <f t="array" ref="H31">INDEX(CC!C:C,MATCH(1,(CC!A:A=G31)*(CC!B:B=I31),0))</f>
        <v>202</v>
      </c>
      <c r="I31" s="28" t="s">
        <v>25</v>
      </c>
      <c r="J31" s="33"/>
      <c r="K31" s="28" t="str">
        <f>IFERROR(__xludf.DUMMYFUNCTION("IFERROR(
INDEX(
FILTER(
MAP(
reglas!$B$2:$B$240,
reglas!$C$2:$C$240,
reglas!$D$2:$D$240,
reglas!$E$2:$E$240,
LAMBDA(rEmisor,rPatron,rConcepto,rTipo,
IF(
AND(
OR(
UPPER(TRIM(rEmisor))=UPPER(TRIM(C31)),
UPPER(TRIM(rEmisor))=""CUALQUIERA""
),
OR(
UPPER(TRIM("&amp;"rTipo))=""SOLO EMISOR"",
AND(
UPPER(TRIM(rTipo))=""EXACTA"",
UPPER(TRIM(AG31))=UPPER(TRIM(rPatron))
),
AND(
OR(
UPPER(TRIM(rTipo))=""CONTIENE"",
UPPER(TRIM(rTipo))=""COINCIDENCIA""
),
ISNUMBER(SEARCH(UPPER(TRIM(rPatron)),UPPER(TRIM(D31))))
)
)
),
rConcept"&amp;"o,
""""
)
)
),
MAP(
reglas!$B$2:$B$240,
reglas!$C$2:$C$240,
reglas!$D$2:$D$240,
reglas!$E$2:$E$240,
LAMBDA(rEmisor,rPatron,rConcepto,rTipo,
IF(
AND(
OR(
UPPER(TRIM(rEmisor))=UPPER(TRIM(C31)),
UPPER(TRIM(rEmisor))=""CUALQUIERA""
),
OR(
UPPER(TRIM(rTipo))="&amp;"""SOLO EMISOR"",
AND(
UPPER(TRIM(rTipo))=""EXACTA"",
UPPER(TRIM(D31))=UPPER(TRIM(rPatron))
),
AND(
OR(
UPPER(TRIM(rTipo))=""CONTIENE"",
UPPER(TRIM(rTipo))=""COINCIDENCIA""
),
ISNUMBER(SEARCH(UPPER(TRIM(rPatron)),UPPER(TRIM(D31))))
)
)
),
rConcepto,
""""
)"&amp;"
)
)&lt;&gt;""""
),
1
),
""""
)"),"COMBUSTIBLES Y LUBRICANTES")</f>
        <v>COMBUSTIBLES Y LUBRICANTES</v>
      </c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>
      <c r="A32" s="32"/>
      <c r="B32" s="32"/>
      <c r="C32" s="29" t="s">
        <v>259</v>
      </c>
      <c r="D32" s="29" t="s">
        <v>636</v>
      </c>
      <c r="E32" s="28">
        <v>432.78</v>
      </c>
      <c r="F32" s="28">
        <v>0.0</v>
      </c>
      <c r="G32" s="28" t="s">
        <v>581</v>
      </c>
      <c r="H32" s="28">
        <f t="array" ref="H32">INDEX(CC!C:C,MATCH(1,(CC!A:A=G32)*(CC!B:B=I32),0))</f>
        <v>202</v>
      </c>
      <c r="I32" s="28" t="s">
        <v>25</v>
      </c>
      <c r="J32" s="33"/>
      <c r="K32" s="28" t="str">
        <f>IFERROR(__xludf.DUMMYFUNCTION("IFERROR(
INDEX(
FILTER(
MAP(
reglas!$B$2:$B$240,
reglas!$C$2:$C$240,
reglas!$D$2:$D$240,
reglas!$E$2:$E$240,
LAMBDA(rEmisor,rPatron,rConcepto,rTipo,
IF(
AND(
OR(
UPPER(TRIM(rEmisor))=UPPER(TRIM(C32)),
UPPER(TRIM(rEmisor))=""CUALQUIERA""
),
OR(
UPPER(TRIM("&amp;"rTipo))=""SOLO EMISOR"",
AND(
UPPER(TRIM(rTipo))=""EXACTA"",
UPPER(TRIM(AG32))=UPPER(TRIM(rPatron))
),
AND(
OR(
UPPER(TRIM(rTipo))=""CONTIENE"",
UPPER(TRIM(rTipo))=""COINCIDENCIA""
),
ISNUMBER(SEARCH(UPPER(TRIM(rPatron)),UPPER(TRIM(D32))))
)
)
),
rConcept"&amp;"o,
""""
)
)
),
MAP(
reglas!$B$2:$B$240,
reglas!$C$2:$C$240,
reglas!$D$2:$D$240,
reglas!$E$2:$E$240,
LAMBDA(rEmisor,rPatron,rConcepto,rTipo,
IF(
AND(
OR(
UPPER(TRIM(rEmisor))=UPPER(TRIM(C32)),
UPPER(TRIM(rEmisor))=""CUALQUIERA""
),
OR(
UPPER(TRIM(rTipo))="&amp;"""SOLO EMISOR"",
AND(
UPPER(TRIM(rTipo))=""EXACTA"",
UPPER(TRIM(D32))=UPPER(TRIM(rPatron))
),
AND(
OR(
UPPER(TRIM(rTipo))=""CONTIENE"",
UPPER(TRIM(rTipo))=""COINCIDENCIA""
),
ISNUMBER(SEARCH(UPPER(TRIM(rPatron)),UPPER(TRIM(D32))))
)
)
),
rConcepto,
""""
)"&amp;"
)
)&lt;&gt;""""
),
1
),
""""
)"),"COMBUSTIBLES Y LUBRICANTES")</f>
        <v>COMBUSTIBLES Y LUBRICANTES</v>
      </c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>
      <c r="A33" s="32"/>
      <c r="B33" s="32"/>
      <c r="C33" s="29" t="s">
        <v>259</v>
      </c>
      <c r="D33" s="29" t="s">
        <v>636</v>
      </c>
      <c r="E33" s="28">
        <v>432.78</v>
      </c>
      <c r="F33" s="28">
        <v>0.0</v>
      </c>
      <c r="G33" s="28" t="s">
        <v>581</v>
      </c>
      <c r="H33" s="28">
        <f t="array" ref="H33">INDEX(CC!C:C,MATCH(1,(CC!A:A=G33)*(CC!B:B=I33),0))</f>
        <v>202</v>
      </c>
      <c r="I33" s="28" t="s">
        <v>25</v>
      </c>
      <c r="J33" s="33"/>
      <c r="K33" s="28" t="str">
        <f>IFERROR(__xludf.DUMMYFUNCTION("IFERROR(
INDEX(
FILTER(
MAP(
reglas!$B$2:$B$240,
reglas!$C$2:$C$240,
reglas!$D$2:$D$240,
reglas!$E$2:$E$240,
LAMBDA(rEmisor,rPatron,rConcepto,rTipo,
IF(
AND(
OR(
UPPER(TRIM(rEmisor))=UPPER(TRIM(C33)),
UPPER(TRIM(rEmisor))=""CUALQUIERA""
),
OR(
UPPER(TRIM("&amp;"rTipo))=""SOLO EMISOR"",
AND(
UPPER(TRIM(rTipo))=""EXACTA"",
UPPER(TRIM(AG33))=UPPER(TRIM(rPatron))
),
AND(
OR(
UPPER(TRIM(rTipo))=""CONTIENE"",
UPPER(TRIM(rTipo))=""COINCIDENCIA""
),
ISNUMBER(SEARCH(UPPER(TRIM(rPatron)),UPPER(TRIM(D33))))
)
)
),
rConcept"&amp;"o,
""""
)
)
),
MAP(
reglas!$B$2:$B$240,
reglas!$C$2:$C$240,
reglas!$D$2:$D$240,
reglas!$E$2:$E$240,
LAMBDA(rEmisor,rPatron,rConcepto,rTipo,
IF(
AND(
OR(
UPPER(TRIM(rEmisor))=UPPER(TRIM(C33)),
UPPER(TRIM(rEmisor))=""CUALQUIERA""
),
OR(
UPPER(TRIM(rTipo))="&amp;"""SOLO EMISOR"",
AND(
UPPER(TRIM(rTipo))=""EXACTA"",
UPPER(TRIM(D33))=UPPER(TRIM(rPatron))
),
AND(
OR(
UPPER(TRIM(rTipo))=""CONTIENE"",
UPPER(TRIM(rTipo))=""COINCIDENCIA""
),
ISNUMBER(SEARCH(UPPER(TRIM(rPatron)),UPPER(TRIM(D33))))
)
)
),
rConcepto,
""""
)"&amp;"
)
)&lt;&gt;""""
),
1
),
""""
)"),"COMBUSTIBLES Y LUBRICANTES")</f>
        <v>COMBUSTIBLES Y LUBRICANTES</v>
      </c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>
      <c r="A34" s="32"/>
      <c r="B34" s="32"/>
      <c r="C34" s="29" t="s">
        <v>259</v>
      </c>
      <c r="D34" s="29" t="s">
        <v>697</v>
      </c>
      <c r="E34" s="28">
        <v>605.21</v>
      </c>
      <c r="F34" s="28">
        <v>0.0</v>
      </c>
      <c r="G34" s="28" t="s">
        <v>581</v>
      </c>
      <c r="H34" s="28">
        <f t="array" ref="H34">INDEX(CC!C:C,MATCH(1,(CC!A:A=G34)*(CC!B:B=I34),0))</f>
        <v>202</v>
      </c>
      <c r="I34" s="28" t="s">
        <v>25</v>
      </c>
      <c r="J34" s="33"/>
      <c r="K34" s="28" t="str">
        <f>IFERROR(__xludf.DUMMYFUNCTION("IFERROR(
INDEX(
FILTER(
MAP(
reglas!$B$2:$B$240,
reglas!$C$2:$C$240,
reglas!$D$2:$D$240,
reglas!$E$2:$E$240,
LAMBDA(rEmisor,rPatron,rConcepto,rTipo,
IF(
AND(
OR(
UPPER(TRIM(rEmisor))=UPPER(TRIM(C34)),
UPPER(TRIM(rEmisor))=""CUALQUIERA""
),
OR(
UPPER(TRIM("&amp;"rTipo))=""SOLO EMISOR"",
AND(
UPPER(TRIM(rTipo))=""EXACTA"",
UPPER(TRIM(AG34))=UPPER(TRIM(rPatron))
),
AND(
OR(
UPPER(TRIM(rTipo))=""CONTIENE"",
UPPER(TRIM(rTipo))=""COINCIDENCIA""
),
ISNUMBER(SEARCH(UPPER(TRIM(rPatron)),UPPER(TRIM(D34))))
)
)
),
rConcept"&amp;"o,
""""
)
)
),
MAP(
reglas!$B$2:$B$240,
reglas!$C$2:$C$240,
reglas!$D$2:$D$240,
reglas!$E$2:$E$240,
LAMBDA(rEmisor,rPatron,rConcepto,rTipo,
IF(
AND(
OR(
UPPER(TRIM(rEmisor))=UPPER(TRIM(C34)),
UPPER(TRIM(rEmisor))=""CUALQUIERA""
),
OR(
UPPER(TRIM(rTipo))="&amp;"""SOLO EMISOR"",
AND(
UPPER(TRIM(rTipo))=""EXACTA"",
UPPER(TRIM(D34))=UPPER(TRIM(rPatron))
),
AND(
OR(
UPPER(TRIM(rTipo))=""CONTIENE"",
UPPER(TRIM(rTipo))=""COINCIDENCIA""
),
ISNUMBER(SEARCH(UPPER(TRIM(rPatron)),UPPER(TRIM(D34))))
)
)
),
rConcepto,
""""
)"&amp;"
)
)&lt;&gt;""""
),
1
),
""""
)"),"COMBUSTIBLES Y LUBRICANTES")</f>
        <v>COMBUSTIBLES Y LUBRICANTES</v>
      </c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>
      <c r="A35" s="32"/>
      <c r="B35" s="32"/>
      <c r="C35" s="29" t="s">
        <v>259</v>
      </c>
      <c r="D35" s="29" t="s">
        <v>636</v>
      </c>
      <c r="E35" s="28">
        <v>432.78</v>
      </c>
      <c r="F35" s="28">
        <v>0.0</v>
      </c>
      <c r="G35" s="28" t="s">
        <v>581</v>
      </c>
      <c r="H35" s="28">
        <f t="array" ref="H35">INDEX(CC!C:C,MATCH(1,(CC!A:A=G35)*(CC!B:B=I35),0))</f>
        <v>202</v>
      </c>
      <c r="I35" s="28" t="s">
        <v>25</v>
      </c>
      <c r="J35" s="33"/>
      <c r="K35" s="28" t="str">
        <f>IFERROR(__xludf.DUMMYFUNCTION("IFERROR(
INDEX(
FILTER(
MAP(
reglas!$B$2:$B$240,
reglas!$C$2:$C$240,
reglas!$D$2:$D$240,
reglas!$E$2:$E$240,
LAMBDA(rEmisor,rPatron,rConcepto,rTipo,
IF(
AND(
OR(
UPPER(TRIM(rEmisor))=UPPER(TRIM(C35)),
UPPER(TRIM(rEmisor))=""CUALQUIERA""
),
OR(
UPPER(TRIM("&amp;"rTipo))=""SOLO EMISOR"",
AND(
UPPER(TRIM(rTipo))=""EXACTA"",
UPPER(TRIM(AG35))=UPPER(TRIM(rPatron))
),
AND(
OR(
UPPER(TRIM(rTipo))=""CONTIENE"",
UPPER(TRIM(rTipo))=""COINCIDENCIA""
),
ISNUMBER(SEARCH(UPPER(TRIM(rPatron)),UPPER(TRIM(D35))))
)
)
),
rConcept"&amp;"o,
""""
)
)
),
MAP(
reglas!$B$2:$B$240,
reglas!$C$2:$C$240,
reglas!$D$2:$D$240,
reglas!$E$2:$E$240,
LAMBDA(rEmisor,rPatron,rConcepto,rTipo,
IF(
AND(
OR(
UPPER(TRIM(rEmisor))=UPPER(TRIM(C35)),
UPPER(TRIM(rEmisor))=""CUALQUIERA""
),
OR(
UPPER(TRIM(rTipo))="&amp;"""SOLO EMISOR"",
AND(
UPPER(TRIM(rTipo))=""EXACTA"",
UPPER(TRIM(D35))=UPPER(TRIM(rPatron))
),
AND(
OR(
UPPER(TRIM(rTipo))=""CONTIENE"",
UPPER(TRIM(rTipo))=""COINCIDENCIA""
),
ISNUMBER(SEARCH(UPPER(TRIM(rPatron)),UPPER(TRIM(D35))))
)
)
),
rConcepto,
""""
)"&amp;"
)
)&lt;&gt;""""
),
1
),
""""
)"),"COMBUSTIBLES Y LUBRICANTES")</f>
        <v>COMBUSTIBLES Y LUBRICANTES</v>
      </c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>
      <c r="A36" s="32"/>
      <c r="B36" s="32"/>
      <c r="C36" s="29" t="s">
        <v>259</v>
      </c>
      <c r="D36" s="29" t="s">
        <v>636</v>
      </c>
      <c r="E36" s="28">
        <v>432.78</v>
      </c>
      <c r="F36" s="28">
        <v>0.0</v>
      </c>
      <c r="G36" s="28" t="s">
        <v>581</v>
      </c>
      <c r="H36" s="28">
        <f t="array" ref="H36">INDEX(CC!C:C,MATCH(1,(CC!A:A=G36)*(CC!B:B=I36),0))</f>
        <v>202</v>
      </c>
      <c r="I36" s="28" t="s">
        <v>25</v>
      </c>
      <c r="J36" s="33"/>
      <c r="K36" s="28" t="str">
        <f>IFERROR(__xludf.DUMMYFUNCTION("IFERROR(
INDEX(
FILTER(
MAP(
reglas!$B$2:$B$240,
reglas!$C$2:$C$240,
reglas!$D$2:$D$240,
reglas!$E$2:$E$240,
LAMBDA(rEmisor,rPatron,rConcepto,rTipo,
IF(
AND(
OR(
UPPER(TRIM(rEmisor))=UPPER(TRIM(C36)),
UPPER(TRIM(rEmisor))=""CUALQUIERA""
),
OR(
UPPER(TRIM("&amp;"rTipo))=""SOLO EMISOR"",
AND(
UPPER(TRIM(rTipo))=""EXACTA"",
UPPER(TRIM(AG36))=UPPER(TRIM(rPatron))
),
AND(
OR(
UPPER(TRIM(rTipo))=""CONTIENE"",
UPPER(TRIM(rTipo))=""COINCIDENCIA""
),
ISNUMBER(SEARCH(UPPER(TRIM(rPatron)),UPPER(TRIM(D36))))
)
)
),
rConcept"&amp;"o,
""""
)
)
),
MAP(
reglas!$B$2:$B$240,
reglas!$C$2:$C$240,
reglas!$D$2:$D$240,
reglas!$E$2:$E$240,
LAMBDA(rEmisor,rPatron,rConcepto,rTipo,
IF(
AND(
OR(
UPPER(TRIM(rEmisor))=UPPER(TRIM(C36)),
UPPER(TRIM(rEmisor))=""CUALQUIERA""
),
OR(
UPPER(TRIM(rTipo))="&amp;"""SOLO EMISOR"",
AND(
UPPER(TRIM(rTipo))=""EXACTA"",
UPPER(TRIM(D36))=UPPER(TRIM(rPatron))
),
AND(
OR(
UPPER(TRIM(rTipo))=""CONTIENE"",
UPPER(TRIM(rTipo))=""COINCIDENCIA""
),
ISNUMBER(SEARCH(UPPER(TRIM(rPatron)),UPPER(TRIM(D36))))
)
)
),
rConcepto,
""""
)"&amp;"
)
)&lt;&gt;""""
),
1
),
""""
)"),"COMBUSTIBLES Y LUBRICANTES")</f>
        <v>COMBUSTIBLES Y LUBRICANTES</v>
      </c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>
      <c r="A37" s="32"/>
      <c r="B37" s="32"/>
      <c r="C37" s="29" t="s">
        <v>259</v>
      </c>
      <c r="D37" s="29" t="s">
        <v>636</v>
      </c>
      <c r="E37" s="28">
        <v>612.34</v>
      </c>
      <c r="F37" s="28">
        <v>0.0</v>
      </c>
      <c r="G37" s="28" t="s">
        <v>581</v>
      </c>
      <c r="H37" s="28">
        <f t="array" ref="H37">INDEX(CC!C:C,MATCH(1,(CC!A:A=G37)*(CC!B:B=I37),0))</f>
        <v>202</v>
      </c>
      <c r="I37" s="28" t="s">
        <v>25</v>
      </c>
      <c r="J37" s="33"/>
      <c r="K37" s="28" t="str">
        <f>IFERROR(__xludf.DUMMYFUNCTION("IFERROR(
INDEX(
FILTER(
MAP(
reglas!$B$2:$B$240,
reglas!$C$2:$C$240,
reglas!$D$2:$D$240,
reglas!$E$2:$E$240,
LAMBDA(rEmisor,rPatron,rConcepto,rTipo,
IF(
AND(
OR(
UPPER(TRIM(rEmisor))=UPPER(TRIM(C37)),
UPPER(TRIM(rEmisor))=""CUALQUIERA""
),
OR(
UPPER(TRIM("&amp;"rTipo))=""SOLO EMISOR"",
AND(
UPPER(TRIM(rTipo))=""EXACTA"",
UPPER(TRIM(AG37))=UPPER(TRIM(rPatron))
),
AND(
OR(
UPPER(TRIM(rTipo))=""CONTIENE"",
UPPER(TRIM(rTipo))=""COINCIDENCIA""
),
ISNUMBER(SEARCH(UPPER(TRIM(rPatron)),UPPER(TRIM(D37))))
)
)
),
rConcept"&amp;"o,
""""
)
)
),
MAP(
reglas!$B$2:$B$240,
reglas!$C$2:$C$240,
reglas!$D$2:$D$240,
reglas!$E$2:$E$240,
LAMBDA(rEmisor,rPatron,rConcepto,rTipo,
IF(
AND(
OR(
UPPER(TRIM(rEmisor))=UPPER(TRIM(C37)),
UPPER(TRIM(rEmisor))=""CUALQUIERA""
),
OR(
UPPER(TRIM(rTipo))="&amp;"""SOLO EMISOR"",
AND(
UPPER(TRIM(rTipo))=""EXACTA"",
UPPER(TRIM(D37))=UPPER(TRIM(rPatron))
),
AND(
OR(
UPPER(TRIM(rTipo))=""CONTIENE"",
UPPER(TRIM(rTipo))=""COINCIDENCIA""
),
ISNUMBER(SEARCH(UPPER(TRIM(rPatron)),UPPER(TRIM(D37))))
)
)
),
rConcepto,
""""
)"&amp;"
)
)&lt;&gt;""""
),
1
),
""""
)"),"COMBUSTIBLES Y LUBRICANTES")</f>
        <v>COMBUSTIBLES Y LUBRICANTES</v>
      </c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>
      <c r="A38" s="32"/>
      <c r="B38" s="32"/>
      <c r="C38" s="29" t="s">
        <v>259</v>
      </c>
      <c r="D38" s="29" t="s">
        <v>755</v>
      </c>
      <c r="E38" s="28">
        <v>165.52</v>
      </c>
      <c r="F38" s="28">
        <v>0.0</v>
      </c>
      <c r="G38" s="28" t="s">
        <v>581</v>
      </c>
      <c r="H38" s="28">
        <f t="array" ref="H38">INDEX(CC!C:C,MATCH(1,(CC!A:A=G38)*(CC!B:B=I38),0))</f>
        <v>202</v>
      </c>
      <c r="I38" s="28" t="s">
        <v>25</v>
      </c>
      <c r="J38" s="33"/>
      <c r="K38" s="28" t="str">
        <f>IFERROR(__xludf.DUMMYFUNCTION("IFERROR(
INDEX(
FILTER(
MAP(
reglas!$B$2:$B$240,
reglas!$C$2:$C$240,
reglas!$D$2:$D$240,
reglas!$E$2:$E$240,
LAMBDA(rEmisor,rPatron,rConcepto,rTipo,
IF(
AND(
OR(
UPPER(TRIM(rEmisor))=UPPER(TRIM(C38)),
UPPER(TRIM(rEmisor))=""CUALQUIERA""
),
OR(
UPPER(TRIM("&amp;"rTipo))=""SOLO EMISOR"",
AND(
UPPER(TRIM(rTipo))=""EXACTA"",
UPPER(TRIM(AG38))=UPPER(TRIM(rPatron))
),
AND(
OR(
UPPER(TRIM(rTipo))=""CONTIENE"",
UPPER(TRIM(rTipo))=""COINCIDENCIA""
),
ISNUMBER(SEARCH(UPPER(TRIM(rPatron)),UPPER(TRIM(D38))))
)
)
),
rConcept"&amp;"o,
""""
)
)
),
MAP(
reglas!$B$2:$B$240,
reglas!$C$2:$C$240,
reglas!$D$2:$D$240,
reglas!$E$2:$E$240,
LAMBDA(rEmisor,rPatron,rConcepto,rTipo,
IF(
AND(
OR(
UPPER(TRIM(rEmisor))=UPPER(TRIM(C38)),
UPPER(TRIM(rEmisor))=""CUALQUIERA""
),
OR(
UPPER(TRIM(rTipo))="&amp;"""SOLO EMISOR"",
AND(
UPPER(TRIM(rTipo))=""EXACTA"",
UPPER(TRIM(D38))=UPPER(TRIM(rPatron))
),
AND(
OR(
UPPER(TRIM(rTipo))=""CONTIENE"",
UPPER(TRIM(rTipo))=""COINCIDENCIA""
),
ISNUMBER(SEARCH(UPPER(TRIM(rPatron)),UPPER(TRIM(D38))))
)
)
),
rConcepto,
""""
)"&amp;"
)
)&lt;&gt;""""
),
1
),
""""
)"),"COMBUSTIBLES Y LUBRICANTES")</f>
        <v>COMBUSTIBLES Y LUBRICANTES</v>
      </c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>
      <c r="A39" s="32"/>
      <c r="B39" s="32"/>
      <c r="C39" s="29" t="s">
        <v>259</v>
      </c>
      <c r="D39" s="29" t="s">
        <v>636</v>
      </c>
      <c r="E39" s="28">
        <v>432.78</v>
      </c>
      <c r="F39" s="28">
        <v>0.0</v>
      </c>
      <c r="G39" s="28" t="s">
        <v>581</v>
      </c>
      <c r="H39" s="28">
        <f t="array" ref="H39">INDEX(CC!C:C,MATCH(1,(CC!A:A=G39)*(CC!B:B=I39),0))</f>
        <v>202</v>
      </c>
      <c r="I39" s="28" t="s">
        <v>25</v>
      </c>
      <c r="J39" s="33"/>
      <c r="K39" s="28" t="str">
        <f>IFERROR(__xludf.DUMMYFUNCTION("IFERROR(
INDEX(
FILTER(
MAP(
reglas!$B$2:$B$240,
reglas!$C$2:$C$240,
reglas!$D$2:$D$240,
reglas!$E$2:$E$240,
LAMBDA(rEmisor,rPatron,rConcepto,rTipo,
IF(
AND(
OR(
UPPER(TRIM(rEmisor))=UPPER(TRIM(C39)),
UPPER(TRIM(rEmisor))=""CUALQUIERA""
),
OR(
UPPER(TRIM("&amp;"rTipo))=""SOLO EMISOR"",
AND(
UPPER(TRIM(rTipo))=""EXACTA"",
UPPER(TRIM(AG39))=UPPER(TRIM(rPatron))
),
AND(
OR(
UPPER(TRIM(rTipo))=""CONTIENE"",
UPPER(TRIM(rTipo))=""COINCIDENCIA""
),
ISNUMBER(SEARCH(UPPER(TRIM(rPatron)),UPPER(TRIM(D39))))
)
)
),
rConcept"&amp;"o,
""""
)
)
),
MAP(
reglas!$B$2:$B$240,
reglas!$C$2:$C$240,
reglas!$D$2:$D$240,
reglas!$E$2:$E$240,
LAMBDA(rEmisor,rPatron,rConcepto,rTipo,
IF(
AND(
OR(
UPPER(TRIM(rEmisor))=UPPER(TRIM(C39)),
UPPER(TRIM(rEmisor))=""CUALQUIERA""
),
OR(
UPPER(TRIM(rTipo))="&amp;"""SOLO EMISOR"",
AND(
UPPER(TRIM(rTipo))=""EXACTA"",
UPPER(TRIM(D39))=UPPER(TRIM(rPatron))
),
AND(
OR(
UPPER(TRIM(rTipo))=""CONTIENE"",
UPPER(TRIM(rTipo))=""COINCIDENCIA""
),
ISNUMBER(SEARCH(UPPER(TRIM(rPatron)),UPPER(TRIM(D39))))
)
)
),
rConcepto,
""""
)"&amp;"
)
)&lt;&gt;""""
),
1
),
""""
)"),"COMBUSTIBLES Y LUBRICANTES")</f>
        <v>COMBUSTIBLES Y LUBRICANTES</v>
      </c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>
      <c r="A40" s="32"/>
      <c r="B40" s="32"/>
      <c r="C40" s="29" t="s">
        <v>259</v>
      </c>
      <c r="D40" s="29" t="s">
        <v>697</v>
      </c>
      <c r="E40" s="28">
        <v>691.68</v>
      </c>
      <c r="F40" s="28">
        <v>0.0</v>
      </c>
      <c r="G40" s="28" t="s">
        <v>581</v>
      </c>
      <c r="H40" s="28">
        <f t="array" ref="H40">INDEX(CC!C:C,MATCH(1,(CC!A:A=G40)*(CC!B:B=I40),0))</f>
        <v>202</v>
      </c>
      <c r="I40" s="28" t="s">
        <v>25</v>
      </c>
      <c r="J40" s="33"/>
      <c r="K40" s="28" t="str">
        <f>IFERROR(__xludf.DUMMYFUNCTION("IFERROR(
INDEX(
FILTER(
MAP(
reglas!$B$2:$B$240,
reglas!$C$2:$C$240,
reglas!$D$2:$D$240,
reglas!$E$2:$E$240,
LAMBDA(rEmisor,rPatron,rConcepto,rTipo,
IF(
AND(
OR(
UPPER(TRIM(rEmisor))=UPPER(TRIM(C40)),
UPPER(TRIM(rEmisor))=""CUALQUIERA""
),
OR(
UPPER(TRIM("&amp;"rTipo))=""SOLO EMISOR"",
AND(
UPPER(TRIM(rTipo))=""EXACTA"",
UPPER(TRIM(AG40))=UPPER(TRIM(rPatron))
),
AND(
OR(
UPPER(TRIM(rTipo))=""CONTIENE"",
UPPER(TRIM(rTipo))=""COINCIDENCIA""
),
ISNUMBER(SEARCH(UPPER(TRIM(rPatron)),UPPER(TRIM(D40))))
)
)
),
rConcept"&amp;"o,
""""
)
)
),
MAP(
reglas!$B$2:$B$240,
reglas!$C$2:$C$240,
reglas!$D$2:$D$240,
reglas!$E$2:$E$240,
LAMBDA(rEmisor,rPatron,rConcepto,rTipo,
IF(
AND(
OR(
UPPER(TRIM(rEmisor))=UPPER(TRIM(C40)),
UPPER(TRIM(rEmisor))=""CUALQUIERA""
),
OR(
UPPER(TRIM(rTipo))="&amp;"""SOLO EMISOR"",
AND(
UPPER(TRIM(rTipo))=""EXACTA"",
UPPER(TRIM(D40))=UPPER(TRIM(rPatron))
),
AND(
OR(
UPPER(TRIM(rTipo))=""CONTIENE"",
UPPER(TRIM(rTipo))=""COINCIDENCIA""
),
ISNUMBER(SEARCH(UPPER(TRIM(rPatron)),UPPER(TRIM(D40))))
)
)
),
rConcepto,
""""
)"&amp;"
)
)&lt;&gt;""""
),
1
),
""""
)"),"COMBUSTIBLES Y LUBRICANTES")</f>
        <v>COMBUSTIBLES Y LUBRICANTES</v>
      </c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>
      <c r="A41" s="32"/>
      <c r="B41" s="32"/>
      <c r="C41" s="29" t="s">
        <v>259</v>
      </c>
      <c r="D41" s="29" t="s">
        <v>636</v>
      </c>
      <c r="E41" s="28">
        <v>432.78</v>
      </c>
      <c r="F41" s="28">
        <v>0.0</v>
      </c>
      <c r="G41" s="28" t="s">
        <v>581</v>
      </c>
      <c r="H41" s="28">
        <f t="array" ref="H41">INDEX(CC!C:C,MATCH(1,(CC!A:A=G41)*(CC!B:B=I41),0))</f>
        <v>202</v>
      </c>
      <c r="I41" s="28" t="s">
        <v>25</v>
      </c>
      <c r="J41" s="33"/>
      <c r="K41" s="28" t="str">
        <f>IFERROR(__xludf.DUMMYFUNCTION("IFERROR(
INDEX(
FILTER(
MAP(
reglas!$B$2:$B$240,
reglas!$C$2:$C$240,
reglas!$D$2:$D$240,
reglas!$E$2:$E$240,
LAMBDA(rEmisor,rPatron,rConcepto,rTipo,
IF(
AND(
OR(
UPPER(TRIM(rEmisor))=UPPER(TRIM(C41)),
UPPER(TRIM(rEmisor))=""CUALQUIERA""
),
OR(
UPPER(TRIM("&amp;"rTipo))=""SOLO EMISOR"",
AND(
UPPER(TRIM(rTipo))=""EXACTA"",
UPPER(TRIM(AG41))=UPPER(TRIM(rPatron))
),
AND(
OR(
UPPER(TRIM(rTipo))=""CONTIENE"",
UPPER(TRIM(rTipo))=""COINCIDENCIA""
),
ISNUMBER(SEARCH(UPPER(TRIM(rPatron)),UPPER(TRIM(D41))))
)
)
),
rConcept"&amp;"o,
""""
)
)
),
MAP(
reglas!$B$2:$B$240,
reglas!$C$2:$C$240,
reglas!$D$2:$D$240,
reglas!$E$2:$E$240,
LAMBDA(rEmisor,rPatron,rConcepto,rTipo,
IF(
AND(
OR(
UPPER(TRIM(rEmisor))=UPPER(TRIM(C41)),
UPPER(TRIM(rEmisor))=""CUALQUIERA""
),
OR(
UPPER(TRIM(rTipo))="&amp;"""SOLO EMISOR"",
AND(
UPPER(TRIM(rTipo))=""EXACTA"",
UPPER(TRIM(D41))=UPPER(TRIM(rPatron))
),
AND(
OR(
UPPER(TRIM(rTipo))=""CONTIENE"",
UPPER(TRIM(rTipo))=""COINCIDENCIA""
),
ISNUMBER(SEARCH(UPPER(TRIM(rPatron)),UPPER(TRIM(D41))))
)
)
),
rConcepto,
""""
)"&amp;"
)
)&lt;&gt;""""
),
1
),
""""
)"),"COMBUSTIBLES Y LUBRICANTES")</f>
        <v>COMBUSTIBLES Y LUBRICANTES</v>
      </c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>
      <c r="A42" s="32"/>
      <c r="B42" s="32"/>
      <c r="C42" s="29" t="s">
        <v>259</v>
      </c>
      <c r="D42" s="29" t="s">
        <v>636</v>
      </c>
      <c r="E42" s="28">
        <v>432.78</v>
      </c>
      <c r="F42" s="28">
        <v>0.0</v>
      </c>
      <c r="G42" s="28" t="s">
        <v>581</v>
      </c>
      <c r="H42" s="28">
        <f t="array" ref="H42">INDEX(CC!C:C,MATCH(1,(CC!A:A=G42)*(CC!B:B=I42),0))</f>
        <v>202</v>
      </c>
      <c r="I42" s="28" t="s">
        <v>25</v>
      </c>
      <c r="J42" s="33"/>
      <c r="K42" s="28" t="str">
        <f>IFERROR(__xludf.DUMMYFUNCTION("IFERROR(
INDEX(
FILTER(
MAP(
reglas!$B$2:$B$240,
reglas!$C$2:$C$240,
reglas!$D$2:$D$240,
reglas!$E$2:$E$240,
LAMBDA(rEmisor,rPatron,rConcepto,rTipo,
IF(
AND(
OR(
UPPER(TRIM(rEmisor))=UPPER(TRIM(C42)),
UPPER(TRIM(rEmisor))=""CUALQUIERA""
),
OR(
UPPER(TRIM("&amp;"rTipo))=""SOLO EMISOR"",
AND(
UPPER(TRIM(rTipo))=""EXACTA"",
UPPER(TRIM(AG42))=UPPER(TRIM(rPatron))
),
AND(
OR(
UPPER(TRIM(rTipo))=""CONTIENE"",
UPPER(TRIM(rTipo))=""COINCIDENCIA""
),
ISNUMBER(SEARCH(UPPER(TRIM(rPatron)),UPPER(TRIM(D42))))
)
)
),
rConcept"&amp;"o,
""""
)
)
),
MAP(
reglas!$B$2:$B$240,
reglas!$C$2:$C$240,
reglas!$D$2:$D$240,
reglas!$E$2:$E$240,
LAMBDA(rEmisor,rPatron,rConcepto,rTipo,
IF(
AND(
OR(
UPPER(TRIM(rEmisor))=UPPER(TRIM(C42)),
UPPER(TRIM(rEmisor))=""CUALQUIERA""
),
OR(
UPPER(TRIM(rTipo))="&amp;"""SOLO EMISOR"",
AND(
UPPER(TRIM(rTipo))=""EXACTA"",
UPPER(TRIM(D42))=UPPER(TRIM(rPatron))
),
AND(
OR(
UPPER(TRIM(rTipo))=""CONTIENE"",
UPPER(TRIM(rTipo))=""COINCIDENCIA""
),
ISNUMBER(SEARCH(UPPER(TRIM(rPatron)),UPPER(TRIM(D42))))
)
)
),
rConcepto,
""""
)"&amp;"
)
)&lt;&gt;""""
),
1
),
""""
)"),"COMBUSTIBLES Y LUBRICANTES")</f>
        <v>COMBUSTIBLES Y LUBRICANTES</v>
      </c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>
      <c r="A43" s="32"/>
      <c r="B43" s="32"/>
      <c r="C43" s="29" t="s">
        <v>259</v>
      </c>
      <c r="D43" s="29" t="s">
        <v>636</v>
      </c>
      <c r="E43" s="28">
        <v>432.78</v>
      </c>
      <c r="F43" s="28">
        <v>0.0</v>
      </c>
      <c r="G43" s="28" t="s">
        <v>581</v>
      </c>
      <c r="H43" s="28">
        <f t="array" ref="H43">INDEX(CC!C:C,MATCH(1,(CC!A:A=G43)*(CC!B:B=I43),0))</f>
        <v>202</v>
      </c>
      <c r="I43" s="28" t="s">
        <v>25</v>
      </c>
      <c r="J43" s="33"/>
      <c r="K43" s="28" t="str">
        <f>IFERROR(__xludf.DUMMYFUNCTION("IFERROR(
INDEX(
FILTER(
MAP(
reglas!$B$2:$B$240,
reglas!$C$2:$C$240,
reglas!$D$2:$D$240,
reglas!$E$2:$E$240,
LAMBDA(rEmisor,rPatron,rConcepto,rTipo,
IF(
AND(
OR(
UPPER(TRIM(rEmisor))=UPPER(TRIM(C43)),
UPPER(TRIM(rEmisor))=""CUALQUIERA""
),
OR(
UPPER(TRIM("&amp;"rTipo))=""SOLO EMISOR"",
AND(
UPPER(TRIM(rTipo))=""EXACTA"",
UPPER(TRIM(AG43))=UPPER(TRIM(rPatron))
),
AND(
OR(
UPPER(TRIM(rTipo))=""CONTIENE"",
UPPER(TRIM(rTipo))=""COINCIDENCIA""
),
ISNUMBER(SEARCH(UPPER(TRIM(rPatron)),UPPER(TRIM(D43))))
)
)
),
rConcept"&amp;"o,
""""
)
)
),
MAP(
reglas!$B$2:$B$240,
reglas!$C$2:$C$240,
reglas!$D$2:$D$240,
reglas!$E$2:$E$240,
LAMBDA(rEmisor,rPatron,rConcepto,rTipo,
IF(
AND(
OR(
UPPER(TRIM(rEmisor))=UPPER(TRIM(C43)),
UPPER(TRIM(rEmisor))=""CUALQUIERA""
),
OR(
UPPER(TRIM(rTipo))="&amp;"""SOLO EMISOR"",
AND(
UPPER(TRIM(rTipo))=""EXACTA"",
UPPER(TRIM(D43))=UPPER(TRIM(rPatron))
),
AND(
OR(
UPPER(TRIM(rTipo))=""CONTIENE"",
UPPER(TRIM(rTipo))=""COINCIDENCIA""
),
ISNUMBER(SEARCH(UPPER(TRIM(rPatron)),UPPER(TRIM(D43))))
)
)
),
rConcepto,
""""
)"&amp;"
)
)&lt;&gt;""""
),
1
),
""""
)"),"COMBUSTIBLES Y LUBRICANTES")</f>
        <v>COMBUSTIBLES Y LUBRICANTES</v>
      </c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>
      <c r="A44" s="32"/>
      <c r="B44" s="32"/>
      <c r="C44" s="29" t="s">
        <v>259</v>
      </c>
      <c r="D44" s="29" t="s">
        <v>697</v>
      </c>
      <c r="E44" s="28">
        <v>605.21</v>
      </c>
      <c r="F44" s="28">
        <v>0.0</v>
      </c>
      <c r="G44" s="28" t="s">
        <v>581</v>
      </c>
      <c r="H44" s="28">
        <f t="array" ref="H44">INDEX(CC!C:C,MATCH(1,(CC!A:A=G44)*(CC!B:B=I44),0))</f>
        <v>202</v>
      </c>
      <c r="I44" s="28" t="s">
        <v>25</v>
      </c>
      <c r="J44" s="33"/>
      <c r="K44" s="28" t="str">
        <f>IFERROR(__xludf.DUMMYFUNCTION("IFERROR(
INDEX(
FILTER(
MAP(
reglas!$B$2:$B$240,
reglas!$C$2:$C$240,
reglas!$D$2:$D$240,
reglas!$E$2:$E$240,
LAMBDA(rEmisor,rPatron,rConcepto,rTipo,
IF(
AND(
OR(
UPPER(TRIM(rEmisor))=UPPER(TRIM(C44)),
UPPER(TRIM(rEmisor))=""CUALQUIERA""
),
OR(
UPPER(TRIM("&amp;"rTipo))=""SOLO EMISOR"",
AND(
UPPER(TRIM(rTipo))=""EXACTA"",
UPPER(TRIM(AG44))=UPPER(TRIM(rPatron))
),
AND(
OR(
UPPER(TRIM(rTipo))=""CONTIENE"",
UPPER(TRIM(rTipo))=""COINCIDENCIA""
),
ISNUMBER(SEARCH(UPPER(TRIM(rPatron)),UPPER(TRIM(D44))))
)
)
),
rConcept"&amp;"o,
""""
)
)
),
MAP(
reglas!$B$2:$B$240,
reglas!$C$2:$C$240,
reglas!$D$2:$D$240,
reglas!$E$2:$E$240,
LAMBDA(rEmisor,rPatron,rConcepto,rTipo,
IF(
AND(
OR(
UPPER(TRIM(rEmisor))=UPPER(TRIM(C44)),
UPPER(TRIM(rEmisor))=""CUALQUIERA""
),
OR(
UPPER(TRIM(rTipo))="&amp;"""SOLO EMISOR"",
AND(
UPPER(TRIM(rTipo))=""EXACTA"",
UPPER(TRIM(D44))=UPPER(TRIM(rPatron))
),
AND(
OR(
UPPER(TRIM(rTipo))=""CONTIENE"",
UPPER(TRIM(rTipo))=""COINCIDENCIA""
),
ISNUMBER(SEARCH(UPPER(TRIM(rPatron)),UPPER(TRIM(D44))))
)
)
),
rConcepto,
""""
)"&amp;"
)
)&lt;&gt;""""
),
1
),
""""
)"),"COMBUSTIBLES Y LUBRICANTES")</f>
        <v>COMBUSTIBLES Y LUBRICANTES</v>
      </c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>
      <c r="A45" s="32"/>
      <c r="B45" s="32"/>
      <c r="C45" s="29" t="s">
        <v>259</v>
      </c>
      <c r="D45" s="29" t="s">
        <v>636</v>
      </c>
      <c r="E45" s="28">
        <v>432.78</v>
      </c>
      <c r="F45" s="28">
        <v>0.0</v>
      </c>
      <c r="G45" s="28" t="s">
        <v>581</v>
      </c>
      <c r="H45" s="28">
        <f t="array" ref="H45">INDEX(CC!C:C,MATCH(1,(CC!A:A=G45)*(CC!B:B=I45),0))</f>
        <v>202</v>
      </c>
      <c r="I45" s="28" t="s">
        <v>25</v>
      </c>
      <c r="J45" s="33"/>
      <c r="K45" s="28" t="str">
        <f>IFERROR(__xludf.DUMMYFUNCTION("IFERROR(
INDEX(
FILTER(
MAP(
reglas!$B$2:$B$240,
reglas!$C$2:$C$240,
reglas!$D$2:$D$240,
reglas!$E$2:$E$240,
LAMBDA(rEmisor,rPatron,rConcepto,rTipo,
IF(
AND(
OR(
UPPER(TRIM(rEmisor))=UPPER(TRIM(C45)),
UPPER(TRIM(rEmisor))=""CUALQUIERA""
),
OR(
UPPER(TRIM("&amp;"rTipo))=""SOLO EMISOR"",
AND(
UPPER(TRIM(rTipo))=""EXACTA"",
UPPER(TRIM(AG45))=UPPER(TRIM(rPatron))
),
AND(
OR(
UPPER(TRIM(rTipo))=""CONTIENE"",
UPPER(TRIM(rTipo))=""COINCIDENCIA""
),
ISNUMBER(SEARCH(UPPER(TRIM(rPatron)),UPPER(TRIM(D45))))
)
)
),
rConcept"&amp;"o,
""""
)
)
),
MAP(
reglas!$B$2:$B$240,
reglas!$C$2:$C$240,
reglas!$D$2:$D$240,
reglas!$E$2:$E$240,
LAMBDA(rEmisor,rPatron,rConcepto,rTipo,
IF(
AND(
OR(
UPPER(TRIM(rEmisor))=UPPER(TRIM(C45)),
UPPER(TRIM(rEmisor))=""CUALQUIERA""
),
OR(
UPPER(TRIM(rTipo))="&amp;"""SOLO EMISOR"",
AND(
UPPER(TRIM(rTipo))=""EXACTA"",
UPPER(TRIM(D45))=UPPER(TRIM(rPatron))
),
AND(
OR(
UPPER(TRIM(rTipo))=""CONTIENE"",
UPPER(TRIM(rTipo))=""COINCIDENCIA""
),
ISNUMBER(SEARCH(UPPER(TRIM(rPatron)),UPPER(TRIM(D45))))
)
)
),
rConcepto,
""""
)"&amp;"
)
)&lt;&gt;""""
),
1
),
""""
)"),"COMBUSTIBLES Y LUBRICANTES")</f>
        <v>COMBUSTIBLES Y LUBRICANTES</v>
      </c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>
      <c r="A46" s="32"/>
      <c r="B46" s="32"/>
      <c r="C46" s="29" t="s">
        <v>259</v>
      </c>
      <c r="D46" s="29" t="s">
        <v>636</v>
      </c>
      <c r="E46" s="28">
        <v>432.78</v>
      </c>
      <c r="F46" s="28">
        <v>0.0</v>
      </c>
      <c r="G46" s="28" t="s">
        <v>581</v>
      </c>
      <c r="H46" s="28">
        <f t="array" ref="H46">INDEX(CC!C:C,MATCH(1,(CC!A:A=G46)*(CC!B:B=I46),0))</f>
        <v>202</v>
      </c>
      <c r="I46" s="28" t="s">
        <v>25</v>
      </c>
      <c r="J46" s="33"/>
      <c r="K46" s="28" t="str">
        <f>IFERROR(__xludf.DUMMYFUNCTION("IFERROR(
INDEX(
FILTER(
MAP(
reglas!$B$2:$B$240,
reglas!$C$2:$C$240,
reglas!$D$2:$D$240,
reglas!$E$2:$E$240,
LAMBDA(rEmisor,rPatron,rConcepto,rTipo,
IF(
AND(
OR(
UPPER(TRIM(rEmisor))=UPPER(TRIM(C46)),
UPPER(TRIM(rEmisor))=""CUALQUIERA""
),
OR(
UPPER(TRIM("&amp;"rTipo))=""SOLO EMISOR"",
AND(
UPPER(TRIM(rTipo))=""EXACTA"",
UPPER(TRIM(AG46))=UPPER(TRIM(rPatron))
),
AND(
OR(
UPPER(TRIM(rTipo))=""CONTIENE"",
UPPER(TRIM(rTipo))=""COINCIDENCIA""
),
ISNUMBER(SEARCH(UPPER(TRIM(rPatron)),UPPER(TRIM(D46))))
)
)
),
rConcept"&amp;"o,
""""
)
)
),
MAP(
reglas!$B$2:$B$240,
reglas!$C$2:$C$240,
reglas!$D$2:$D$240,
reglas!$E$2:$E$240,
LAMBDA(rEmisor,rPatron,rConcepto,rTipo,
IF(
AND(
OR(
UPPER(TRIM(rEmisor))=UPPER(TRIM(C46)),
UPPER(TRIM(rEmisor))=""CUALQUIERA""
),
OR(
UPPER(TRIM(rTipo))="&amp;"""SOLO EMISOR"",
AND(
UPPER(TRIM(rTipo))=""EXACTA"",
UPPER(TRIM(D46))=UPPER(TRIM(rPatron))
),
AND(
OR(
UPPER(TRIM(rTipo))=""CONTIENE"",
UPPER(TRIM(rTipo))=""COINCIDENCIA""
),
ISNUMBER(SEARCH(UPPER(TRIM(rPatron)),UPPER(TRIM(D46))))
)
)
),
rConcepto,
""""
)"&amp;"
)
)&lt;&gt;""""
),
1
),
""""
)"),"COMBUSTIBLES Y LUBRICANTES")</f>
        <v>COMBUSTIBLES Y LUBRICANTES</v>
      </c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>
      <c r="A47" s="32"/>
      <c r="B47" s="32"/>
      <c r="C47" s="29" t="s">
        <v>259</v>
      </c>
      <c r="D47" s="29" t="s">
        <v>755</v>
      </c>
      <c r="E47" s="28">
        <v>165.52</v>
      </c>
      <c r="F47" s="28">
        <v>0.0</v>
      </c>
      <c r="G47" s="28" t="s">
        <v>581</v>
      </c>
      <c r="H47" s="28">
        <f t="array" ref="H47">INDEX(CC!C:C,MATCH(1,(CC!A:A=G47)*(CC!B:B=I47),0))</f>
        <v>202</v>
      </c>
      <c r="I47" s="28" t="s">
        <v>25</v>
      </c>
      <c r="J47" s="33"/>
      <c r="K47" s="28" t="str">
        <f>IFERROR(__xludf.DUMMYFUNCTION("IFERROR(
INDEX(
FILTER(
MAP(
reglas!$B$2:$B$240,
reglas!$C$2:$C$240,
reglas!$D$2:$D$240,
reglas!$E$2:$E$240,
LAMBDA(rEmisor,rPatron,rConcepto,rTipo,
IF(
AND(
OR(
UPPER(TRIM(rEmisor))=UPPER(TRIM(C47)),
UPPER(TRIM(rEmisor))=""CUALQUIERA""
),
OR(
UPPER(TRIM("&amp;"rTipo))=""SOLO EMISOR"",
AND(
UPPER(TRIM(rTipo))=""EXACTA"",
UPPER(TRIM(AG47))=UPPER(TRIM(rPatron))
),
AND(
OR(
UPPER(TRIM(rTipo))=""CONTIENE"",
UPPER(TRIM(rTipo))=""COINCIDENCIA""
),
ISNUMBER(SEARCH(UPPER(TRIM(rPatron)),UPPER(TRIM(D47))))
)
)
),
rConcept"&amp;"o,
""""
)
)
),
MAP(
reglas!$B$2:$B$240,
reglas!$C$2:$C$240,
reglas!$D$2:$D$240,
reglas!$E$2:$E$240,
LAMBDA(rEmisor,rPatron,rConcepto,rTipo,
IF(
AND(
OR(
UPPER(TRIM(rEmisor))=UPPER(TRIM(C47)),
UPPER(TRIM(rEmisor))=""CUALQUIERA""
),
OR(
UPPER(TRIM(rTipo))="&amp;"""SOLO EMISOR"",
AND(
UPPER(TRIM(rTipo))=""EXACTA"",
UPPER(TRIM(D47))=UPPER(TRIM(rPatron))
),
AND(
OR(
UPPER(TRIM(rTipo))=""CONTIENE"",
UPPER(TRIM(rTipo))=""COINCIDENCIA""
),
ISNUMBER(SEARCH(UPPER(TRIM(rPatron)),UPPER(TRIM(D47))))
)
)
),
rConcepto,
""""
)"&amp;"
)
)&lt;&gt;""""
),
1
),
""""
)"),"COMBUSTIBLES Y LUBRICANTES")</f>
        <v>COMBUSTIBLES Y LUBRICANTES</v>
      </c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>
      <c r="A48" s="32"/>
      <c r="B48" s="32"/>
      <c r="C48" s="29" t="s">
        <v>259</v>
      </c>
      <c r="D48" s="29" t="s">
        <v>862</v>
      </c>
      <c r="E48" s="28">
        <v>212.07</v>
      </c>
      <c r="F48" s="28">
        <v>0.0</v>
      </c>
      <c r="G48" s="28" t="s">
        <v>581</v>
      </c>
      <c r="H48" s="28">
        <f t="array" ref="H48">INDEX(CC!C:C,MATCH(1,(CC!A:A=G48)*(CC!B:B=I48),0))</f>
        <v>202</v>
      </c>
      <c r="I48" s="28" t="s">
        <v>25</v>
      </c>
      <c r="J48" s="33"/>
      <c r="K48" s="28" t="str">
        <f>IFERROR(__xludf.DUMMYFUNCTION("IFERROR(
INDEX(
FILTER(
MAP(
reglas!$B$2:$B$240,
reglas!$C$2:$C$240,
reglas!$D$2:$D$240,
reglas!$E$2:$E$240,
LAMBDA(rEmisor,rPatron,rConcepto,rTipo,
IF(
AND(
OR(
UPPER(TRIM(rEmisor))=UPPER(TRIM(C48)),
UPPER(TRIM(rEmisor))=""CUALQUIERA""
),
OR(
UPPER(TRIM("&amp;"rTipo))=""SOLO EMISOR"",
AND(
UPPER(TRIM(rTipo))=""EXACTA"",
UPPER(TRIM(AG48))=UPPER(TRIM(rPatron))
),
AND(
OR(
UPPER(TRIM(rTipo))=""CONTIENE"",
UPPER(TRIM(rTipo))=""COINCIDENCIA""
),
ISNUMBER(SEARCH(UPPER(TRIM(rPatron)),UPPER(TRIM(D48))))
)
)
),
rConcept"&amp;"o,
""""
)
)
),
MAP(
reglas!$B$2:$B$240,
reglas!$C$2:$C$240,
reglas!$D$2:$D$240,
reglas!$E$2:$E$240,
LAMBDA(rEmisor,rPatron,rConcepto,rTipo,
IF(
AND(
OR(
UPPER(TRIM(rEmisor))=UPPER(TRIM(C48)),
UPPER(TRIM(rEmisor))=""CUALQUIERA""
),
OR(
UPPER(TRIM(rTipo))="&amp;"""SOLO EMISOR"",
AND(
UPPER(TRIM(rTipo))=""EXACTA"",
UPPER(TRIM(D48))=UPPER(TRIM(rPatron))
),
AND(
OR(
UPPER(TRIM(rTipo))=""CONTIENE"",
UPPER(TRIM(rTipo))=""COINCIDENCIA""
),
ISNUMBER(SEARCH(UPPER(TRIM(rPatron)),UPPER(TRIM(D48))))
)
)
),
rConcepto,
""""
)"&amp;"
)
)&lt;&gt;""""
),
1
),
""""
)"),"COMBUSTIBLES Y LUBRICANTES")</f>
        <v>COMBUSTIBLES Y LUBRICANTES</v>
      </c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>
      <c r="A49" s="32"/>
      <c r="B49" s="32"/>
      <c r="C49" s="29" t="s">
        <v>259</v>
      </c>
      <c r="D49" s="29" t="s">
        <v>755</v>
      </c>
      <c r="E49" s="28">
        <v>124.14</v>
      </c>
      <c r="F49" s="28">
        <v>0.0</v>
      </c>
      <c r="G49" s="28" t="s">
        <v>581</v>
      </c>
      <c r="H49" s="28">
        <f t="array" ref="H49">INDEX(CC!C:C,MATCH(1,(CC!A:A=G49)*(CC!B:B=I49),0))</f>
        <v>202</v>
      </c>
      <c r="I49" s="28" t="s">
        <v>25</v>
      </c>
      <c r="J49" s="33"/>
      <c r="K49" s="28" t="str">
        <f>IFERROR(__xludf.DUMMYFUNCTION("IFERROR(
INDEX(
FILTER(
MAP(
reglas!$B$2:$B$240,
reglas!$C$2:$C$240,
reglas!$D$2:$D$240,
reglas!$E$2:$E$240,
LAMBDA(rEmisor,rPatron,rConcepto,rTipo,
IF(
AND(
OR(
UPPER(TRIM(rEmisor))=UPPER(TRIM(C49)),
UPPER(TRIM(rEmisor))=""CUALQUIERA""
),
OR(
UPPER(TRIM("&amp;"rTipo))=""SOLO EMISOR"",
AND(
UPPER(TRIM(rTipo))=""EXACTA"",
UPPER(TRIM(AG49))=UPPER(TRIM(rPatron))
),
AND(
OR(
UPPER(TRIM(rTipo))=""CONTIENE"",
UPPER(TRIM(rTipo))=""COINCIDENCIA""
),
ISNUMBER(SEARCH(UPPER(TRIM(rPatron)),UPPER(TRIM(D49))))
)
)
),
rConcept"&amp;"o,
""""
)
)
),
MAP(
reglas!$B$2:$B$240,
reglas!$C$2:$C$240,
reglas!$D$2:$D$240,
reglas!$E$2:$E$240,
LAMBDA(rEmisor,rPatron,rConcepto,rTipo,
IF(
AND(
OR(
UPPER(TRIM(rEmisor))=UPPER(TRIM(C49)),
UPPER(TRIM(rEmisor))=""CUALQUIERA""
),
OR(
UPPER(TRIM(rTipo))="&amp;"""SOLO EMISOR"",
AND(
UPPER(TRIM(rTipo))=""EXACTA"",
UPPER(TRIM(D49))=UPPER(TRIM(rPatron))
),
AND(
OR(
UPPER(TRIM(rTipo))=""CONTIENE"",
UPPER(TRIM(rTipo))=""COINCIDENCIA""
),
ISNUMBER(SEARCH(UPPER(TRIM(rPatron)),UPPER(TRIM(D49))))
)
)
),
rConcepto,
""""
)"&amp;"
)
)&lt;&gt;""""
),
1
),
""""
)"),"COMBUSTIBLES Y LUBRICANTES")</f>
        <v>COMBUSTIBLES Y LUBRICANTES</v>
      </c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>
      <c r="A50" s="32"/>
      <c r="B50" s="32"/>
      <c r="C50" s="29" t="s">
        <v>259</v>
      </c>
      <c r="D50" s="29" t="s">
        <v>636</v>
      </c>
      <c r="E50" s="28">
        <v>700.68</v>
      </c>
      <c r="F50" s="28">
        <v>0.0</v>
      </c>
      <c r="G50" s="28" t="s">
        <v>581</v>
      </c>
      <c r="H50" s="28">
        <f t="array" ref="H50">INDEX(CC!C:C,MATCH(1,(CC!A:A=G50)*(CC!B:B=I50),0))</f>
        <v>202</v>
      </c>
      <c r="I50" s="28" t="s">
        <v>25</v>
      </c>
      <c r="J50" s="33"/>
      <c r="K50" s="28" t="str">
        <f>IFERROR(__xludf.DUMMYFUNCTION("IFERROR(
INDEX(
FILTER(
MAP(
reglas!$B$2:$B$240,
reglas!$C$2:$C$240,
reglas!$D$2:$D$240,
reglas!$E$2:$E$240,
LAMBDA(rEmisor,rPatron,rConcepto,rTipo,
IF(
AND(
OR(
UPPER(TRIM(rEmisor))=UPPER(TRIM(C50)),
UPPER(TRIM(rEmisor))=""CUALQUIERA""
),
OR(
UPPER(TRIM("&amp;"rTipo))=""SOLO EMISOR"",
AND(
UPPER(TRIM(rTipo))=""EXACTA"",
UPPER(TRIM(AG50))=UPPER(TRIM(rPatron))
),
AND(
OR(
UPPER(TRIM(rTipo))=""CONTIENE"",
UPPER(TRIM(rTipo))=""COINCIDENCIA""
),
ISNUMBER(SEARCH(UPPER(TRIM(rPatron)),UPPER(TRIM(D50))))
)
)
),
rConcept"&amp;"o,
""""
)
)
),
MAP(
reglas!$B$2:$B$240,
reglas!$C$2:$C$240,
reglas!$D$2:$D$240,
reglas!$E$2:$E$240,
LAMBDA(rEmisor,rPatron,rConcepto,rTipo,
IF(
AND(
OR(
UPPER(TRIM(rEmisor))=UPPER(TRIM(C50)),
UPPER(TRIM(rEmisor))=""CUALQUIERA""
),
OR(
UPPER(TRIM(rTipo))="&amp;"""SOLO EMISOR"",
AND(
UPPER(TRIM(rTipo))=""EXACTA"",
UPPER(TRIM(D50))=UPPER(TRIM(rPatron))
),
AND(
OR(
UPPER(TRIM(rTipo))=""CONTIENE"",
UPPER(TRIM(rTipo))=""COINCIDENCIA""
),
ISNUMBER(SEARCH(UPPER(TRIM(rPatron)),UPPER(TRIM(D50))))
)
)
),
rConcepto,
""""
)"&amp;"
)
)&lt;&gt;""""
),
1
),
""""
)"),"COMBUSTIBLES Y LUBRICANTES")</f>
        <v>COMBUSTIBLES Y LUBRICANTES</v>
      </c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</row>
    <row r="51">
      <c r="A51" s="32"/>
      <c r="B51" s="32"/>
      <c r="C51" s="29" t="s">
        <v>259</v>
      </c>
      <c r="D51" s="29" t="s">
        <v>636</v>
      </c>
      <c r="E51" s="28">
        <v>197.5</v>
      </c>
      <c r="F51" s="28">
        <v>0.0</v>
      </c>
      <c r="G51" s="28" t="s">
        <v>581</v>
      </c>
      <c r="H51" s="28">
        <f t="array" ref="H51">INDEX(CC!C:C,MATCH(1,(CC!A:A=G51)*(CC!B:B=I51),0))</f>
        <v>202</v>
      </c>
      <c r="I51" s="28" t="s">
        <v>25</v>
      </c>
      <c r="J51" s="33"/>
      <c r="K51" s="28" t="str">
        <f>IFERROR(__xludf.DUMMYFUNCTION("IFERROR(
INDEX(
FILTER(
MAP(
reglas!$B$2:$B$240,
reglas!$C$2:$C$240,
reglas!$D$2:$D$240,
reglas!$E$2:$E$240,
LAMBDA(rEmisor,rPatron,rConcepto,rTipo,
IF(
AND(
OR(
UPPER(TRIM(rEmisor))=UPPER(TRIM(C51)),
UPPER(TRIM(rEmisor))=""CUALQUIERA""
),
OR(
UPPER(TRIM("&amp;"rTipo))=""SOLO EMISOR"",
AND(
UPPER(TRIM(rTipo))=""EXACTA"",
UPPER(TRIM(AG51))=UPPER(TRIM(rPatron))
),
AND(
OR(
UPPER(TRIM(rTipo))=""CONTIENE"",
UPPER(TRIM(rTipo))=""COINCIDENCIA""
),
ISNUMBER(SEARCH(UPPER(TRIM(rPatron)),UPPER(TRIM(D51))))
)
)
),
rConcept"&amp;"o,
""""
)
)
),
MAP(
reglas!$B$2:$B$240,
reglas!$C$2:$C$240,
reglas!$D$2:$D$240,
reglas!$E$2:$E$240,
LAMBDA(rEmisor,rPatron,rConcepto,rTipo,
IF(
AND(
OR(
UPPER(TRIM(rEmisor))=UPPER(TRIM(C51)),
UPPER(TRIM(rEmisor))=""CUALQUIERA""
),
OR(
UPPER(TRIM(rTipo))="&amp;"""SOLO EMISOR"",
AND(
UPPER(TRIM(rTipo))=""EXACTA"",
UPPER(TRIM(D51))=UPPER(TRIM(rPatron))
),
AND(
OR(
UPPER(TRIM(rTipo))=""CONTIENE"",
UPPER(TRIM(rTipo))=""COINCIDENCIA""
),
ISNUMBER(SEARCH(UPPER(TRIM(rPatron)),UPPER(TRIM(D51))))
)
)
),
rConcepto,
""""
)"&amp;"
)
)&lt;&gt;""""
),
1
),
""""
)"),"COMBUSTIBLES Y LUBRICANTES")</f>
        <v>COMBUSTIBLES Y LUBRICANTES</v>
      </c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>
      <c r="A52" s="32"/>
      <c r="B52" s="32"/>
      <c r="C52" s="29" t="s">
        <v>259</v>
      </c>
      <c r="D52" s="29" t="s">
        <v>636</v>
      </c>
      <c r="E52" s="28">
        <v>160.73</v>
      </c>
      <c r="F52" s="28">
        <v>0.0</v>
      </c>
      <c r="G52" s="28" t="s">
        <v>581</v>
      </c>
      <c r="H52" s="28">
        <f t="array" ref="H52">INDEX(CC!C:C,MATCH(1,(CC!A:A=G52)*(CC!B:B=I52),0))</f>
        <v>202</v>
      </c>
      <c r="I52" s="28" t="s">
        <v>25</v>
      </c>
      <c r="J52" s="33"/>
      <c r="K52" s="28" t="str">
        <f>IFERROR(__xludf.DUMMYFUNCTION("IFERROR(
INDEX(
FILTER(
MAP(
reglas!$B$2:$B$240,
reglas!$C$2:$C$240,
reglas!$D$2:$D$240,
reglas!$E$2:$E$240,
LAMBDA(rEmisor,rPatron,rConcepto,rTipo,
IF(
AND(
OR(
UPPER(TRIM(rEmisor))=UPPER(TRIM(C52)),
UPPER(TRIM(rEmisor))=""CUALQUIERA""
),
OR(
UPPER(TRIM("&amp;"rTipo))=""SOLO EMISOR"",
AND(
UPPER(TRIM(rTipo))=""EXACTA"",
UPPER(TRIM(AG52))=UPPER(TRIM(rPatron))
),
AND(
OR(
UPPER(TRIM(rTipo))=""CONTIENE"",
UPPER(TRIM(rTipo))=""COINCIDENCIA""
),
ISNUMBER(SEARCH(UPPER(TRIM(rPatron)),UPPER(TRIM(D52))))
)
)
),
rConcept"&amp;"o,
""""
)
)
),
MAP(
reglas!$B$2:$B$240,
reglas!$C$2:$C$240,
reglas!$D$2:$D$240,
reglas!$E$2:$E$240,
LAMBDA(rEmisor,rPatron,rConcepto,rTipo,
IF(
AND(
OR(
UPPER(TRIM(rEmisor))=UPPER(TRIM(C52)),
UPPER(TRIM(rEmisor))=""CUALQUIERA""
),
OR(
UPPER(TRIM(rTipo))="&amp;"""SOLO EMISOR"",
AND(
UPPER(TRIM(rTipo))=""EXACTA"",
UPPER(TRIM(D52))=UPPER(TRIM(rPatron))
),
AND(
OR(
UPPER(TRIM(rTipo))=""CONTIENE"",
UPPER(TRIM(rTipo))=""COINCIDENCIA""
),
ISNUMBER(SEARCH(UPPER(TRIM(rPatron)),UPPER(TRIM(D52))))
)
)
),
rConcepto,
""""
)"&amp;"
)
)&lt;&gt;""""
),
1
),
""""
)"),"COMBUSTIBLES Y LUBRICANTES")</f>
        <v>COMBUSTIBLES Y LUBRICANTES</v>
      </c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>
      <c r="A53" s="32"/>
      <c r="B53" s="32"/>
      <c r="C53" s="29" t="s">
        <v>259</v>
      </c>
      <c r="D53" s="29" t="s">
        <v>636</v>
      </c>
      <c r="E53" s="28">
        <v>445.0</v>
      </c>
      <c r="F53" s="28">
        <v>0.0</v>
      </c>
      <c r="G53" s="28" t="s">
        <v>581</v>
      </c>
      <c r="H53" s="28">
        <f t="array" ref="H53">INDEX(CC!C:C,MATCH(1,(CC!A:A=G53)*(CC!B:B=I53),0))</f>
        <v>202</v>
      </c>
      <c r="I53" s="28" t="s">
        <v>25</v>
      </c>
      <c r="J53" s="33"/>
      <c r="K53" s="28" t="str">
        <f>IFERROR(__xludf.DUMMYFUNCTION("IFERROR(
INDEX(
FILTER(
MAP(
reglas!$B$2:$B$240,
reglas!$C$2:$C$240,
reglas!$D$2:$D$240,
reglas!$E$2:$E$240,
LAMBDA(rEmisor,rPatron,rConcepto,rTipo,
IF(
AND(
OR(
UPPER(TRIM(rEmisor))=UPPER(TRIM(C53)),
UPPER(TRIM(rEmisor))=""CUALQUIERA""
),
OR(
UPPER(TRIM("&amp;"rTipo))=""SOLO EMISOR"",
AND(
UPPER(TRIM(rTipo))=""EXACTA"",
UPPER(TRIM(AG53))=UPPER(TRIM(rPatron))
),
AND(
OR(
UPPER(TRIM(rTipo))=""CONTIENE"",
UPPER(TRIM(rTipo))=""COINCIDENCIA""
),
ISNUMBER(SEARCH(UPPER(TRIM(rPatron)),UPPER(TRIM(D53))))
)
)
),
rConcept"&amp;"o,
""""
)
)
),
MAP(
reglas!$B$2:$B$240,
reglas!$C$2:$C$240,
reglas!$D$2:$D$240,
reglas!$E$2:$E$240,
LAMBDA(rEmisor,rPatron,rConcepto,rTipo,
IF(
AND(
OR(
UPPER(TRIM(rEmisor))=UPPER(TRIM(C53)),
UPPER(TRIM(rEmisor))=""CUALQUIERA""
),
OR(
UPPER(TRIM(rTipo))="&amp;"""SOLO EMISOR"",
AND(
UPPER(TRIM(rTipo))=""EXACTA"",
UPPER(TRIM(D53))=UPPER(TRIM(rPatron))
),
AND(
OR(
UPPER(TRIM(rTipo))=""CONTIENE"",
UPPER(TRIM(rTipo))=""COINCIDENCIA""
),
ISNUMBER(SEARCH(UPPER(TRIM(rPatron)),UPPER(TRIM(D53))))
)
)
),
rConcepto,
""""
)"&amp;"
)
)&lt;&gt;""""
),
1
),
""""
)"),"COMBUSTIBLES Y LUBRICANTES")</f>
        <v>COMBUSTIBLES Y LUBRICANTES</v>
      </c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>
      <c r="A54" s="32"/>
      <c r="B54" s="32"/>
      <c r="C54" s="29" t="s">
        <v>259</v>
      </c>
      <c r="D54" s="29" t="s">
        <v>636</v>
      </c>
      <c r="E54" s="28">
        <v>597.05</v>
      </c>
      <c r="F54" s="28">
        <v>0.0</v>
      </c>
      <c r="G54" s="28" t="s">
        <v>581</v>
      </c>
      <c r="H54" s="28">
        <f t="array" ref="H54">INDEX(CC!C:C,MATCH(1,(CC!A:A=G54)*(CC!B:B=I54),0))</f>
        <v>202</v>
      </c>
      <c r="I54" s="28" t="s">
        <v>25</v>
      </c>
      <c r="J54" s="33"/>
      <c r="K54" s="28" t="str">
        <f>IFERROR(__xludf.DUMMYFUNCTION("IFERROR(
INDEX(
FILTER(
MAP(
reglas!$B$2:$B$240,
reglas!$C$2:$C$240,
reglas!$D$2:$D$240,
reglas!$E$2:$E$240,
LAMBDA(rEmisor,rPatron,rConcepto,rTipo,
IF(
AND(
OR(
UPPER(TRIM(rEmisor))=UPPER(TRIM(C54)),
UPPER(TRIM(rEmisor))=""CUALQUIERA""
),
OR(
UPPER(TRIM("&amp;"rTipo))=""SOLO EMISOR"",
AND(
UPPER(TRIM(rTipo))=""EXACTA"",
UPPER(TRIM(AG54))=UPPER(TRIM(rPatron))
),
AND(
OR(
UPPER(TRIM(rTipo))=""CONTIENE"",
UPPER(TRIM(rTipo))=""COINCIDENCIA""
),
ISNUMBER(SEARCH(UPPER(TRIM(rPatron)),UPPER(TRIM(D54))))
)
)
),
rConcept"&amp;"o,
""""
)
)
),
MAP(
reglas!$B$2:$B$240,
reglas!$C$2:$C$240,
reglas!$D$2:$D$240,
reglas!$E$2:$E$240,
LAMBDA(rEmisor,rPatron,rConcepto,rTipo,
IF(
AND(
OR(
UPPER(TRIM(rEmisor))=UPPER(TRIM(C54)),
UPPER(TRIM(rEmisor))=""CUALQUIERA""
),
OR(
UPPER(TRIM(rTipo))="&amp;"""SOLO EMISOR"",
AND(
UPPER(TRIM(rTipo))=""EXACTA"",
UPPER(TRIM(D54))=UPPER(TRIM(rPatron))
),
AND(
OR(
UPPER(TRIM(rTipo))=""CONTIENE"",
UPPER(TRIM(rTipo))=""COINCIDENCIA""
),
ISNUMBER(SEARCH(UPPER(TRIM(rPatron)),UPPER(TRIM(D54))))
)
)
),
rConcepto,
""""
)"&amp;"
)
)&lt;&gt;""""
),
1
),
""""
)"),"COMBUSTIBLES Y LUBRICANTES")</f>
        <v>COMBUSTIBLES Y LUBRICANTES</v>
      </c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>
      <c r="A55" s="32"/>
      <c r="B55" s="32"/>
      <c r="C55" s="29" t="s">
        <v>259</v>
      </c>
      <c r="D55" s="29" t="s">
        <v>755</v>
      </c>
      <c r="E55" s="28">
        <v>165.52</v>
      </c>
      <c r="F55" s="28">
        <v>0.0</v>
      </c>
      <c r="G55" s="28" t="s">
        <v>581</v>
      </c>
      <c r="H55" s="28">
        <f t="array" ref="H55">INDEX(CC!C:C,MATCH(1,(CC!A:A=G55)*(CC!B:B=I55),0))</f>
        <v>202</v>
      </c>
      <c r="I55" s="28" t="s">
        <v>25</v>
      </c>
      <c r="J55" s="33"/>
      <c r="K55" s="28" t="str">
        <f>IFERROR(__xludf.DUMMYFUNCTION("IFERROR(
INDEX(
FILTER(
MAP(
reglas!$B$2:$B$240,
reglas!$C$2:$C$240,
reglas!$D$2:$D$240,
reglas!$E$2:$E$240,
LAMBDA(rEmisor,rPatron,rConcepto,rTipo,
IF(
AND(
OR(
UPPER(TRIM(rEmisor))=UPPER(TRIM(C55)),
UPPER(TRIM(rEmisor))=""CUALQUIERA""
),
OR(
UPPER(TRIM("&amp;"rTipo))=""SOLO EMISOR"",
AND(
UPPER(TRIM(rTipo))=""EXACTA"",
UPPER(TRIM(AG55))=UPPER(TRIM(rPatron))
),
AND(
OR(
UPPER(TRIM(rTipo))=""CONTIENE"",
UPPER(TRIM(rTipo))=""COINCIDENCIA""
),
ISNUMBER(SEARCH(UPPER(TRIM(rPatron)),UPPER(TRIM(D55))))
)
)
),
rConcept"&amp;"o,
""""
)
)
),
MAP(
reglas!$B$2:$B$240,
reglas!$C$2:$C$240,
reglas!$D$2:$D$240,
reglas!$E$2:$E$240,
LAMBDA(rEmisor,rPatron,rConcepto,rTipo,
IF(
AND(
OR(
UPPER(TRIM(rEmisor))=UPPER(TRIM(C55)),
UPPER(TRIM(rEmisor))=""CUALQUIERA""
),
OR(
UPPER(TRIM(rTipo))="&amp;"""SOLO EMISOR"",
AND(
UPPER(TRIM(rTipo))=""EXACTA"",
UPPER(TRIM(D55))=UPPER(TRIM(rPatron))
),
AND(
OR(
UPPER(TRIM(rTipo))=""CONTIENE"",
UPPER(TRIM(rTipo))=""COINCIDENCIA""
),
ISNUMBER(SEARCH(UPPER(TRIM(rPatron)),UPPER(TRIM(D55))))
)
)
),
rConcepto,
""""
)"&amp;"
)
)&lt;&gt;""""
),
1
),
""""
)"),"COMBUSTIBLES Y LUBRICANTES")</f>
        <v>COMBUSTIBLES Y LUBRICANTES</v>
      </c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>
      <c r="A56" s="28">
        <v>1.0</v>
      </c>
      <c r="B56" s="28" t="s">
        <v>29</v>
      </c>
      <c r="C56" s="29" t="s">
        <v>96</v>
      </c>
      <c r="D56" s="29" t="s">
        <v>893</v>
      </c>
      <c r="E56" s="30">
        <v>1760.52</v>
      </c>
      <c r="F56" s="28">
        <v>0.0</v>
      </c>
      <c r="G56" s="28" t="s">
        <v>74</v>
      </c>
      <c r="H56" s="28">
        <f t="array" ref="H56">INDEX(CC!C:C,MATCH(1,(CC!A:A=G56)*(CC!B:B=I56),0))</f>
        <v>1503</v>
      </c>
      <c r="I56" s="28" t="s">
        <v>44</v>
      </c>
      <c r="J56" s="31">
        <v>1760.52</v>
      </c>
      <c r="K56" s="28" t="str">
        <f>IFERROR(__xludf.DUMMYFUNCTION("IFERROR(
INDEX(
FILTER(
MAP(
reglas!$B$2:$B$240,
reglas!$C$2:$C$240,
reglas!$D$2:$D$240,
reglas!$E$2:$E$240,
LAMBDA(rEmisor,rPatron,rConcepto,rTipo,
IF(
AND(
OR(
UPPER(TRIM(rEmisor))=UPPER(TRIM(C56)),
UPPER(TRIM(rEmisor))=""CUALQUIERA""
),
OR(
UPPER(TRIM("&amp;"rTipo))=""SOLO EMISOR"",
AND(
UPPER(TRIM(rTipo))=""EXACTA"",
UPPER(TRIM(AG56))=UPPER(TRIM(rPatron))
),
AND(
OR(
UPPER(TRIM(rTipo))=""CONTIENE"",
UPPER(TRIM(rTipo))=""COINCIDENCIA""
),
ISNUMBER(SEARCH(UPPER(TRIM(rPatron)),UPPER(TRIM(D56))))
)
)
),
rConcept"&amp;"o,
""""
)
)
),
MAP(
reglas!$B$2:$B$240,
reglas!$C$2:$C$240,
reglas!$D$2:$D$240,
reglas!$E$2:$E$240,
LAMBDA(rEmisor,rPatron,rConcepto,rTipo,
IF(
AND(
OR(
UPPER(TRIM(rEmisor))=UPPER(TRIM(C56)),
UPPER(TRIM(rEmisor))=""CUALQUIERA""
),
OR(
UPPER(TRIM(rTipo))="&amp;"""SOLO EMISOR"",
AND(
UPPER(TRIM(rTipo))=""EXACTA"",
UPPER(TRIM(D56))=UPPER(TRIM(rPatron))
),
AND(
OR(
UPPER(TRIM(rTipo))=""CONTIENE"",
UPPER(TRIM(rTipo))=""COINCIDENCIA""
),
ISNUMBER(SEARCH(UPPER(TRIM(rPatron)),UPPER(TRIM(D56))))
)
)
),
rConcepto,
""""
)"&amp;"
)
)&lt;&gt;""""
),
1
),
""""
)"),"GUIAS")</f>
        <v>GUIAS</v>
      </c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>
      <c r="A57" s="28">
        <v>1.0</v>
      </c>
      <c r="B57" s="28" t="s">
        <v>29</v>
      </c>
      <c r="C57" s="29" t="s">
        <v>96</v>
      </c>
      <c r="D57" s="29" t="s">
        <v>893</v>
      </c>
      <c r="E57" s="28">
        <v>379.0</v>
      </c>
      <c r="F57" s="28">
        <v>0.0</v>
      </c>
      <c r="G57" s="28" t="s">
        <v>74</v>
      </c>
      <c r="H57" s="28">
        <f t="array" ref="H57">INDEX(CC!C:C,MATCH(1,(CC!A:A=G57)*(CC!B:B=I57),0))</f>
        <v>1503</v>
      </c>
      <c r="I57" s="28" t="s">
        <v>44</v>
      </c>
      <c r="J57" s="31">
        <v>379.0</v>
      </c>
      <c r="K57" s="28" t="str">
        <f>IFERROR(__xludf.DUMMYFUNCTION("IFERROR(
INDEX(
FILTER(
MAP(
reglas!$B$2:$B$240,
reglas!$C$2:$C$240,
reglas!$D$2:$D$240,
reglas!$E$2:$E$240,
LAMBDA(rEmisor,rPatron,rConcepto,rTipo,
IF(
AND(
OR(
UPPER(TRIM(rEmisor))=UPPER(TRIM(C57)),
UPPER(TRIM(rEmisor))=""CUALQUIERA""
),
OR(
UPPER(TRIM("&amp;"rTipo))=""SOLO EMISOR"",
AND(
UPPER(TRIM(rTipo))=""EXACTA"",
UPPER(TRIM(AG57))=UPPER(TRIM(rPatron))
),
AND(
OR(
UPPER(TRIM(rTipo))=""CONTIENE"",
UPPER(TRIM(rTipo))=""COINCIDENCIA""
),
ISNUMBER(SEARCH(UPPER(TRIM(rPatron)),UPPER(TRIM(D57))))
)
)
),
rConcept"&amp;"o,
""""
)
)
),
MAP(
reglas!$B$2:$B$240,
reglas!$C$2:$C$240,
reglas!$D$2:$D$240,
reglas!$E$2:$E$240,
LAMBDA(rEmisor,rPatron,rConcepto,rTipo,
IF(
AND(
OR(
UPPER(TRIM(rEmisor))=UPPER(TRIM(C57)),
UPPER(TRIM(rEmisor))=""CUALQUIERA""
),
OR(
UPPER(TRIM(rTipo))="&amp;"""SOLO EMISOR"",
AND(
UPPER(TRIM(rTipo))=""EXACTA"",
UPPER(TRIM(D57))=UPPER(TRIM(rPatron))
),
AND(
OR(
UPPER(TRIM(rTipo))=""CONTIENE"",
UPPER(TRIM(rTipo))=""COINCIDENCIA""
),
ISNUMBER(SEARCH(UPPER(TRIM(rPatron)),UPPER(TRIM(D57))))
)
)
),
rConcepto,
""""
)"&amp;"
)
)&lt;&gt;""""
),
1
),
""""
)"),"GUIAS")</f>
        <v>GUIAS</v>
      </c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>
      <c r="A58" s="32"/>
      <c r="B58" s="28" t="s">
        <v>29</v>
      </c>
      <c r="C58" s="29" t="s">
        <v>278</v>
      </c>
      <c r="D58" s="29" t="s">
        <v>898</v>
      </c>
      <c r="E58" s="30">
        <v>1000.0</v>
      </c>
      <c r="F58" s="28">
        <v>0.0</v>
      </c>
      <c r="G58" s="28" t="s">
        <v>250</v>
      </c>
      <c r="H58" s="28">
        <f t="array" ref="H58">INDEX(CC!C:C,MATCH(1,(CC!A:A=G58)*(CC!B:B=I58),0))</f>
        <v>1402</v>
      </c>
      <c r="I58" s="28" t="s">
        <v>25</v>
      </c>
      <c r="J58" s="31">
        <v>1000.0</v>
      </c>
      <c r="K58" s="28" t="str">
        <f>IFERROR(__xludf.DUMMYFUNCTION("IFERROR(
INDEX(
FILTER(
MAP(
reglas!$B$2:$B$240,
reglas!$C$2:$C$240,
reglas!$D$2:$D$240,
reglas!$E$2:$E$240,
LAMBDA(rEmisor,rPatron,rConcepto,rTipo,
IF(
AND(
OR(
UPPER(TRIM(rEmisor))=UPPER(TRIM(C58)),
UPPER(TRIM(rEmisor))=""CUALQUIERA""
),
OR(
UPPER(TRIM("&amp;"rTipo))=""SOLO EMISOR"",
AND(
UPPER(TRIM(rTipo))=""EXACTA"",
UPPER(TRIM(AG58))=UPPER(TRIM(rPatron))
),
AND(
OR(
UPPER(TRIM(rTipo))=""CONTIENE"",
UPPER(TRIM(rTipo))=""COINCIDENCIA""
),
ISNUMBER(SEARCH(UPPER(TRIM(rPatron)),UPPER(TRIM(D58))))
)
)
),
rConcept"&amp;"o,
""""
)
)
),
MAP(
reglas!$B$2:$B$240,
reglas!$C$2:$C$240,
reglas!$D$2:$D$240,
reglas!$E$2:$E$240,
LAMBDA(rEmisor,rPatron,rConcepto,rTipo,
IF(
AND(
OR(
UPPER(TRIM(rEmisor))=UPPER(TRIM(C58)),
UPPER(TRIM(rEmisor))=""CUALQUIERA""
),
OR(
UPPER(TRIM(rTipo))="&amp;"""SOLO EMISOR"",
AND(
UPPER(TRIM(rTipo))=""EXACTA"",
UPPER(TRIM(D58))=UPPER(TRIM(rPatron))
),
AND(
OR(
UPPER(TRIM(rTipo))=""CONTIENE"",
UPPER(TRIM(rTipo))=""COINCIDENCIA""
),
ISNUMBER(SEARCH(UPPER(TRIM(rPatron)),UPPER(TRIM(D58))))
)
)
),
rConcepto,
""""
)"&amp;"
)
)&lt;&gt;""""
),
1
),
""""
)"),"MANIOBRAS")</f>
        <v>MANIOBRAS</v>
      </c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>
      <c r="A59" s="32"/>
      <c r="B59" s="28" t="s">
        <v>29</v>
      </c>
      <c r="C59" s="29" t="s">
        <v>278</v>
      </c>
      <c r="D59" s="29" t="s">
        <v>560</v>
      </c>
      <c r="E59" s="30">
        <v>3500.0</v>
      </c>
      <c r="F59" s="28">
        <v>0.0</v>
      </c>
      <c r="G59" s="28" t="s">
        <v>250</v>
      </c>
      <c r="H59" s="28">
        <f t="array" ref="H59">INDEX(CC!C:C,MATCH(1,(CC!A:A=G59)*(CC!B:B=I59),0))</f>
        <v>1402</v>
      </c>
      <c r="I59" s="28" t="s">
        <v>25</v>
      </c>
      <c r="J59" s="31">
        <v>3500.0</v>
      </c>
      <c r="K59" s="28" t="str">
        <f>IFERROR(__xludf.DUMMYFUNCTION("IFERROR(
INDEX(
FILTER(
MAP(
reglas!$B$2:$B$240,
reglas!$C$2:$C$240,
reglas!$D$2:$D$240,
reglas!$E$2:$E$240,
LAMBDA(rEmisor,rPatron,rConcepto,rTipo,
IF(
AND(
OR(
UPPER(TRIM(rEmisor))=UPPER(TRIM(C59)),
UPPER(TRIM(rEmisor))=""CUALQUIERA""
),
OR(
UPPER(TRIM("&amp;"rTipo))=""SOLO EMISOR"",
AND(
UPPER(TRIM(rTipo))=""EXACTA"",
UPPER(TRIM(AG59))=UPPER(TRIM(rPatron))
),
AND(
OR(
UPPER(TRIM(rTipo))=""CONTIENE"",
UPPER(TRIM(rTipo))=""COINCIDENCIA""
),
ISNUMBER(SEARCH(UPPER(TRIM(rPatron)),UPPER(TRIM(D59))))
)
)
),
rConcept"&amp;"o,
""""
)
)
),
MAP(
reglas!$B$2:$B$240,
reglas!$C$2:$C$240,
reglas!$D$2:$D$240,
reglas!$E$2:$E$240,
LAMBDA(rEmisor,rPatron,rConcepto,rTipo,
IF(
AND(
OR(
UPPER(TRIM(rEmisor))=UPPER(TRIM(C59)),
UPPER(TRIM(rEmisor))=""CUALQUIERA""
),
OR(
UPPER(TRIM(rTipo))="&amp;"""SOLO EMISOR"",
AND(
UPPER(TRIM(rTipo))=""EXACTA"",
UPPER(TRIM(D59))=UPPER(TRIM(rPatron))
),
AND(
OR(
UPPER(TRIM(rTipo))=""CONTIENE"",
UPPER(TRIM(rTipo))=""COINCIDENCIA""
),
ISNUMBER(SEARCH(UPPER(TRIM(rPatron)),UPPER(TRIM(D59))))
)
)
),
rConcepto,
""""
)"&amp;"
)
)&lt;&gt;""""
),
1
),
""""
)"),"MANIOBRAS")</f>
        <v>MANIOBRAS</v>
      </c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>
      <c r="A60" s="28">
        <v>1.0</v>
      </c>
      <c r="B60" s="28" t="s">
        <v>29</v>
      </c>
      <c r="C60" s="29" t="s">
        <v>271</v>
      </c>
      <c r="D60" s="29" t="s">
        <v>585</v>
      </c>
      <c r="E60" s="28">
        <v>634.54</v>
      </c>
      <c r="F60" s="28">
        <v>0.0</v>
      </c>
      <c r="G60" s="28" t="s">
        <v>84</v>
      </c>
      <c r="H60" s="28">
        <f t="array" ref="H60">INDEX(CC!C:C,MATCH(1,(CC!A:A=G60)*(CC!B:B=I60),0))</f>
        <v>1002</v>
      </c>
      <c r="I60" s="28" t="s">
        <v>25</v>
      </c>
      <c r="J60" s="31">
        <v>634.54</v>
      </c>
      <c r="K60" s="28" t="str">
        <f>IFERROR(__xludf.DUMMYFUNCTION("IFERROR(
INDEX(
FILTER(
MAP(
reglas!$B$2:$B$240,
reglas!$C$2:$C$240,
reglas!$D$2:$D$240,
reglas!$E$2:$E$240,
LAMBDA(rEmisor,rPatron,rConcepto,rTipo,
IF(
AND(
OR(
UPPER(TRIM(rEmisor))=UPPER(TRIM(C60)),
UPPER(TRIM(rEmisor))=""CUALQUIERA""
),
OR(
UPPER(TRIM("&amp;"rTipo))=""SOLO EMISOR"",
AND(
UPPER(TRIM(rTipo))=""EXACTA"",
UPPER(TRIM(AG60))=UPPER(TRIM(rPatron))
),
AND(
OR(
UPPER(TRIM(rTipo))=""CONTIENE"",
UPPER(TRIM(rTipo))=""COINCIDENCIA""
),
ISNUMBER(SEARCH(UPPER(TRIM(rPatron)),UPPER(TRIM(D60))))
)
)
),
rConcept"&amp;"o,
""""
)
)
),
MAP(
reglas!$B$2:$B$240,
reglas!$C$2:$C$240,
reglas!$D$2:$D$240,
reglas!$E$2:$E$240,
LAMBDA(rEmisor,rPatron,rConcepto,rTipo,
IF(
AND(
OR(
UPPER(TRIM(rEmisor))=UPPER(TRIM(C60)),
UPPER(TRIM(rEmisor))=""CUALQUIERA""
),
OR(
UPPER(TRIM(rTipo))="&amp;"""SOLO EMISOR"",
AND(
UPPER(TRIM(rTipo))=""EXACTA"",
UPPER(TRIM(D60))=UPPER(TRIM(rPatron))
),
AND(
OR(
UPPER(TRIM(rTipo))=""CONTIENE"",
UPPER(TRIM(rTipo))=""COINCIDENCIA""
),
ISNUMBER(SEARCH(UPPER(TRIM(rPatron)),UPPER(TRIM(D60))))
)
)
),
rConcepto,
""""
)"&amp;"
)
)&lt;&gt;""""
),
1
),
""""
)"),"MANIOBRAS")</f>
        <v>MANIOBRAS</v>
      </c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</row>
    <row r="61">
      <c r="A61" s="32"/>
      <c r="B61" s="32"/>
      <c r="C61" s="29" t="s">
        <v>271</v>
      </c>
      <c r="D61" s="29" t="s">
        <v>587</v>
      </c>
      <c r="E61" s="28">
        <v>580.56</v>
      </c>
      <c r="F61" s="28">
        <v>0.0</v>
      </c>
      <c r="G61" s="28" t="s">
        <v>84</v>
      </c>
      <c r="H61" s="28">
        <f t="array" ref="H61">INDEX(CC!C:C,MATCH(1,(CC!A:A=G61)*(CC!B:B=I61),0))</f>
        <v>1002</v>
      </c>
      <c r="I61" s="28" t="s">
        <v>25</v>
      </c>
      <c r="J61" s="31">
        <v>580.56</v>
      </c>
      <c r="K61" s="28" t="str">
        <f>IFERROR(__xludf.DUMMYFUNCTION("IFERROR(
INDEX(
FILTER(
MAP(
reglas!$B$2:$B$240,
reglas!$C$2:$C$240,
reglas!$D$2:$D$240,
reglas!$E$2:$E$240,
LAMBDA(rEmisor,rPatron,rConcepto,rTipo,
IF(
AND(
OR(
UPPER(TRIM(rEmisor))=UPPER(TRIM(C61)),
UPPER(TRIM(rEmisor))=""CUALQUIERA""
),
OR(
UPPER(TRIM("&amp;"rTipo))=""SOLO EMISOR"",
AND(
UPPER(TRIM(rTipo))=""EXACTA"",
UPPER(TRIM(AG61))=UPPER(TRIM(rPatron))
),
AND(
OR(
UPPER(TRIM(rTipo))=""CONTIENE"",
UPPER(TRIM(rTipo))=""COINCIDENCIA""
),
ISNUMBER(SEARCH(UPPER(TRIM(rPatron)),UPPER(TRIM(D61))))
)
)
),
rConcept"&amp;"o,
""""
)
)
),
MAP(
reglas!$B$2:$B$240,
reglas!$C$2:$C$240,
reglas!$D$2:$D$240,
reglas!$E$2:$E$240,
LAMBDA(rEmisor,rPatron,rConcepto,rTipo,
IF(
AND(
OR(
UPPER(TRIM(rEmisor))=UPPER(TRIM(C61)),
UPPER(TRIM(rEmisor))=""CUALQUIERA""
),
OR(
UPPER(TRIM(rTipo))="&amp;"""SOLO EMISOR"",
AND(
UPPER(TRIM(rTipo))=""EXACTA"",
UPPER(TRIM(D61))=UPPER(TRIM(rPatron))
),
AND(
OR(
UPPER(TRIM(rTipo))=""CONTIENE"",
UPPER(TRIM(rTipo))=""COINCIDENCIA""
),
ISNUMBER(SEARCH(UPPER(TRIM(rPatron)),UPPER(TRIM(D61))))
)
)
),
rConcepto,
""""
)"&amp;"
)
)&lt;&gt;""""
),
1
),
""""
)"),"MANIOBRAS")</f>
        <v>MANIOBRAS</v>
      </c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  <row r="62">
      <c r="A62" s="32"/>
      <c r="B62" s="32"/>
      <c r="C62" s="29" t="s">
        <v>271</v>
      </c>
      <c r="D62" s="29" t="s">
        <v>589</v>
      </c>
      <c r="E62" s="28">
        <v>634.89</v>
      </c>
      <c r="F62" s="28">
        <v>0.0</v>
      </c>
      <c r="G62" s="28" t="s">
        <v>84</v>
      </c>
      <c r="H62" s="28">
        <f t="array" ref="H62">INDEX(CC!C:C,MATCH(1,(CC!A:A=G62)*(CC!B:B=I62),0))</f>
        <v>1002</v>
      </c>
      <c r="I62" s="28" t="s">
        <v>25</v>
      </c>
      <c r="J62" s="31">
        <v>634.89</v>
      </c>
      <c r="K62" s="28" t="str">
        <f>IFERROR(__xludf.DUMMYFUNCTION("IFERROR(
INDEX(
FILTER(
MAP(
reglas!$B$2:$B$240,
reglas!$C$2:$C$240,
reglas!$D$2:$D$240,
reglas!$E$2:$E$240,
LAMBDA(rEmisor,rPatron,rConcepto,rTipo,
IF(
AND(
OR(
UPPER(TRIM(rEmisor))=UPPER(TRIM(C62)),
UPPER(TRIM(rEmisor))=""CUALQUIERA""
),
OR(
UPPER(TRIM("&amp;"rTipo))=""SOLO EMISOR"",
AND(
UPPER(TRIM(rTipo))=""EXACTA"",
UPPER(TRIM(AG62))=UPPER(TRIM(rPatron))
),
AND(
OR(
UPPER(TRIM(rTipo))=""CONTIENE"",
UPPER(TRIM(rTipo))=""COINCIDENCIA""
),
ISNUMBER(SEARCH(UPPER(TRIM(rPatron)),UPPER(TRIM(D62))))
)
)
),
rConcept"&amp;"o,
""""
)
)
),
MAP(
reglas!$B$2:$B$240,
reglas!$C$2:$C$240,
reglas!$D$2:$D$240,
reglas!$E$2:$E$240,
LAMBDA(rEmisor,rPatron,rConcepto,rTipo,
IF(
AND(
OR(
UPPER(TRIM(rEmisor))=UPPER(TRIM(C62)),
UPPER(TRIM(rEmisor))=""CUALQUIERA""
),
OR(
UPPER(TRIM(rTipo))="&amp;"""SOLO EMISOR"",
AND(
UPPER(TRIM(rTipo))=""EXACTA"",
UPPER(TRIM(D62))=UPPER(TRIM(rPatron))
),
AND(
OR(
UPPER(TRIM(rTipo))=""CONTIENE"",
UPPER(TRIM(rTipo))=""COINCIDENCIA""
),
ISNUMBER(SEARCH(UPPER(TRIM(rPatron)),UPPER(TRIM(D62))))
)
)
),
rConcepto,
""""
)"&amp;"
)
)&lt;&gt;""""
),
1
),
""""
)"),"MANIOBRAS")</f>
        <v>MANIOBRAS</v>
      </c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  <row r="63">
      <c r="A63" s="32"/>
      <c r="B63" s="32"/>
      <c r="C63" s="29" t="s">
        <v>271</v>
      </c>
      <c r="D63" s="29" t="s">
        <v>596</v>
      </c>
      <c r="E63" s="28">
        <v>666.13</v>
      </c>
      <c r="F63" s="28">
        <v>0.0</v>
      </c>
      <c r="G63" s="28" t="s">
        <v>84</v>
      </c>
      <c r="H63" s="28">
        <f t="array" ref="H63">INDEX(CC!C:C,MATCH(1,(CC!A:A=G63)*(CC!B:B=I63),0))</f>
        <v>1002</v>
      </c>
      <c r="I63" s="28" t="s">
        <v>25</v>
      </c>
      <c r="J63" s="31">
        <v>666.13</v>
      </c>
      <c r="K63" s="28" t="str">
        <f>IFERROR(__xludf.DUMMYFUNCTION("IFERROR(
INDEX(
FILTER(
MAP(
reglas!$B$2:$B$240,
reglas!$C$2:$C$240,
reglas!$D$2:$D$240,
reglas!$E$2:$E$240,
LAMBDA(rEmisor,rPatron,rConcepto,rTipo,
IF(
AND(
OR(
UPPER(TRIM(rEmisor))=UPPER(TRIM(C63)),
UPPER(TRIM(rEmisor))=""CUALQUIERA""
),
OR(
UPPER(TRIM("&amp;"rTipo))=""SOLO EMISOR"",
AND(
UPPER(TRIM(rTipo))=""EXACTA"",
UPPER(TRIM(AG63))=UPPER(TRIM(rPatron))
),
AND(
OR(
UPPER(TRIM(rTipo))=""CONTIENE"",
UPPER(TRIM(rTipo))=""COINCIDENCIA""
),
ISNUMBER(SEARCH(UPPER(TRIM(rPatron)),UPPER(TRIM(D63))))
)
)
),
rConcept"&amp;"o,
""""
)
)
),
MAP(
reglas!$B$2:$B$240,
reglas!$C$2:$C$240,
reglas!$D$2:$D$240,
reglas!$E$2:$E$240,
LAMBDA(rEmisor,rPatron,rConcepto,rTipo,
IF(
AND(
OR(
UPPER(TRIM(rEmisor))=UPPER(TRIM(C63)),
UPPER(TRIM(rEmisor))=""CUALQUIERA""
),
OR(
UPPER(TRIM(rTipo))="&amp;"""SOLO EMISOR"",
AND(
UPPER(TRIM(rTipo))=""EXACTA"",
UPPER(TRIM(D63))=UPPER(TRIM(rPatron))
),
AND(
OR(
UPPER(TRIM(rTipo))=""CONTIENE"",
UPPER(TRIM(rTipo))=""COINCIDENCIA""
),
ISNUMBER(SEARCH(UPPER(TRIM(rPatron)),UPPER(TRIM(D63))))
)
)
),
rConcepto,
""""
)"&amp;"
)
)&lt;&gt;""""
),
1
),
""""
)"),"MANIOBRAS")</f>
        <v>MANIOBRAS</v>
      </c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  <row r="64">
      <c r="A64" s="28">
        <v>1.0</v>
      </c>
      <c r="B64" s="28" t="s">
        <v>29</v>
      </c>
      <c r="C64" s="29" t="s">
        <v>89</v>
      </c>
      <c r="D64" s="29" t="s">
        <v>91</v>
      </c>
      <c r="E64" s="30">
        <v>1283.04</v>
      </c>
      <c r="F64" s="28">
        <v>0.0</v>
      </c>
      <c r="G64" s="28" t="s">
        <v>601</v>
      </c>
      <c r="H64" s="28">
        <f t="array" ref="H64">INDEX(CC!C:C,MATCH(1,(CC!A:A=G64)*(CC!B:B=I64),0))</f>
        <v>403</v>
      </c>
      <c r="I64" s="28" t="s">
        <v>44</v>
      </c>
      <c r="J64" s="31">
        <v>1283.04</v>
      </c>
      <c r="K64" s="28" t="str">
        <f>IFERROR(__xludf.DUMMYFUNCTION("IFERROR(
INDEX(
FILTER(
MAP(
reglas!$B$2:$B$240,
reglas!$C$2:$C$240,
reglas!$D$2:$D$240,
reglas!$E$2:$E$240,
LAMBDA(rEmisor,rPatron,rConcepto,rTipo,
IF(
AND(
OR(
UPPER(TRIM(rEmisor))=UPPER(TRIM(C64)),
UPPER(TRIM(rEmisor))=""CUALQUIERA""
),
OR(
UPPER(TRIM("&amp;"rTipo))=""SOLO EMISOR"",
AND(
UPPER(TRIM(rTipo))=""EXACTA"",
UPPER(TRIM(AG64))=UPPER(TRIM(rPatron))
),
AND(
OR(
UPPER(TRIM(rTipo))=""CONTIENE"",
UPPER(TRIM(rTipo))=""COINCIDENCIA""
),
ISNUMBER(SEARCH(UPPER(TRIM(rPatron)),UPPER(TRIM(D64))))
)
)
),
rConcept"&amp;"o,
""""
)
)
),
MAP(
reglas!$B$2:$B$240,
reglas!$C$2:$C$240,
reglas!$D$2:$D$240,
reglas!$E$2:$E$240,
LAMBDA(rEmisor,rPatron,rConcepto,rTipo,
IF(
AND(
OR(
UPPER(TRIM(rEmisor))=UPPER(TRIM(C64)),
UPPER(TRIM(rEmisor))=""CUALQUIERA""
),
OR(
UPPER(TRIM(rTipo))="&amp;"""SOLO EMISOR"",
AND(
UPPER(TRIM(rTipo))=""EXACTA"",
UPPER(TRIM(D64))=UPPER(TRIM(rPatron))
),
AND(
OR(
UPPER(TRIM(rTipo))=""CONTIENE"",
UPPER(TRIM(rTipo))=""COINCIDENCIA""
),
ISNUMBER(SEARCH(UPPER(TRIM(rPatron)),UPPER(TRIM(D64))))
)
)
),
rConcepto,
""""
)"&amp;"
)
)&lt;&gt;""""
),
1
),
""""
)"),"MANIOBRAS")</f>
        <v>MANIOBRAS</v>
      </c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  <row r="65">
      <c r="A65" s="32"/>
      <c r="B65" s="28" t="s">
        <v>29</v>
      </c>
      <c r="C65" s="29" t="s">
        <v>172</v>
      </c>
      <c r="D65" s="29" t="s">
        <v>908</v>
      </c>
      <c r="E65" s="30">
        <v>11500.0</v>
      </c>
      <c r="F65" s="28">
        <v>0.0</v>
      </c>
      <c r="G65" s="28" t="s">
        <v>250</v>
      </c>
      <c r="H65" s="28">
        <f t="array" ref="H65">INDEX(CC!C:C,MATCH(1,(CC!A:A=G65)*(CC!B:B=I65),0))</f>
        <v>1402</v>
      </c>
      <c r="I65" s="28" t="s">
        <v>25</v>
      </c>
      <c r="J65" s="31">
        <v>11500.0</v>
      </c>
      <c r="K65" s="28" t="str">
        <f>IFERROR(__xludf.DUMMYFUNCTION("IFERROR(
INDEX(
FILTER(
MAP(
reglas!$B$2:$B$240,
reglas!$C$2:$C$240,
reglas!$D$2:$D$240,
reglas!$E$2:$E$240,
LAMBDA(rEmisor,rPatron,rConcepto,rTipo,
IF(
AND(
OR(
UPPER(TRIM(rEmisor))=UPPER(TRIM(C65)),
UPPER(TRIM(rEmisor))=""CUALQUIERA""
),
OR(
UPPER(TRIM("&amp;"rTipo))=""SOLO EMISOR"",
AND(
UPPER(TRIM(rTipo))=""EXACTA"",
UPPER(TRIM(AG65))=UPPER(TRIM(rPatron))
),
AND(
OR(
UPPER(TRIM(rTipo))=""CONTIENE"",
UPPER(TRIM(rTipo))=""COINCIDENCIA""
),
ISNUMBER(SEARCH(UPPER(TRIM(rPatron)),UPPER(TRIM(D65))))
)
)
),
rConcept"&amp;"o,
""""
)
)
),
MAP(
reglas!$B$2:$B$240,
reglas!$C$2:$C$240,
reglas!$D$2:$D$240,
reglas!$E$2:$E$240,
LAMBDA(rEmisor,rPatron,rConcepto,rTipo,
IF(
AND(
OR(
UPPER(TRIM(rEmisor))=UPPER(TRIM(C65)),
UPPER(TRIM(rEmisor))=""CUALQUIERA""
),
OR(
UPPER(TRIM(rTipo))="&amp;"""SOLO EMISOR"",
AND(
UPPER(TRIM(rTipo))=""EXACTA"",
UPPER(TRIM(D65))=UPPER(TRIM(rPatron))
),
AND(
OR(
UPPER(TRIM(rTipo))=""CONTIENE"",
UPPER(TRIM(rTipo))=""COINCIDENCIA""
),
ISNUMBER(SEARCH(UPPER(TRIM(rPatron)),UPPER(TRIM(D65))))
)
)
),
rConcepto,
""""
)"&amp;"
)
)&lt;&gt;""""
),
1
),
""""
)"),"TRANSPORTE")</f>
        <v>TRANSPORTE</v>
      </c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</row>
    <row r="66">
      <c r="A66" s="28">
        <v>1.0</v>
      </c>
      <c r="B66" s="28" t="s">
        <v>29</v>
      </c>
      <c r="C66" s="29" t="s">
        <v>271</v>
      </c>
      <c r="D66" s="29" t="s">
        <v>585</v>
      </c>
      <c r="E66" s="28">
        <v>634.54</v>
      </c>
      <c r="F66" s="28">
        <v>0.0</v>
      </c>
      <c r="G66" s="28" t="s">
        <v>84</v>
      </c>
      <c r="H66" s="28">
        <f t="array" ref="H66">INDEX(CC!C:C,MATCH(1,(CC!A:A=G66)*(CC!B:B=I66),0))</f>
        <v>1002</v>
      </c>
      <c r="I66" s="28" t="s">
        <v>25</v>
      </c>
      <c r="J66" s="31">
        <v>634.54</v>
      </c>
      <c r="K66" s="28" t="str">
        <f>IFERROR(__xludf.DUMMYFUNCTION("IFERROR(
INDEX(
FILTER(
MAP(
reglas!$B$2:$B$240,
reglas!$C$2:$C$240,
reglas!$D$2:$D$240,
reglas!$E$2:$E$240,
LAMBDA(rEmisor,rPatron,rConcepto,rTipo,
IF(
AND(
OR(
UPPER(TRIM(rEmisor))=UPPER(TRIM(C66)),
UPPER(TRIM(rEmisor))=""CUALQUIERA""
),
OR(
UPPER(TRIM("&amp;"rTipo))=""SOLO EMISOR"",
AND(
UPPER(TRIM(rTipo))=""EXACTA"",
UPPER(TRIM(AG66))=UPPER(TRIM(rPatron))
),
AND(
OR(
UPPER(TRIM(rTipo))=""CONTIENE"",
UPPER(TRIM(rTipo))=""COINCIDENCIA""
),
ISNUMBER(SEARCH(UPPER(TRIM(rPatron)),UPPER(TRIM(D66))))
)
)
),
rConcept"&amp;"o,
""""
)
)
),
MAP(
reglas!$B$2:$B$240,
reglas!$C$2:$C$240,
reglas!$D$2:$D$240,
reglas!$E$2:$E$240,
LAMBDA(rEmisor,rPatron,rConcepto,rTipo,
IF(
AND(
OR(
UPPER(TRIM(rEmisor))=UPPER(TRIM(C66)),
UPPER(TRIM(rEmisor))=""CUALQUIERA""
),
OR(
UPPER(TRIM(rTipo))="&amp;"""SOLO EMISOR"",
AND(
UPPER(TRIM(rTipo))=""EXACTA"",
UPPER(TRIM(D66))=UPPER(TRIM(rPatron))
),
AND(
OR(
UPPER(TRIM(rTipo))=""CONTIENE"",
UPPER(TRIM(rTipo))=""COINCIDENCIA""
),
ISNUMBER(SEARCH(UPPER(TRIM(rPatron)),UPPER(TRIM(D66))))
)
)
),
rConcepto,
""""
)"&amp;"
)
)&lt;&gt;""""
),
1
),
""""
)"),"MANIOBRAS")</f>
        <v>MANIOBRAS</v>
      </c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</row>
    <row r="67">
      <c r="A67" s="32"/>
      <c r="B67" s="32"/>
      <c r="C67" s="29" t="s">
        <v>271</v>
      </c>
      <c r="D67" s="29" t="s">
        <v>587</v>
      </c>
      <c r="E67" s="28">
        <v>580.56</v>
      </c>
      <c r="F67" s="28">
        <v>0.0</v>
      </c>
      <c r="G67" s="28" t="s">
        <v>84</v>
      </c>
      <c r="H67" s="28">
        <f t="array" ref="H67">INDEX(CC!C:C,MATCH(1,(CC!A:A=G67)*(CC!B:B=I67),0))</f>
        <v>1002</v>
      </c>
      <c r="I67" s="28" t="s">
        <v>25</v>
      </c>
      <c r="J67" s="31">
        <v>580.56</v>
      </c>
      <c r="K67" s="28" t="str">
        <f>IFERROR(__xludf.DUMMYFUNCTION("IFERROR(
INDEX(
FILTER(
MAP(
reglas!$B$2:$B$240,
reglas!$C$2:$C$240,
reglas!$D$2:$D$240,
reglas!$E$2:$E$240,
LAMBDA(rEmisor,rPatron,rConcepto,rTipo,
IF(
AND(
OR(
UPPER(TRIM(rEmisor))=UPPER(TRIM(C67)),
UPPER(TRIM(rEmisor))=""CUALQUIERA""
),
OR(
UPPER(TRIM("&amp;"rTipo))=""SOLO EMISOR"",
AND(
UPPER(TRIM(rTipo))=""EXACTA"",
UPPER(TRIM(AG67))=UPPER(TRIM(rPatron))
),
AND(
OR(
UPPER(TRIM(rTipo))=""CONTIENE"",
UPPER(TRIM(rTipo))=""COINCIDENCIA""
),
ISNUMBER(SEARCH(UPPER(TRIM(rPatron)),UPPER(TRIM(D67))))
)
)
),
rConcept"&amp;"o,
""""
)
)
),
MAP(
reglas!$B$2:$B$240,
reglas!$C$2:$C$240,
reglas!$D$2:$D$240,
reglas!$E$2:$E$240,
LAMBDA(rEmisor,rPatron,rConcepto,rTipo,
IF(
AND(
OR(
UPPER(TRIM(rEmisor))=UPPER(TRIM(C67)),
UPPER(TRIM(rEmisor))=""CUALQUIERA""
),
OR(
UPPER(TRIM(rTipo))="&amp;"""SOLO EMISOR"",
AND(
UPPER(TRIM(rTipo))=""EXACTA"",
UPPER(TRIM(D67))=UPPER(TRIM(rPatron))
),
AND(
OR(
UPPER(TRIM(rTipo))=""CONTIENE"",
UPPER(TRIM(rTipo))=""COINCIDENCIA""
),
ISNUMBER(SEARCH(UPPER(TRIM(rPatron)),UPPER(TRIM(D67))))
)
)
),
rConcepto,
""""
)"&amp;"
)
)&lt;&gt;""""
),
1
),
""""
)"),"MANIOBRAS")</f>
        <v>MANIOBRAS</v>
      </c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</row>
    <row r="68">
      <c r="A68" s="32"/>
      <c r="B68" s="32"/>
      <c r="C68" s="29" t="s">
        <v>271</v>
      </c>
      <c r="D68" s="29" t="s">
        <v>589</v>
      </c>
      <c r="E68" s="28">
        <v>634.89</v>
      </c>
      <c r="F68" s="28">
        <v>0.0</v>
      </c>
      <c r="G68" s="28" t="s">
        <v>84</v>
      </c>
      <c r="H68" s="28">
        <f t="array" ref="H68">INDEX(CC!C:C,MATCH(1,(CC!A:A=G68)*(CC!B:B=I68),0))</f>
        <v>1002</v>
      </c>
      <c r="I68" s="28" t="s">
        <v>25</v>
      </c>
      <c r="J68" s="31">
        <v>634.89</v>
      </c>
      <c r="K68" s="28" t="str">
        <f>IFERROR(__xludf.DUMMYFUNCTION("IFERROR(
INDEX(
FILTER(
MAP(
reglas!$B$2:$B$240,
reglas!$C$2:$C$240,
reglas!$D$2:$D$240,
reglas!$E$2:$E$240,
LAMBDA(rEmisor,rPatron,rConcepto,rTipo,
IF(
AND(
OR(
UPPER(TRIM(rEmisor))=UPPER(TRIM(C68)),
UPPER(TRIM(rEmisor))=""CUALQUIERA""
),
OR(
UPPER(TRIM("&amp;"rTipo))=""SOLO EMISOR"",
AND(
UPPER(TRIM(rTipo))=""EXACTA"",
UPPER(TRIM(AG68))=UPPER(TRIM(rPatron))
),
AND(
OR(
UPPER(TRIM(rTipo))=""CONTIENE"",
UPPER(TRIM(rTipo))=""COINCIDENCIA""
),
ISNUMBER(SEARCH(UPPER(TRIM(rPatron)),UPPER(TRIM(D68))))
)
)
),
rConcept"&amp;"o,
""""
)
)
),
MAP(
reglas!$B$2:$B$240,
reglas!$C$2:$C$240,
reglas!$D$2:$D$240,
reglas!$E$2:$E$240,
LAMBDA(rEmisor,rPatron,rConcepto,rTipo,
IF(
AND(
OR(
UPPER(TRIM(rEmisor))=UPPER(TRIM(C68)),
UPPER(TRIM(rEmisor))=""CUALQUIERA""
),
OR(
UPPER(TRIM(rTipo))="&amp;"""SOLO EMISOR"",
AND(
UPPER(TRIM(rTipo))=""EXACTA"",
UPPER(TRIM(D68))=UPPER(TRIM(rPatron))
),
AND(
OR(
UPPER(TRIM(rTipo))=""CONTIENE"",
UPPER(TRIM(rTipo))=""COINCIDENCIA""
),
ISNUMBER(SEARCH(UPPER(TRIM(rPatron)),UPPER(TRIM(D68))))
)
)
),
rConcepto,
""""
)"&amp;"
)
)&lt;&gt;""""
),
1
),
""""
)"),"MANIOBRAS")</f>
        <v>MANIOBRAS</v>
      </c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</row>
    <row r="69">
      <c r="A69" s="32"/>
      <c r="B69" s="32"/>
      <c r="C69" s="29" t="s">
        <v>271</v>
      </c>
      <c r="D69" s="29" t="s">
        <v>596</v>
      </c>
      <c r="E69" s="28">
        <v>666.13</v>
      </c>
      <c r="F69" s="28">
        <v>0.0</v>
      </c>
      <c r="G69" s="28" t="s">
        <v>84</v>
      </c>
      <c r="H69" s="28">
        <f t="array" ref="H69">INDEX(CC!C:C,MATCH(1,(CC!A:A=G69)*(CC!B:B=I69),0))</f>
        <v>1002</v>
      </c>
      <c r="I69" s="28" t="s">
        <v>25</v>
      </c>
      <c r="J69" s="31">
        <v>666.13</v>
      </c>
      <c r="K69" s="28" t="str">
        <f>IFERROR(__xludf.DUMMYFUNCTION("IFERROR(
INDEX(
FILTER(
MAP(
reglas!$B$2:$B$240,
reglas!$C$2:$C$240,
reglas!$D$2:$D$240,
reglas!$E$2:$E$240,
LAMBDA(rEmisor,rPatron,rConcepto,rTipo,
IF(
AND(
OR(
UPPER(TRIM(rEmisor))=UPPER(TRIM(C69)),
UPPER(TRIM(rEmisor))=""CUALQUIERA""
),
OR(
UPPER(TRIM("&amp;"rTipo))=""SOLO EMISOR"",
AND(
UPPER(TRIM(rTipo))=""EXACTA"",
UPPER(TRIM(AG69))=UPPER(TRIM(rPatron))
),
AND(
OR(
UPPER(TRIM(rTipo))=""CONTIENE"",
UPPER(TRIM(rTipo))=""COINCIDENCIA""
),
ISNUMBER(SEARCH(UPPER(TRIM(rPatron)),UPPER(TRIM(D69))))
)
)
),
rConcept"&amp;"o,
""""
)
)
),
MAP(
reglas!$B$2:$B$240,
reglas!$C$2:$C$240,
reglas!$D$2:$D$240,
reglas!$E$2:$E$240,
LAMBDA(rEmisor,rPatron,rConcepto,rTipo,
IF(
AND(
OR(
UPPER(TRIM(rEmisor))=UPPER(TRIM(C69)),
UPPER(TRIM(rEmisor))=""CUALQUIERA""
),
OR(
UPPER(TRIM(rTipo))="&amp;"""SOLO EMISOR"",
AND(
UPPER(TRIM(rTipo))=""EXACTA"",
UPPER(TRIM(D69))=UPPER(TRIM(rPatron))
),
AND(
OR(
UPPER(TRIM(rTipo))=""CONTIENE"",
UPPER(TRIM(rTipo))=""COINCIDENCIA""
),
ISNUMBER(SEARCH(UPPER(TRIM(rPatron)),UPPER(TRIM(D69))))
)
)
),
rConcepto,
""""
)"&amp;"
)
)&lt;&gt;""""
),
1
),
""""
)"),"MANIOBRAS")</f>
        <v>MANIOBRAS</v>
      </c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</row>
    <row r="70">
      <c r="A70" s="28">
        <v>1.0</v>
      </c>
      <c r="B70" s="28" t="s">
        <v>29</v>
      </c>
      <c r="C70" s="29" t="s">
        <v>263</v>
      </c>
      <c r="D70" s="29" t="s">
        <v>914</v>
      </c>
      <c r="E70" s="30">
        <v>4110.99</v>
      </c>
      <c r="F70" s="28">
        <v>0.0</v>
      </c>
      <c r="G70" s="28" t="s">
        <v>225</v>
      </c>
      <c r="H70" s="28">
        <f t="array" ref="H70">INDEX(CC!C:C,MATCH(1,(CC!A:A=G70)*(CC!B:B=I70),0))</f>
        <v>102</v>
      </c>
      <c r="I70" s="28" t="s">
        <v>25</v>
      </c>
      <c r="J70" s="31">
        <v>4110.99</v>
      </c>
      <c r="K70" s="28" t="str">
        <f>IFERROR(__xludf.DUMMYFUNCTION("IFERROR(
INDEX(
FILTER(
MAP(
reglas!$B$2:$B$240,
reglas!$C$2:$C$240,
reglas!$D$2:$D$240,
reglas!$E$2:$E$240,
LAMBDA(rEmisor,rPatron,rConcepto,rTipo,
IF(
AND(
OR(
UPPER(TRIM(rEmisor))=UPPER(TRIM(C70)),
UPPER(TRIM(rEmisor))=""CUALQUIERA""
),
OR(
UPPER(TRIM("&amp;"rTipo))=""SOLO EMISOR"",
AND(
UPPER(TRIM(rTipo))=""EXACTA"",
UPPER(TRIM(AG70))=UPPER(TRIM(rPatron))
),
AND(
OR(
UPPER(TRIM(rTipo))=""CONTIENE"",
UPPER(TRIM(rTipo))=""COINCIDENCIA""
),
ISNUMBER(SEARCH(UPPER(TRIM(rPatron)),UPPER(TRIM(D70))))
)
)
),
rConcept"&amp;"o,
""""
)
)
),
MAP(
reglas!$B$2:$B$240,
reglas!$C$2:$C$240,
reglas!$D$2:$D$240,
reglas!$E$2:$E$240,
LAMBDA(rEmisor,rPatron,rConcepto,rTipo,
IF(
AND(
OR(
UPPER(TRIM(rEmisor))=UPPER(TRIM(C70)),
UPPER(TRIM(rEmisor))=""CUALQUIERA""
),
OR(
UPPER(TRIM(rTipo))="&amp;"""SOLO EMISOR"",
AND(
UPPER(TRIM(rTipo))=""EXACTA"",
UPPER(TRIM(D70))=UPPER(TRIM(rPatron))
),
AND(
OR(
UPPER(TRIM(rTipo))=""CONTIENE"",
UPPER(TRIM(rTipo))=""COINCIDENCIA""
),
ISNUMBER(SEARCH(UPPER(TRIM(rPatron)),UPPER(TRIM(D70))))
)
)
),
rConcepto,
""""
)"&amp;"
)
)&lt;&gt;""""
),
1
),
""""
)"),"GASTOS DE VIAJE")</f>
        <v>GASTOS DE VIAJE</v>
      </c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</row>
    <row r="71">
      <c r="A71" s="32"/>
      <c r="B71" s="32"/>
      <c r="C71" s="29" t="s">
        <v>263</v>
      </c>
      <c r="D71" s="29" t="s">
        <v>917</v>
      </c>
      <c r="E71" s="28">
        <v>662.92</v>
      </c>
      <c r="F71" s="28">
        <v>0.0</v>
      </c>
      <c r="G71" s="28" t="s">
        <v>225</v>
      </c>
      <c r="H71" s="28">
        <f t="array" ref="H71">INDEX(CC!C:C,MATCH(1,(CC!A:A=G71)*(CC!B:B=I71),0))</f>
        <v>102</v>
      </c>
      <c r="I71" s="28" t="s">
        <v>25</v>
      </c>
      <c r="J71" s="31">
        <v>662.92</v>
      </c>
      <c r="K71" s="28" t="str">
        <f>IFERROR(__xludf.DUMMYFUNCTION("IFERROR(
INDEX(
FILTER(
MAP(
reglas!$B$2:$B$240,
reglas!$C$2:$C$240,
reglas!$D$2:$D$240,
reglas!$E$2:$E$240,
LAMBDA(rEmisor,rPatron,rConcepto,rTipo,
IF(
AND(
OR(
UPPER(TRIM(rEmisor))=UPPER(TRIM(C71)),
UPPER(TRIM(rEmisor))=""CUALQUIERA""
),
OR(
UPPER(TRIM("&amp;"rTipo))=""SOLO EMISOR"",
AND(
UPPER(TRIM(rTipo))=""EXACTA"",
UPPER(TRIM(AG71))=UPPER(TRIM(rPatron))
),
AND(
OR(
UPPER(TRIM(rTipo))=""CONTIENE"",
UPPER(TRIM(rTipo))=""COINCIDENCIA""
),
ISNUMBER(SEARCH(UPPER(TRIM(rPatron)),UPPER(TRIM(D71))))
)
)
),
rConcept"&amp;"o,
""""
)
)
),
MAP(
reglas!$B$2:$B$240,
reglas!$C$2:$C$240,
reglas!$D$2:$D$240,
reglas!$E$2:$E$240,
LAMBDA(rEmisor,rPatron,rConcepto,rTipo,
IF(
AND(
OR(
UPPER(TRIM(rEmisor))=UPPER(TRIM(C71)),
UPPER(TRIM(rEmisor))=""CUALQUIERA""
),
OR(
UPPER(TRIM(rTipo))="&amp;"""SOLO EMISOR"",
AND(
UPPER(TRIM(rTipo))=""EXACTA"",
UPPER(TRIM(D71))=UPPER(TRIM(rPatron))
),
AND(
OR(
UPPER(TRIM(rTipo))=""CONTIENE"",
UPPER(TRIM(rTipo))=""COINCIDENCIA""
),
ISNUMBER(SEARCH(UPPER(TRIM(rPatron)),UPPER(TRIM(D71))))
)
)
),
rConcepto,
""""
)"&amp;"
)
)&lt;&gt;""""
),
1
),
""""
)"),"GASTOS DE VIAJE")</f>
        <v>GASTOS DE VIAJE</v>
      </c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</row>
    <row r="72">
      <c r="A72" s="32"/>
      <c r="B72" s="32"/>
      <c r="C72" s="29" t="s">
        <v>263</v>
      </c>
      <c r="D72" s="29" t="s">
        <v>920</v>
      </c>
      <c r="E72" s="28">
        <v>851.66</v>
      </c>
      <c r="F72" s="28">
        <v>0.0</v>
      </c>
      <c r="G72" s="28" t="s">
        <v>225</v>
      </c>
      <c r="H72" s="28">
        <f t="array" ref="H72">INDEX(CC!C:C,MATCH(1,(CC!A:A=G72)*(CC!B:B=I72),0))</f>
        <v>102</v>
      </c>
      <c r="I72" s="28" t="s">
        <v>25</v>
      </c>
      <c r="J72" s="31">
        <v>851.66</v>
      </c>
      <c r="K72" s="28" t="str">
        <f>IFERROR(__xludf.DUMMYFUNCTION("IFERROR(
INDEX(
FILTER(
MAP(
reglas!$B$2:$B$240,
reglas!$C$2:$C$240,
reglas!$D$2:$D$240,
reglas!$E$2:$E$240,
LAMBDA(rEmisor,rPatron,rConcepto,rTipo,
IF(
AND(
OR(
UPPER(TRIM(rEmisor))=UPPER(TRIM(C72)),
UPPER(TRIM(rEmisor))=""CUALQUIERA""
),
OR(
UPPER(TRIM("&amp;"rTipo))=""SOLO EMISOR"",
AND(
UPPER(TRIM(rTipo))=""EXACTA"",
UPPER(TRIM(AG72))=UPPER(TRIM(rPatron))
),
AND(
OR(
UPPER(TRIM(rTipo))=""CONTIENE"",
UPPER(TRIM(rTipo))=""COINCIDENCIA""
),
ISNUMBER(SEARCH(UPPER(TRIM(rPatron)),UPPER(TRIM(D72))))
)
)
),
rConcept"&amp;"o,
""""
)
)
),
MAP(
reglas!$B$2:$B$240,
reglas!$C$2:$C$240,
reglas!$D$2:$D$240,
reglas!$E$2:$E$240,
LAMBDA(rEmisor,rPatron,rConcepto,rTipo,
IF(
AND(
OR(
UPPER(TRIM(rEmisor))=UPPER(TRIM(C72)),
UPPER(TRIM(rEmisor))=""CUALQUIERA""
),
OR(
UPPER(TRIM(rTipo))="&amp;"""SOLO EMISOR"",
AND(
UPPER(TRIM(rTipo))=""EXACTA"",
UPPER(TRIM(D72))=UPPER(TRIM(rPatron))
),
AND(
OR(
UPPER(TRIM(rTipo))=""CONTIENE"",
UPPER(TRIM(rTipo))=""COINCIDENCIA""
),
ISNUMBER(SEARCH(UPPER(TRIM(rPatron)),UPPER(TRIM(D72))))
)
)
),
rConcepto,
""""
)"&amp;"
)
)&lt;&gt;""""
),
1
),
""""
)"),"GASTOS DE VIAJE")</f>
        <v>GASTOS DE VIAJE</v>
      </c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</row>
    <row r="73">
      <c r="A73" s="32"/>
      <c r="B73" s="28" t="s">
        <v>29</v>
      </c>
      <c r="C73" s="29" t="s">
        <v>278</v>
      </c>
      <c r="D73" s="29" t="s">
        <v>560</v>
      </c>
      <c r="E73" s="30">
        <v>3500.0</v>
      </c>
      <c r="F73" s="28">
        <v>0.0</v>
      </c>
      <c r="G73" s="28" t="s">
        <v>250</v>
      </c>
      <c r="H73" s="28">
        <f t="array" ref="H73">INDEX(CC!C:C,MATCH(1,(CC!A:A=G73)*(CC!B:B=I73),0))</f>
        <v>1402</v>
      </c>
      <c r="I73" s="28" t="s">
        <v>25</v>
      </c>
      <c r="J73" s="31">
        <v>3500.0</v>
      </c>
      <c r="K73" s="28" t="str">
        <f>IFERROR(__xludf.DUMMYFUNCTION("IFERROR(
INDEX(
FILTER(
MAP(
reglas!$B$2:$B$240,
reglas!$C$2:$C$240,
reglas!$D$2:$D$240,
reglas!$E$2:$E$240,
LAMBDA(rEmisor,rPatron,rConcepto,rTipo,
IF(
AND(
OR(
UPPER(TRIM(rEmisor))=UPPER(TRIM(C73)),
UPPER(TRIM(rEmisor))=""CUALQUIERA""
),
OR(
UPPER(TRIM("&amp;"rTipo))=""SOLO EMISOR"",
AND(
UPPER(TRIM(rTipo))=""EXACTA"",
UPPER(TRIM(AG73))=UPPER(TRIM(rPatron))
),
AND(
OR(
UPPER(TRIM(rTipo))=""CONTIENE"",
UPPER(TRIM(rTipo))=""COINCIDENCIA""
),
ISNUMBER(SEARCH(UPPER(TRIM(rPatron)),UPPER(TRIM(D73))))
)
)
),
rConcept"&amp;"o,
""""
)
)
),
MAP(
reglas!$B$2:$B$240,
reglas!$C$2:$C$240,
reglas!$D$2:$D$240,
reglas!$E$2:$E$240,
LAMBDA(rEmisor,rPatron,rConcepto,rTipo,
IF(
AND(
OR(
UPPER(TRIM(rEmisor))=UPPER(TRIM(C73)),
UPPER(TRIM(rEmisor))=""CUALQUIERA""
),
OR(
UPPER(TRIM(rTipo))="&amp;"""SOLO EMISOR"",
AND(
UPPER(TRIM(rTipo))=""EXACTA"",
UPPER(TRIM(D73))=UPPER(TRIM(rPatron))
),
AND(
OR(
UPPER(TRIM(rTipo))=""CONTIENE"",
UPPER(TRIM(rTipo))=""COINCIDENCIA""
),
ISNUMBER(SEARCH(UPPER(TRIM(rPatron)),UPPER(TRIM(D73))))
)
)
),
rConcepto,
""""
)"&amp;"
)
)&lt;&gt;""""
),
1
),
""""
)"),"MANIOBRAS")</f>
        <v>MANIOBRAS</v>
      </c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</row>
    <row r="74">
      <c r="A74" s="32"/>
      <c r="B74" s="28" t="s">
        <v>29</v>
      </c>
      <c r="C74" s="29" t="s">
        <v>191</v>
      </c>
      <c r="D74" s="29" t="s">
        <v>922</v>
      </c>
      <c r="E74" s="28">
        <v>187.46</v>
      </c>
      <c r="F74" s="28">
        <v>0.0</v>
      </c>
      <c r="G74" s="28" t="s">
        <v>225</v>
      </c>
      <c r="H74" s="28">
        <f t="array" ref="H74">INDEX(CC!C:C,MATCH(1,(CC!A:A=G74)*(CC!B:B=I74),0))</f>
        <v>102</v>
      </c>
      <c r="I74" s="28" t="s">
        <v>25</v>
      </c>
      <c r="J74" s="31">
        <v>187.46</v>
      </c>
      <c r="K74" s="28" t="str">
        <f>IFERROR(__xludf.DUMMYFUNCTION("IFERROR(
INDEX(
FILTER(
MAP(
reglas!$B$2:$B$240,
reglas!$C$2:$C$240,
reglas!$D$2:$D$240,
reglas!$E$2:$E$240,
LAMBDA(rEmisor,rPatron,rConcepto,rTipo,
IF(
AND(
OR(
UPPER(TRIM(rEmisor))=UPPER(TRIM(C74)),
UPPER(TRIM(rEmisor))=""CUALQUIERA""
),
OR(
UPPER(TRIM("&amp;"rTipo))=""SOLO EMISOR"",
AND(
UPPER(TRIM(rTipo))=""EXACTA"",
UPPER(TRIM(AG74))=UPPER(TRIM(rPatron))
),
AND(
OR(
UPPER(TRIM(rTipo))=""CONTIENE"",
UPPER(TRIM(rTipo))=""COINCIDENCIA""
),
ISNUMBER(SEARCH(UPPER(TRIM(rPatron)),UPPER(TRIM(D74))))
)
)
),
rConcept"&amp;"o,
""""
)
)
),
MAP(
reglas!$B$2:$B$240,
reglas!$C$2:$C$240,
reglas!$D$2:$D$240,
reglas!$E$2:$E$240,
LAMBDA(rEmisor,rPatron,rConcepto,rTipo,
IF(
AND(
OR(
UPPER(TRIM(rEmisor))=UPPER(TRIM(C74)),
UPPER(TRIM(rEmisor))=""CUALQUIERA""
),
OR(
UPPER(TRIM(rTipo))="&amp;"""SOLO EMISOR"",
AND(
UPPER(TRIM(rTipo))=""EXACTA"",
UPPER(TRIM(D74))=UPPER(TRIM(rPatron))
),
AND(
OR(
UPPER(TRIM(rTipo))=""CONTIENE"",
UPPER(TRIM(rTipo))=""COINCIDENCIA""
),
ISNUMBER(SEARCH(UPPER(TRIM(rPatron)),UPPER(TRIM(D74))))
)
)
),
rConcepto,
""""
)"&amp;"
)
)&lt;&gt;""""
),
1
),
""""
)"),"INTERNET")</f>
        <v>INTERNET</v>
      </c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</row>
    <row r="75">
      <c r="A75" s="28">
        <v>1.0</v>
      </c>
      <c r="B75" s="28" t="s">
        <v>29</v>
      </c>
      <c r="C75" s="29" t="s">
        <v>465</v>
      </c>
      <c r="D75" s="29" t="s">
        <v>923</v>
      </c>
      <c r="E75" s="30">
        <v>17818.69</v>
      </c>
      <c r="F75" s="28">
        <v>0.0</v>
      </c>
      <c r="G75" s="28" t="s">
        <v>554</v>
      </c>
      <c r="H75" s="28">
        <f t="array" ref="H75">INDEX(CC!C:C,MATCH(1,(CC!A:A=G75)*(CC!B:B=I75),0))</f>
        <v>1703</v>
      </c>
      <c r="I75" s="28" t="s">
        <v>44</v>
      </c>
      <c r="J75" s="31">
        <v>17818.69</v>
      </c>
      <c r="K75" s="28" t="str">
        <f>IFERROR(__xludf.DUMMYFUNCTION("IFERROR(
INDEX(
FILTER(
MAP(
reglas!$B$2:$B$240,
reglas!$C$2:$C$240,
reglas!$D$2:$D$240,
reglas!$E$2:$E$240,
LAMBDA(rEmisor,rPatron,rConcepto,rTipo,
IF(
AND(
OR(
UPPER(TRIM(rEmisor))=UPPER(TRIM(C75)),
UPPER(TRIM(rEmisor))=""CUALQUIERA""
),
OR(
UPPER(TRIM("&amp;"rTipo))=""SOLO EMISOR"",
AND(
UPPER(TRIM(rTipo))=""EXACTA"",
UPPER(TRIM(AG75))=UPPER(TRIM(rPatron))
),
AND(
OR(
UPPER(TRIM(rTipo))=""CONTIENE"",
UPPER(TRIM(rTipo))=""COINCIDENCIA""
),
ISNUMBER(SEARCH(UPPER(TRIM(rPatron)),UPPER(TRIM(D75))))
)
)
),
rConcept"&amp;"o,
""""
)
)
),
MAP(
reglas!$B$2:$B$240,
reglas!$C$2:$C$240,
reglas!$D$2:$D$240,
reglas!$E$2:$E$240,
LAMBDA(rEmisor,rPatron,rConcepto,rTipo,
IF(
AND(
OR(
UPPER(TRIM(rEmisor))=UPPER(TRIM(C75)),
UPPER(TRIM(rEmisor))=""CUALQUIERA""
),
OR(
UPPER(TRIM(rTipo))="&amp;"""SOLO EMISOR"",
AND(
UPPER(TRIM(rTipo))=""EXACTA"",
UPPER(TRIM(D75))=UPPER(TRIM(rPatron))
),
AND(
OR(
UPPER(TRIM(rTipo))=""CONTIENE"",
UPPER(TRIM(rTipo))=""COINCIDENCIA""
),
ISNUMBER(SEARCH(UPPER(TRIM(rPatron)),UPPER(TRIM(D75))))
)
)
),
rConcepto,
""""
)"&amp;"
)
)&lt;&gt;""""
),
1
),
""""
)"),"FLETE MARITIMO")</f>
        <v>FLETE MARITIMO</v>
      </c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</row>
    <row r="76">
      <c r="A76" s="32"/>
      <c r="B76" s="32"/>
      <c r="C76" s="29" t="s">
        <v>465</v>
      </c>
      <c r="D76" s="29" t="s">
        <v>924</v>
      </c>
      <c r="E76" s="30">
        <v>92587.29</v>
      </c>
      <c r="F76" s="28">
        <v>0.0</v>
      </c>
      <c r="G76" s="28" t="s">
        <v>554</v>
      </c>
      <c r="H76" s="28">
        <f t="array" ref="H76">INDEX(CC!C:C,MATCH(1,(CC!A:A=G76)*(CC!B:B=I76),0))</f>
        <v>1703</v>
      </c>
      <c r="I76" s="28" t="s">
        <v>44</v>
      </c>
      <c r="J76" s="31">
        <v>92587.29</v>
      </c>
      <c r="K76" s="28" t="str">
        <f>IFERROR(__xludf.DUMMYFUNCTION("IFERROR(
INDEX(
FILTER(
MAP(
reglas!$B$2:$B$240,
reglas!$C$2:$C$240,
reglas!$D$2:$D$240,
reglas!$E$2:$E$240,
LAMBDA(rEmisor,rPatron,rConcepto,rTipo,
IF(
AND(
OR(
UPPER(TRIM(rEmisor))=UPPER(TRIM(C76)),
UPPER(TRIM(rEmisor))=""CUALQUIERA""
),
OR(
UPPER(TRIM("&amp;"rTipo))=""SOLO EMISOR"",
AND(
UPPER(TRIM(rTipo))=""EXACTA"",
UPPER(TRIM(AG76))=UPPER(TRIM(rPatron))
),
AND(
OR(
UPPER(TRIM(rTipo))=""CONTIENE"",
UPPER(TRIM(rTipo))=""COINCIDENCIA""
),
ISNUMBER(SEARCH(UPPER(TRIM(rPatron)),UPPER(TRIM(D76))))
)
)
),
rConcept"&amp;"o,
""""
)
)
),
MAP(
reglas!$B$2:$B$240,
reglas!$C$2:$C$240,
reglas!$D$2:$D$240,
reglas!$E$2:$E$240,
LAMBDA(rEmisor,rPatron,rConcepto,rTipo,
IF(
AND(
OR(
UPPER(TRIM(rEmisor))=UPPER(TRIM(C76)),
UPPER(TRIM(rEmisor))=""CUALQUIERA""
),
OR(
UPPER(TRIM(rTipo))="&amp;"""SOLO EMISOR"",
AND(
UPPER(TRIM(rTipo))=""EXACTA"",
UPPER(TRIM(D76))=UPPER(TRIM(rPatron))
),
AND(
OR(
UPPER(TRIM(rTipo))=""CONTIENE"",
UPPER(TRIM(rTipo))=""COINCIDENCIA""
),
ISNUMBER(SEARCH(UPPER(TRIM(rPatron)),UPPER(TRIM(D76))))
)
)
),
rConcepto,
""""
)"&amp;"
)
)&lt;&gt;""""
),
1
),
""""
)"),"FLETE MARITIMO")</f>
        <v>FLETE MARITIMO</v>
      </c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</row>
    <row r="77">
      <c r="A77" s="32"/>
      <c r="B77" s="32"/>
      <c r="C77" s="29" t="s">
        <v>465</v>
      </c>
      <c r="D77" s="29" t="s">
        <v>926</v>
      </c>
      <c r="E77" s="30">
        <v>4716.71</v>
      </c>
      <c r="F77" s="28">
        <v>0.0</v>
      </c>
      <c r="G77" s="28" t="s">
        <v>554</v>
      </c>
      <c r="H77" s="28">
        <f t="array" ref="H77">INDEX(CC!C:C,MATCH(1,(CC!A:A=G77)*(CC!B:B=I77),0))</f>
        <v>1703</v>
      </c>
      <c r="I77" s="28" t="s">
        <v>44</v>
      </c>
      <c r="J77" s="31">
        <v>4716.71</v>
      </c>
      <c r="K77" s="28" t="str">
        <f>IFERROR(__xludf.DUMMYFUNCTION("IFERROR(
INDEX(
FILTER(
MAP(
reglas!$B$2:$B$240,
reglas!$C$2:$C$240,
reglas!$D$2:$D$240,
reglas!$E$2:$E$240,
LAMBDA(rEmisor,rPatron,rConcepto,rTipo,
IF(
AND(
OR(
UPPER(TRIM(rEmisor))=UPPER(TRIM(C77)),
UPPER(TRIM(rEmisor))=""CUALQUIERA""
),
OR(
UPPER(TRIM("&amp;"rTipo))=""SOLO EMISOR"",
AND(
UPPER(TRIM(rTipo))=""EXACTA"",
UPPER(TRIM(AG77))=UPPER(TRIM(rPatron))
),
AND(
OR(
UPPER(TRIM(rTipo))=""CONTIENE"",
UPPER(TRIM(rTipo))=""COINCIDENCIA""
),
ISNUMBER(SEARCH(UPPER(TRIM(rPatron)),UPPER(TRIM(D77))))
)
)
),
rConcept"&amp;"o,
""""
)
)
),
MAP(
reglas!$B$2:$B$240,
reglas!$C$2:$C$240,
reglas!$D$2:$D$240,
reglas!$E$2:$E$240,
LAMBDA(rEmisor,rPatron,rConcepto,rTipo,
IF(
AND(
OR(
UPPER(TRIM(rEmisor))=UPPER(TRIM(C77)),
UPPER(TRIM(rEmisor))=""CUALQUIERA""
),
OR(
UPPER(TRIM(rTipo))="&amp;"""SOLO EMISOR"",
AND(
UPPER(TRIM(rTipo))=""EXACTA"",
UPPER(TRIM(D77))=UPPER(TRIM(rPatron))
),
AND(
OR(
UPPER(TRIM(rTipo))=""CONTIENE"",
UPPER(TRIM(rTipo))=""COINCIDENCIA""
),
ISNUMBER(SEARCH(UPPER(TRIM(rPatron)),UPPER(TRIM(D77))))
)
)
),
rConcepto,
""""
)"&amp;"
)
)&lt;&gt;""""
),
1
),
""""
)"),"FLETE MARITIMO")</f>
        <v>FLETE MARITIMO</v>
      </c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</row>
    <row r="78">
      <c r="A78" s="32"/>
      <c r="B78" s="32"/>
      <c r="C78" s="29" t="s">
        <v>465</v>
      </c>
      <c r="D78" s="29" t="s">
        <v>923</v>
      </c>
      <c r="E78" s="30">
        <v>2707.74</v>
      </c>
      <c r="F78" s="28">
        <v>0.0</v>
      </c>
      <c r="G78" s="28" t="s">
        <v>554</v>
      </c>
      <c r="H78" s="28">
        <f t="array" ref="H78">INDEX(CC!C:C,MATCH(1,(CC!A:A=G78)*(CC!B:B=I78),0))</f>
        <v>1703</v>
      </c>
      <c r="I78" s="28" t="s">
        <v>44</v>
      </c>
      <c r="J78" s="31">
        <v>2707.74</v>
      </c>
      <c r="K78" s="28" t="str">
        <f>IFERROR(__xludf.DUMMYFUNCTION("IFERROR(
INDEX(
FILTER(
MAP(
reglas!$B$2:$B$240,
reglas!$C$2:$C$240,
reglas!$D$2:$D$240,
reglas!$E$2:$E$240,
LAMBDA(rEmisor,rPatron,rConcepto,rTipo,
IF(
AND(
OR(
UPPER(TRIM(rEmisor))=UPPER(TRIM(C78)),
UPPER(TRIM(rEmisor))=""CUALQUIERA""
),
OR(
UPPER(TRIM("&amp;"rTipo))=""SOLO EMISOR"",
AND(
UPPER(TRIM(rTipo))=""EXACTA"",
UPPER(TRIM(AG78))=UPPER(TRIM(rPatron))
),
AND(
OR(
UPPER(TRIM(rTipo))=""CONTIENE"",
UPPER(TRIM(rTipo))=""COINCIDENCIA""
),
ISNUMBER(SEARCH(UPPER(TRIM(rPatron)),UPPER(TRIM(D78))))
)
)
),
rConcept"&amp;"o,
""""
)
)
),
MAP(
reglas!$B$2:$B$240,
reglas!$C$2:$C$240,
reglas!$D$2:$D$240,
reglas!$E$2:$E$240,
LAMBDA(rEmisor,rPatron,rConcepto,rTipo,
IF(
AND(
OR(
UPPER(TRIM(rEmisor))=UPPER(TRIM(C78)),
UPPER(TRIM(rEmisor))=""CUALQUIERA""
),
OR(
UPPER(TRIM(rTipo))="&amp;"""SOLO EMISOR"",
AND(
UPPER(TRIM(rTipo))=""EXACTA"",
UPPER(TRIM(D78))=UPPER(TRIM(rPatron))
),
AND(
OR(
UPPER(TRIM(rTipo))=""CONTIENE"",
UPPER(TRIM(rTipo))=""COINCIDENCIA""
),
ISNUMBER(SEARCH(UPPER(TRIM(rPatron)),UPPER(TRIM(D78))))
)
)
),
rConcepto,
""""
)"&amp;"
)
)&lt;&gt;""""
),
1
),
""""
)"),"FLETE MARITIMO")</f>
        <v>FLETE MARITIMO</v>
      </c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</row>
    <row r="79">
      <c r="A79" s="28">
        <v>1.0</v>
      </c>
      <c r="B79" s="28" t="s">
        <v>29</v>
      </c>
      <c r="C79" s="29" t="s">
        <v>120</v>
      </c>
      <c r="D79" s="29" t="s">
        <v>121</v>
      </c>
      <c r="E79" s="30">
        <v>13480.0</v>
      </c>
      <c r="F79" s="28">
        <v>0.0</v>
      </c>
      <c r="G79" s="28" t="s">
        <v>539</v>
      </c>
      <c r="H79" s="28">
        <f t="array" ref="H79">INDEX(CC!C:C,MATCH(1,(CC!A:A=G79)*(CC!B:B=I79),0))</f>
        <v>1302</v>
      </c>
      <c r="I79" s="28" t="s">
        <v>25</v>
      </c>
      <c r="J79" s="31">
        <v>13480.0</v>
      </c>
      <c r="K79" s="28" t="str">
        <f>IFERROR(__xludf.DUMMYFUNCTION("IFERROR(
INDEX(
FILTER(
MAP(
reglas!$B$2:$B$240,
reglas!$C$2:$C$240,
reglas!$D$2:$D$240,
reglas!$E$2:$E$240,
LAMBDA(rEmisor,rPatron,rConcepto,rTipo,
IF(
AND(
OR(
UPPER(TRIM(rEmisor))=UPPER(TRIM(C79)),
UPPER(TRIM(rEmisor))=""CUALQUIERA""
),
OR(
UPPER(TRIM("&amp;"rTipo))=""SOLO EMISOR"",
AND(
UPPER(TRIM(rTipo))=""EXACTA"",
UPPER(TRIM(AG79))=UPPER(TRIM(rPatron))
),
AND(
OR(
UPPER(TRIM(rTipo))=""CONTIENE"",
UPPER(TRIM(rTipo))=""COINCIDENCIA""
),
ISNUMBER(SEARCH(UPPER(TRIM(rPatron)),UPPER(TRIM(D79))))
)
)
),
rConcept"&amp;"o,
""""
)
)
),
MAP(
reglas!$B$2:$B$240,
reglas!$C$2:$C$240,
reglas!$D$2:$D$240,
reglas!$E$2:$E$240,
LAMBDA(rEmisor,rPatron,rConcepto,rTipo,
IF(
AND(
OR(
UPPER(TRIM(rEmisor))=UPPER(TRIM(C79)),
UPPER(TRIM(rEmisor))=""CUALQUIERA""
),
OR(
UPPER(TRIM(rTipo))="&amp;"""SOLO EMISOR"",
AND(
UPPER(TRIM(rTipo))=""EXACTA"",
UPPER(TRIM(D79))=UPPER(TRIM(rPatron))
),
AND(
OR(
UPPER(TRIM(rTipo))=""CONTIENE"",
UPPER(TRIM(rTipo))=""COINCIDENCIA""
),
ISNUMBER(SEARCH(UPPER(TRIM(rPatron)),UPPER(TRIM(D79))))
)
)
),
rConcepto,
""""
)"&amp;"
)
)&lt;&gt;""""
),
1
),
""""
)"),"CUOTAS Y SUSCRIPCIONES")</f>
        <v>CUOTAS Y SUSCRIPCIONES</v>
      </c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</row>
    <row r="80">
      <c r="A80" s="32"/>
      <c r="B80" s="32"/>
      <c r="C80" s="29" t="s">
        <v>120</v>
      </c>
      <c r="D80" s="29" t="s">
        <v>928</v>
      </c>
      <c r="E80" s="30">
        <v>2282.0</v>
      </c>
      <c r="F80" s="28">
        <v>0.0</v>
      </c>
      <c r="G80" s="28" t="s">
        <v>539</v>
      </c>
      <c r="H80" s="28">
        <f t="array" ref="H80">INDEX(CC!C:C,MATCH(1,(CC!A:A=G80)*(CC!B:B=I80),0))</f>
        <v>1302</v>
      </c>
      <c r="I80" s="28" t="s">
        <v>25</v>
      </c>
      <c r="J80" s="31">
        <v>1141.0</v>
      </c>
      <c r="K80" s="28" t="str">
        <f>IFERROR(__xludf.DUMMYFUNCTION("IFERROR(
INDEX(
FILTER(
MAP(
reglas!$B$2:$B$240,
reglas!$C$2:$C$240,
reglas!$D$2:$D$240,
reglas!$E$2:$E$240,
LAMBDA(rEmisor,rPatron,rConcepto,rTipo,
IF(
AND(
OR(
UPPER(TRIM(rEmisor))=UPPER(TRIM(C80)),
UPPER(TRIM(rEmisor))=""CUALQUIERA""
),
OR(
UPPER(TRIM("&amp;"rTipo))=""SOLO EMISOR"",
AND(
UPPER(TRIM(rTipo))=""EXACTA"",
UPPER(TRIM(AG80))=UPPER(TRIM(rPatron))
),
AND(
OR(
UPPER(TRIM(rTipo))=""CONTIENE"",
UPPER(TRIM(rTipo))=""COINCIDENCIA""
),
ISNUMBER(SEARCH(UPPER(TRIM(rPatron)),UPPER(TRIM(D80))))
)
)
),
rConcept"&amp;"o,
""""
)
)
),
MAP(
reglas!$B$2:$B$240,
reglas!$C$2:$C$240,
reglas!$D$2:$D$240,
reglas!$E$2:$E$240,
LAMBDA(rEmisor,rPatron,rConcepto,rTipo,
IF(
AND(
OR(
UPPER(TRIM(rEmisor))=UPPER(TRIM(C80)),
UPPER(TRIM(rEmisor))=""CUALQUIERA""
),
OR(
UPPER(TRIM(rTipo))="&amp;"""SOLO EMISOR"",
AND(
UPPER(TRIM(rTipo))=""EXACTA"",
UPPER(TRIM(D80))=UPPER(TRIM(rPatron))
),
AND(
OR(
UPPER(TRIM(rTipo))=""CONTIENE"",
UPPER(TRIM(rTipo))=""COINCIDENCIA""
),
ISNUMBER(SEARCH(UPPER(TRIM(rPatron)),UPPER(TRIM(D80))))
)
)
),
rConcepto,
""""
)"&amp;"
)
)&lt;&gt;""""
),
1
),
""""
)"),"CUOTAS Y SUSCRIPCIONES")</f>
        <v>CUOTAS Y SUSCRIPCIONES</v>
      </c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</row>
    <row r="81">
      <c r="A81" s="32"/>
      <c r="B81" s="32"/>
      <c r="C81" s="29" t="s">
        <v>120</v>
      </c>
      <c r="D81" s="29" t="s">
        <v>928</v>
      </c>
      <c r="E81" s="32"/>
      <c r="F81" s="32"/>
      <c r="G81" s="28" t="s">
        <v>554</v>
      </c>
      <c r="H81" s="28">
        <f t="array" ref="H81">INDEX(CC!C:C,MATCH(1,(CC!A:A=G81)*(CC!B:B=I81),0))</f>
        <v>1702</v>
      </c>
      <c r="I81" s="28" t="s">
        <v>25</v>
      </c>
      <c r="J81" s="31">
        <v>1141.0</v>
      </c>
      <c r="K81" s="28" t="str">
        <f>IFERROR(__xludf.DUMMYFUNCTION("IFERROR(
INDEX(
FILTER(
MAP(
reglas!$B$2:$B$240,
reglas!$C$2:$C$240,
reglas!$D$2:$D$240,
reglas!$E$2:$E$240,
LAMBDA(rEmisor,rPatron,rConcepto,rTipo,
IF(
AND(
OR(
UPPER(TRIM(rEmisor))=UPPER(TRIM(C81)),
UPPER(TRIM(rEmisor))=""CUALQUIERA""
),
OR(
UPPER(TRIM("&amp;"rTipo))=""SOLO EMISOR"",
AND(
UPPER(TRIM(rTipo))=""EXACTA"",
UPPER(TRIM(AG81))=UPPER(TRIM(rPatron))
),
AND(
OR(
UPPER(TRIM(rTipo))=""CONTIENE"",
UPPER(TRIM(rTipo))=""COINCIDENCIA""
),
ISNUMBER(SEARCH(UPPER(TRIM(rPatron)),UPPER(TRIM(D81))))
)
)
),
rConcept"&amp;"o,
""""
)
)
),
MAP(
reglas!$B$2:$B$240,
reglas!$C$2:$C$240,
reglas!$D$2:$D$240,
reglas!$E$2:$E$240,
LAMBDA(rEmisor,rPatron,rConcepto,rTipo,
IF(
AND(
OR(
UPPER(TRIM(rEmisor))=UPPER(TRIM(C81)),
UPPER(TRIM(rEmisor))=""CUALQUIERA""
),
OR(
UPPER(TRIM(rTipo))="&amp;"""SOLO EMISOR"",
AND(
UPPER(TRIM(rTipo))=""EXACTA"",
UPPER(TRIM(D81))=UPPER(TRIM(rPatron))
),
AND(
OR(
UPPER(TRIM(rTipo))=""CONTIENE"",
UPPER(TRIM(rTipo))=""COINCIDENCIA""
),
ISNUMBER(SEARCH(UPPER(TRIM(rPatron)),UPPER(TRIM(D81))))
)
)
),
rConcepto,
""""
)"&amp;"
)
)&lt;&gt;""""
),
1
),
""""
)"),"CUOTAS Y SUSCRIPCIONES")</f>
        <v>CUOTAS Y SUSCRIPCIONES</v>
      </c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</row>
    <row r="82">
      <c r="A82" s="32"/>
      <c r="B82" s="28" t="s">
        <v>29</v>
      </c>
      <c r="C82" s="29" t="s">
        <v>163</v>
      </c>
      <c r="D82" s="29" t="s">
        <v>929</v>
      </c>
      <c r="E82" s="28">
        <v>289.55</v>
      </c>
      <c r="F82" s="28">
        <v>0.0</v>
      </c>
      <c r="G82" s="28" t="s">
        <v>55</v>
      </c>
      <c r="H82" s="28">
        <f t="array" ref="H82">INDEX(CC!C:C,MATCH(1,(CC!A:A=G82)*(CC!B:B=I82),0))</f>
        <v>902</v>
      </c>
      <c r="I82" s="28" t="s">
        <v>25</v>
      </c>
      <c r="J82" s="31">
        <v>289.55</v>
      </c>
      <c r="K82" s="28" t="str">
        <f>IFERROR(__xludf.DUMMYFUNCTION("IFERROR(
INDEX(
FILTER(
MAP(
reglas!$B$2:$B$240,
reglas!$C$2:$C$240,
reglas!$D$2:$D$240,
reglas!$E$2:$E$240,
LAMBDA(rEmisor,rPatron,rConcepto,rTipo,
IF(
AND(
OR(
UPPER(TRIM(rEmisor))=UPPER(TRIM(C82)),
UPPER(TRIM(rEmisor))=""CUALQUIERA""
),
OR(
UPPER(TRIM("&amp;"rTipo))=""SOLO EMISOR"",
AND(
UPPER(TRIM(rTipo))=""EXACTA"",
UPPER(TRIM(AG82))=UPPER(TRIM(rPatron))
),
AND(
OR(
UPPER(TRIM(rTipo))=""CONTIENE"",
UPPER(TRIM(rTipo))=""COINCIDENCIA""
),
ISNUMBER(SEARCH(UPPER(TRIM(rPatron)),UPPER(TRIM(D82))))
)
)
),
rConcept"&amp;"o,
""""
)
)
),
MAP(
reglas!$B$2:$B$240,
reglas!$C$2:$C$240,
reglas!$D$2:$D$240,
reglas!$E$2:$E$240,
LAMBDA(rEmisor,rPatron,rConcepto,rTipo,
IF(
AND(
OR(
UPPER(TRIM(rEmisor))=UPPER(TRIM(C82)),
UPPER(TRIM(rEmisor))=""CUALQUIERA""
),
OR(
UPPER(TRIM(rTipo))="&amp;"""SOLO EMISOR"",
AND(
UPPER(TRIM(rTipo))=""EXACTA"",
UPPER(TRIM(D82))=UPPER(TRIM(rPatron))
),
AND(
OR(
UPPER(TRIM(rTipo))=""CONTIENE"",
UPPER(TRIM(rTipo))=""COINCIDENCIA""
),
ISNUMBER(SEARCH(UPPER(TRIM(rPatron)),UPPER(TRIM(D82))))
)
)
),
rConcepto,
""""
)"&amp;"
)
)&lt;&gt;""""
),
1
),
""""
)"),"ARRENDAMIENTO")</f>
        <v>ARRENDAMIENTO</v>
      </c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</row>
    <row r="83">
      <c r="A83" s="32"/>
      <c r="B83" s="28" t="s">
        <v>29</v>
      </c>
      <c r="C83" s="29" t="s">
        <v>172</v>
      </c>
      <c r="D83" s="29" t="s">
        <v>559</v>
      </c>
      <c r="E83" s="30">
        <v>11500.0</v>
      </c>
      <c r="F83" s="28">
        <v>0.0</v>
      </c>
      <c r="G83" s="28" t="s">
        <v>250</v>
      </c>
      <c r="H83" s="28">
        <f t="array" ref="H83">INDEX(CC!C:C,MATCH(1,(CC!A:A=G83)*(CC!B:B=I83),0))</f>
        <v>1402</v>
      </c>
      <c r="I83" s="28" t="s">
        <v>25</v>
      </c>
      <c r="J83" s="31">
        <v>11500.0</v>
      </c>
      <c r="K83" s="28" t="str">
        <f>IFERROR(__xludf.DUMMYFUNCTION("IFERROR(
INDEX(
FILTER(
MAP(
reglas!$B$2:$B$240,
reglas!$C$2:$C$240,
reglas!$D$2:$D$240,
reglas!$E$2:$E$240,
LAMBDA(rEmisor,rPatron,rConcepto,rTipo,
IF(
AND(
OR(
UPPER(TRIM(rEmisor))=UPPER(TRIM(C83)),
UPPER(TRIM(rEmisor))=""CUALQUIERA""
),
OR(
UPPER(TRIM("&amp;"rTipo))=""SOLO EMISOR"",
AND(
UPPER(TRIM(rTipo))=""EXACTA"",
UPPER(TRIM(AG83))=UPPER(TRIM(rPatron))
),
AND(
OR(
UPPER(TRIM(rTipo))=""CONTIENE"",
UPPER(TRIM(rTipo))=""COINCIDENCIA""
),
ISNUMBER(SEARCH(UPPER(TRIM(rPatron)),UPPER(TRIM(D83))))
)
)
),
rConcept"&amp;"o,
""""
)
)
),
MAP(
reglas!$B$2:$B$240,
reglas!$C$2:$C$240,
reglas!$D$2:$D$240,
reglas!$E$2:$E$240,
LAMBDA(rEmisor,rPatron,rConcepto,rTipo,
IF(
AND(
OR(
UPPER(TRIM(rEmisor))=UPPER(TRIM(C83)),
UPPER(TRIM(rEmisor))=""CUALQUIERA""
),
OR(
UPPER(TRIM(rTipo))="&amp;"""SOLO EMISOR"",
AND(
UPPER(TRIM(rTipo))=""EXACTA"",
UPPER(TRIM(D83))=UPPER(TRIM(rPatron))
),
AND(
OR(
UPPER(TRIM(rTipo))=""CONTIENE"",
UPPER(TRIM(rTipo))=""COINCIDENCIA""
),
ISNUMBER(SEARCH(UPPER(TRIM(rPatron)),UPPER(TRIM(D83))))
)
)
),
rConcepto,
""""
)"&amp;"
)
)&lt;&gt;""""
),
1
),
""""
)"),"TRANSPORTE")</f>
        <v>TRANSPORTE</v>
      </c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</row>
    <row r="84">
      <c r="A84" s="28">
        <v>1.0</v>
      </c>
      <c r="B84" s="28" t="s">
        <v>29</v>
      </c>
      <c r="C84" s="29" t="s">
        <v>466</v>
      </c>
      <c r="D84" s="29" t="s">
        <v>368</v>
      </c>
      <c r="E84" s="28">
        <v>522.0</v>
      </c>
      <c r="F84" s="28">
        <v>0.0</v>
      </c>
      <c r="G84" s="28" t="s">
        <v>551</v>
      </c>
      <c r="H84" s="28">
        <f t="array" ref="H84">INDEX(CC!C:C,MATCH(1,(CC!A:A=G84)*(CC!B:B=I84),0))</f>
        <v>1203</v>
      </c>
      <c r="I84" s="28" t="s">
        <v>44</v>
      </c>
      <c r="J84" s="31">
        <v>522.0</v>
      </c>
      <c r="K84" s="28" t="str">
        <f>IFERROR(__xludf.DUMMYFUNCTION("IFERROR(
INDEX(
FILTER(
MAP(
reglas!$B$2:$B$240,
reglas!$C$2:$C$240,
reglas!$D$2:$D$240,
reglas!$E$2:$E$240,
LAMBDA(rEmisor,rPatron,rConcepto,rTipo,
IF(
AND(
OR(
UPPER(TRIM(rEmisor))=UPPER(TRIM(C84)),
UPPER(TRIM(rEmisor))=""CUALQUIERA""
),
OR(
UPPER(TRIM("&amp;"rTipo))=""SOLO EMISOR"",
AND(
UPPER(TRIM(rTipo))=""EXACTA"",
UPPER(TRIM(AG84))=UPPER(TRIM(rPatron))
),
AND(
OR(
UPPER(TRIM(rTipo))=""CONTIENE"",
UPPER(TRIM(rTipo))=""COINCIDENCIA""
),
ISNUMBER(SEARCH(UPPER(TRIM(rPatron)),UPPER(TRIM(D84))))
)
)
),
rConcept"&amp;"o,
""""
)
)
),
MAP(
reglas!$B$2:$B$240,
reglas!$C$2:$C$240,
reglas!$D$2:$D$240,
reglas!$E$2:$E$240,
LAMBDA(rEmisor,rPatron,rConcepto,rTipo,
IF(
AND(
OR(
UPPER(TRIM(rEmisor))=UPPER(TRIM(C84)),
UPPER(TRIM(rEmisor))=""CUALQUIERA""
),
OR(
UPPER(TRIM(rTipo))="&amp;"""SOLO EMISOR"",
AND(
UPPER(TRIM(rTipo))=""EXACTA"",
UPPER(TRIM(D84))=UPPER(TRIM(rPatron))
),
AND(
OR(
UPPER(TRIM(rTipo))=""CONTIENE"",
UPPER(TRIM(rTipo))=""COINCIDENCIA""
),
ISNUMBER(SEARCH(UPPER(TRIM(rPatron)),UPPER(TRIM(D84))))
)
)
),
rConcepto,
""""
)"&amp;"
)
)&lt;&gt;""""
),
1
),
""""
)"),"MANIOBRAS")</f>
        <v>MANIOBRAS</v>
      </c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</row>
    <row r="85">
      <c r="A85" s="32"/>
      <c r="B85" s="32"/>
      <c r="C85" s="29" t="s">
        <v>466</v>
      </c>
      <c r="D85" s="29" t="s">
        <v>369</v>
      </c>
      <c r="E85" s="28">
        <v>327.58</v>
      </c>
      <c r="F85" s="28">
        <v>0.0</v>
      </c>
      <c r="G85" s="28" t="s">
        <v>551</v>
      </c>
      <c r="H85" s="28">
        <f t="array" ref="H85">INDEX(CC!C:C,MATCH(1,(CC!A:A=G85)*(CC!B:B=I85),0))</f>
        <v>1203</v>
      </c>
      <c r="I85" s="28" t="s">
        <v>44</v>
      </c>
      <c r="J85" s="31">
        <v>327.58</v>
      </c>
      <c r="K85" s="28" t="str">
        <f>IFERROR(__xludf.DUMMYFUNCTION("IFERROR(
INDEX(
FILTER(
MAP(
reglas!$B$2:$B$240,
reglas!$C$2:$C$240,
reglas!$D$2:$D$240,
reglas!$E$2:$E$240,
LAMBDA(rEmisor,rPatron,rConcepto,rTipo,
IF(
AND(
OR(
UPPER(TRIM(rEmisor))=UPPER(TRIM(C85)),
UPPER(TRIM(rEmisor))=""CUALQUIERA""
),
OR(
UPPER(TRIM("&amp;"rTipo))=""SOLO EMISOR"",
AND(
UPPER(TRIM(rTipo))=""EXACTA"",
UPPER(TRIM(AG85))=UPPER(TRIM(rPatron))
),
AND(
OR(
UPPER(TRIM(rTipo))=""CONTIENE"",
UPPER(TRIM(rTipo))=""COINCIDENCIA""
),
ISNUMBER(SEARCH(UPPER(TRIM(rPatron)),UPPER(TRIM(D85))))
)
)
),
rConcept"&amp;"o,
""""
)
)
),
MAP(
reglas!$B$2:$B$240,
reglas!$C$2:$C$240,
reglas!$D$2:$D$240,
reglas!$E$2:$E$240,
LAMBDA(rEmisor,rPatron,rConcepto,rTipo,
IF(
AND(
OR(
UPPER(TRIM(rEmisor))=UPPER(TRIM(C85)),
UPPER(TRIM(rEmisor))=""CUALQUIERA""
),
OR(
UPPER(TRIM(rTipo))="&amp;"""SOLO EMISOR"",
AND(
UPPER(TRIM(rTipo))=""EXACTA"",
UPPER(TRIM(D85))=UPPER(TRIM(rPatron))
),
AND(
OR(
UPPER(TRIM(rTipo))=""CONTIENE"",
UPPER(TRIM(rTipo))=""COINCIDENCIA""
),
ISNUMBER(SEARCH(UPPER(TRIM(rPatron)),UPPER(TRIM(D85))))
)
)
),
rConcepto,
""""
)"&amp;"
)
)&lt;&gt;""""
),
1
),
""""
)"),"MANIOBRAS")</f>
        <v>MANIOBRAS</v>
      </c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</row>
    <row r="86">
      <c r="A86" s="32"/>
      <c r="B86" s="32"/>
      <c r="C86" s="29" t="s">
        <v>466</v>
      </c>
      <c r="D86" s="29" t="s">
        <v>932</v>
      </c>
      <c r="E86" s="30">
        <v>16434.0</v>
      </c>
      <c r="F86" s="28">
        <v>0.0</v>
      </c>
      <c r="G86" s="28" t="s">
        <v>551</v>
      </c>
      <c r="H86" s="28">
        <f t="array" ref="H86">INDEX(CC!C:C,MATCH(1,(CC!A:A=G86)*(CC!B:B=I86),0))</f>
        <v>1203</v>
      </c>
      <c r="I86" s="28" t="s">
        <v>44</v>
      </c>
      <c r="J86" s="31">
        <v>16434.0</v>
      </c>
      <c r="K86" s="28" t="str">
        <f>IFERROR(__xludf.DUMMYFUNCTION("IFERROR(
INDEX(
FILTER(
MAP(
reglas!$B$2:$B$240,
reglas!$C$2:$C$240,
reglas!$D$2:$D$240,
reglas!$E$2:$E$240,
LAMBDA(rEmisor,rPatron,rConcepto,rTipo,
IF(
AND(
OR(
UPPER(TRIM(rEmisor))=UPPER(TRIM(C86)),
UPPER(TRIM(rEmisor))=""CUALQUIERA""
),
OR(
UPPER(TRIM("&amp;"rTipo))=""SOLO EMISOR"",
AND(
UPPER(TRIM(rTipo))=""EXACTA"",
UPPER(TRIM(AG86))=UPPER(TRIM(rPatron))
),
AND(
OR(
UPPER(TRIM(rTipo))=""CONTIENE"",
UPPER(TRIM(rTipo))=""COINCIDENCIA""
),
ISNUMBER(SEARCH(UPPER(TRIM(rPatron)),UPPER(TRIM(D86))))
)
)
),
rConcept"&amp;"o,
""""
)
)
),
MAP(
reglas!$B$2:$B$240,
reglas!$C$2:$C$240,
reglas!$D$2:$D$240,
reglas!$E$2:$E$240,
LAMBDA(rEmisor,rPatron,rConcepto,rTipo,
IF(
AND(
OR(
UPPER(TRIM(rEmisor))=UPPER(TRIM(C86)),
UPPER(TRIM(rEmisor))=""CUALQUIERA""
),
OR(
UPPER(TRIM(rTipo))="&amp;"""SOLO EMISOR"",
AND(
UPPER(TRIM(rTipo))=""EXACTA"",
UPPER(TRIM(D86))=UPPER(TRIM(rPatron))
),
AND(
OR(
UPPER(TRIM(rTipo))=""CONTIENE"",
UPPER(TRIM(rTipo))=""COINCIDENCIA""
),
ISNUMBER(SEARCH(UPPER(TRIM(rPatron)),UPPER(TRIM(D86))))
)
)
),
rConcepto,
""""
)"&amp;"
)
)&lt;&gt;""""
),
1
),
""""
)"),"MANIOBRAS")</f>
        <v>MANIOBRAS</v>
      </c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</row>
    <row r="87">
      <c r="A87" s="32"/>
      <c r="B87" s="32"/>
      <c r="C87" s="29" t="s">
        <v>466</v>
      </c>
      <c r="D87" s="29" t="s">
        <v>933</v>
      </c>
      <c r="E87" s="30">
        <v>1844.0</v>
      </c>
      <c r="F87" s="28">
        <v>0.0</v>
      </c>
      <c r="G87" s="28" t="s">
        <v>551</v>
      </c>
      <c r="H87" s="28">
        <f t="array" ref="H87">INDEX(CC!C:C,MATCH(1,(CC!A:A=G87)*(CC!B:B=I87),0))</f>
        <v>1203</v>
      </c>
      <c r="I87" s="28" t="s">
        <v>44</v>
      </c>
      <c r="J87" s="31">
        <v>1844.0</v>
      </c>
      <c r="K87" s="28" t="str">
        <f>IFERROR(__xludf.DUMMYFUNCTION("IFERROR(
INDEX(
FILTER(
MAP(
reglas!$B$2:$B$240,
reglas!$C$2:$C$240,
reglas!$D$2:$D$240,
reglas!$E$2:$E$240,
LAMBDA(rEmisor,rPatron,rConcepto,rTipo,
IF(
AND(
OR(
UPPER(TRIM(rEmisor))=UPPER(TRIM(C87)),
UPPER(TRIM(rEmisor))=""CUALQUIERA""
),
OR(
UPPER(TRIM("&amp;"rTipo))=""SOLO EMISOR"",
AND(
UPPER(TRIM(rTipo))=""EXACTA"",
UPPER(TRIM(AG87))=UPPER(TRIM(rPatron))
),
AND(
OR(
UPPER(TRIM(rTipo))=""CONTIENE"",
UPPER(TRIM(rTipo))=""COINCIDENCIA""
),
ISNUMBER(SEARCH(UPPER(TRIM(rPatron)),UPPER(TRIM(D87))))
)
)
),
rConcept"&amp;"o,
""""
)
)
),
MAP(
reglas!$B$2:$B$240,
reglas!$C$2:$C$240,
reglas!$D$2:$D$240,
reglas!$E$2:$E$240,
LAMBDA(rEmisor,rPatron,rConcepto,rTipo,
IF(
AND(
OR(
UPPER(TRIM(rEmisor))=UPPER(TRIM(C87)),
UPPER(TRIM(rEmisor))=""CUALQUIERA""
),
OR(
UPPER(TRIM(rTipo))="&amp;"""SOLO EMISOR"",
AND(
UPPER(TRIM(rTipo))=""EXACTA"",
UPPER(TRIM(D87))=UPPER(TRIM(rPatron))
),
AND(
OR(
UPPER(TRIM(rTipo))=""CONTIENE"",
UPPER(TRIM(rTipo))=""COINCIDENCIA""
),
ISNUMBER(SEARCH(UPPER(TRIM(rPatron)),UPPER(TRIM(D87))))
)
)
),
rConcepto,
""""
)"&amp;"
)
)&lt;&gt;""""
),
1
),
""""
)"),"MANIOBRAS")</f>
        <v>MANIOBRAS</v>
      </c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</row>
    <row r="88">
      <c r="A88" s="32"/>
      <c r="B88" s="28" t="s">
        <v>29</v>
      </c>
      <c r="C88" s="29" t="s">
        <v>408</v>
      </c>
      <c r="D88" s="29" t="s">
        <v>409</v>
      </c>
      <c r="E88" s="30">
        <v>5000.0</v>
      </c>
      <c r="F88" s="28">
        <v>0.0</v>
      </c>
      <c r="G88" s="28" t="s">
        <v>84</v>
      </c>
      <c r="H88" s="28">
        <f t="array" ref="H88">INDEX(CC!C:C,MATCH(1,(CC!A:A=G88)*(CC!B:B=I88),0))</f>
        <v>1002</v>
      </c>
      <c r="I88" s="28" t="s">
        <v>25</v>
      </c>
      <c r="J88" s="31">
        <v>5000.0</v>
      </c>
      <c r="K88" s="28" t="str">
        <f>IFERROR(__xludf.DUMMYFUNCTION("IFERROR(
INDEX(
FILTER(
MAP(
reglas!$B$2:$B$240,
reglas!$C$2:$C$240,
reglas!$D$2:$D$240,
reglas!$E$2:$E$240,
LAMBDA(rEmisor,rPatron,rConcepto,rTipo,
IF(
AND(
OR(
UPPER(TRIM(rEmisor))=UPPER(TRIM(C88)),
UPPER(TRIM(rEmisor))=""CUALQUIERA""
),
OR(
UPPER(TRIM("&amp;"rTipo))=""SOLO EMISOR"",
AND(
UPPER(TRIM(rTipo))=""EXACTA"",
UPPER(TRIM(AG88))=UPPER(TRIM(rPatron))
),
AND(
OR(
UPPER(TRIM(rTipo))=""CONTIENE"",
UPPER(TRIM(rTipo))=""COINCIDENCIA""
),
ISNUMBER(SEARCH(UPPER(TRIM(rPatron)),UPPER(TRIM(D88))))
)
)
),
rConcept"&amp;"o,
""""
)
)
),
MAP(
reglas!$B$2:$B$240,
reglas!$C$2:$C$240,
reglas!$D$2:$D$240,
reglas!$E$2:$E$240,
LAMBDA(rEmisor,rPatron,rConcepto,rTipo,
IF(
AND(
OR(
UPPER(TRIM(rEmisor))=UPPER(TRIM(C88)),
UPPER(TRIM(rEmisor))=""CUALQUIERA""
),
OR(
UPPER(TRIM(rTipo))="&amp;"""SOLO EMISOR"",
AND(
UPPER(TRIM(rTipo))=""EXACTA"",
UPPER(TRIM(D88))=UPPER(TRIM(rPatron))
),
AND(
OR(
UPPER(TRIM(rTipo))=""CONTIENE"",
UPPER(TRIM(rTipo))=""COINCIDENCIA""
),
ISNUMBER(SEARCH(UPPER(TRIM(rPatron)),UPPER(TRIM(D88))))
)
)
),
rConcepto,
""""
)"&amp;"
)
)&lt;&gt;""""
),
1
),
""""
)"),"LICENCIAS DE COMPUTO")</f>
        <v>LICENCIAS DE COMPUTO</v>
      </c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</row>
    <row r="89">
      <c r="A89" s="32"/>
      <c r="B89" s="28" t="s">
        <v>29</v>
      </c>
      <c r="C89" s="29" t="s">
        <v>172</v>
      </c>
      <c r="D89" s="29" t="s">
        <v>935</v>
      </c>
      <c r="E89" s="30">
        <v>11500.0</v>
      </c>
      <c r="F89" s="28">
        <v>0.0</v>
      </c>
      <c r="G89" s="28" t="s">
        <v>250</v>
      </c>
      <c r="H89" s="28">
        <f t="array" ref="H89">INDEX(CC!C:C,MATCH(1,(CC!A:A=G89)*(CC!B:B=I89),0))</f>
        <v>1402</v>
      </c>
      <c r="I89" s="28" t="s">
        <v>25</v>
      </c>
      <c r="J89" s="31">
        <v>11500.0</v>
      </c>
      <c r="K89" s="28" t="str">
        <f>IFERROR(__xludf.DUMMYFUNCTION("IFERROR(
INDEX(
FILTER(
MAP(
reglas!$B$2:$B$240,
reglas!$C$2:$C$240,
reglas!$D$2:$D$240,
reglas!$E$2:$E$240,
LAMBDA(rEmisor,rPatron,rConcepto,rTipo,
IF(
AND(
OR(
UPPER(TRIM(rEmisor))=UPPER(TRIM(C89)),
UPPER(TRIM(rEmisor))=""CUALQUIERA""
),
OR(
UPPER(TRIM("&amp;"rTipo))=""SOLO EMISOR"",
AND(
UPPER(TRIM(rTipo))=""EXACTA"",
UPPER(TRIM(AG89))=UPPER(TRIM(rPatron))
),
AND(
OR(
UPPER(TRIM(rTipo))=""CONTIENE"",
UPPER(TRIM(rTipo))=""COINCIDENCIA""
),
ISNUMBER(SEARCH(UPPER(TRIM(rPatron)),UPPER(TRIM(D89))))
)
)
),
rConcept"&amp;"o,
""""
)
)
),
MAP(
reglas!$B$2:$B$240,
reglas!$C$2:$C$240,
reglas!$D$2:$D$240,
reglas!$E$2:$E$240,
LAMBDA(rEmisor,rPatron,rConcepto,rTipo,
IF(
AND(
OR(
UPPER(TRIM(rEmisor))=UPPER(TRIM(C89)),
UPPER(TRIM(rEmisor))=""CUALQUIERA""
),
OR(
UPPER(TRIM(rTipo))="&amp;"""SOLO EMISOR"",
AND(
UPPER(TRIM(rTipo))=""EXACTA"",
UPPER(TRIM(D89))=UPPER(TRIM(rPatron))
),
AND(
OR(
UPPER(TRIM(rTipo))=""CONTIENE"",
UPPER(TRIM(rTipo))=""COINCIDENCIA""
),
ISNUMBER(SEARCH(UPPER(TRIM(rPatron)),UPPER(TRIM(D89))))
)
)
),
rConcepto,
""""
)"&amp;"
)
)&lt;&gt;""""
),
1
),
""""
)"),"TRANSPORTE")</f>
        <v>TRANSPORTE</v>
      </c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</row>
    <row r="90">
      <c r="A90" s="28">
        <v>1.0</v>
      </c>
      <c r="B90" s="28" t="s">
        <v>29</v>
      </c>
      <c r="C90" s="29" t="s">
        <v>120</v>
      </c>
      <c r="D90" s="29" t="s">
        <v>444</v>
      </c>
      <c r="E90" s="28">
        <v>82.76</v>
      </c>
      <c r="F90" s="28">
        <v>0.0</v>
      </c>
      <c r="G90" s="28" t="s">
        <v>250</v>
      </c>
      <c r="H90" s="28">
        <f t="array" ref="H90">INDEX(CC!C:C,MATCH(1,(CC!A:A=G90)*(CC!B:B=I90),0))</f>
        <v>1402</v>
      </c>
      <c r="I90" s="28" t="s">
        <v>25</v>
      </c>
      <c r="J90" s="31">
        <v>82.76</v>
      </c>
      <c r="K90" s="28" t="str">
        <f>IFERROR(__xludf.DUMMYFUNCTION("IFERROR(
INDEX(
FILTER(
MAP(
reglas!$B$2:$B$240,
reglas!$C$2:$C$240,
reglas!$D$2:$D$240,
reglas!$E$2:$E$240,
LAMBDA(rEmisor,rPatron,rConcepto,rTipo,
IF(
AND(
OR(
UPPER(TRIM(rEmisor))=UPPER(TRIM(C90)),
UPPER(TRIM(rEmisor))=""CUALQUIERA""
),
OR(
UPPER(TRIM("&amp;"rTipo))=""SOLO EMISOR"",
AND(
UPPER(TRIM(rTipo))=""EXACTA"",
UPPER(TRIM(AG90))=UPPER(TRIM(rPatron))
),
AND(
OR(
UPPER(TRIM(rTipo))=""CONTIENE"",
UPPER(TRIM(rTipo))=""COINCIDENCIA""
),
ISNUMBER(SEARCH(UPPER(TRIM(rPatron)),UPPER(TRIM(D90))))
)
)
),
rConcept"&amp;"o,
""""
)
)
),
MAP(
reglas!$B$2:$B$240,
reglas!$C$2:$C$240,
reglas!$D$2:$D$240,
reglas!$E$2:$E$240,
LAMBDA(rEmisor,rPatron,rConcepto,rTipo,
IF(
AND(
OR(
UPPER(TRIM(rEmisor))=UPPER(TRIM(C90)),
UPPER(TRIM(rEmisor))=""CUALQUIERA""
),
OR(
UPPER(TRIM(rTipo))="&amp;"""SOLO EMISOR"",
AND(
UPPER(TRIM(rTipo))=""EXACTA"",
UPPER(TRIM(D90))=UPPER(TRIM(rPatron))
),
AND(
OR(
UPPER(TRIM(rTipo))=""CONTIENE"",
UPPER(TRIM(rTipo))=""COINCIDENCIA""
),
ISNUMBER(SEARCH(UPPER(TRIM(rPatron)),UPPER(TRIM(D90))))
)
)
),
rConcepto,
""""
)"&amp;"
)
)&lt;&gt;""""
),
1
),
""""
)"),"PAPELERIA")</f>
        <v>PAPELERIA</v>
      </c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</row>
    <row r="91">
      <c r="A91" s="32"/>
      <c r="B91" s="28" t="s">
        <v>29</v>
      </c>
      <c r="C91" s="29" t="s">
        <v>163</v>
      </c>
      <c r="D91" s="29" t="s">
        <v>335</v>
      </c>
      <c r="E91" s="30">
        <v>27708.66</v>
      </c>
      <c r="F91" s="28">
        <v>0.0</v>
      </c>
      <c r="G91" s="28" t="s">
        <v>55</v>
      </c>
      <c r="H91" s="28">
        <f t="array" ref="H91">INDEX(CC!C:C,MATCH(1,(CC!A:A=G91)*(CC!B:B=I91),0))</f>
        <v>902</v>
      </c>
      <c r="I91" s="28" t="s">
        <v>25</v>
      </c>
      <c r="J91" s="31">
        <v>2770.87</v>
      </c>
      <c r="K91" s="28" t="str">
        <f>IFERROR(__xludf.DUMMYFUNCTION("IFERROR(
INDEX(
FILTER(
MAP(
reglas!$B$2:$B$240,
reglas!$C$2:$C$240,
reglas!$D$2:$D$240,
reglas!$E$2:$E$240,
LAMBDA(rEmisor,rPatron,rConcepto,rTipo,
IF(
AND(
OR(
UPPER(TRIM(rEmisor))=UPPER(TRIM(C91)),
UPPER(TRIM(rEmisor))=""CUALQUIERA""
),
OR(
UPPER(TRIM("&amp;"rTipo))=""SOLO EMISOR"",
AND(
UPPER(TRIM(rTipo))=""EXACTA"",
UPPER(TRIM(AG91))=UPPER(TRIM(rPatron))
),
AND(
OR(
UPPER(TRIM(rTipo))=""CONTIENE"",
UPPER(TRIM(rTipo))=""COINCIDENCIA""
),
ISNUMBER(SEARCH(UPPER(TRIM(rPatron)),UPPER(TRIM(D91))))
)
)
),
rConcept"&amp;"o,
""""
)
)
),
MAP(
reglas!$B$2:$B$240,
reglas!$C$2:$C$240,
reglas!$D$2:$D$240,
reglas!$E$2:$E$240,
LAMBDA(rEmisor,rPatron,rConcepto,rTipo,
IF(
AND(
OR(
UPPER(TRIM(rEmisor))=UPPER(TRIM(C91)),
UPPER(TRIM(rEmisor))=""CUALQUIERA""
),
OR(
UPPER(TRIM(rTipo))="&amp;"""SOLO EMISOR"",
AND(
UPPER(TRIM(rTipo))=""EXACTA"",
UPPER(TRIM(D91))=UPPER(TRIM(rPatron))
),
AND(
OR(
UPPER(TRIM(rTipo))=""CONTIENE"",
UPPER(TRIM(rTipo))=""COINCIDENCIA""
),
ISNUMBER(SEARCH(UPPER(TRIM(rPatron)),UPPER(TRIM(D91))))
)
)
),
rConcepto,
""""
)"&amp;"
)
)&lt;&gt;""""
),
1
),
""""
)"),"ARRENDAMIENTO")</f>
        <v>ARRENDAMIENTO</v>
      </c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</row>
    <row r="92">
      <c r="A92" s="32"/>
      <c r="B92" s="32"/>
      <c r="C92" s="29" t="s">
        <v>163</v>
      </c>
      <c r="D92" s="29" t="s">
        <v>335</v>
      </c>
      <c r="E92" s="32"/>
      <c r="F92" s="32"/>
      <c r="G92" s="28" t="s">
        <v>250</v>
      </c>
      <c r="H92" s="28">
        <f t="array" ref="H92">INDEX(CC!C:C,MATCH(1,(CC!A:A=G92)*(CC!B:B=I92),0))</f>
        <v>1402</v>
      </c>
      <c r="I92" s="28" t="s">
        <v>25</v>
      </c>
      <c r="J92" s="31">
        <v>12468.9</v>
      </c>
      <c r="K92" s="28" t="str">
        <f>IFERROR(__xludf.DUMMYFUNCTION("IFERROR(
INDEX(
FILTER(
MAP(
reglas!$B$2:$B$240,
reglas!$C$2:$C$240,
reglas!$D$2:$D$240,
reglas!$E$2:$E$240,
LAMBDA(rEmisor,rPatron,rConcepto,rTipo,
IF(
AND(
OR(
UPPER(TRIM(rEmisor))=UPPER(TRIM(C92)),
UPPER(TRIM(rEmisor))=""CUALQUIERA""
),
OR(
UPPER(TRIM("&amp;"rTipo))=""SOLO EMISOR"",
AND(
UPPER(TRIM(rTipo))=""EXACTA"",
UPPER(TRIM(AG92))=UPPER(TRIM(rPatron))
),
AND(
OR(
UPPER(TRIM(rTipo))=""CONTIENE"",
UPPER(TRIM(rTipo))=""COINCIDENCIA""
),
ISNUMBER(SEARCH(UPPER(TRIM(rPatron)),UPPER(TRIM(D92))))
)
)
),
rConcept"&amp;"o,
""""
)
)
),
MAP(
reglas!$B$2:$B$240,
reglas!$C$2:$C$240,
reglas!$D$2:$D$240,
reglas!$E$2:$E$240,
LAMBDA(rEmisor,rPatron,rConcepto,rTipo,
IF(
AND(
OR(
UPPER(TRIM(rEmisor))=UPPER(TRIM(C92)),
UPPER(TRIM(rEmisor))=""CUALQUIERA""
),
OR(
UPPER(TRIM(rTipo))="&amp;"""SOLO EMISOR"",
AND(
UPPER(TRIM(rTipo))=""EXACTA"",
UPPER(TRIM(D92))=UPPER(TRIM(rPatron))
),
AND(
OR(
UPPER(TRIM(rTipo))=""CONTIENE"",
UPPER(TRIM(rTipo))=""COINCIDENCIA""
),
ISNUMBER(SEARCH(UPPER(TRIM(rPatron)),UPPER(TRIM(D92))))
)
)
),
rConcepto,
""""
)"&amp;"
)
)&lt;&gt;""""
),
1
),
""""
)"),"ARRENDAMIENTO")</f>
        <v>ARRENDAMIENTO</v>
      </c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</row>
    <row r="93">
      <c r="A93" s="32"/>
      <c r="B93" s="32"/>
      <c r="C93" s="29" t="s">
        <v>163</v>
      </c>
      <c r="D93" s="29" t="s">
        <v>335</v>
      </c>
      <c r="E93" s="32"/>
      <c r="F93" s="32"/>
      <c r="G93" s="28" t="s">
        <v>86</v>
      </c>
      <c r="H93" s="28">
        <f t="array" ref="H93">INDEX(CC!C:C,MATCH(1,(CC!A:A=G93)*(CC!B:B=I93),0))</f>
        <v>2002</v>
      </c>
      <c r="I93" s="28" t="s">
        <v>25</v>
      </c>
      <c r="J93" s="31">
        <v>12468.9</v>
      </c>
      <c r="K93" s="28" t="str">
        <f>IFERROR(__xludf.DUMMYFUNCTION("IFERROR(
INDEX(
FILTER(
MAP(
reglas!$B$2:$B$240,
reglas!$C$2:$C$240,
reglas!$D$2:$D$240,
reglas!$E$2:$E$240,
LAMBDA(rEmisor,rPatron,rConcepto,rTipo,
IF(
AND(
OR(
UPPER(TRIM(rEmisor))=UPPER(TRIM(C93)),
UPPER(TRIM(rEmisor))=""CUALQUIERA""
),
OR(
UPPER(TRIM("&amp;"rTipo))=""SOLO EMISOR"",
AND(
UPPER(TRIM(rTipo))=""EXACTA"",
UPPER(TRIM(AG93))=UPPER(TRIM(rPatron))
),
AND(
OR(
UPPER(TRIM(rTipo))=""CONTIENE"",
UPPER(TRIM(rTipo))=""COINCIDENCIA""
),
ISNUMBER(SEARCH(UPPER(TRIM(rPatron)),UPPER(TRIM(D93))))
)
)
),
rConcept"&amp;"o,
""""
)
)
),
MAP(
reglas!$B$2:$B$240,
reglas!$C$2:$C$240,
reglas!$D$2:$D$240,
reglas!$E$2:$E$240,
LAMBDA(rEmisor,rPatron,rConcepto,rTipo,
IF(
AND(
OR(
UPPER(TRIM(rEmisor))=UPPER(TRIM(C93)),
UPPER(TRIM(rEmisor))=""CUALQUIERA""
),
OR(
UPPER(TRIM(rTipo))="&amp;"""SOLO EMISOR"",
AND(
UPPER(TRIM(rTipo))=""EXACTA"",
UPPER(TRIM(D93))=UPPER(TRIM(rPatron))
),
AND(
OR(
UPPER(TRIM(rTipo))=""CONTIENE"",
UPPER(TRIM(rTipo))=""COINCIDENCIA""
),
ISNUMBER(SEARCH(UPPER(TRIM(rPatron)),UPPER(TRIM(D93))))
)
)
),
rConcepto,
""""
)"&amp;"
)
)&lt;&gt;""""
),
1
),
""""
)"),"ARRENDAMIENTO")</f>
        <v>ARRENDAMIENTO</v>
      </c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</row>
    <row r="94">
      <c r="A94" s="28">
        <v>1.0</v>
      </c>
      <c r="B94" s="28" t="s">
        <v>29</v>
      </c>
      <c r="C94" s="29" t="s">
        <v>227</v>
      </c>
      <c r="D94" s="29" t="s">
        <v>939</v>
      </c>
      <c r="E94" s="30">
        <v>5372.0</v>
      </c>
      <c r="F94" s="28">
        <v>0.0</v>
      </c>
      <c r="G94" s="28" t="s">
        <v>225</v>
      </c>
      <c r="H94" s="28">
        <f t="array" ref="H94">INDEX(CC!C:C,MATCH(1,(CC!A:A=G94)*(CC!B:B=I94),0))</f>
        <v>102</v>
      </c>
      <c r="I94" s="28" t="s">
        <v>25</v>
      </c>
      <c r="J94" s="31">
        <v>5372.0</v>
      </c>
      <c r="K94" s="28" t="str">
        <f>IFERROR(__xludf.DUMMYFUNCTION("IFERROR(
INDEX(
FILTER(
MAP(
reglas!$B$2:$B$240,
reglas!$C$2:$C$240,
reglas!$D$2:$D$240,
reglas!$E$2:$E$240,
LAMBDA(rEmisor,rPatron,rConcepto,rTipo,
IF(
AND(
OR(
UPPER(TRIM(rEmisor))=UPPER(TRIM(C94)),
UPPER(TRIM(rEmisor))=""CUALQUIERA""
),
OR(
UPPER(TRIM("&amp;"rTipo))=""SOLO EMISOR"",
AND(
UPPER(TRIM(rTipo))=""EXACTA"",
UPPER(TRIM(AG94))=UPPER(TRIM(rPatron))
),
AND(
OR(
UPPER(TRIM(rTipo))=""CONTIENE"",
UPPER(TRIM(rTipo))=""COINCIDENCIA""
),
ISNUMBER(SEARCH(UPPER(TRIM(rPatron)),UPPER(TRIM(D94))))
)
)
),
rConcept"&amp;"o,
""""
)
)
),
MAP(
reglas!$B$2:$B$240,
reglas!$C$2:$C$240,
reglas!$D$2:$D$240,
reglas!$E$2:$E$240,
LAMBDA(rEmisor,rPatron,rConcepto,rTipo,
IF(
AND(
OR(
UPPER(TRIM(rEmisor))=UPPER(TRIM(C94)),
UPPER(TRIM(rEmisor))=""CUALQUIERA""
),
OR(
UPPER(TRIM(rTipo))="&amp;"""SOLO EMISOR"",
AND(
UPPER(TRIM(rTipo))=""EXACTA"",
UPPER(TRIM(D94))=UPPER(TRIM(rPatron))
),
AND(
OR(
UPPER(TRIM(rTipo))=""CONTIENE"",
UPPER(TRIM(rTipo))=""COINCIDENCIA""
),
ISNUMBER(SEARCH(UPPER(TRIM(rPatron)),UPPER(TRIM(D94))))
)
)
),
rConcepto,
""""
)"&amp;"
)
)&lt;&gt;""""
),
1
),
""""
)"),"COMISIONES BANCARIAS")</f>
        <v>COMISIONES BANCARIAS</v>
      </c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</row>
    <row r="95">
      <c r="A95" s="32"/>
      <c r="B95" s="28" t="s">
        <v>29</v>
      </c>
      <c r="C95" s="29" t="s">
        <v>235</v>
      </c>
      <c r="D95" s="29" t="s">
        <v>942</v>
      </c>
      <c r="E95" s="28">
        <v>55.17</v>
      </c>
      <c r="F95" s="28">
        <v>0.0</v>
      </c>
      <c r="G95" s="28" t="s">
        <v>225</v>
      </c>
      <c r="H95" s="28">
        <f t="array" ref="H95">INDEX(CC!C:C,MATCH(1,(CC!A:A=G95)*(CC!B:B=I95),0))</f>
        <v>102</v>
      </c>
      <c r="I95" s="28" t="s">
        <v>25</v>
      </c>
      <c r="J95" s="31">
        <v>55.17</v>
      </c>
      <c r="K95" s="28" t="str">
        <f>IFERROR(__xludf.DUMMYFUNCTION("IFERROR(
INDEX(
FILTER(
MAP(
reglas!$B$2:$B$240,
reglas!$C$2:$C$240,
reglas!$D$2:$D$240,
reglas!$E$2:$E$240,
LAMBDA(rEmisor,rPatron,rConcepto,rTipo,
IF(
AND(
OR(
UPPER(TRIM(rEmisor))=UPPER(TRIM(C95)),
UPPER(TRIM(rEmisor))=""CUALQUIERA""
),
OR(
UPPER(TRIM("&amp;"rTipo))=""SOLO EMISOR"",
AND(
UPPER(TRIM(rTipo))=""EXACTA"",
UPPER(TRIM(AG95))=UPPER(TRIM(rPatron))
),
AND(
OR(
UPPER(TRIM(rTipo))=""CONTIENE"",
UPPER(TRIM(rTipo))=""COINCIDENCIA""
),
ISNUMBER(SEARCH(UPPER(TRIM(rPatron)),UPPER(TRIM(D95))))
)
)
),
rConcept"&amp;"o,
""""
)
)
),
MAP(
reglas!$B$2:$B$240,
reglas!$C$2:$C$240,
reglas!$D$2:$D$240,
reglas!$E$2:$E$240,
LAMBDA(rEmisor,rPatron,rConcepto,rTipo,
IF(
AND(
OR(
UPPER(TRIM(rEmisor))=UPPER(TRIM(C95)),
UPPER(TRIM(rEmisor))=""CUALQUIERA""
),
OR(
UPPER(TRIM(rTipo))="&amp;"""SOLO EMISOR"",
AND(
UPPER(TRIM(rTipo))=""EXACTA"",
UPPER(TRIM(D95))=UPPER(TRIM(rPatron))
),
AND(
OR(
UPPER(TRIM(rTipo))=""CONTIENE"",
UPPER(TRIM(rTipo))=""COINCIDENCIA""
),
ISNUMBER(SEARCH(UPPER(TRIM(rPatron)),UPPER(TRIM(D95))))
)
)
),
rConcepto,
""""
)"&amp;"
)
)&lt;&gt;""""
),
1
),
""""
)"),"PAPELERIA")</f>
        <v>PAPELERIA</v>
      </c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</row>
    <row r="96">
      <c r="A96" s="32"/>
      <c r="B96" s="28" t="s">
        <v>29</v>
      </c>
      <c r="C96" s="29" t="s">
        <v>200</v>
      </c>
      <c r="D96" s="29" t="s">
        <v>944</v>
      </c>
      <c r="E96" s="30">
        <v>3300.0</v>
      </c>
      <c r="F96" s="28">
        <v>0.0</v>
      </c>
      <c r="G96" s="28" t="s">
        <v>74</v>
      </c>
      <c r="H96" s="28">
        <f t="array" ref="H96">INDEX(CC!C:C,MATCH(1,(CC!A:A=G96)*(CC!B:B=I96),0))</f>
        <v>1502</v>
      </c>
      <c r="I96" s="28" t="s">
        <v>25</v>
      </c>
      <c r="J96" s="31">
        <v>3300.0</v>
      </c>
      <c r="K96" s="28" t="str">
        <f>IFERROR(__xludf.DUMMYFUNCTION("IFERROR(
INDEX(
FILTER(
MAP(
reglas!$B$2:$B$240,
reglas!$C$2:$C$240,
reglas!$D$2:$D$240,
reglas!$E$2:$E$240,
LAMBDA(rEmisor,rPatron,rConcepto,rTipo,
IF(
AND(
OR(
UPPER(TRIM(rEmisor))=UPPER(TRIM(C96)),
UPPER(TRIM(rEmisor))=""CUALQUIERA""
),
OR(
UPPER(TRIM("&amp;"rTipo))=""SOLO EMISOR"",
AND(
UPPER(TRIM(rTipo))=""EXACTA"",
UPPER(TRIM(AG96))=UPPER(TRIM(rPatron))
),
AND(
OR(
UPPER(TRIM(rTipo))=""CONTIENE"",
UPPER(TRIM(rTipo))=""COINCIDENCIA""
),
ISNUMBER(SEARCH(UPPER(TRIM(rPatron)),UPPER(TRIM(D96))))
)
)
),
rConcept"&amp;"o,
""""
)
)
),
MAP(
reglas!$B$2:$B$240,
reglas!$C$2:$C$240,
reglas!$D$2:$D$240,
reglas!$E$2:$E$240,
LAMBDA(rEmisor,rPatron,rConcepto,rTipo,
IF(
AND(
OR(
UPPER(TRIM(rEmisor))=UPPER(TRIM(C96)),
UPPER(TRIM(rEmisor))=""CUALQUIERA""
),
OR(
UPPER(TRIM(rTipo))="&amp;"""SOLO EMISOR"",
AND(
UPPER(TRIM(rTipo))=""EXACTA"",
UPPER(TRIM(D96))=UPPER(TRIM(rPatron))
),
AND(
OR(
UPPER(TRIM(rTipo))=""CONTIENE"",
UPPER(TRIM(rTipo))=""COINCIDENCIA""
),
ISNUMBER(SEARCH(UPPER(TRIM(rPatron)),UPPER(TRIM(D96))))
)
)
),
rConcepto,
""""
)"&amp;"
)
)&lt;&gt;""""
),
1
),
""""
)"),"MANTENIMIENTO EQ DE COMPUTO")</f>
        <v>MANTENIMIENTO EQ DE COMPUTO</v>
      </c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</row>
    <row r="97">
      <c r="A97" s="32"/>
      <c r="B97" s="32"/>
      <c r="C97" s="29" t="s">
        <v>200</v>
      </c>
      <c r="D97" s="29" t="s">
        <v>946</v>
      </c>
      <c r="E97" s="28">
        <v>564.66</v>
      </c>
      <c r="F97" s="28">
        <v>0.0</v>
      </c>
      <c r="G97" s="28" t="s">
        <v>84</v>
      </c>
      <c r="H97" s="28">
        <f t="array" ref="H97">INDEX(CC!C:C,MATCH(1,(CC!A:A=G97)*(CC!B:B=I97),0))</f>
        <v>1002</v>
      </c>
      <c r="I97" s="28" t="s">
        <v>25</v>
      </c>
      <c r="J97" s="31">
        <v>564.66</v>
      </c>
      <c r="K97" s="28" t="str">
        <f>IFERROR(__xludf.DUMMYFUNCTION("IFERROR(
INDEX(
FILTER(
MAP(
reglas!$B$2:$B$240,
reglas!$C$2:$C$240,
reglas!$D$2:$D$240,
reglas!$E$2:$E$240,
LAMBDA(rEmisor,rPatron,rConcepto,rTipo,
IF(
AND(
OR(
UPPER(TRIM(rEmisor))=UPPER(TRIM(C97)),
UPPER(TRIM(rEmisor))=""CUALQUIERA""
),
OR(
UPPER(TRIM("&amp;"rTipo))=""SOLO EMISOR"",
AND(
UPPER(TRIM(rTipo))=""EXACTA"",
UPPER(TRIM(AG97))=UPPER(TRIM(rPatron))
),
AND(
OR(
UPPER(TRIM(rTipo))=""CONTIENE"",
UPPER(TRIM(rTipo))=""COINCIDENCIA""
),
ISNUMBER(SEARCH(UPPER(TRIM(rPatron)),UPPER(TRIM(D97))))
)
)
),
rConcept"&amp;"o,
""""
)
)
),
MAP(
reglas!$B$2:$B$240,
reglas!$C$2:$C$240,
reglas!$D$2:$D$240,
reglas!$E$2:$E$240,
LAMBDA(rEmisor,rPatron,rConcepto,rTipo,
IF(
AND(
OR(
UPPER(TRIM(rEmisor))=UPPER(TRIM(C97)),
UPPER(TRIM(rEmisor))=""CUALQUIERA""
),
OR(
UPPER(TRIM(rTipo))="&amp;"""SOLO EMISOR"",
AND(
UPPER(TRIM(rTipo))=""EXACTA"",
UPPER(TRIM(D97))=UPPER(TRIM(rPatron))
),
AND(
OR(
UPPER(TRIM(rTipo))=""CONTIENE"",
UPPER(TRIM(rTipo))=""COINCIDENCIA""
),
ISNUMBER(SEARCH(UPPER(TRIM(rPatron)),UPPER(TRIM(D97))))
)
)
),
rConcepto,
""""
)"&amp;"
)
)&lt;&gt;""""
),
1
),
""""
)"),"MANTENIMIENTO EQ DE COMPUTO")</f>
        <v>MANTENIMIENTO EQ DE COMPUTO</v>
      </c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</row>
    <row r="98">
      <c r="A98" s="32"/>
      <c r="B98" s="32"/>
      <c r="C98" s="29" t="s">
        <v>200</v>
      </c>
      <c r="D98" s="29" t="s">
        <v>947</v>
      </c>
      <c r="E98" s="28">
        <v>513.33</v>
      </c>
      <c r="F98" s="28">
        <v>0.0</v>
      </c>
      <c r="G98" s="28" t="s">
        <v>84</v>
      </c>
      <c r="H98" s="28">
        <f t="array" ref="H98">INDEX(CC!C:C,MATCH(1,(CC!A:A=G98)*(CC!B:B=I98),0))</f>
        <v>1002</v>
      </c>
      <c r="I98" s="28" t="s">
        <v>25</v>
      </c>
      <c r="J98" s="31">
        <v>513.33</v>
      </c>
      <c r="K98" s="28" t="str">
        <f>IFERROR(__xludf.DUMMYFUNCTION("IFERROR(
INDEX(
FILTER(
MAP(
reglas!$B$2:$B$240,
reglas!$C$2:$C$240,
reglas!$D$2:$D$240,
reglas!$E$2:$E$240,
LAMBDA(rEmisor,rPatron,rConcepto,rTipo,
IF(
AND(
OR(
UPPER(TRIM(rEmisor))=UPPER(TRIM(C98)),
UPPER(TRIM(rEmisor))=""CUALQUIERA""
),
OR(
UPPER(TRIM("&amp;"rTipo))=""SOLO EMISOR"",
AND(
UPPER(TRIM(rTipo))=""EXACTA"",
UPPER(TRIM(AG98))=UPPER(TRIM(rPatron))
),
AND(
OR(
UPPER(TRIM(rTipo))=""CONTIENE"",
UPPER(TRIM(rTipo))=""COINCIDENCIA""
),
ISNUMBER(SEARCH(UPPER(TRIM(rPatron)),UPPER(TRIM(D98))))
)
)
),
rConcept"&amp;"o,
""""
)
)
),
MAP(
reglas!$B$2:$B$240,
reglas!$C$2:$C$240,
reglas!$D$2:$D$240,
reglas!$E$2:$E$240,
LAMBDA(rEmisor,rPatron,rConcepto,rTipo,
IF(
AND(
OR(
UPPER(TRIM(rEmisor))=UPPER(TRIM(C98)),
UPPER(TRIM(rEmisor))=""CUALQUIERA""
),
OR(
UPPER(TRIM(rTipo))="&amp;"""SOLO EMISOR"",
AND(
UPPER(TRIM(rTipo))=""EXACTA"",
UPPER(TRIM(D98))=UPPER(TRIM(rPatron))
),
AND(
OR(
UPPER(TRIM(rTipo))=""CONTIENE"",
UPPER(TRIM(rTipo))=""COINCIDENCIA""
),
ISNUMBER(SEARCH(UPPER(TRIM(rPatron)),UPPER(TRIM(D98))))
)
)
),
rConcepto,
""""
)"&amp;"
)
)&lt;&gt;""""
),
1
),
""""
)"),"MANTENIMIENTO EQ DE COMPUTO")</f>
        <v>MANTENIMIENTO EQ DE COMPUTO</v>
      </c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</row>
    <row r="99">
      <c r="A99" s="28">
        <v>1.0</v>
      </c>
      <c r="B99" s="28" t="s">
        <v>29</v>
      </c>
      <c r="C99" s="29" t="s">
        <v>271</v>
      </c>
      <c r="D99" s="29" t="s">
        <v>589</v>
      </c>
      <c r="E99" s="28">
        <v>634.89</v>
      </c>
      <c r="F99" s="28">
        <v>0.0</v>
      </c>
      <c r="G99" s="28" t="s">
        <v>84</v>
      </c>
      <c r="H99" s="28">
        <f t="array" ref="H99">INDEX(CC!C:C,MATCH(1,(CC!A:A=G99)*(CC!B:B=I99),0))</f>
        <v>1002</v>
      </c>
      <c r="I99" s="28" t="s">
        <v>25</v>
      </c>
      <c r="J99" s="31">
        <v>634.89</v>
      </c>
      <c r="K99" s="28" t="str">
        <f>IFERROR(__xludf.DUMMYFUNCTION("IFERROR(
INDEX(
FILTER(
MAP(
reglas!$B$2:$B$240,
reglas!$C$2:$C$240,
reglas!$D$2:$D$240,
reglas!$E$2:$E$240,
LAMBDA(rEmisor,rPatron,rConcepto,rTipo,
IF(
AND(
OR(
UPPER(TRIM(rEmisor))=UPPER(TRIM(C99)),
UPPER(TRIM(rEmisor))=""CUALQUIERA""
),
OR(
UPPER(TRIM("&amp;"rTipo))=""SOLO EMISOR"",
AND(
UPPER(TRIM(rTipo))=""EXACTA"",
UPPER(TRIM(AG99))=UPPER(TRIM(rPatron))
),
AND(
OR(
UPPER(TRIM(rTipo))=""CONTIENE"",
UPPER(TRIM(rTipo))=""COINCIDENCIA""
),
ISNUMBER(SEARCH(UPPER(TRIM(rPatron)),UPPER(TRIM(D99))))
)
)
),
rConcept"&amp;"o,
""""
)
)
),
MAP(
reglas!$B$2:$B$240,
reglas!$C$2:$C$240,
reglas!$D$2:$D$240,
reglas!$E$2:$E$240,
LAMBDA(rEmisor,rPatron,rConcepto,rTipo,
IF(
AND(
OR(
UPPER(TRIM(rEmisor))=UPPER(TRIM(C99)),
UPPER(TRIM(rEmisor))=""CUALQUIERA""
),
OR(
UPPER(TRIM(rTipo))="&amp;"""SOLO EMISOR"",
AND(
UPPER(TRIM(rTipo))=""EXACTA"",
UPPER(TRIM(D99))=UPPER(TRIM(rPatron))
),
AND(
OR(
UPPER(TRIM(rTipo))=""CONTIENE"",
UPPER(TRIM(rTipo))=""COINCIDENCIA""
),
ISNUMBER(SEARCH(UPPER(TRIM(rPatron)),UPPER(TRIM(D99))))
)
)
),
rConcepto,
""""
)"&amp;"
)
)&lt;&gt;""""
),
1
),
""""
)"),"MANIOBRAS")</f>
        <v>MANIOBRAS</v>
      </c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</row>
    <row r="100">
      <c r="A100" s="28">
        <v>1.0</v>
      </c>
      <c r="B100" s="28" t="s">
        <v>29</v>
      </c>
      <c r="C100" s="29" t="s">
        <v>462</v>
      </c>
      <c r="D100" s="29" t="s">
        <v>948</v>
      </c>
      <c r="E100" s="28">
        <v>163.79</v>
      </c>
      <c r="F100" s="28">
        <v>0.0</v>
      </c>
      <c r="G100" s="28" t="s">
        <v>395</v>
      </c>
      <c r="H100" s="28">
        <f t="array" ref="H100">INDEX(CC!C:C,MATCH(1,(CC!A:A=G100)*(CC!B:B=I100),0))</f>
        <v>1103</v>
      </c>
      <c r="I100" s="28" t="s">
        <v>44</v>
      </c>
      <c r="J100" s="31">
        <v>163.79</v>
      </c>
      <c r="K100" s="28" t="str">
        <f>IFERROR(__xludf.DUMMYFUNCTION("IFERROR(
INDEX(
FILTER(
MAP(
reglas!$B$2:$B$240,
reglas!$C$2:$C$240,
reglas!$D$2:$D$240,
reglas!$E$2:$E$240,
LAMBDA(rEmisor,rPatron,rConcepto,rTipo,
IF(
AND(
OR(
UPPER(TRIM(rEmisor))=UPPER(TRIM(C100)),
UPPER(TRIM(rEmisor))=""CUALQUIERA""
),
OR(
UPPER(TRIM"&amp;"(rTipo))=""SOLO EMISOR"",
AND(
UPPER(TRIM(rTipo))=""EXACTA"",
UPPER(TRIM(AG100))=UPPER(TRIM(rPatron))
),
AND(
OR(
UPPER(TRIM(rTipo))=""CONTIENE"",
UPPER(TRIM(rTipo))=""COINCIDENCIA""
),
ISNUMBER(SEARCH(UPPER(TRIM(rPatron)),UPPER(TRIM(D100))))
)
)
),
rConc"&amp;"epto,
""""
)
)
),
MAP(
reglas!$B$2:$B$240,
reglas!$C$2:$C$240,
reglas!$D$2:$D$240,
reglas!$E$2:$E$240,
LAMBDA(rEmisor,rPatron,rConcepto,rTipo,
IF(
AND(
OR(
UPPER(TRIM(rEmisor))=UPPER(TRIM(C100)),
UPPER(TRIM(rEmisor))=""CUALQUIERA""
),
OR(
UPPER(TRIM(rTipo"&amp;"))=""SOLO EMISOR"",
AND(
UPPER(TRIM(rTipo))=""EXACTA"",
UPPER(TRIM(D100))=UPPER(TRIM(rPatron))
),
AND(
OR(
UPPER(TRIM(rTipo))=""CONTIENE"",
UPPER(TRIM(rTipo))=""COINCIDENCIA""
),
ISNUMBER(SEARCH(UPPER(TRIM(rPatron)),UPPER(TRIM(D100))))
)
)
),
rConcepto,
"&amp;"""""
)
)
)&lt;&gt;""""
),
1
),
""""
)"),"MANIOBRAS")</f>
        <v>MANIOBRAS</v>
      </c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</row>
    <row r="101">
      <c r="A101" s="32"/>
      <c r="B101" s="32"/>
      <c r="C101" s="29" t="s">
        <v>462</v>
      </c>
      <c r="D101" s="29" t="s">
        <v>951</v>
      </c>
      <c r="E101" s="28">
        <v>500.0</v>
      </c>
      <c r="F101" s="28">
        <v>0.0</v>
      </c>
      <c r="G101" s="28" t="s">
        <v>395</v>
      </c>
      <c r="H101" s="28">
        <f t="array" ref="H101">INDEX(CC!C:C,MATCH(1,(CC!A:A=G101)*(CC!B:B=I101),0))</f>
        <v>1103</v>
      </c>
      <c r="I101" s="28" t="s">
        <v>44</v>
      </c>
      <c r="J101" s="31">
        <v>500.0</v>
      </c>
      <c r="K101" s="28" t="str">
        <f>IFERROR(__xludf.DUMMYFUNCTION("IFERROR(
INDEX(
FILTER(
MAP(
reglas!$B$2:$B$240,
reglas!$C$2:$C$240,
reglas!$D$2:$D$240,
reglas!$E$2:$E$240,
LAMBDA(rEmisor,rPatron,rConcepto,rTipo,
IF(
AND(
OR(
UPPER(TRIM(rEmisor))=UPPER(TRIM(C101)),
UPPER(TRIM(rEmisor))=""CUALQUIERA""
),
OR(
UPPER(TRIM"&amp;"(rTipo))=""SOLO EMISOR"",
AND(
UPPER(TRIM(rTipo))=""EXACTA"",
UPPER(TRIM(AG101))=UPPER(TRIM(rPatron))
),
AND(
OR(
UPPER(TRIM(rTipo))=""CONTIENE"",
UPPER(TRIM(rTipo))=""COINCIDENCIA""
),
ISNUMBER(SEARCH(UPPER(TRIM(rPatron)),UPPER(TRIM(D101))))
)
)
),
rConc"&amp;"epto,
""""
)
)
),
MAP(
reglas!$B$2:$B$240,
reglas!$C$2:$C$240,
reglas!$D$2:$D$240,
reglas!$E$2:$E$240,
LAMBDA(rEmisor,rPatron,rConcepto,rTipo,
IF(
AND(
OR(
UPPER(TRIM(rEmisor))=UPPER(TRIM(C101)),
UPPER(TRIM(rEmisor))=""CUALQUIERA""
),
OR(
UPPER(TRIM(rTipo"&amp;"))=""SOLO EMISOR"",
AND(
UPPER(TRIM(rTipo))=""EXACTA"",
UPPER(TRIM(D101))=UPPER(TRIM(rPatron))
),
AND(
OR(
UPPER(TRIM(rTipo))=""CONTIENE"",
UPPER(TRIM(rTipo))=""COINCIDENCIA""
),
ISNUMBER(SEARCH(UPPER(TRIM(rPatron)),UPPER(TRIM(D101))))
)
)
),
rConcepto,
"&amp;"""""
)
)
)&lt;&gt;""""
),
1
),
""""
)"),"MANIOBRAS")</f>
        <v>MANIOBRAS</v>
      </c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</row>
    <row r="102">
      <c r="A102" s="32"/>
      <c r="B102" s="32"/>
      <c r="C102" s="29" t="s">
        <v>462</v>
      </c>
      <c r="D102" s="29" t="s">
        <v>952</v>
      </c>
      <c r="E102" s="30">
        <v>3011.0</v>
      </c>
      <c r="F102" s="28">
        <v>0.0</v>
      </c>
      <c r="G102" s="28" t="s">
        <v>395</v>
      </c>
      <c r="H102" s="28">
        <f t="array" ref="H102">INDEX(CC!C:C,MATCH(1,(CC!A:A=G102)*(CC!B:B=I102),0))</f>
        <v>1103</v>
      </c>
      <c r="I102" s="28" t="s">
        <v>44</v>
      </c>
      <c r="J102" s="31">
        <v>3011.0</v>
      </c>
      <c r="K102" s="28" t="str">
        <f>IFERROR(__xludf.DUMMYFUNCTION("IFERROR(
INDEX(
FILTER(
MAP(
reglas!$B$2:$B$240,
reglas!$C$2:$C$240,
reglas!$D$2:$D$240,
reglas!$E$2:$E$240,
LAMBDA(rEmisor,rPatron,rConcepto,rTipo,
IF(
AND(
OR(
UPPER(TRIM(rEmisor))=UPPER(TRIM(C102)),
UPPER(TRIM(rEmisor))=""CUALQUIERA""
),
OR(
UPPER(TRIM"&amp;"(rTipo))=""SOLO EMISOR"",
AND(
UPPER(TRIM(rTipo))=""EXACTA"",
UPPER(TRIM(AG102))=UPPER(TRIM(rPatron))
),
AND(
OR(
UPPER(TRIM(rTipo))=""CONTIENE"",
UPPER(TRIM(rTipo))=""COINCIDENCIA""
),
ISNUMBER(SEARCH(UPPER(TRIM(rPatron)),UPPER(TRIM(D102))))
)
)
),
rConc"&amp;"epto,
""""
)
)
),
MAP(
reglas!$B$2:$B$240,
reglas!$C$2:$C$240,
reglas!$D$2:$D$240,
reglas!$E$2:$E$240,
LAMBDA(rEmisor,rPatron,rConcepto,rTipo,
IF(
AND(
OR(
UPPER(TRIM(rEmisor))=UPPER(TRIM(C102)),
UPPER(TRIM(rEmisor))=""CUALQUIERA""
),
OR(
UPPER(TRIM(rTipo"&amp;"))=""SOLO EMISOR"",
AND(
UPPER(TRIM(rTipo))=""EXACTA"",
UPPER(TRIM(D102))=UPPER(TRIM(rPatron))
),
AND(
OR(
UPPER(TRIM(rTipo))=""CONTIENE"",
UPPER(TRIM(rTipo))=""COINCIDENCIA""
),
ISNUMBER(SEARCH(UPPER(TRIM(rPatron)),UPPER(TRIM(D102))))
)
)
),
rConcepto,
"&amp;"""""
)
)
)&lt;&gt;""""
),
1
),
""""
)"),"MANIOBRAS")</f>
        <v>MANIOBRAS</v>
      </c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</row>
    <row r="103">
      <c r="A103" s="32"/>
      <c r="B103" s="32"/>
      <c r="C103" s="29" t="s">
        <v>462</v>
      </c>
      <c r="D103" s="29" t="s">
        <v>954</v>
      </c>
      <c r="E103" s="28">
        <v>232.0</v>
      </c>
      <c r="F103" s="28">
        <v>0.0</v>
      </c>
      <c r="G103" s="28" t="s">
        <v>395</v>
      </c>
      <c r="H103" s="28">
        <f t="array" ref="H103">INDEX(CC!C:C,MATCH(1,(CC!A:A=G103)*(CC!B:B=I103),0))</f>
        <v>1103</v>
      </c>
      <c r="I103" s="28" t="s">
        <v>44</v>
      </c>
      <c r="J103" s="31">
        <v>232.0</v>
      </c>
      <c r="K103" s="28" t="str">
        <f>IFERROR(__xludf.DUMMYFUNCTION("IFERROR(
INDEX(
FILTER(
MAP(
reglas!$B$2:$B$240,
reglas!$C$2:$C$240,
reglas!$D$2:$D$240,
reglas!$E$2:$E$240,
LAMBDA(rEmisor,rPatron,rConcepto,rTipo,
IF(
AND(
OR(
UPPER(TRIM(rEmisor))=UPPER(TRIM(C103)),
UPPER(TRIM(rEmisor))=""CUALQUIERA""
),
OR(
UPPER(TRIM"&amp;"(rTipo))=""SOLO EMISOR"",
AND(
UPPER(TRIM(rTipo))=""EXACTA"",
UPPER(TRIM(AG103))=UPPER(TRIM(rPatron))
),
AND(
OR(
UPPER(TRIM(rTipo))=""CONTIENE"",
UPPER(TRIM(rTipo))=""COINCIDENCIA""
),
ISNUMBER(SEARCH(UPPER(TRIM(rPatron)),UPPER(TRIM(D103))))
)
)
),
rConc"&amp;"epto,
""""
)
)
),
MAP(
reglas!$B$2:$B$240,
reglas!$C$2:$C$240,
reglas!$D$2:$D$240,
reglas!$E$2:$E$240,
LAMBDA(rEmisor,rPatron,rConcepto,rTipo,
IF(
AND(
OR(
UPPER(TRIM(rEmisor))=UPPER(TRIM(C103)),
UPPER(TRIM(rEmisor))=""CUALQUIERA""
),
OR(
UPPER(TRIM(rTipo"&amp;"))=""SOLO EMISOR"",
AND(
UPPER(TRIM(rTipo))=""EXACTA"",
UPPER(TRIM(D103))=UPPER(TRIM(rPatron))
),
AND(
OR(
UPPER(TRIM(rTipo))=""CONTIENE"",
UPPER(TRIM(rTipo))=""COINCIDENCIA""
),
ISNUMBER(SEARCH(UPPER(TRIM(rPatron)),UPPER(TRIM(D103))))
)
)
),
rConcepto,
"&amp;"""""
)
)
)&lt;&gt;""""
),
1
),
""""
)"),"MANIOBRAS")</f>
        <v>MANIOBRAS</v>
      </c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</row>
    <row r="104">
      <c r="A104" s="32"/>
      <c r="B104" s="32"/>
      <c r="C104" s="29" t="s">
        <v>462</v>
      </c>
      <c r="D104" s="29" t="s">
        <v>958</v>
      </c>
      <c r="E104" s="30">
        <v>3971.0</v>
      </c>
      <c r="F104" s="28">
        <v>0.0</v>
      </c>
      <c r="G104" s="28" t="s">
        <v>395</v>
      </c>
      <c r="H104" s="28">
        <f t="array" ref="H104">INDEX(CC!C:C,MATCH(1,(CC!A:A=G104)*(CC!B:B=I104),0))</f>
        <v>1103</v>
      </c>
      <c r="I104" s="28" t="s">
        <v>44</v>
      </c>
      <c r="J104" s="31">
        <v>3971.0</v>
      </c>
      <c r="K104" s="28" t="str">
        <f>IFERROR(__xludf.DUMMYFUNCTION("IFERROR(
INDEX(
FILTER(
MAP(
reglas!$B$2:$B$240,
reglas!$C$2:$C$240,
reglas!$D$2:$D$240,
reglas!$E$2:$E$240,
LAMBDA(rEmisor,rPatron,rConcepto,rTipo,
IF(
AND(
OR(
UPPER(TRIM(rEmisor))=UPPER(TRIM(C104)),
UPPER(TRIM(rEmisor))=""CUALQUIERA""
),
OR(
UPPER(TRIM"&amp;"(rTipo))=""SOLO EMISOR"",
AND(
UPPER(TRIM(rTipo))=""EXACTA"",
UPPER(TRIM(AG104))=UPPER(TRIM(rPatron))
),
AND(
OR(
UPPER(TRIM(rTipo))=""CONTIENE"",
UPPER(TRIM(rTipo))=""COINCIDENCIA""
),
ISNUMBER(SEARCH(UPPER(TRIM(rPatron)),UPPER(TRIM(D104))))
)
)
),
rConc"&amp;"epto,
""""
)
)
),
MAP(
reglas!$B$2:$B$240,
reglas!$C$2:$C$240,
reglas!$D$2:$D$240,
reglas!$E$2:$E$240,
LAMBDA(rEmisor,rPatron,rConcepto,rTipo,
IF(
AND(
OR(
UPPER(TRIM(rEmisor))=UPPER(TRIM(C104)),
UPPER(TRIM(rEmisor))=""CUALQUIERA""
),
OR(
UPPER(TRIM(rTipo"&amp;"))=""SOLO EMISOR"",
AND(
UPPER(TRIM(rTipo))=""EXACTA"",
UPPER(TRIM(D104))=UPPER(TRIM(rPatron))
),
AND(
OR(
UPPER(TRIM(rTipo))=""CONTIENE"",
UPPER(TRIM(rTipo))=""COINCIDENCIA""
),
ISNUMBER(SEARCH(UPPER(TRIM(rPatron)),UPPER(TRIM(D104))))
)
)
),
rConcepto,
"&amp;"""""
)
)
)&lt;&gt;""""
),
1
),
""""
)"),"MANIOBRAS")</f>
        <v>MANIOBRAS</v>
      </c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</row>
    <row r="105">
      <c r="A105" s="32"/>
      <c r="B105" s="28" t="s">
        <v>29</v>
      </c>
      <c r="C105" s="29" t="s">
        <v>188</v>
      </c>
      <c r="D105" s="29" t="s">
        <v>959</v>
      </c>
      <c r="E105" s="28">
        <v>854.45</v>
      </c>
      <c r="F105" s="28">
        <v>0.0</v>
      </c>
      <c r="G105" s="28" t="s">
        <v>84</v>
      </c>
      <c r="H105" s="28">
        <f t="array" ref="H105">INDEX(CC!C:C,MATCH(1,(CC!A:A=G105)*(CC!B:B=I105),0))</f>
        <v>1002</v>
      </c>
      <c r="I105" s="28" t="s">
        <v>25</v>
      </c>
      <c r="J105" s="31">
        <v>854.45</v>
      </c>
      <c r="K105" s="28" t="str">
        <f>IFERROR(__xludf.DUMMYFUNCTION("IFERROR(
INDEX(
FILTER(
MAP(
reglas!$B$2:$B$240,
reglas!$C$2:$C$240,
reglas!$D$2:$D$240,
reglas!$E$2:$E$240,
LAMBDA(rEmisor,rPatron,rConcepto,rTipo,
IF(
AND(
OR(
UPPER(TRIM(rEmisor))=UPPER(TRIM(C105)),
UPPER(TRIM(rEmisor))=""CUALQUIERA""
),
OR(
UPPER(TRIM"&amp;"(rTipo))=""SOLO EMISOR"",
AND(
UPPER(TRIM(rTipo))=""EXACTA"",
UPPER(TRIM(AG105))=UPPER(TRIM(rPatron))
),
AND(
OR(
UPPER(TRIM(rTipo))=""CONTIENE"",
UPPER(TRIM(rTipo))=""COINCIDENCIA""
),
ISNUMBER(SEARCH(UPPER(TRIM(rPatron)),UPPER(TRIM(D105))))
)
)
),
rConc"&amp;"epto,
""""
)
)
),
MAP(
reglas!$B$2:$B$240,
reglas!$C$2:$C$240,
reglas!$D$2:$D$240,
reglas!$E$2:$E$240,
LAMBDA(rEmisor,rPatron,rConcepto,rTipo,
IF(
AND(
OR(
UPPER(TRIM(rEmisor))=UPPER(TRIM(C105)),
UPPER(TRIM(rEmisor))=""CUALQUIERA""
),
OR(
UPPER(TRIM(rTipo"&amp;"))=""SOLO EMISOR"",
AND(
UPPER(TRIM(rTipo))=""EXACTA"",
UPPER(TRIM(D105))=UPPER(TRIM(rPatron))
),
AND(
OR(
UPPER(TRIM(rTipo))=""CONTIENE"",
UPPER(TRIM(rTipo))=""COINCIDENCIA""
),
ISNUMBER(SEARCH(UPPER(TRIM(rPatron)),UPPER(TRIM(D105))))
)
)
),
rConcepto,
"&amp;"""""
)
)
)&lt;&gt;""""
),
1
),
""""
)"),"INTERNET")</f>
        <v>INTERNET</v>
      </c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</row>
    <row r="106">
      <c r="A106" s="32"/>
      <c r="B106" s="28" t="s">
        <v>29</v>
      </c>
      <c r="C106" s="29" t="s">
        <v>464</v>
      </c>
      <c r="D106" s="29" t="s">
        <v>962</v>
      </c>
      <c r="E106" s="30">
        <v>3200.0</v>
      </c>
      <c r="F106" s="28">
        <v>0.0</v>
      </c>
      <c r="G106" s="28" t="s">
        <v>554</v>
      </c>
      <c r="H106" s="28">
        <f t="array" ref="H106">INDEX(CC!C:C,MATCH(1,(CC!A:A=G106)*(CC!B:B=I106),0))</f>
        <v>1703</v>
      </c>
      <c r="I106" s="28" t="s">
        <v>44</v>
      </c>
      <c r="J106" s="31">
        <v>3200.0</v>
      </c>
      <c r="K106" s="28" t="str">
        <f>IFERROR(__xludf.DUMMYFUNCTION("IFERROR(
INDEX(
FILTER(
MAP(
reglas!$B$2:$B$240,
reglas!$C$2:$C$240,
reglas!$D$2:$D$240,
reglas!$E$2:$E$240,
LAMBDA(rEmisor,rPatron,rConcepto,rTipo,
IF(
AND(
OR(
UPPER(TRIM(rEmisor))=UPPER(TRIM(C106)),
UPPER(TRIM(rEmisor))=""CUALQUIERA""
),
OR(
UPPER(TRIM"&amp;"(rTipo))=""SOLO EMISOR"",
AND(
UPPER(TRIM(rTipo))=""EXACTA"",
UPPER(TRIM(AG106))=UPPER(TRIM(rPatron))
),
AND(
OR(
UPPER(TRIM(rTipo))=""CONTIENE"",
UPPER(TRIM(rTipo))=""COINCIDENCIA""
),
ISNUMBER(SEARCH(UPPER(TRIM(rPatron)),UPPER(TRIM(D106))))
)
)
),
rConc"&amp;"epto,
""""
)
)
),
MAP(
reglas!$B$2:$B$240,
reglas!$C$2:$C$240,
reglas!$D$2:$D$240,
reglas!$E$2:$E$240,
LAMBDA(rEmisor,rPatron,rConcepto,rTipo,
IF(
AND(
OR(
UPPER(TRIM(rEmisor))=UPPER(TRIM(C106)),
UPPER(TRIM(rEmisor))=""CUALQUIERA""
),
OR(
UPPER(TRIM(rTipo"&amp;"))=""SOLO EMISOR"",
AND(
UPPER(TRIM(rTipo))=""EXACTA"",
UPPER(TRIM(D106))=UPPER(TRIM(rPatron))
),
AND(
OR(
UPPER(TRIM(rTipo))=""CONTIENE"",
UPPER(TRIM(rTipo))=""COINCIDENCIA""
),
ISNUMBER(SEARCH(UPPER(TRIM(rPatron)),UPPER(TRIM(D106))))
)
)
),
rConcepto,
"&amp;"""""
)
)
)&lt;&gt;""""
),
1
),
""""
)"),"MANIOBRAS")</f>
        <v>MANIOBRAS</v>
      </c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</row>
    <row r="107">
      <c r="A107" s="32"/>
      <c r="B107" s="32"/>
      <c r="C107" s="29" t="s">
        <v>464</v>
      </c>
      <c r="D107" s="29" t="s">
        <v>963</v>
      </c>
      <c r="E107" s="28">
        <v>174.0</v>
      </c>
      <c r="F107" s="28">
        <v>0.0</v>
      </c>
      <c r="G107" s="28" t="s">
        <v>554</v>
      </c>
      <c r="H107" s="28">
        <f t="array" ref="H107">INDEX(CC!C:C,MATCH(1,(CC!A:A=G107)*(CC!B:B=I107),0))</f>
        <v>1703</v>
      </c>
      <c r="I107" s="28" t="s">
        <v>44</v>
      </c>
      <c r="J107" s="31">
        <v>174.0</v>
      </c>
      <c r="K107" s="28" t="str">
        <f>IFERROR(__xludf.DUMMYFUNCTION("IFERROR(
INDEX(
FILTER(
MAP(
reglas!$B$2:$B$240,
reglas!$C$2:$C$240,
reglas!$D$2:$D$240,
reglas!$E$2:$E$240,
LAMBDA(rEmisor,rPatron,rConcepto,rTipo,
IF(
AND(
OR(
UPPER(TRIM(rEmisor))=UPPER(TRIM(C107)),
UPPER(TRIM(rEmisor))=""CUALQUIERA""
),
OR(
UPPER(TRIM"&amp;"(rTipo))=""SOLO EMISOR"",
AND(
UPPER(TRIM(rTipo))=""EXACTA"",
UPPER(TRIM(AG107))=UPPER(TRIM(rPatron))
),
AND(
OR(
UPPER(TRIM(rTipo))=""CONTIENE"",
UPPER(TRIM(rTipo))=""COINCIDENCIA""
),
ISNUMBER(SEARCH(UPPER(TRIM(rPatron)),UPPER(TRIM(D107))))
)
)
),
rConc"&amp;"epto,
""""
)
)
),
MAP(
reglas!$B$2:$B$240,
reglas!$C$2:$C$240,
reglas!$D$2:$D$240,
reglas!$E$2:$E$240,
LAMBDA(rEmisor,rPatron,rConcepto,rTipo,
IF(
AND(
OR(
UPPER(TRIM(rEmisor))=UPPER(TRIM(C107)),
UPPER(TRIM(rEmisor))=""CUALQUIERA""
),
OR(
UPPER(TRIM(rTipo"&amp;"))=""SOLO EMISOR"",
AND(
UPPER(TRIM(rTipo))=""EXACTA"",
UPPER(TRIM(D107))=UPPER(TRIM(rPatron))
),
AND(
OR(
UPPER(TRIM(rTipo))=""CONTIENE"",
UPPER(TRIM(rTipo))=""COINCIDENCIA""
),
ISNUMBER(SEARCH(UPPER(TRIM(rPatron)),UPPER(TRIM(D107))))
)
)
),
rConcepto,
"&amp;"""""
)
)
)&lt;&gt;""""
),
1
),
""""
)"),"MANIOBRAS")</f>
        <v>MANIOBRAS</v>
      </c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</row>
    <row r="108">
      <c r="A108" s="32"/>
      <c r="B108" s="32"/>
      <c r="C108" s="29" t="s">
        <v>464</v>
      </c>
      <c r="D108" s="29" t="s">
        <v>964</v>
      </c>
      <c r="E108" s="28">
        <v>64.0</v>
      </c>
      <c r="F108" s="28">
        <v>0.0</v>
      </c>
      <c r="G108" s="28" t="s">
        <v>554</v>
      </c>
      <c r="H108" s="28">
        <f t="array" ref="H108">INDEX(CC!C:C,MATCH(1,(CC!A:A=G108)*(CC!B:B=I108),0))</f>
        <v>1703</v>
      </c>
      <c r="I108" s="28" t="s">
        <v>44</v>
      </c>
      <c r="J108" s="31">
        <v>64.0</v>
      </c>
      <c r="K108" s="28" t="str">
        <f>IFERROR(__xludf.DUMMYFUNCTION("IFERROR(
INDEX(
FILTER(
MAP(
reglas!$B$2:$B$240,
reglas!$C$2:$C$240,
reglas!$D$2:$D$240,
reglas!$E$2:$E$240,
LAMBDA(rEmisor,rPatron,rConcepto,rTipo,
IF(
AND(
OR(
UPPER(TRIM(rEmisor))=UPPER(TRIM(C108)),
UPPER(TRIM(rEmisor))=""CUALQUIERA""
),
OR(
UPPER(TRIM"&amp;"(rTipo))=""SOLO EMISOR"",
AND(
UPPER(TRIM(rTipo))=""EXACTA"",
UPPER(TRIM(AG108))=UPPER(TRIM(rPatron))
),
AND(
OR(
UPPER(TRIM(rTipo))=""CONTIENE"",
UPPER(TRIM(rTipo))=""COINCIDENCIA""
),
ISNUMBER(SEARCH(UPPER(TRIM(rPatron)),UPPER(TRIM(D108))))
)
)
),
rConc"&amp;"epto,
""""
)
)
),
MAP(
reglas!$B$2:$B$240,
reglas!$C$2:$C$240,
reglas!$D$2:$D$240,
reglas!$E$2:$E$240,
LAMBDA(rEmisor,rPatron,rConcepto,rTipo,
IF(
AND(
OR(
UPPER(TRIM(rEmisor))=UPPER(TRIM(C108)),
UPPER(TRIM(rEmisor))=""CUALQUIERA""
),
OR(
UPPER(TRIM(rTipo"&amp;"))=""SOLO EMISOR"",
AND(
UPPER(TRIM(rTipo))=""EXACTA"",
UPPER(TRIM(D108))=UPPER(TRIM(rPatron))
),
AND(
OR(
UPPER(TRIM(rTipo))=""CONTIENE"",
UPPER(TRIM(rTipo))=""COINCIDENCIA""
),
ISNUMBER(SEARCH(UPPER(TRIM(rPatron)),UPPER(TRIM(D108))))
)
)
),
rConcepto,
"&amp;"""""
)
)
)&lt;&gt;""""
),
1
),
""""
)"),"MANIOBRAS")</f>
        <v>MANIOBRAS</v>
      </c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</row>
    <row r="109">
      <c r="A109" s="32"/>
      <c r="B109" s="28" t="s">
        <v>29</v>
      </c>
      <c r="C109" s="29" t="s">
        <v>174</v>
      </c>
      <c r="D109" s="29" t="s">
        <v>313</v>
      </c>
      <c r="E109" s="30">
        <v>2200.0</v>
      </c>
      <c r="F109" s="28">
        <v>0.0</v>
      </c>
      <c r="G109" s="28" t="s">
        <v>40</v>
      </c>
      <c r="H109" s="28">
        <f t="array" ref="H109">INDEX(CC!C:C,MATCH(1,(CC!A:A=G109)*(CC!B:B=I109),0))</f>
        <v>602</v>
      </c>
      <c r="I109" s="28" t="s">
        <v>25</v>
      </c>
      <c r="J109" s="31">
        <v>2200.0</v>
      </c>
      <c r="K109" s="28" t="str">
        <f>IFERROR(__xludf.DUMMYFUNCTION("IFERROR(
INDEX(
FILTER(
MAP(
reglas!$B$2:$B$240,
reglas!$C$2:$C$240,
reglas!$D$2:$D$240,
reglas!$E$2:$E$240,
LAMBDA(rEmisor,rPatron,rConcepto,rTipo,
IF(
AND(
OR(
UPPER(TRIM(rEmisor))=UPPER(TRIM(C109)),
UPPER(TRIM(rEmisor))=""CUALQUIERA""
),
OR(
UPPER(TRIM"&amp;"(rTipo))=""SOLO EMISOR"",
AND(
UPPER(TRIM(rTipo))=""EXACTA"",
UPPER(TRIM(AG109))=UPPER(TRIM(rPatron))
),
AND(
OR(
UPPER(TRIM(rTipo))=""CONTIENE"",
UPPER(TRIM(rTipo))=""COINCIDENCIA""
),
ISNUMBER(SEARCH(UPPER(TRIM(rPatron)),UPPER(TRIM(D109))))
)
)
),
rConc"&amp;"epto,
""""
)
)
),
MAP(
reglas!$B$2:$B$240,
reglas!$C$2:$C$240,
reglas!$D$2:$D$240,
reglas!$E$2:$E$240,
LAMBDA(rEmisor,rPatron,rConcepto,rTipo,
IF(
AND(
OR(
UPPER(TRIM(rEmisor))=UPPER(TRIM(C109)),
UPPER(TRIM(rEmisor))=""CUALQUIERA""
),
OR(
UPPER(TRIM(rTipo"&amp;"))=""SOLO EMISOR"",
AND(
UPPER(TRIM(rTipo))=""EXACTA"",
UPPER(TRIM(D109))=UPPER(TRIM(rPatron))
),
AND(
OR(
UPPER(TRIM(rTipo))=""CONTIENE"",
UPPER(TRIM(rTipo))=""COINCIDENCIA""
),
ISNUMBER(SEARCH(UPPER(TRIM(rPatron)),UPPER(TRIM(D109))))
)
)
),
rConcepto,
"&amp;"""""
)
)
)&lt;&gt;""""
),
1
),
""""
)"),"TRANSPORTE")</f>
        <v>TRANSPORTE</v>
      </c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</row>
    <row r="110">
      <c r="A110" s="32"/>
      <c r="B110" s="28" t="s">
        <v>29</v>
      </c>
      <c r="C110" s="29" t="s">
        <v>331</v>
      </c>
      <c r="D110" s="29" t="s">
        <v>33</v>
      </c>
      <c r="E110" s="28">
        <v>0.01</v>
      </c>
      <c r="F110" s="28">
        <v>0.0</v>
      </c>
      <c r="G110" s="28" t="s">
        <v>385</v>
      </c>
      <c r="H110" s="28">
        <f t="array" ref="H110">INDEX(CC!C:C,MATCH(1,(CC!A:A=G110)*(CC!B:B=I110),0))</f>
        <v>502</v>
      </c>
      <c r="I110" s="28" t="s">
        <v>25</v>
      </c>
      <c r="J110" s="31">
        <v>0.01</v>
      </c>
      <c r="K110" s="28" t="str">
        <f>IFERROR(__xludf.DUMMYFUNCTION("IFERROR(
INDEX(
FILTER(
MAP(
reglas!$B$2:$B$240,
reglas!$C$2:$C$240,
reglas!$D$2:$D$240,
reglas!$E$2:$E$240,
LAMBDA(rEmisor,rPatron,rConcepto,rTipo,
IF(
AND(
OR(
UPPER(TRIM(rEmisor))=UPPER(TRIM(C110)),
UPPER(TRIM(rEmisor))=""CUALQUIERA""
),
OR(
UPPER(TRIM"&amp;"(rTipo))=""SOLO EMISOR"",
AND(
UPPER(TRIM(rTipo))=""EXACTA"",
UPPER(TRIM(AG110))=UPPER(TRIM(rPatron))
),
AND(
OR(
UPPER(TRIM(rTipo))=""CONTIENE"",
UPPER(TRIM(rTipo))=""COINCIDENCIA""
),
ISNUMBER(SEARCH(UPPER(TRIM(rPatron)),UPPER(TRIM(D110))))
)
)
),
rConc"&amp;"epto,
""""
)
)
),
MAP(
reglas!$B$2:$B$240,
reglas!$C$2:$C$240,
reglas!$D$2:$D$240,
reglas!$E$2:$E$240,
LAMBDA(rEmisor,rPatron,rConcepto,rTipo,
IF(
AND(
OR(
UPPER(TRIM(rEmisor))=UPPER(TRIM(C110)),
UPPER(TRIM(rEmisor))=""CUALQUIERA""
),
OR(
UPPER(TRIM(rTipo"&amp;"))=""SOLO EMISOR"",
AND(
UPPER(TRIM(rTipo))=""EXACTA"",
UPPER(TRIM(D110))=UPPER(TRIM(rPatron))
),
AND(
OR(
UPPER(TRIM(rTipo))=""CONTIENE"",
UPPER(TRIM(rTipo))=""COINCIDENCIA""
),
ISNUMBER(SEARCH(UPPER(TRIM(rPatron)),UPPER(TRIM(D110))))
)
)
),
rConcepto,
"&amp;"""""
)
)
)&lt;&gt;""""
),
1
),
""""
)"),"N/A")</f>
        <v>N/A</v>
      </c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</row>
    <row r="111">
      <c r="A111" s="32"/>
      <c r="B111" s="28" t="s">
        <v>29</v>
      </c>
      <c r="C111" s="29" t="s">
        <v>188</v>
      </c>
      <c r="D111" s="29" t="s">
        <v>965</v>
      </c>
      <c r="E111" s="28">
        <v>1.18</v>
      </c>
      <c r="F111" s="28">
        <v>0.0</v>
      </c>
      <c r="G111" s="28" t="s">
        <v>74</v>
      </c>
      <c r="H111" s="28">
        <f t="array" ref="H111">INDEX(CC!C:C,MATCH(1,(CC!A:A=G111)*(CC!B:B=I111),0))</f>
        <v>1502</v>
      </c>
      <c r="I111" s="28" t="s">
        <v>25</v>
      </c>
      <c r="J111" s="31">
        <v>1.18</v>
      </c>
      <c r="K111" s="28" t="str">
        <f>IFERROR(__xludf.DUMMYFUNCTION("IFERROR(
INDEX(
FILTER(
MAP(
reglas!$B$2:$B$240,
reglas!$C$2:$C$240,
reglas!$D$2:$D$240,
reglas!$E$2:$E$240,
LAMBDA(rEmisor,rPatron,rConcepto,rTipo,
IF(
AND(
OR(
UPPER(TRIM(rEmisor))=UPPER(TRIM(C111)),
UPPER(TRIM(rEmisor))=""CUALQUIERA""
),
OR(
UPPER(TRIM"&amp;"(rTipo))=""SOLO EMISOR"",
AND(
UPPER(TRIM(rTipo))=""EXACTA"",
UPPER(TRIM(AG111))=UPPER(TRIM(rPatron))
),
AND(
OR(
UPPER(TRIM(rTipo))=""CONTIENE"",
UPPER(TRIM(rTipo))=""COINCIDENCIA""
),
ISNUMBER(SEARCH(UPPER(TRIM(rPatron)),UPPER(TRIM(D111))))
)
)
),
rConc"&amp;"epto,
""""
)
)
),
MAP(
reglas!$B$2:$B$240,
reglas!$C$2:$C$240,
reglas!$D$2:$D$240,
reglas!$E$2:$E$240,
LAMBDA(rEmisor,rPatron,rConcepto,rTipo,
IF(
AND(
OR(
UPPER(TRIM(rEmisor))=UPPER(TRIM(C111)),
UPPER(TRIM(rEmisor))=""CUALQUIERA""
),
OR(
UPPER(TRIM(rTipo"&amp;"))=""SOLO EMISOR"",
AND(
UPPER(TRIM(rTipo))=""EXACTA"",
UPPER(TRIM(D111))=UPPER(TRIM(rPatron))
),
AND(
OR(
UPPER(TRIM(rTipo))=""CONTIENE"",
UPPER(TRIM(rTipo))=""COINCIDENCIA""
),
ISNUMBER(SEARCH(UPPER(TRIM(rPatron)),UPPER(TRIM(D111))))
)
)
),
rConcepto,
"&amp;"""""
)
)
)&lt;&gt;""""
),
1
),
""""
)"),"INTERNET")</f>
        <v>INTERNET</v>
      </c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</row>
    <row r="112">
      <c r="A112" s="32"/>
      <c r="B112" s="28" t="s">
        <v>29</v>
      </c>
      <c r="C112" s="29" t="s">
        <v>520</v>
      </c>
      <c r="D112" s="42" t="s">
        <v>521</v>
      </c>
      <c r="E112" s="30">
        <v>5100.0</v>
      </c>
      <c r="F112" s="28">
        <v>0.0</v>
      </c>
      <c r="G112" s="28" t="s">
        <v>551</v>
      </c>
      <c r="H112" s="28">
        <f t="array" ref="H112">INDEX(CC!C:C,MATCH(1,(CC!A:A=G112)*(CC!B:B=I112),0))</f>
        <v>1202</v>
      </c>
      <c r="I112" s="28" t="s">
        <v>25</v>
      </c>
      <c r="J112" s="31">
        <v>5100.0</v>
      </c>
      <c r="K112" s="28" t="str">
        <f>IFERROR(__xludf.DUMMYFUNCTION("IFERROR(
INDEX(
FILTER(
MAP(
reglas!$B$2:$B$240,
reglas!$C$2:$C$240,
reglas!$D$2:$D$240,
reglas!$E$2:$E$240,
LAMBDA(rEmisor,rPatron,rConcepto,rTipo,
IF(
AND(
OR(
UPPER(TRIM(rEmisor))=UPPER(TRIM(C112)),
UPPER(TRIM(rEmisor))=""CUALQUIERA""
),
OR(
UPPER(TRIM"&amp;"(rTipo))=""SOLO EMISOR"",
AND(
UPPER(TRIM(rTipo))=""EXACTA"",
UPPER(TRIM(AG112))=UPPER(TRIM(rPatron))
),
AND(
OR(
UPPER(TRIM(rTipo))=""CONTIENE"",
UPPER(TRIM(rTipo))=""COINCIDENCIA""
),
ISNUMBER(SEARCH(UPPER(TRIM(rPatron)),UPPER(TRIM(D112))))
)
)
),
rConc"&amp;"epto,
""""
)
)
),
MAP(
reglas!$B$2:$B$240,
reglas!$C$2:$C$240,
reglas!$D$2:$D$240,
reglas!$E$2:$E$240,
LAMBDA(rEmisor,rPatron,rConcepto,rTipo,
IF(
AND(
OR(
UPPER(TRIM(rEmisor))=UPPER(TRIM(C112)),
UPPER(TRIM(rEmisor))=""CUALQUIERA""
),
OR(
UPPER(TRIM(rTipo"&amp;"))=""SOLO EMISOR"",
AND(
UPPER(TRIM(rTipo))=""EXACTA"",
UPPER(TRIM(D112))=UPPER(TRIM(rPatron))
),
AND(
OR(
UPPER(TRIM(rTipo))=""CONTIENE"",
UPPER(TRIM(rTipo))=""COINCIDENCIA""
),
ISNUMBER(SEARCH(UPPER(TRIM(rPatron)),UPPER(TRIM(D112))))
)
)
),
rConcepto,
"&amp;"""""
)
)
)&lt;&gt;""""
),
1
),
""""
)"),"ETIQUETADO AA")</f>
        <v>ETIQUETADO AA</v>
      </c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</row>
    <row r="113">
      <c r="A113" s="28">
        <v>1.0</v>
      </c>
      <c r="B113" s="28" t="s">
        <v>29</v>
      </c>
      <c r="C113" s="29" t="s">
        <v>271</v>
      </c>
      <c r="D113" s="29" t="s">
        <v>585</v>
      </c>
      <c r="E113" s="28">
        <v>634.54</v>
      </c>
      <c r="F113" s="28">
        <v>0.0</v>
      </c>
      <c r="G113" s="28" t="s">
        <v>84</v>
      </c>
      <c r="H113" s="28">
        <f t="array" ref="H113">INDEX(CC!C:C,MATCH(1,(CC!A:A=G113)*(CC!B:B=I113),0))</f>
        <v>1002</v>
      </c>
      <c r="I113" s="28" t="s">
        <v>25</v>
      </c>
      <c r="J113" s="31">
        <v>634.54</v>
      </c>
      <c r="K113" s="28" t="str">
        <f>IFERROR(__xludf.DUMMYFUNCTION("IFERROR(
INDEX(
FILTER(
MAP(
reglas!$B$2:$B$240,
reglas!$C$2:$C$240,
reglas!$D$2:$D$240,
reglas!$E$2:$E$240,
LAMBDA(rEmisor,rPatron,rConcepto,rTipo,
IF(
AND(
OR(
UPPER(TRIM(rEmisor))=UPPER(TRIM(C113)),
UPPER(TRIM(rEmisor))=""CUALQUIERA""
),
OR(
UPPER(TRIM"&amp;"(rTipo))=""SOLO EMISOR"",
AND(
UPPER(TRIM(rTipo))=""EXACTA"",
UPPER(TRIM(AG113))=UPPER(TRIM(rPatron))
),
AND(
OR(
UPPER(TRIM(rTipo))=""CONTIENE"",
UPPER(TRIM(rTipo))=""COINCIDENCIA""
),
ISNUMBER(SEARCH(UPPER(TRIM(rPatron)),UPPER(TRIM(D113))))
)
)
),
rConc"&amp;"epto,
""""
)
)
),
MAP(
reglas!$B$2:$B$240,
reglas!$C$2:$C$240,
reglas!$D$2:$D$240,
reglas!$E$2:$E$240,
LAMBDA(rEmisor,rPatron,rConcepto,rTipo,
IF(
AND(
OR(
UPPER(TRIM(rEmisor))=UPPER(TRIM(C113)),
UPPER(TRIM(rEmisor))=""CUALQUIERA""
),
OR(
UPPER(TRIM(rTipo"&amp;"))=""SOLO EMISOR"",
AND(
UPPER(TRIM(rTipo))=""EXACTA"",
UPPER(TRIM(D113))=UPPER(TRIM(rPatron))
),
AND(
OR(
UPPER(TRIM(rTipo))=""CONTIENE"",
UPPER(TRIM(rTipo))=""COINCIDENCIA""
),
ISNUMBER(SEARCH(UPPER(TRIM(rPatron)),UPPER(TRIM(D113))))
)
)
),
rConcepto,
"&amp;"""""
)
)
)&lt;&gt;""""
),
1
),
""""
)"),"MANIOBRAS")</f>
        <v>MANIOBRAS</v>
      </c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</row>
    <row r="114">
      <c r="A114" s="32"/>
      <c r="B114" s="32"/>
      <c r="C114" s="29" t="s">
        <v>271</v>
      </c>
      <c r="D114" s="29" t="s">
        <v>587</v>
      </c>
      <c r="E114" s="28">
        <v>580.56</v>
      </c>
      <c r="F114" s="28">
        <v>0.0</v>
      </c>
      <c r="G114" s="28" t="s">
        <v>84</v>
      </c>
      <c r="H114" s="28">
        <f t="array" ref="H114">INDEX(CC!C:C,MATCH(1,(CC!A:A=G114)*(CC!B:B=I114),0))</f>
        <v>1002</v>
      </c>
      <c r="I114" s="28" t="s">
        <v>25</v>
      </c>
      <c r="J114" s="31">
        <v>580.56</v>
      </c>
      <c r="K114" s="28" t="str">
        <f>IFERROR(__xludf.DUMMYFUNCTION("IFERROR(
INDEX(
FILTER(
MAP(
reglas!$B$2:$B$240,
reglas!$C$2:$C$240,
reglas!$D$2:$D$240,
reglas!$E$2:$E$240,
LAMBDA(rEmisor,rPatron,rConcepto,rTipo,
IF(
AND(
OR(
UPPER(TRIM(rEmisor))=UPPER(TRIM(C114)),
UPPER(TRIM(rEmisor))=""CUALQUIERA""
),
OR(
UPPER(TRIM"&amp;"(rTipo))=""SOLO EMISOR"",
AND(
UPPER(TRIM(rTipo))=""EXACTA"",
UPPER(TRIM(AG114))=UPPER(TRIM(rPatron))
),
AND(
OR(
UPPER(TRIM(rTipo))=""CONTIENE"",
UPPER(TRIM(rTipo))=""COINCIDENCIA""
),
ISNUMBER(SEARCH(UPPER(TRIM(rPatron)),UPPER(TRIM(D114))))
)
)
),
rConc"&amp;"epto,
""""
)
)
),
MAP(
reglas!$B$2:$B$240,
reglas!$C$2:$C$240,
reglas!$D$2:$D$240,
reglas!$E$2:$E$240,
LAMBDA(rEmisor,rPatron,rConcepto,rTipo,
IF(
AND(
OR(
UPPER(TRIM(rEmisor))=UPPER(TRIM(C114)),
UPPER(TRIM(rEmisor))=""CUALQUIERA""
),
OR(
UPPER(TRIM(rTipo"&amp;"))=""SOLO EMISOR"",
AND(
UPPER(TRIM(rTipo))=""EXACTA"",
UPPER(TRIM(D114))=UPPER(TRIM(rPatron))
),
AND(
OR(
UPPER(TRIM(rTipo))=""CONTIENE"",
UPPER(TRIM(rTipo))=""COINCIDENCIA""
),
ISNUMBER(SEARCH(UPPER(TRIM(rPatron)),UPPER(TRIM(D114))))
)
)
),
rConcepto,
"&amp;"""""
)
)
)&lt;&gt;""""
),
1
),
""""
)"),"MANIOBRAS")</f>
        <v>MANIOBRAS</v>
      </c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</row>
    <row r="115">
      <c r="A115" s="32"/>
      <c r="B115" s="32"/>
      <c r="C115" s="29" t="s">
        <v>271</v>
      </c>
      <c r="D115" s="29" t="s">
        <v>589</v>
      </c>
      <c r="E115" s="28">
        <v>634.89</v>
      </c>
      <c r="F115" s="28">
        <v>0.0</v>
      </c>
      <c r="G115" s="28" t="s">
        <v>84</v>
      </c>
      <c r="H115" s="28">
        <f t="array" ref="H115">INDEX(CC!C:C,MATCH(1,(CC!A:A=G115)*(CC!B:B=I115),0))</f>
        <v>1002</v>
      </c>
      <c r="I115" s="28" t="s">
        <v>25</v>
      </c>
      <c r="J115" s="31">
        <v>634.89</v>
      </c>
      <c r="K115" s="28" t="str">
        <f>IFERROR(__xludf.DUMMYFUNCTION("IFERROR(
INDEX(
FILTER(
MAP(
reglas!$B$2:$B$240,
reglas!$C$2:$C$240,
reglas!$D$2:$D$240,
reglas!$E$2:$E$240,
LAMBDA(rEmisor,rPatron,rConcepto,rTipo,
IF(
AND(
OR(
UPPER(TRIM(rEmisor))=UPPER(TRIM(C115)),
UPPER(TRIM(rEmisor))=""CUALQUIERA""
),
OR(
UPPER(TRIM"&amp;"(rTipo))=""SOLO EMISOR"",
AND(
UPPER(TRIM(rTipo))=""EXACTA"",
UPPER(TRIM(AG115))=UPPER(TRIM(rPatron))
),
AND(
OR(
UPPER(TRIM(rTipo))=""CONTIENE"",
UPPER(TRIM(rTipo))=""COINCIDENCIA""
),
ISNUMBER(SEARCH(UPPER(TRIM(rPatron)),UPPER(TRIM(D115))))
)
)
),
rConc"&amp;"epto,
""""
)
)
),
MAP(
reglas!$B$2:$B$240,
reglas!$C$2:$C$240,
reglas!$D$2:$D$240,
reglas!$E$2:$E$240,
LAMBDA(rEmisor,rPatron,rConcepto,rTipo,
IF(
AND(
OR(
UPPER(TRIM(rEmisor))=UPPER(TRIM(C115)),
UPPER(TRIM(rEmisor))=""CUALQUIERA""
),
OR(
UPPER(TRIM(rTipo"&amp;"))=""SOLO EMISOR"",
AND(
UPPER(TRIM(rTipo))=""EXACTA"",
UPPER(TRIM(D115))=UPPER(TRIM(rPatron))
),
AND(
OR(
UPPER(TRIM(rTipo))=""CONTIENE"",
UPPER(TRIM(rTipo))=""COINCIDENCIA""
),
ISNUMBER(SEARCH(UPPER(TRIM(rPatron)),UPPER(TRIM(D115))))
)
)
),
rConcepto,
"&amp;"""""
)
)
)&lt;&gt;""""
),
1
),
""""
)"),"MANIOBRAS")</f>
        <v>MANIOBRAS</v>
      </c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</row>
    <row r="116">
      <c r="A116" s="32"/>
      <c r="B116" s="32"/>
      <c r="C116" s="29" t="s">
        <v>271</v>
      </c>
      <c r="D116" s="29" t="s">
        <v>596</v>
      </c>
      <c r="E116" s="28">
        <v>666.13</v>
      </c>
      <c r="F116" s="28">
        <v>0.0</v>
      </c>
      <c r="G116" s="28" t="s">
        <v>84</v>
      </c>
      <c r="H116" s="28">
        <f t="array" ref="H116">INDEX(CC!C:C,MATCH(1,(CC!A:A=G116)*(CC!B:B=I116),0))</f>
        <v>1002</v>
      </c>
      <c r="I116" s="28" t="s">
        <v>25</v>
      </c>
      <c r="J116" s="31">
        <v>666.13</v>
      </c>
      <c r="K116" s="28" t="str">
        <f>IFERROR(__xludf.DUMMYFUNCTION("IFERROR(
INDEX(
FILTER(
MAP(
reglas!$B$2:$B$240,
reglas!$C$2:$C$240,
reglas!$D$2:$D$240,
reglas!$E$2:$E$240,
LAMBDA(rEmisor,rPatron,rConcepto,rTipo,
IF(
AND(
OR(
UPPER(TRIM(rEmisor))=UPPER(TRIM(C116)),
UPPER(TRIM(rEmisor))=""CUALQUIERA""
),
OR(
UPPER(TRIM"&amp;"(rTipo))=""SOLO EMISOR"",
AND(
UPPER(TRIM(rTipo))=""EXACTA"",
UPPER(TRIM(AG116))=UPPER(TRIM(rPatron))
),
AND(
OR(
UPPER(TRIM(rTipo))=""CONTIENE"",
UPPER(TRIM(rTipo))=""COINCIDENCIA""
),
ISNUMBER(SEARCH(UPPER(TRIM(rPatron)),UPPER(TRIM(D116))))
)
)
),
rConc"&amp;"epto,
""""
)
)
),
MAP(
reglas!$B$2:$B$240,
reglas!$C$2:$C$240,
reglas!$D$2:$D$240,
reglas!$E$2:$E$240,
LAMBDA(rEmisor,rPatron,rConcepto,rTipo,
IF(
AND(
OR(
UPPER(TRIM(rEmisor))=UPPER(TRIM(C116)),
UPPER(TRIM(rEmisor))=""CUALQUIERA""
),
OR(
UPPER(TRIM(rTipo"&amp;"))=""SOLO EMISOR"",
AND(
UPPER(TRIM(rTipo))=""EXACTA"",
UPPER(TRIM(D116))=UPPER(TRIM(rPatron))
),
AND(
OR(
UPPER(TRIM(rTipo))=""CONTIENE"",
UPPER(TRIM(rTipo))=""COINCIDENCIA""
),
ISNUMBER(SEARCH(UPPER(TRIM(rPatron)),UPPER(TRIM(D116))))
)
)
),
rConcepto,
"&amp;"""""
)
)
)&lt;&gt;""""
),
1
),
""""
)"),"MANIOBRAS")</f>
        <v>MANIOBRAS</v>
      </c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</row>
    <row r="117">
      <c r="A117" s="32"/>
      <c r="B117" s="28" t="s">
        <v>29</v>
      </c>
      <c r="C117" s="29" t="s">
        <v>259</v>
      </c>
      <c r="D117" s="29" t="s">
        <v>969</v>
      </c>
      <c r="E117" s="30">
        <v>4310.34</v>
      </c>
      <c r="F117" s="28">
        <v>0.0</v>
      </c>
      <c r="G117" s="28" t="s">
        <v>581</v>
      </c>
      <c r="H117" s="28">
        <f t="array" ref="H117">INDEX(CC!C:C,MATCH(1,(CC!A:A=G117)*(CC!B:B=I117),0))</f>
        <v>202</v>
      </c>
      <c r="I117" s="28" t="s">
        <v>25</v>
      </c>
      <c r="J117" s="31">
        <v>4310.34</v>
      </c>
      <c r="K117" s="28" t="str">
        <f>IFERROR(__xludf.DUMMYFUNCTION("IFERROR(
INDEX(
FILTER(
MAP(
reglas!$B$2:$B$240,
reglas!$C$2:$C$240,
reglas!$D$2:$D$240,
reglas!$E$2:$E$240,
LAMBDA(rEmisor,rPatron,rConcepto,rTipo,
IF(
AND(
OR(
UPPER(TRIM(rEmisor))=UPPER(TRIM(C117)),
UPPER(TRIM(rEmisor))=""CUALQUIERA""
),
OR(
UPPER(TRIM"&amp;"(rTipo))=""SOLO EMISOR"",
AND(
UPPER(TRIM(rTipo))=""EXACTA"",
UPPER(TRIM(AG117))=UPPER(TRIM(rPatron))
),
AND(
OR(
UPPER(TRIM(rTipo))=""CONTIENE"",
UPPER(TRIM(rTipo))=""COINCIDENCIA""
),
ISNUMBER(SEARCH(UPPER(TRIM(rPatron)),UPPER(TRIM(D117))))
)
)
),
rConc"&amp;"epto,
""""
)
)
),
MAP(
reglas!$B$2:$B$240,
reglas!$C$2:$C$240,
reglas!$D$2:$D$240,
reglas!$E$2:$E$240,
LAMBDA(rEmisor,rPatron,rConcepto,rTipo,
IF(
AND(
OR(
UPPER(TRIM(rEmisor))=UPPER(TRIM(C117)),
UPPER(TRIM(rEmisor))=""CUALQUIERA""
),
OR(
UPPER(TRIM(rTipo"&amp;"))=""SOLO EMISOR"",
AND(
UPPER(TRIM(rTipo))=""EXACTA"",
UPPER(TRIM(D117))=UPPER(TRIM(rPatron))
),
AND(
OR(
UPPER(TRIM(rTipo))=""CONTIENE"",
UPPER(TRIM(rTipo))=""COINCIDENCIA""
),
ISNUMBER(SEARCH(UPPER(TRIM(rPatron)),UPPER(TRIM(D117))))
)
)
),
rConcepto,
"&amp;"""""
)
)
)&lt;&gt;""""
),
1
),
""""
)"),"COMBUSTIBLES Y LUBRICANTES")</f>
        <v>COMBUSTIBLES Y LUBRICANTES</v>
      </c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</row>
    <row r="118">
      <c r="A118" s="32"/>
      <c r="B118" s="28" t="s">
        <v>29</v>
      </c>
      <c r="C118" s="29" t="s">
        <v>172</v>
      </c>
      <c r="D118" s="29" t="s">
        <v>559</v>
      </c>
      <c r="E118" s="30">
        <v>11500.0</v>
      </c>
      <c r="F118" s="28">
        <v>0.0</v>
      </c>
      <c r="G118" s="28" t="s">
        <v>250</v>
      </c>
      <c r="H118" s="28">
        <f t="array" ref="H118">INDEX(CC!C:C,MATCH(1,(CC!A:A=G118)*(CC!B:B=I118),0))</f>
        <v>1402</v>
      </c>
      <c r="I118" s="28" t="s">
        <v>25</v>
      </c>
      <c r="J118" s="31">
        <v>11500.0</v>
      </c>
      <c r="K118" s="28" t="str">
        <f>IFERROR(__xludf.DUMMYFUNCTION("IFERROR(
INDEX(
FILTER(
MAP(
reglas!$B$2:$B$240,
reglas!$C$2:$C$240,
reglas!$D$2:$D$240,
reglas!$E$2:$E$240,
LAMBDA(rEmisor,rPatron,rConcepto,rTipo,
IF(
AND(
OR(
UPPER(TRIM(rEmisor))=UPPER(TRIM(C118)),
UPPER(TRIM(rEmisor))=""CUALQUIERA""
),
OR(
UPPER(TRIM"&amp;"(rTipo))=""SOLO EMISOR"",
AND(
UPPER(TRIM(rTipo))=""EXACTA"",
UPPER(TRIM(AG118))=UPPER(TRIM(rPatron))
),
AND(
OR(
UPPER(TRIM(rTipo))=""CONTIENE"",
UPPER(TRIM(rTipo))=""COINCIDENCIA""
),
ISNUMBER(SEARCH(UPPER(TRIM(rPatron)),UPPER(TRIM(D118))))
)
)
),
rConc"&amp;"epto,
""""
)
)
),
MAP(
reglas!$B$2:$B$240,
reglas!$C$2:$C$240,
reglas!$D$2:$D$240,
reglas!$E$2:$E$240,
LAMBDA(rEmisor,rPatron,rConcepto,rTipo,
IF(
AND(
OR(
UPPER(TRIM(rEmisor))=UPPER(TRIM(C118)),
UPPER(TRIM(rEmisor))=""CUALQUIERA""
),
OR(
UPPER(TRIM(rTipo"&amp;"))=""SOLO EMISOR"",
AND(
UPPER(TRIM(rTipo))=""EXACTA"",
UPPER(TRIM(D118))=UPPER(TRIM(rPatron))
),
AND(
OR(
UPPER(TRIM(rTipo))=""CONTIENE"",
UPPER(TRIM(rTipo))=""COINCIDENCIA""
),
ISNUMBER(SEARCH(UPPER(TRIM(rPatron)),UPPER(TRIM(D118))))
)
)
),
rConcepto,
"&amp;"""""
)
)
)&lt;&gt;""""
),
1
),
""""
)"),"TRANSPORTE")</f>
        <v>TRANSPORTE</v>
      </c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</row>
    <row r="119">
      <c r="A119" s="32"/>
      <c r="B119" s="28" t="s">
        <v>29</v>
      </c>
      <c r="C119" s="29" t="s">
        <v>172</v>
      </c>
      <c r="D119" s="29" t="s">
        <v>561</v>
      </c>
      <c r="E119" s="30">
        <v>11500.0</v>
      </c>
      <c r="F119" s="28">
        <v>0.0</v>
      </c>
      <c r="G119" s="28" t="s">
        <v>250</v>
      </c>
      <c r="H119" s="28">
        <f t="array" ref="H119">INDEX(CC!C:C,MATCH(1,(CC!A:A=G119)*(CC!B:B=I119),0))</f>
        <v>1402</v>
      </c>
      <c r="I119" s="28" t="s">
        <v>25</v>
      </c>
      <c r="J119" s="31">
        <v>11500.0</v>
      </c>
      <c r="K119" s="28" t="str">
        <f>IFERROR(__xludf.DUMMYFUNCTION("IFERROR(
INDEX(
FILTER(
MAP(
reglas!$B$2:$B$240,
reglas!$C$2:$C$240,
reglas!$D$2:$D$240,
reglas!$E$2:$E$240,
LAMBDA(rEmisor,rPatron,rConcepto,rTipo,
IF(
AND(
OR(
UPPER(TRIM(rEmisor))=UPPER(TRIM(C119)),
UPPER(TRIM(rEmisor))=""CUALQUIERA""
),
OR(
UPPER(TRIM"&amp;"(rTipo))=""SOLO EMISOR"",
AND(
UPPER(TRIM(rTipo))=""EXACTA"",
UPPER(TRIM(AG119))=UPPER(TRIM(rPatron))
),
AND(
OR(
UPPER(TRIM(rTipo))=""CONTIENE"",
UPPER(TRIM(rTipo))=""COINCIDENCIA""
),
ISNUMBER(SEARCH(UPPER(TRIM(rPatron)),UPPER(TRIM(D119))))
)
)
),
rConc"&amp;"epto,
""""
)
)
),
MAP(
reglas!$B$2:$B$240,
reglas!$C$2:$C$240,
reglas!$D$2:$D$240,
reglas!$E$2:$E$240,
LAMBDA(rEmisor,rPatron,rConcepto,rTipo,
IF(
AND(
OR(
UPPER(TRIM(rEmisor))=UPPER(TRIM(C119)),
UPPER(TRIM(rEmisor))=""CUALQUIERA""
),
OR(
UPPER(TRIM(rTipo"&amp;"))=""SOLO EMISOR"",
AND(
UPPER(TRIM(rTipo))=""EXACTA"",
UPPER(TRIM(D119))=UPPER(TRIM(rPatron))
),
AND(
OR(
UPPER(TRIM(rTipo))=""CONTIENE"",
UPPER(TRIM(rTipo))=""COINCIDENCIA""
),
ISNUMBER(SEARCH(UPPER(TRIM(rPatron)),UPPER(TRIM(D119))))
)
)
),
rConcepto,
"&amp;"""""
)
)
)&lt;&gt;""""
),
1
),
""""
)"),"TRANSPORTE")</f>
        <v>TRANSPORTE</v>
      </c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</row>
    <row r="120">
      <c r="A120" s="32"/>
      <c r="B120" s="28" t="s">
        <v>29</v>
      </c>
      <c r="C120" s="29" t="s">
        <v>278</v>
      </c>
      <c r="D120" s="29" t="s">
        <v>560</v>
      </c>
      <c r="E120" s="30">
        <v>3500.0</v>
      </c>
      <c r="F120" s="28">
        <v>0.0</v>
      </c>
      <c r="G120" s="28" t="s">
        <v>250</v>
      </c>
      <c r="H120" s="28">
        <f t="array" ref="H120">INDEX(CC!C:C,MATCH(1,(CC!A:A=G120)*(CC!B:B=I120),0))</f>
        <v>1402</v>
      </c>
      <c r="I120" s="28" t="s">
        <v>25</v>
      </c>
      <c r="J120" s="31">
        <v>3500.0</v>
      </c>
      <c r="K120" s="28" t="str">
        <f>IFERROR(__xludf.DUMMYFUNCTION("IFERROR(
INDEX(
FILTER(
MAP(
reglas!$B$2:$B$240,
reglas!$C$2:$C$240,
reglas!$D$2:$D$240,
reglas!$E$2:$E$240,
LAMBDA(rEmisor,rPatron,rConcepto,rTipo,
IF(
AND(
OR(
UPPER(TRIM(rEmisor))=UPPER(TRIM(C120)),
UPPER(TRIM(rEmisor))=""CUALQUIERA""
),
OR(
UPPER(TRIM"&amp;"(rTipo))=""SOLO EMISOR"",
AND(
UPPER(TRIM(rTipo))=""EXACTA"",
UPPER(TRIM(AG120))=UPPER(TRIM(rPatron))
),
AND(
OR(
UPPER(TRIM(rTipo))=""CONTIENE"",
UPPER(TRIM(rTipo))=""COINCIDENCIA""
),
ISNUMBER(SEARCH(UPPER(TRIM(rPatron)),UPPER(TRIM(D120))))
)
)
),
rConc"&amp;"epto,
""""
)
)
),
MAP(
reglas!$B$2:$B$240,
reglas!$C$2:$C$240,
reglas!$D$2:$D$240,
reglas!$E$2:$E$240,
LAMBDA(rEmisor,rPatron,rConcepto,rTipo,
IF(
AND(
OR(
UPPER(TRIM(rEmisor))=UPPER(TRIM(C120)),
UPPER(TRIM(rEmisor))=""CUALQUIERA""
),
OR(
UPPER(TRIM(rTipo"&amp;"))=""SOLO EMISOR"",
AND(
UPPER(TRIM(rTipo))=""EXACTA"",
UPPER(TRIM(D120))=UPPER(TRIM(rPatron))
),
AND(
OR(
UPPER(TRIM(rTipo))=""CONTIENE"",
UPPER(TRIM(rTipo))=""COINCIDENCIA""
),
ISNUMBER(SEARCH(UPPER(TRIM(rPatron)),UPPER(TRIM(D120))))
)
)
),
rConcepto,
"&amp;"""""
)
)
)&lt;&gt;""""
),
1
),
""""
)"),"MANIOBRAS")</f>
        <v>MANIOBRAS</v>
      </c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</row>
    <row r="121">
      <c r="A121" s="28">
        <v>1.0</v>
      </c>
      <c r="B121" s="28" t="s">
        <v>29</v>
      </c>
      <c r="C121" s="29" t="s">
        <v>367</v>
      </c>
      <c r="D121" s="29" t="s">
        <v>973</v>
      </c>
      <c r="E121" s="30">
        <v>1428.0</v>
      </c>
      <c r="F121" s="28">
        <v>0.0</v>
      </c>
      <c r="G121" s="28" t="s">
        <v>554</v>
      </c>
      <c r="H121" s="28">
        <f t="array" ref="H121">INDEX(CC!C:C,MATCH(1,(CC!A:A=G121)*(CC!B:B=I121),0))</f>
        <v>1703</v>
      </c>
      <c r="I121" s="28" t="s">
        <v>44</v>
      </c>
      <c r="J121" s="31">
        <v>1428.0</v>
      </c>
      <c r="K121" s="28" t="str">
        <f>IFERROR(__xludf.DUMMYFUNCTION("IFERROR(
INDEX(
FILTER(
MAP(
reglas!$B$2:$B$240,
reglas!$C$2:$C$240,
reglas!$D$2:$D$240,
reglas!$E$2:$E$240,
LAMBDA(rEmisor,rPatron,rConcepto,rTipo,
IF(
AND(
OR(
UPPER(TRIM(rEmisor))=UPPER(TRIM(C121)),
UPPER(TRIM(rEmisor))=""CUALQUIERA""
),
OR(
UPPER(TRIM"&amp;"(rTipo))=""SOLO EMISOR"",
AND(
UPPER(TRIM(rTipo))=""EXACTA"",
UPPER(TRIM(AG121))=UPPER(TRIM(rPatron))
),
AND(
OR(
UPPER(TRIM(rTipo))=""CONTIENE"",
UPPER(TRIM(rTipo))=""COINCIDENCIA""
),
ISNUMBER(SEARCH(UPPER(TRIM(rPatron)),UPPER(TRIM(D121))))
)
)
),
rConc"&amp;"epto,
""""
)
)
),
MAP(
reglas!$B$2:$B$240,
reglas!$C$2:$C$240,
reglas!$D$2:$D$240,
reglas!$E$2:$E$240,
LAMBDA(rEmisor,rPatron,rConcepto,rTipo,
IF(
AND(
OR(
UPPER(TRIM(rEmisor))=UPPER(TRIM(C121)),
UPPER(TRIM(rEmisor))=""CUALQUIERA""
),
OR(
UPPER(TRIM(rTipo"&amp;"))=""SOLO EMISOR"",
AND(
UPPER(TRIM(rTipo))=""EXACTA"",
UPPER(TRIM(D121))=UPPER(TRIM(rPatron))
),
AND(
OR(
UPPER(TRIM(rTipo))=""CONTIENE"",
UPPER(TRIM(rTipo))=""COINCIDENCIA""
),
ISNUMBER(SEARCH(UPPER(TRIM(rPatron)),UPPER(TRIM(D121))))
)
)
),
rConcepto,
"&amp;"""""
)
)
)&lt;&gt;""""
),
1
),
""""
)"),"")</f>
        <v/>
      </c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</row>
    <row r="122">
      <c r="A122" s="28">
        <v>1.0</v>
      </c>
      <c r="B122" s="28" t="s">
        <v>29</v>
      </c>
      <c r="C122" s="29" t="s">
        <v>271</v>
      </c>
      <c r="D122" s="29" t="s">
        <v>585</v>
      </c>
      <c r="E122" s="28">
        <v>634.54</v>
      </c>
      <c r="F122" s="28">
        <v>0.0</v>
      </c>
      <c r="G122" s="28" t="s">
        <v>84</v>
      </c>
      <c r="H122" s="28">
        <f t="array" ref="H122">INDEX(CC!C:C,MATCH(1,(CC!A:A=G122)*(CC!B:B=I122),0))</f>
        <v>1002</v>
      </c>
      <c r="I122" s="28" t="s">
        <v>25</v>
      </c>
      <c r="J122" s="31">
        <v>634.54</v>
      </c>
      <c r="K122" s="28" t="str">
        <f>IFERROR(__xludf.DUMMYFUNCTION("IFERROR(
INDEX(
FILTER(
MAP(
reglas!$B$2:$B$240,
reglas!$C$2:$C$240,
reglas!$D$2:$D$240,
reglas!$E$2:$E$240,
LAMBDA(rEmisor,rPatron,rConcepto,rTipo,
IF(
AND(
OR(
UPPER(TRIM(rEmisor))=UPPER(TRIM(C122)),
UPPER(TRIM(rEmisor))=""CUALQUIERA""
),
OR(
UPPER(TRIM"&amp;"(rTipo))=""SOLO EMISOR"",
AND(
UPPER(TRIM(rTipo))=""EXACTA"",
UPPER(TRIM(AG122))=UPPER(TRIM(rPatron))
),
AND(
OR(
UPPER(TRIM(rTipo))=""CONTIENE"",
UPPER(TRIM(rTipo))=""COINCIDENCIA""
),
ISNUMBER(SEARCH(UPPER(TRIM(rPatron)),UPPER(TRIM(D122))))
)
)
),
rConc"&amp;"epto,
""""
)
)
),
MAP(
reglas!$B$2:$B$240,
reglas!$C$2:$C$240,
reglas!$D$2:$D$240,
reglas!$E$2:$E$240,
LAMBDA(rEmisor,rPatron,rConcepto,rTipo,
IF(
AND(
OR(
UPPER(TRIM(rEmisor))=UPPER(TRIM(C122)),
UPPER(TRIM(rEmisor))=""CUALQUIERA""
),
OR(
UPPER(TRIM(rTipo"&amp;"))=""SOLO EMISOR"",
AND(
UPPER(TRIM(rTipo))=""EXACTA"",
UPPER(TRIM(D122))=UPPER(TRIM(rPatron))
),
AND(
OR(
UPPER(TRIM(rTipo))=""CONTIENE"",
UPPER(TRIM(rTipo))=""COINCIDENCIA""
),
ISNUMBER(SEARCH(UPPER(TRIM(rPatron)),UPPER(TRIM(D122))))
)
)
),
rConcepto,
"&amp;"""""
)
)
)&lt;&gt;""""
),
1
),
""""
)"),"MANIOBRAS")</f>
        <v>MANIOBRAS</v>
      </c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</row>
    <row r="123">
      <c r="A123" s="32"/>
      <c r="B123" s="32"/>
      <c r="C123" s="29" t="s">
        <v>271</v>
      </c>
      <c r="D123" s="29" t="s">
        <v>587</v>
      </c>
      <c r="E123" s="28">
        <v>580.56</v>
      </c>
      <c r="F123" s="28">
        <v>0.0</v>
      </c>
      <c r="G123" s="28" t="s">
        <v>84</v>
      </c>
      <c r="H123" s="28">
        <f t="array" ref="H123">INDEX(CC!C:C,MATCH(1,(CC!A:A=G123)*(CC!B:B=I123),0))</f>
        <v>1002</v>
      </c>
      <c r="I123" s="28" t="s">
        <v>25</v>
      </c>
      <c r="J123" s="31">
        <v>580.56</v>
      </c>
      <c r="K123" s="28" t="str">
        <f>IFERROR(__xludf.DUMMYFUNCTION("IFERROR(
INDEX(
FILTER(
MAP(
reglas!$B$2:$B$240,
reglas!$C$2:$C$240,
reglas!$D$2:$D$240,
reglas!$E$2:$E$240,
LAMBDA(rEmisor,rPatron,rConcepto,rTipo,
IF(
AND(
OR(
UPPER(TRIM(rEmisor))=UPPER(TRIM(C123)),
UPPER(TRIM(rEmisor))=""CUALQUIERA""
),
OR(
UPPER(TRIM"&amp;"(rTipo))=""SOLO EMISOR"",
AND(
UPPER(TRIM(rTipo))=""EXACTA"",
UPPER(TRIM(AG123))=UPPER(TRIM(rPatron))
),
AND(
OR(
UPPER(TRIM(rTipo))=""CONTIENE"",
UPPER(TRIM(rTipo))=""COINCIDENCIA""
),
ISNUMBER(SEARCH(UPPER(TRIM(rPatron)),UPPER(TRIM(D123))))
)
)
),
rConc"&amp;"epto,
""""
)
)
),
MAP(
reglas!$B$2:$B$240,
reglas!$C$2:$C$240,
reglas!$D$2:$D$240,
reglas!$E$2:$E$240,
LAMBDA(rEmisor,rPatron,rConcepto,rTipo,
IF(
AND(
OR(
UPPER(TRIM(rEmisor))=UPPER(TRIM(C123)),
UPPER(TRIM(rEmisor))=""CUALQUIERA""
),
OR(
UPPER(TRIM(rTipo"&amp;"))=""SOLO EMISOR"",
AND(
UPPER(TRIM(rTipo))=""EXACTA"",
UPPER(TRIM(D123))=UPPER(TRIM(rPatron))
),
AND(
OR(
UPPER(TRIM(rTipo))=""CONTIENE"",
UPPER(TRIM(rTipo))=""COINCIDENCIA""
),
ISNUMBER(SEARCH(UPPER(TRIM(rPatron)),UPPER(TRIM(D123))))
)
)
),
rConcepto,
"&amp;"""""
)
)
)&lt;&gt;""""
),
1
),
""""
)"),"MANIOBRAS")</f>
        <v>MANIOBRAS</v>
      </c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</row>
    <row r="124">
      <c r="A124" s="32"/>
      <c r="B124" s="32"/>
      <c r="C124" s="29" t="s">
        <v>271</v>
      </c>
      <c r="D124" s="29" t="s">
        <v>589</v>
      </c>
      <c r="E124" s="28">
        <v>634.89</v>
      </c>
      <c r="F124" s="28">
        <v>0.0</v>
      </c>
      <c r="G124" s="28" t="s">
        <v>84</v>
      </c>
      <c r="H124" s="28">
        <f t="array" ref="H124">INDEX(CC!C:C,MATCH(1,(CC!A:A=G124)*(CC!B:B=I124),0))</f>
        <v>1002</v>
      </c>
      <c r="I124" s="28" t="s">
        <v>25</v>
      </c>
      <c r="J124" s="31">
        <v>634.89</v>
      </c>
      <c r="K124" s="28" t="str">
        <f>IFERROR(__xludf.DUMMYFUNCTION("IFERROR(
INDEX(
FILTER(
MAP(
reglas!$B$2:$B$240,
reglas!$C$2:$C$240,
reglas!$D$2:$D$240,
reglas!$E$2:$E$240,
LAMBDA(rEmisor,rPatron,rConcepto,rTipo,
IF(
AND(
OR(
UPPER(TRIM(rEmisor))=UPPER(TRIM(C124)),
UPPER(TRIM(rEmisor))=""CUALQUIERA""
),
OR(
UPPER(TRIM"&amp;"(rTipo))=""SOLO EMISOR"",
AND(
UPPER(TRIM(rTipo))=""EXACTA"",
UPPER(TRIM(AG124))=UPPER(TRIM(rPatron))
),
AND(
OR(
UPPER(TRIM(rTipo))=""CONTIENE"",
UPPER(TRIM(rTipo))=""COINCIDENCIA""
),
ISNUMBER(SEARCH(UPPER(TRIM(rPatron)),UPPER(TRIM(D124))))
)
)
),
rConc"&amp;"epto,
""""
)
)
),
MAP(
reglas!$B$2:$B$240,
reglas!$C$2:$C$240,
reglas!$D$2:$D$240,
reglas!$E$2:$E$240,
LAMBDA(rEmisor,rPatron,rConcepto,rTipo,
IF(
AND(
OR(
UPPER(TRIM(rEmisor))=UPPER(TRIM(C124)),
UPPER(TRIM(rEmisor))=""CUALQUIERA""
),
OR(
UPPER(TRIM(rTipo"&amp;"))=""SOLO EMISOR"",
AND(
UPPER(TRIM(rTipo))=""EXACTA"",
UPPER(TRIM(D124))=UPPER(TRIM(rPatron))
),
AND(
OR(
UPPER(TRIM(rTipo))=""CONTIENE"",
UPPER(TRIM(rTipo))=""COINCIDENCIA""
),
ISNUMBER(SEARCH(UPPER(TRIM(rPatron)),UPPER(TRIM(D124))))
)
)
),
rConcepto,
"&amp;"""""
)
)
)&lt;&gt;""""
),
1
),
""""
)"),"MANIOBRAS")</f>
        <v>MANIOBRAS</v>
      </c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</row>
    <row r="125">
      <c r="A125" s="32"/>
      <c r="B125" s="32"/>
      <c r="C125" s="29" t="s">
        <v>271</v>
      </c>
      <c r="D125" s="29" t="s">
        <v>596</v>
      </c>
      <c r="E125" s="28">
        <v>666.13</v>
      </c>
      <c r="F125" s="28">
        <v>0.0</v>
      </c>
      <c r="G125" s="28" t="s">
        <v>84</v>
      </c>
      <c r="H125" s="28">
        <f t="array" ref="H125">INDEX(CC!C:C,MATCH(1,(CC!A:A=G125)*(CC!B:B=I125),0))</f>
        <v>1002</v>
      </c>
      <c r="I125" s="28" t="s">
        <v>25</v>
      </c>
      <c r="J125" s="31">
        <v>666.13</v>
      </c>
      <c r="K125" s="28" t="str">
        <f>IFERROR(__xludf.DUMMYFUNCTION("IFERROR(
INDEX(
FILTER(
MAP(
reglas!$B$2:$B$240,
reglas!$C$2:$C$240,
reglas!$D$2:$D$240,
reglas!$E$2:$E$240,
LAMBDA(rEmisor,rPatron,rConcepto,rTipo,
IF(
AND(
OR(
UPPER(TRIM(rEmisor))=UPPER(TRIM(C125)),
UPPER(TRIM(rEmisor))=""CUALQUIERA""
),
OR(
UPPER(TRIM"&amp;"(rTipo))=""SOLO EMISOR"",
AND(
UPPER(TRIM(rTipo))=""EXACTA"",
UPPER(TRIM(AG125))=UPPER(TRIM(rPatron))
),
AND(
OR(
UPPER(TRIM(rTipo))=""CONTIENE"",
UPPER(TRIM(rTipo))=""COINCIDENCIA""
),
ISNUMBER(SEARCH(UPPER(TRIM(rPatron)),UPPER(TRIM(D125))))
)
)
),
rConc"&amp;"epto,
""""
)
)
),
MAP(
reglas!$B$2:$B$240,
reglas!$C$2:$C$240,
reglas!$D$2:$D$240,
reglas!$E$2:$E$240,
LAMBDA(rEmisor,rPatron,rConcepto,rTipo,
IF(
AND(
OR(
UPPER(TRIM(rEmisor))=UPPER(TRIM(C125)),
UPPER(TRIM(rEmisor))=""CUALQUIERA""
),
OR(
UPPER(TRIM(rTipo"&amp;"))=""SOLO EMISOR"",
AND(
UPPER(TRIM(rTipo))=""EXACTA"",
UPPER(TRIM(D125))=UPPER(TRIM(rPatron))
),
AND(
OR(
UPPER(TRIM(rTipo))=""CONTIENE"",
UPPER(TRIM(rTipo))=""COINCIDENCIA""
),
ISNUMBER(SEARCH(UPPER(TRIM(rPatron)),UPPER(TRIM(D125))))
)
)
),
rConcepto,
"&amp;"""""
)
)
)&lt;&gt;""""
),
1
),
""""
)"),"MANIOBRAS")</f>
        <v>MANIOBRAS</v>
      </c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</row>
    <row r="126">
      <c r="A126" s="32"/>
      <c r="B126" s="28" t="s">
        <v>29</v>
      </c>
      <c r="C126" s="29" t="s">
        <v>519</v>
      </c>
      <c r="D126" s="29" t="s">
        <v>977</v>
      </c>
      <c r="E126" s="30">
        <v>101775.0</v>
      </c>
      <c r="F126" s="28">
        <v>0.0</v>
      </c>
      <c r="G126" s="28" t="s">
        <v>225</v>
      </c>
      <c r="H126" s="28">
        <f t="array" ref="H126">INDEX(CC!C:C,MATCH(1,(CC!A:A=G126)*(CC!B:B=I126),0))</f>
        <v>102</v>
      </c>
      <c r="I126" s="28" t="s">
        <v>25</v>
      </c>
      <c r="J126" s="31">
        <v>101775.0</v>
      </c>
      <c r="K126" s="28" t="str">
        <f>IFERROR(__xludf.DUMMYFUNCTION("IFERROR(
INDEX(
FILTER(
MAP(
reglas!$B$2:$B$240,
reglas!$C$2:$C$240,
reglas!$D$2:$D$240,
reglas!$E$2:$E$240,
LAMBDA(rEmisor,rPatron,rConcepto,rTipo,
IF(
AND(
OR(
UPPER(TRIM(rEmisor))=UPPER(TRIM(C126)),
UPPER(TRIM(rEmisor))=""CUALQUIERA""
),
OR(
UPPER(TRIM"&amp;"(rTipo))=""SOLO EMISOR"",
AND(
UPPER(TRIM(rTipo))=""EXACTA"",
UPPER(TRIM(AG126))=UPPER(TRIM(rPatron))
),
AND(
OR(
UPPER(TRIM(rTipo))=""CONTIENE"",
UPPER(TRIM(rTipo))=""COINCIDENCIA""
),
ISNUMBER(SEARCH(UPPER(TRIM(rPatron)),UPPER(TRIM(D126))))
)
)
),
rConc"&amp;"epto,
""""
)
)
),
MAP(
reglas!$B$2:$B$240,
reglas!$C$2:$C$240,
reglas!$D$2:$D$240,
reglas!$E$2:$E$240,
LAMBDA(rEmisor,rPatron,rConcepto,rTipo,
IF(
AND(
OR(
UPPER(TRIM(rEmisor))=UPPER(TRIM(C126)),
UPPER(TRIM(rEmisor))=""CUALQUIERA""
),
OR(
UPPER(TRIM(rTipo"&amp;"))=""SOLO EMISOR"",
AND(
UPPER(TRIM(rTipo))=""EXACTA"",
UPPER(TRIM(D126))=UPPER(TRIM(rPatron))
),
AND(
OR(
UPPER(TRIM(rTipo))=""CONTIENE"",
UPPER(TRIM(rTipo))=""COINCIDENCIA""
),
ISNUMBER(SEARCH(UPPER(TRIM(rPatron)),UPPER(TRIM(D126))))
)
)
),
rConcepto,
"&amp;"""""
)
)
)&lt;&gt;""""
),
1
),
""""
)"),"LICENCIA DE SOFTWARE")</f>
        <v>LICENCIA DE SOFTWARE</v>
      </c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</row>
    <row r="127">
      <c r="A127" s="32"/>
      <c r="B127" s="28" t="s">
        <v>29</v>
      </c>
      <c r="C127" s="29" t="s">
        <v>172</v>
      </c>
      <c r="D127" s="29" t="s">
        <v>978</v>
      </c>
      <c r="E127" s="28">
        <v>305.0</v>
      </c>
      <c r="F127" s="28">
        <v>0.0</v>
      </c>
      <c r="G127" s="28" t="s">
        <v>250</v>
      </c>
      <c r="H127" s="28">
        <f t="array" ref="H127">INDEX(CC!C:C,MATCH(1,(CC!A:A=G127)*(CC!B:B=I127),0))</f>
        <v>1402</v>
      </c>
      <c r="I127" s="28" t="s">
        <v>25</v>
      </c>
      <c r="J127" s="31">
        <v>305.0</v>
      </c>
      <c r="K127" s="28" t="str">
        <f>IFERROR(__xludf.DUMMYFUNCTION("IFERROR(
INDEX(
FILTER(
MAP(
reglas!$B$2:$B$240,
reglas!$C$2:$C$240,
reglas!$D$2:$D$240,
reglas!$E$2:$E$240,
LAMBDA(rEmisor,rPatron,rConcepto,rTipo,
IF(
AND(
OR(
UPPER(TRIM(rEmisor))=UPPER(TRIM(C127)),
UPPER(TRIM(rEmisor))=""CUALQUIERA""
),
OR(
UPPER(TRIM"&amp;"(rTipo))=""SOLO EMISOR"",
AND(
UPPER(TRIM(rTipo))=""EXACTA"",
UPPER(TRIM(AG127))=UPPER(TRIM(rPatron))
),
AND(
OR(
UPPER(TRIM(rTipo))=""CONTIENE"",
UPPER(TRIM(rTipo))=""COINCIDENCIA""
),
ISNUMBER(SEARCH(UPPER(TRIM(rPatron)),UPPER(TRIM(D127))))
)
)
),
rConc"&amp;"epto,
""""
)
)
),
MAP(
reglas!$B$2:$B$240,
reglas!$C$2:$C$240,
reglas!$D$2:$D$240,
reglas!$E$2:$E$240,
LAMBDA(rEmisor,rPatron,rConcepto,rTipo,
IF(
AND(
OR(
UPPER(TRIM(rEmisor))=UPPER(TRIM(C127)),
UPPER(TRIM(rEmisor))=""CUALQUIERA""
),
OR(
UPPER(TRIM(rTipo"&amp;"))=""SOLO EMISOR"",
AND(
UPPER(TRIM(rTipo))=""EXACTA"",
UPPER(TRIM(D127))=UPPER(TRIM(rPatron))
),
AND(
OR(
UPPER(TRIM(rTipo))=""CONTIENE"",
UPPER(TRIM(rTipo))=""COINCIDENCIA""
),
ISNUMBER(SEARCH(UPPER(TRIM(rPatron)),UPPER(TRIM(D127))))
)
)
),
rConcepto,
"&amp;"""""
)
)
)&lt;&gt;""""
),
1
),
""""
)"),"PATIO REGULADOR")</f>
        <v>PATIO REGULADOR</v>
      </c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</row>
    <row r="128">
      <c r="A128" s="32"/>
      <c r="B128" s="32"/>
      <c r="C128" s="29" t="s">
        <v>172</v>
      </c>
      <c r="D128" s="29" t="s">
        <v>980</v>
      </c>
      <c r="E128" s="28">
        <v>665.0</v>
      </c>
      <c r="F128" s="28">
        <v>0.0</v>
      </c>
      <c r="G128" s="28" t="s">
        <v>250</v>
      </c>
      <c r="H128" s="28">
        <f t="array" ref="H128">INDEX(CC!C:C,MATCH(1,(CC!A:A=G128)*(CC!B:B=I128),0))</f>
        <v>1402</v>
      </c>
      <c r="I128" s="28" t="s">
        <v>25</v>
      </c>
      <c r="J128" s="31">
        <v>665.0</v>
      </c>
      <c r="K128" s="28" t="str">
        <f>IFERROR(__xludf.DUMMYFUNCTION("IFERROR(
INDEX(
FILTER(
MAP(
reglas!$B$2:$B$240,
reglas!$C$2:$C$240,
reglas!$D$2:$D$240,
reglas!$E$2:$E$240,
LAMBDA(rEmisor,rPatron,rConcepto,rTipo,
IF(
AND(
OR(
UPPER(TRIM(rEmisor))=UPPER(TRIM(C128)),
UPPER(TRIM(rEmisor))=""CUALQUIERA""
),
OR(
UPPER(TRIM"&amp;"(rTipo))=""SOLO EMISOR"",
AND(
UPPER(TRIM(rTipo))=""EXACTA"",
UPPER(TRIM(AG128))=UPPER(TRIM(rPatron))
),
AND(
OR(
UPPER(TRIM(rTipo))=""CONTIENE"",
UPPER(TRIM(rTipo))=""COINCIDENCIA""
),
ISNUMBER(SEARCH(UPPER(TRIM(rPatron)),UPPER(TRIM(D128))))
)
)
),
rConc"&amp;"epto,
""""
)
)
),
MAP(
reglas!$B$2:$B$240,
reglas!$C$2:$C$240,
reglas!$D$2:$D$240,
reglas!$E$2:$E$240,
LAMBDA(rEmisor,rPatron,rConcepto,rTipo,
IF(
AND(
OR(
UPPER(TRIM(rEmisor))=UPPER(TRIM(C128)),
UPPER(TRIM(rEmisor))=""CUALQUIERA""
),
OR(
UPPER(TRIM(rTipo"&amp;"))=""SOLO EMISOR"",
AND(
UPPER(TRIM(rTipo))=""EXACTA"",
UPPER(TRIM(D128))=UPPER(TRIM(rPatron))
),
AND(
OR(
UPPER(TRIM(rTipo))=""CONTIENE"",
UPPER(TRIM(rTipo))=""COINCIDENCIA""
),
ISNUMBER(SEARCH(UPPER(TRIM(rPatron)),UPPER(TRIM(D128))))
)
)
),
rConcepto,
"&amp;"""""
)
)
)&lt;&gt;""""
),
1
),
""""
)"),"PATIO REGULADOR")</f>
        <v>PATIO REGULADOR</v>
      </c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</row>
    <row r="129">
      <c r="A129" s="32"/>
      <c r="B129" s="32"/>
      <c r="C129" s="29" t="s">
        <v>172</v>
      </c>
      <c r="D129" s="29" t="s">
        <v>981</v>
      </c>
      <c r="E129" s="28">
        <v>425.0</v>
      </c>
      <c r="F129" s="28">
        <v>0.0</v>
      </c>
      <c r="G129" s="28" t="s">
        <v>250</v>
      </c>
      <c r="H129" s="28">
        <f t="array" ref="H129">INDEX(CC!C:C,MATCH(1,(CC!A:A=G129)*(CC!B:B=I129),0))</f>
        <v>1402</v>
      </c>
      <c r="I129" s="28" t="s">
        <v>25</v>
      </c>
      <c r="J129" s="31">
        <v>425.0</v>
      </c>
      <c r="K129" s="28" t="str">
        <f>IFERROR(__xludf.DUMMYFUNCTION("IFERROR(
INDEX(
FILTER(
MAP(
reglas!$B$2:$B$240,
reglas!$C$2:$C$240,
reglas!$D$2:$D$240,
reglas!$E$2:$E$240,
LAMBDA(rEmisor,rPatron,rConcepto,rTipo,
IF(
AND(
OR(
UPPER(TRIM(rEmisor))=UPPER(TRIM(C129)),
UPPER(TRIM(rEmisor))=""CUALQUIERA""
),
OR(
UPPER(TRIM"&amp;"(rTipo))=""SOLO EMISOR"",
AND(
UPPER(TRIM(rTipo))=""EXACTA"",
UPPER(TRIM(AG129))=UPPER(TRIM(rPatron))
),
AND(
OR(
UPPER(TRIM(rTipo))=""CONTIENE"",
UPPER(TRIM(rTipo))=""COINCIDENCIA""
),
ISNUMBER(SEARCH(UPPER(TRIM(rPatron)),UPPER(TRIM(D129))))
)
)
),
rConc"&amp;"epto,
""""
)
)
),
MAP(
reglas!$B$2:$B$240,
reglas!$C$2:$C$240,
reglas!$D$2:$D$240,
reglas!$E$2:$E$240,
LAMBDA(rEmisor,rPatron,rConcepto,rTipo,
IF(
AND(
OR(
UPPER(TRIM(rEmisor))=UPPER(TRIM(C129)),
UPPER(TRIM(rEmisor))=""CUALQUIERA""
),
OR(
UPPER(TRIM(rTipo"&amp;"))=""SOLO EMISOR"",
AND(
UPPER(TRIM(rTipo))=""EXACTA"",
UPPER(TRIM(D129))=UPPER(TRIM(rPatron))
),
AND(
OR(
UPPER(TRIM(rTipo))=""CONTIENE"",
UPPER(TRIM(rTipo))=""COINCIDENCIA""
),
ISNUMBER(SEARCH(UPPER(TRIM(rPatron)),UPPER(TRIM(D129))))
)
)
),
rConcepto,
"&amp;"""""
)
)
)&lt;&gt;""""
),
1
),
""""
)"),"PATIO REGULADOR")</f>
        <v>PATIO REGULADOR</v>
      </c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</row>
    <row r="130">
      <c r="A130" s="32"/>
      <c r="B130" s="32"/>
      <c r="C130" s="29" t="s">
        <v>172</v>
      </c>
      <c r="D130" s="29" t="s">
        <v>984</v>
      </c>
      <c r="E130" s="28">
        <v>425.0</v>
      </c>
      <c r="F130" s="28">
        <v>0.0</v>
      </c>
      <c r="G130" s="28" t="s">
        <v>250</v>
      </c>
      <c r="H130" s="28">
        <f t="array" ref="H130">INDEX(CC!C:C,MATCH(1,(CC!A:A=G130)*(CC!B:B=I130),0))</f>
        <v>1402</v>
      </c>
      <c r="I130" s="28" t="s">
        <v>25</v>
      </c>
      <c r="J130" s="31">
        <v>425.0</v>
      </c>
      <c r="K130" s="28" t="str">
        <f>IFERROR(__xludf.DUMMYFUNCTION("IFERROR(
INDEX(
FILTER(
MAP(
reglas!$B$2:$B$240,
reglas!$C$2:$C$240,
reglas!$D$2:$D$240,
reglas!$E$2:$E$240,
LAMBDA(rEmisor,rPatron,rConcepto,rTipo,
IF(
AND(
OR(
UPPER(TRIM(rEmisor))=UPPER(TRIM(C130)),
UPPER(TRIM(rEmisor))=""CUALQUIERA""
),
OR(
UPPER(TRIM"&amp;"(rTipo))=""SOLO EMISOR"",
AND(
UPPER(TRIM(rTipo))=""EXACTA"",
UPPER(TRIM(AG130))=UPPER(TRIM(rPatron))
),
AND(
OR(
UPPER(TRIM(rTipo))=""CONTIENE"",
UPPER(TRIM(rTipo))=""COINCIDENCIA""
),
ISNUMBER(SEARCH(UPPER(TRIM(rPatron)),UPPER(TRIM(D130))))
)
)
),
rConc"&amp;"epto,
""""
)
)
),
MAP(
reglas!$B$2:$B$240,
reglas!$C$2:$C$240,
reglas!$D$2:$D$240,
reglas!$E$2:$E$240,
LAMBDA(rEmisor,rPatron,rConcepto,rTipo,
IF(
AND(
OR(
UPPER(TRIM(rEmisor))=UPPER(TRIM(C130)),
UPPER(TRIM(rEmisor))=""CUALQUIERA""
),
OR(
UPPER(TRIM(rTipo"&amp;"))=""SOLO EMISOR"",
AND(
UPPER(TRIM(rTipo))=""EXACTA"",
UPPER(TRIM(D130))=UPPER(TRIM(rPatron))
),
AND(
OR(
UPPER(TRIM(rTipo))=""CONTIENE"",
UPPER(TRIM(rTipo))=""COINCIDENCIA""
),
ISNUMBER(SEARCH(UPPER(TRIM(rPatron)),UPPER(TRIM(D130))))
)
)
),
rConcepto,
"&amp;"""""
)
)
)&lt;&gt;""""
),
1
),
""""
)"),"PATIO REGULADOR")</f>
        <v>PATIO REGULADOR</v>
      </c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</row>
    <row r="131">
      <c r="A131" s="32"/>
      <c r="B131" s="32"/>
      <c r="C131" s="29" t="s">
        <v>172</v>
      </c>
      <c r="D131" s="29" t="s">
        <v>981</v>
      </c>
      <c r="E131" s="28">
        <v>425.0</v>
      </c>
      <c r="F131" s="28">
        <v>0.0</v>
      </c>
      <c r="G131" s="28" t="s">
        <v>250</v>
      </c>
      <c r="H131" s="28">
        <f t="array" ref="H131">INDEX(CC!C:C,MATCH(1,(CC!A:A=G131)*(CC!B:B=I131),0))</f>
        <v>1402</v>
      </c>
      <c r="I131" s="28" t="s">
        <v>25</v>
      </c>
      <c r="J131" s="31">
        <v>425.0</v>
      </c>
      <c r="K131" s="28" t="str">
        <f>IFERROR(__xludf.DUMMYFUNCTION("IFERROR(
INDEX(
FILTER(
MAP(
reglas!$B$2:$B$240,
reglas!$C$2:$C$240,
reglas!$D$2:$D$240,
reglas!$E$2:$E$240,
LAMBDA(rEmisor,rPatron,rConcepto,rTipo,
IF(
AND(
OR(
UPPER(TRIM(rEmisor))=UPPER(TRIM(C131)),
UPPER(TRIM(rEmisor))=""CUALQUIERA""
),
OR(
UPPER(TRIM"&amp;"(rTipo))=""SOLO EMISOR"",
AND(
UPPER(TRIM(rTipo))=""EXACTA"",
UPPER(TRIM(AG131))=UPPER(TRIM(rPatron))
),
AND(
OR(
UPPER(TRIM(rTipo))=""CONTIENE"",
UPPER(TRIM(rTipo))=""COINCIDENCIA""
),
ISNUMBER(SEARCH(UPPER(TRIM(rPatron)),UPPER(TRIM(D131))))
)
)
),
rConc"&amp;"epto,
""""
)
)
),
MAP(
reglas!$B$2:$B$240,
reglas!$C$2:$C$240,
reglas!$D$2:$D$240,
reglas!$E$2:$E$240,
LAMBDA(rEmisor,rPatron,rConcepto,rTipo,
IF(
AND(
OR(
UPPER(TRIM(rEmisor))=UPPER(TRIM(C131)),
UPPER(TRIM(rEmisor))=""CUALQUIERA""
),
OR(
UPPER(TRIM(rTipo"&amp;"))=""SOLO EMISOR"",
AND(
UPPER(TRIM(rTipo))=""EXACTA"",
UPPER(TRIM(D131))=UPPER(TRIM(rPatron))
),
AND(
OR(
UPPER(TRIM(rTipo))=""CONTIENE"",
UPPER(TRIM(rTipo))=""COINCIDENCIA""
),
ISNUMBER(SEARCH(UPPER(TRIM(rPatron)),UPPER(TRIM(D131))))
)
)
),
rConcepto,
"&amp;"""""
)
)
)&lt;&gt;""""
),
1
),
""""
)"),"PATIO REGULADOR")</f>
        <v>PATIO REGULADOR</v>
      </c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</row>
    <row r="132">
      <c r="A132" s="32"/>
      <c r="B132" s="32"/>
      <c r="C132" s="29" t="s">
        <v>172</v>
      </c>
      <c r="D132" s="29" t="s">
        <v>986</v>
      </c>
      <c r="E132" s="28">
        <v>665.0</v>
      </c>
      <c r="F132" s="28">
        <v>0.0</v>
      </c>
      <c r="G132" s="28" t="s">
        <v>250</v>
      </c>
      <c r="H132" s="28">
        <f t="array" ref="H132">INDEX(CC!C:C,MATCH(1,(CC!A:A=G132)*(CC!B:B=I132),0))</f>
        <v>1402</v>
      </c>
      <c r="I132" s="28" t="s">
        <v>25</v>
      </c>
      <c r="J132" s="31">
        <v>665.0</v>
      </c>
      <c r="K132" s="28" t="str">
        <f>IFERROR(__xludf.DUMMYFUNCTION("IFERROR(
INDEX(
FILTER(
MAP(
reglas!$B$2:$B$240,
reglas!$C$2:$C$240,
reglas!$D$2:$D$240,
reglas!$E$2:$E$240,
LAMBDA(rEmisor,rPatron,rConcepto,rTipo,
IF(
AND(
OR(
UPPER(TRIM(rEmisor))=UPPER(TRIM(C132)),
UPPER(TRIM(rEmisor))=""CUALQUIERA""
),
OR(
UPPER(TRIM"&amp;"(rTipo))=""SOLO EMISOR"",
AND(
UPPER(TRIM(rTipo))=""EXACTA"",
UPPER(TRIM(AG132))=UPPER(TRIM(rPatron))
),
AND(
OR(
UPPER(TRIM(rTipo))=""CONTIENE"",
UPPER(TRIM(rTipo))=""COINCIDENCIA""
),
ISNUMBER(SEARCH(UPPER(TRIM(rPatron)),UPPER(TRIM(D132))))
)
)
),
rConc"&amp;"epto,
""""
)
)
),
MAP(
reglas!$B$2:$B$240,
reglas!$C$2:$C$240,
reglas!$D$2:$D$240,
reglas!$E$2:$E$240,
LAMBDA(rEmisor,rPatron,rConcepto,rTipo,
IF(
AND(
OR(
UPPER(TRIM(rEmisor))=UPPER(TRIM(C132)),
UPPER(TRIM(rEmisor))=""CUALQUIERA""
),
OR(
UPPER(TRIM(rTipo"&amp;"))=""SOLO EMISOR"",
AND(
UPPER(TRIM(rTipo))=""EXACTA"",
UPPER(TRIM(D132))=UPPER(TRIM(rPatron))
),
AND(
OR(
UPPER(TRIM(rTipo))=""CONTIENE"",
UPPER(TRIM(rTipo))=""COINCIDENCIA""
),
ISNUMBER(SEARCH(UPPER(TRIM(rPatron)),UPPER(TRIM(D132))))
)
)
),
rConcepto,
"&amp;"""""
)
)
)&lt;&gt;""""
),
1
),
""""
)"),"PATIO REGULADOR")</f>
        <v>PATIO REGULADOR</v>
      </c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</row>
    <row r="133">
      <c r="A133" s="32"/>
      <c r="B133" s="32"/>
      <c r="C133" s="29" t="s">
        <v>172</v>
      </c>
      <c r="D133" s="29" t="s">
        <v>987</v>
      </c>
      <c r="E133" s="28">
        <v>545.0</v>
      </c>
      <c r="F133" s="28">
        <v>0.0</v>
      </c>
      <c r="G133" s="28" t="s">
        <v>250</v>
      </c>
      <c r="H133" s="28">
        <f t="array" ref="H133">INDEX(CC!C:C,MATCH(1,(CC!A:A=G133)*(CC!B:B=I133),0))</f>
        <v>1402</v>
      </c>
      <c r="I133" s="28" t="s">
        <v>25</v>
      </c>
      <c r="J133" s="31">
        <v>545.0</v>
      </c>
      <c r="K133" s="28" t="str">
        <f>IFERROR(__xludf.DUMMYFUNCTION("IFERROR(
INDEX(
FILTER(
MAP(
reglas!$B$2:$B$240,
reglas!$C$2:$C$240,
reglas!$D$2:$D$240,
reglas!$E$2:$E$240,
LAMBDA(rEmisor,rPatron,rConcepto,rTipo,
IF(
AND(
OR(
UPPER(TRIM(rEmisor))=UPPER(TRIM(C133)),
UPPER(TRIM(rEmisor))=""CUALQUIERA""
),
OR(
UPPER(TRIM"&amp;"(rTipo))=""SOLO EMISOR"",
AND(
UPPER(TRIM(rTipo))=""EXACTA"",
UPPER(TRIM(AG133))=UPPER(TRIM(rPatron))
),
AND(
OR(
UPPER(TRIM(rTipo))=""CONTIENE"",
UPPER(TRIM(rTipo))=""COINCIDENCIA""
),
ISNUMBER(SEARCH(UPPER(TRIM(rPatron)),UPPER(TRIM(D133))))
)
)
),
rConc"&amp;"epto,
""""
)
)
),
MAP(
reglas!$B$2:$B$240,
reglas!$C$2:$C$240,
reglas!$D$2:$D$240,
reglas!$E$2:$E$240,
LAMBDA(rEmisor,rPatron,rConcepto,rTipo,
IF(
AND(
OR(
UPPER(TRIM(rEmisor))=UPPER(TRIM(C133)),
UPPER(TRIM(rEmisor))=""CUALQUIERA""
),
OR(
UPPER(TRIM(rTipo"&amp;"))=""SOLO EMISOR"",
AND(
UPPER(TRIM(rTipo))=""EXACTA"",
UPPER(TRIM(D133))=UPPER(TRIM(rPatron))
),
AND(
OR(
UPPER(TRIM(rTipo))=""CONTIENE"",
UPPER(TRIM(rTipo))=""COINCIDENCIA""
),
ISNUMBER(SEARCH(UPPER(TRIM(rPatron)),UPPER(TRIM(D133))))
)
)
),
rConcepto,
"&amp;"""""
)
)
)&lt;&gt;""""
),
1
),
""""
)"),"PATIO REGULADOR")</f>
        <v>PATIO REGULADOR</v>
      </c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</row>
    <row r="134">
      <c r="A134" s="32"/>
      <c r="B134" s="32"/>
      <c r="C134" s="29" t="s">
        <v>172</v>
      </c>
      <c r="D134" s="29" t="s">
        <v>989</v>
      </c>
      <c r="E134" s="28">
        <v>905.0</v>
      </c>
      <c r="F134" s="28">
        <v>0.0</v>
      </c>
      <c r="G134" s="28" t="s">
        <v>250</v>
      </c>
      <c r="H134" s="28">
        <f t="array" ref="H134">INDEX(CC!C:C,MATCH(1,(CC!A:A=G134)*(CC!B:B=I134),0))</f>
        <v>1402</v>
      </c>
      <c r="I134" s="28" t="s">
        <v>25</v>
      </c>
      <c r="J134" s="31">
        <v>905.0</v>
      </c>
      <c r="K134" s="28" t="str">
        <f>IFERROR(__xludf.DUMMYFUNCTION("IFERROR(
INDEX(
FILTER(
MAP(
reglas!$B$2:$B$240,
reglas!$C$2:$C$240,
reglas!$D$2:$D$240,
reglas!$E$2:$E$240,
LAMBDA(rEmisor,rPatron,rConcepto,rTipo,
IF(
AND(
OR(
UPPER(TRIM(rEmisor))=UPPER(TRIM(C134)),
UPPER(TRIM(rEmisor))=""CUALQUIERA""
),
OR(
UPPER(TRIM"&amp;"(rTipo))=""SOLO EMISOR"",
AND(
UPPER(TRIM(rTipo))=""EXACTA"",
UPPER(TRIM(AG134))=UPPER(TRIM(rPatron))
),
AND(
OR(
UPPER(TRIM(rTipo))=""CONTIENE"",
UPPER(TRIM(rTipo))=""COINCIDENCIA""
),
ISNUMBER(SEARCH(UPPER(TRIM(rPatron)),UPPER(TRIM(D134))))
)
)
),
rConc"&amp;"epto,
""""
)
)
),
MAP(
reglas!$B$2:$B$240,
reglas!$C$2:$C$240,
reglas!$D$2:$D$240,
reglas!$E$2:$E$240,
LAMBDA(rEmisor,rPatron,rConcepto,rTipo,
IF(
AND(
OR(
UPPER(TRIM(rEmisor))=UPPER(TRIM(C134)),
UPPER(TRIM(rEmisor))=""CUALQUIERA""
),
OR(
UPPER(TRIM(rTipo"&amp;"))=""SOLO EMISOR"",
AND(
UPPER(TRIM(rTipo))=""EXACTA"",
UPPER(TRIM(D134))=UPPER(TRIM(rPatron))
),
AND(
OR(
UPPER(TRIM(rTipo))=""CONTIENE"",
UPPER(TRIM(rTipo))=""COINCIDENCIA""
),
ISNUMBER(SEARCH(UPPER(TRIM(rPatron)),UPPER(TRIM(D134))))
)
)
),
rConcepto,
"&amp;"""""
)
)
)&lt;&gt;""""
),
1
),
""""
)"),"PATIO REGULADOR")</f>
        <v>PATIO REGULADOR</v>
      </c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</row>
    <row r="135">
      <c r="A135" s="32"/>
      <c r="B135" s="32"/>
      <c r="C135" s="29" t="s">
        <v>172</v>
      </c>
      <c r="D135" s="29" t="s">
        <v>990</v>
      </c>
      <c r="E135" s="28">
        <v>425.0</v>
      </c>
      <c r="F135" s="28">
        <v>0.0</v>
      </c>
      <c r="G135" s="28" t="s">
        <v>250</v>
      </c>
      <c r="H135" s="28">
        <f t="array" ref="H135">INDEX(CC!C:C,MATCH(1,(CC!A:A=G135)*(CC!B:B=I135),0))</f>
        <v>1402</v>
      </c>
      <c r="I135" s="28" t="s">
        <v>25</v>
      </c>
      <c r="J135" s="31">
        <v>425.0</v>
      </c>
      <c r="K135" s="28" t="str">
        <f>IFERROR(__xludf.DUMMYFUNCTION("IFERROR(
INDEX(
FILTER(
MAP(
reglas!$B$2:$B$240,
reglas!$C$2:$C$240,
reglas!$D$2:$D$240,
reglas!$E$2:$E$240,
LAMBDA(rEmisor,rPatron,rConcepto,rTipo,
IF(
AND(
OR(
UPPER(TRIM(rEmisor))=UPPER(TRIM(C135)),
UPPER(TRIM(rEmisor))=""CUALQUIERA""
),
OR(
UPPER(TRIM"&amp;"(rTipo))=""SOLO EMISOR"",
AND(
UPPER(TRIM(rTipo))=""EXACTA"",
UPPER(TRIM(AG135))=UPPER(TRIM(rPatron))
),
AND(
OR(
UPPER(TRIM(rTipo))=""CONTIENE"",
UPPER(TRIM(rTipo))=""COINCIDENCIA""
),
ISNUMBER(SEARCH(UPPER(TRIM(rPatron)),UPPER(TRIM(D135))))
)
)
),
rConc"&amp;"epto,
""""
)
)
),
MAP(
reglas!$B$2:$B$240,
reglas!$C$2:$C$240,
reglas!$D$2:$D$240,
reglas!$E$2:$E$240,
LAMBDA(rEmisor,rPatron,rConcepto,rTipo,
IF(
AND(
OR(
UPPER(TRIM(rEmisor))=UPPER(TRIM(C135)),
UPPER(TRIM(rEmisor))=""CUALQUIERA""
),
OR(
UPPER(TRIM(rTipo"&amp;"))=""SOLO EMISOR"",
AND(
UPPER(TRIM(rTipo))=""EXACTA"",
UPPER(TRIM(D135))=UPPER(TRIM(rPatron))
),
AND(
OR(
UPPER(TRIM(rTipo))=""CONTIENE"",
UPPER(TRIM(rTipo))=""COINCIDENCIA""
),
ISNUMBER(SEARCH(UPPER(TRIM(rPatron)),UPPER(TRIM(D135))))
)
)
),
rConcepto,
"&amp;"""""
)
)
)&lt;&gt;""""
),
1
),
""""
)"),"PATIO REGULADOR")</f>
        <v>PATIO REGULADOR</v>
      </c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</row>
    <row r="136">
      <c r="A136" s="32"/>
      <c r="B136" s="32"/>
      <c r="C136" s="29" t="s">
        <v>172</v>
      </c>
      <c r="D136" s="29" t="s">
        <v>993</v>
      </c>
      <c r="E136" s="28">
        <v>665.0</v>
      </c>
      <c r="F136" s="28">
        <v>0.0</v>
      </c>
      <c r="G136" s="28" t="s">
        <v>250</v>
      </c>
      <c r="H136" s="28">
        <f t="array" ref="H136">INDEX(CC!C:C,MATCH(1,(CC!A:A=G136)*(CC!B:B=I136),0))</f>
        <v>1402</v>
      </c>
      <c r="I136" s="28" t="s">
        <v>25</v>
      </c>
      <c r="J136" s="31">
        <v>665.0</v>
      </c>
      <c r="K136" s="28" t="str">
        <f>IFERROR(__xludf.DUMMYFUNCTION("IFERROR(
INDEX(
FILTER(
MAP(
reglas!$B$2:$B$240,
reglas!$C$2:$C$240,
reglas!$D$2:$D$240,
reglas!$E$2:$E$240,
LAMBDA(rEmisor,rPatron,rConcepto,rTipo,
IF(
AND(
OR(
UPPER(TRIM(rEmisor))=UPPER(TRIM(C136)),
UPPER(TRIM(rEmisor))=""CUALQUIERA""
),
OR(
UPPER(TRIM"&amp;"(rTipo))=""SOLO EMISOR"",
AND(
UPPER(TRIM(rTipo))=""EXACTA"",
UPPER(TRIM(AG136))=UPPER(TRIM(rPatron))
),
AND(
OR(
UPPER(TRIM(rTipo))=""CONTIENE"",
UPPER(TRIM(rTipo))=""COINCIDENCIA""
),
ISNUMBER(SEARCH(UPPER(TRIM(rPatron)),UPPER(TRIM(D136))))
)
)
),
rConc"&amp;"epto,
""""
)
)
),
MAP(
reglas!$B$2:$B$240,
reglas!$C$2:$C$240,
reglas!$D$2:$D$240,
reglas!$E$2:$E$240,
LAMBDA(rEmisor,rPatron,rConcepto,rTipo,
IF(
AND(
OR(
UPPER(TRIM(rEmisor))=UPPER(TRIM(C136)),
UPPER(TRIM(rEmisor))=""CUALQUIERA""
),
OR(
UPPER(TRIM(rTipo"&amp;"))=""SOLO EMISOR"",
AND(
UPPER(TRIM(rTipo))=""EXACTA"",
UPPER(TRIM(D136))=UPPER(TRIM(rPatron))
),
AND(
OR(
UPPER(TRIM(rTipo))=""CONTIENE"",
UPPER(TRIM(rTipo))=""COINCIDENCIA""
),
ISNUMBER(SEARCH(UPPER(TRIM(rPatron)),UPPER(TRIM(D136))))
)
)
),
rConcepto,
"&amp;"""""
)
)
)&lt;&gt;""""
),
1
),
""""
)"),"PATIO REGULADOR")</f>
        <v>PATIO REGULADOR</v>
      </c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</row>
    <row r="137">
      <c r="A137" s="32"/>
      <c r="B137" s="32"/>
      <c r="C137" s="29" t="s">
        <v>172</v>
      </c>
      <c r="D137" s="29" t="s">
        <v>994</v>
      </c>
      <c r="E137" s="28">
        <v>305.0</v>
      </c>
      <c r="F137" s="28">
        <v>0.0</v>
      </c>
      <c r="G137" s="28" t="s">
        <v>250</v>
      </c>
      <c r="H137" s="28">
        <f t="array" ref="H137">INDEX(CC!C:C,MATCH(1,(CC!A:A=G137)*(CC!B:B=I137),0))</f>
        <v>1402</v>
      </c>
      <c r="I137" s="28" t="s">
        <v>25</v>
      </c>
      <c r="J137" s="31">
        <v>305.0</v>
      </c>
      <c r="K137" s="28" t="str">
        <f>IFERROR(__xludf.DUMMYFUNCTION("IFERROR(
INDEX(
FILTER(
MAP(
reglas!$B$2:$B$240,
reglas!$C$2:$C$240,
reglas!$D$2:$D$240,
reglas!$E$2:$E$240,
LAMBDA(rEmisor,rPatron,rConcepto,rTipo,
IF(
AND(
OR(
UPPER(TRIM(rEmisor))=UPPER(TRIM(C137)),
UPPER(TRIM(rEmisor))=""CUALQUIERA""
),
OR(
UPPER(TRIM"&amp;"(rTipo))=""SOLO EMISOR"",
AND(
UPPER(TRIM(rTipo))=""EXACTA"",
UPPER(TRIM(AG137))=UPPER(TRIM(rPatron))
),
AND(
OR(
UPPER(TRIM(rTipo))=""CONTIENE"",
UPPER(TRIM(rTipo))=""COINCIDENCIA""
),
ISNUMBER(SEARCH(UPPER(TRIM(rPatron)),UPPER(TRIM(D137))))
)
)
),
rConc"&amp;"epto,
""""
)
)
),
MAP(
reglas!$B$2:$B$240,
reglas!$C$2:$C$240,
reglas!$D$2:$D$240,
reglas!$E$2:$E$240,
LAMBDA(rEmisor,rPatron,rConcepto,rTipo,
IF(
AND(
OR(
UPPER(TRIM(rEmisor))=UPPER(TRIM(C137)),
UPPER(TRIM(rEmisor))=""CUALQUIERA""
),
OR(
UPPER(TRIM(rTipo"&amp;"))=""SOLO EMISOR"",
AND(
UPPER(TRIM(rTipo))=""EXACTA"",
UPPER(TRIM(D137))=UPPER(TRIM(rPatron))
),
AND(
OR(
UPPER(TRIM(rTipo))=""CONTIENE"",
UPPER(TRIM(rTipo))=""COINCIDENCIA""
),
ISNUMBER(SEARCH(UPPER(TRIM(rPatron)),UPPER(TRIM(D137))))
)
)
),
rConcepto,
"&amp;"""""
)
)
)&lt;&gt;""""
),
1
),
""""
)"),"PATIO REGULADOR")</f>
        <v>PATIO REGULADOR</v>
      </c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</row>
    <row r="138">
      <c r="A138" s="32"/>
      <c r="B138" s="32"/>
      <c r="C138" s="29" t="s">
        <v>172</v>
      </c>
      <c r="D138" s="29" t="s">
        <v>997</v>
      </c>
      <c r="E138" s="28">
        <v>425.0</v>
      </c>
      <c r="F138" s="28">
        <v>0.0</v>
      </c>
      <c r="G138" s="28" t="s">
        <v>250</v>
      </c>
      <c r="H138" s="28">
        <f t="array" ref="H138">INDEX(CC!C:C,MATCH(1,(CC!A:A=G138)*(CC!B:B=I138),0))</f>
        <v>1402</v>
      </c>
      <c r="I138" s="28" t="s">
        <v>25</v>
      </c>
      <c r="J138" s="31">
        <v>425.0</v>
      </c>
      <c r="K138" s="28" t="str">
        <f>IFERROR(__xludf.DUMMYFUNCTION("IFERROR(
INDEX(
FILTER(
MAP(
reglas!$B$2:$B$240,
reglas!$C$2:$C$240,
reglas!$D$2:$D$240,
reglas!$E$2:$E$240,
LAMBDA(rEmisor,rPatron,rConcepto,rTipo,
IF(
AND(
OR(
UPPER(TRIM(rEmisor))=UPPER(TRIM(C138)),
UPPER(TRIM(rEmisor))=""CUALQUIERA""
),
OR(
UPPER(TRIM"&amp;"(rTipo))=""SOLO EMISOR"",
AND(
UPPER(TRIM(rTipo))=""EXACTA"",
UPPER(TRIM(AG138))=UPPER(TRIM(rPatron))
),
AND(
OR(
UPPER(TRIM(rTipo))=""CONTIENE"",
UPPER(TRIM(rTipo))=""COINCIDENCIA""
),
ISNUMBER(SEARCH(UPPER(TRIM(rPatron)),UPPER(TRIM(D138))))
)
)
),
rConc"&amp;"epto,
""""
)
)
),
MAP(
reglas!$B$2:$B$240,
reglas!$C$2:$C$240,
reglas!$D$2:$D$240,
reglas!$E$2:$E$240,
LAMBDA(rEmisor,rPatron,rConcepto,rTipo,
IF(
AND(
OR(
UPPER(TRIM(rEmisor))=UPPER(TRIM(C138)),
UPPER(TRIM(rEmisor))=""CUALQUIERA""
),
OR(
UPPER(TRIM(rTipo"&amp;"))=""SOLO EMISOR"",
AND(
UPPER(TRIM(rTipo))=""EXACTA"",
UPPER(TRIM(D138))=UPPER(TRIM(rPatron))
),
AND(
OR(
UPPER(TRIM(rTipo))=""CONTIENE"",
UPPER(TRIM(rTipo))=""COINCIDENCIA""
),
ISNUMBER(SEARCH(UPPER(TRIM(rPatron)),UPPER(TRIM(D138))))
)
)
),
rConcepto,
"&amp;"""""
)
)
)&lt;&gt;""""
),
1
),
""""
)"),"PATIO REGULADOR")</f>
        <v>PATIO REGULADOR</v>
      </c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</row>
    <row r="139">
      <c r="A139" s="32"/>
      <c r="B139" s="32"/>
      <c r="C139" s="29" t="s">
        <v>172</v>
      </c>
      <c r="D139" s="29" t="s">
        <v>998</v>
      </c>
      <c r="E139" s="28">
        <v>545.0</v>
      </c>
      <c r="F139" s="28">
        <v>0.0</v>
      </c>
      <c r="G139" s="28" t="s">
        <v>250</v>
      </c>
      <c r="H139" s="28">
        <f t="array" ref="H139">INDEX(CC!C:C,MATCH(1,(CC!A:A=G139)*(CC!B:B=I139),0))</f>
        <v>1402</v>
      </c>
      <c r="I139" s="28" t="s">
        <v>25</v>
      </c>
      <c r="J139" s="31">
        <v>545.0</v>
      </c>
      <c r="K139" s="28" t="str">
        <f>IFERROR(__xludf.DUMMYFUNCTION("IFERROR(
INDEX(
FILTER(
MAP(
reglas!$B$2:$B$240,
reglas!$C$2:$C$240,
reglas!$D$2:$D$240,
reglas!$E$2:$E$240,
LAMBDA(rEmisor,rPatron,rConcepto,rTipo,
IF(
AND(
OR(
UPPER(TRIM(rEmisor))=UPPER(TRIM(C139)),
UPPER(TRIM(rEmisor))=""CUALQUIERA""
),
OR(
UPPER(TRIM"&amp;"(rTipo))=""SOLO EMISOR"",
AND(
UPPER(TRIM(rTipo))=""EXACTA"",
UPPER(TRIM(AG139))=UPPER(TRIM(rPatron))
),
AND(
OR(
UPPER(TRIM(rTipo))=""CONTIENE"",
UPPER(TRIM(rTipo))=""COINCIDENCIA""
),
ISNUMBER(SEARCH(UPPER(TRIM(rPatron)),UPPER(TRIM(D139))))
)
)
),
rConc"&amp;"epto,
""""
)
)
),
MAP(
reglas!$B$2:$B$240,
reglas!$C$2:$C$240,
reglas!$D$2:$D$240,
reglas!$E$2:$E$240,
LAMBDA(rEmisor,rPatron,rConcepto,rTipo,
IF(
AND(
OR(
UPPER(TRIM(rEmisor))=UPPER(TRIM(C139)),
UPPER(TRIM(rEmisor))=""CUALQUIERA""
),
OR(
UPPER(TRIM(rTipo"&amp;"))=""SOLO EMISOR"",
AND(
UPPER(TRIM(rTipo))=""EXACTA"",
UPPER(TRIM(D139))=UPPER(TRIM(rPatron))
),
AND(
OR(
UPPER(TRIM(rTipo))=""CONTIENE"",
UPPER(TRIM(rTipo))=""COINCIDENCIA""
),
ISNUMBER(SEARCH(UPPER(TRIM(rPatron)),UPPER(TRIM(D139))))
)
)
),
rConcepto,
"&amp;"""""
)
)
)&lt;&gt;""""
),
1
),
""""
)"),"PATIO REGULADOR")</f>
        <v>PATIO REGULADOR</v>
      </c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</row>
    <row r="140">
      <c r="A140" s="32"/>
      <c r="B140" s="32"/>
      <c r="C140" s="29" t="s">
        <v>172</v>
      </c>
      <c r="D140" s="29" t="s">
        <v>999</v>
      </c>
      <c r="E140" s="28">
        <v>425.0</v>
      </c>
      <c r="F140" s="28">
        <v>0.0</v>
      </c>
      <c r="G140" s="28" t="s">
        <v>250</v>
      </c>
      <c r="H140" s="28">
        <f t="array" ref="H140">INDEX(CC!C:C,MATCH(1,(CC!A:A=G140)*(CC!B:B=I140),0))</f>
        <v>1402</v>
      </c>
      <c r="I140" s="28" t="s">
        <v>25</v>
      </c>
      <c r="J140" s="31">
        <v>425.0</v>
      </c>
      <c r="K140" s="28" t="str">
        <f>IFERROR(__xludf.DUMMYFUNCTION("IFERROR(
INDEX(
FILTER(
MAP(
reglas!$B$2:$B$240,
reglas!$C$2:$C$240,
reglas!$D$2:$D$240,
reglas!$E$2:$E$240,
LAMBDA(rEmisor,rPatron,rConcepto,rTipo,
IF(
AND(
OR(
UPPER(TRIM(rEmisor))=UPPER(TRIM(C140)),
UPPER(TRIM(rEmisor))=""CUALQUIERA""
),
OR(
UPPER(TRIM"&amp;"(rTipo))=""SOLO EMISOR"",
AND(
UPPER(TRIM(rTipo))=""EXACTA"",
UPPER(TRIM(AG140))=UPPER(TRIM(rPatron))
),
AND(
OR(
UPPER(TRIM(rTipo))=""CONTIENE"",
UPPER(TRIM(rTipo))=""COINCIDENCIA""
),
ISNUMBER(SEARCH(UPPER(TRIM(rPatron)),UPPER(TRIM(D140))))
)
)
),
rConc"&amp;"epto,
""""
)
)
),
MAP(
reglas!$B$2:$B$240,
reglas!$C$2:$C$240,
reglas!$D$2:$D$240,
reglas!$E$2:$E$240,
LAMBDA(rEmisor,rPatron,rConcepto,rTipo,
IF(
AND(
OR(
UPPER(TRIM(rEmisor))=UPPER(TRIM(C140)),
UPPER(TRIM(rEmisor))=""CUALQUIERA""
),
OR(
UPPER(TRIM(rTipo"&amp;"))=""SOLO EMISOR"",
AND(
UPPER(TRIM(rTipo))=""EXACTA"",
UPPER(TRIM(D140))=UPPER(TRIM(rPatron))
),
AND(
OR(
UPPER(TRIM(rTipo))=""CONTIENE"",
UPPER(TRIM(rTipo))=""COINCIDENCIA""
),
ISNUMBER(SEARCH(UPPER(TRIM(rPatron)),UPPER(TRIM(D140))))
)
)
),
rConcepto,
"&amp;"""""
)
)
)&lt;&gt;""""
),
1
),
""""
)"),"PATIO REGULADOR")</f>
        <v>PATIO REGULADOR</v>
      </c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</row>
    <row r="141">
      <c r="A141" s="32"/>
      <c r="B141" s="32"/>
      <c r="C141" s="29" t="s">
        <v>172</v>
      </c>
      <c r="D141" s="29" t="s">
        <v>1000</v>
      </c>
      <c r="E141" s="28">
        <v>785.0</v>
      </c>
      <c r="F141" s="28">
        <v>0.0</v>
      </c>
      <c r="G141" s="28" t="s">
        <v>250</v>
      </c>
      <c r="H141" s="28">
        <f t="array" ref="H141">INDEX(CC!C:C,MATCH(1,(CC!A:A=G141)*(CC!B:B=I141),0))</f>
        <v>1402</v>
      </c>
      <c r="I141" s="28" t="s">
        <v>25</v>
      </c>
      <c r="J141" s="31">
        <v>785.0</v>
      </c>
      <c r="K141" s="28" t="str">
        <f>IFERROR(__xludf.DUMMYFUNCTION("IFERROR(
INDEX(
FILTER(
MAP(
reglas!$B$2:$B$240,
reglas!$C$2:$C$240,
reglas!$D$2:$D$240,
reglas!$E$2:$E$240,
LAMBDA(rEmisor,rPatron,rConcepto,rTipo,
IF(
AND(
OR(
UPPER(TRIM(rEmisor))=UPPER(TRIM(C141)),
UPPER(TRIM(rEmisor))=""CUALQUIERA""
),
OR(
UPPER(TRIM"&amp;"(rTipo))=""SOLO EMISOR"",
AND(
UPPER(TRIM(rTipo))=""EXACTA"",
UPPER(TRIM(AG141))=UPPER(TRIM(rPatron))
),
AND(
OR(
UPPER(TRIM(rTipo))=""CONTIENE"",
UPPER(TRIM(rTipo))=""COINCIDENCIA""
),
ISNUMBER(SEARCH(UPPER(TRIM(rPatron)),UPPER(TRIM(D141))))
)
)
),
rConc"&amp;"epto,
""""
)
)
),
MAP(
reglas!$B$2:$B$240,
reglas!$C$2:$C$240,
reglas!$D$2:$D$240,
reglas!$E$2:$E$240,
LAMBDA(rEmisor,rPatron,rConcepto,rTipo,
IF(
AND(
OR(
UPPER(TRIM(rEmisor))=UPPER(TRIM(C141)),
UPPER(TRIM(rEmisor))=""CUALQUIERA""
),
OR(
UPPER(TRIM(rTipo"&amp;"))=""SOLO EMISOR"",
AND(
UPPER(TRIM(rTipo))=""EXACTA"",
UPPER(TRIM(D141))=UPPER(TRIM(rPatron))
),
AND(
OR(
UPPER(TRIM(rTipo))=""CONTIENE"",
UPPER(TRIM(rTipo))=""COINCIDENCIA""
),
ISNUMBER(SEARCH(UPPER(TRIM(rPatron)),UPPER(TRIM(D141))))
)
)
),
rConcepto,
"&amp;"""""
)
)
)&lt;&gt;""""
),
1
),
""""
)"),"PATIO REGULADOR")</f>
        <v>PATIO REGULADOR</v>
      </c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</row>
    <row r="142">
      <c r="A142" s="32"/>
      <c r="B142" s="32"/>
      <c r="C142" s="29" t="s">
        <v>172</v>
      </c>
      <c r="D142" s="29" t="s">
        <v>1002</v>
      </c>
      <c r="E142" s="28">
        <v>545.0</v>
      </c>
      <c r="F142" s="28">
        <v>0.0</v>
      </c>
      <c r="G142" s="28" t="s">
        <v>250</v>
      </c>
      <c r="H142" s="28">
        <f t="array" ref="H142">INDEX(CC!C:C,MATCH(1,(CC!A:A=G142)*(CC!B:B=I142),0))</f>
        <v>1402</v>
      </c>
      <c r="I142" s="28" t="s">
        <v>25</v>
      </c>
      <c r="J142" s="31">
        <v>545.0</v>
      </c>
      <c r="K142" s="28" t="str">
        <f>IFERROR(__xludf.DUMMYFUNCTION("IFERROR(
INDEX(
FILTER(
MAP(
reglas!$B$2:$B$240,
reglas!$C$2:$C$240,
reglas!$D$2:$D$240,
reglas!$E$2:$E$240,
LAMBDA(rEmisor,rPatron,rConcepto,rTipo,
IF(
AND(
OR(
UPPER(TRIM(rEmisor))=UPPER(TRIM(C142)),
UPPER(TRIM(rEmisor))=""CUALQUIERA""
),
OR(
UPPER(TRIM"&amp;"(rTipo))=""SOLO EMISOR"",
AND(
UPPER(TRIM(rTipo))=""EXACTA"",
UPPER(TRIM(AG142))=UPPER(TRIM(rPatron))
),
AND(
OR(
UPPER(TRIM(rTipo))=""CONTIENE"",
UPPER(TRIM(rTipo))=""COINCIDENCIA""
),
ISNUMBER(SEARCH(UPPER(TRIM(rPatron)),UPPER(TRIM(D142))))
)
)
),
rConc"&amp;"epto,
""""
)
)
),
MAP(
reglas!$B$2:$B$240,
reglas!$C$2:$C$240,
reglas!$D$2:$D$240,
reglas!$E$2:$E$240,
LAMBDA(rEmisor,rPatron,rConcepto,rTipo,
IF(
AND(
OR(
UPPER(TRIM(rEmisor))=UPPER(TRIM(C142)),
UPPER(TRIM(rEmisor))=""CUALQUIERA""
),
OR(
UPPER(TRIM(rTipo"&amp;"))=""SOLO EMISOR"",
AND(
UPPER(TRIM(rTipo))=""EXACTA"",
UPPER(TRIM(D142))=UPPER(TRIM(rPatron))
),
AND(
OR(
UPPER(TRIM(rTipo))=""CONTIENE"",
UPPER(TRIM(rTipo))=""COINCIDENCIA""
),
ISNUMBER(SEARCH(UPPER(TRIM(rPatron)),UPPER(TRIM(D142))))
)
)
),
rConcepto,
"&amp;"""""
)
)
)&lt;&gt;""""
),
1
),
""""
)"),"PATIO REGULADOR")</f>
        <v>PATIO REGULADOR</v>
      </c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</row>
    <row r="143">
      <c r="A143" s="32"/>
      <c r="B143" s="32"/>
      <c r="C143" s="29" t="s">
        <v>172</v>
      </c>
      <c r="D143" s="29" t="s">
        <v>1003</v>
      </c>
      <c r="E143" s="28">
        <v>785.0</v>
      </c>
      <c r="F143" s="28">
        <v>0.0</v>
      </c>
      <c r="G143" s="28" t="s">
        <v>250</v>
      </c>
      <c r="H143" s="28">
        <f t="array" ref="H143">INDEX(CC!C:C,MATCH(1,(CC!A:A=G143)*(CC!B:B=I143),0))</f>
        <v>1402</v>
      </c>
      <c r="I143" s="28" t="s">
        <v>25</v>
      </c>
      <c r="J143" s="31">
        <v>785.0</v>
      </c>
      <c r="K143" s="28" t="str">
        <f>IFERROR(__xludf.DUMMYFUNCTION("IFERROR(
INDEX(
FILTER(
MAP(
reglas!$B$2:$B$240,
reglas!$C$2:$C$240,
reglas!$D$2:$D$240,
reglas!$E$2:$E$240,
LAMBDA(rEmisor,rPatron,rConcepto,rTipo,
IF(
AND(
OR(
UPPER(TRIM(rEmisor))=UPPER(TRIM(C143)),
UPPER(TRIM(rEmisor))=""CUALQUIERA""
),
OR(
UPPER(TRIM"&amp;"(rTipo))=""SOLO EMISOR"",
AND(
UPPER(TRIM(rTipo))=""EXACTA"",
UPPER(TRIM(AG143))=UPPER(TRIM(rPatron))
),
AND(
OR(
UPPER(TRIM(rTipo))=""CONTIENE"",
UPPER(TRIM(rTipo))=""COINCIDENCIA""
),
ISNUMBER(SEARCH(UPPER(TRIM(rPatron)),UPPER(TRIM(D143))))
)
)
),
rConc"&amp;"epto,
""""
)
)
),
MAP(
reglas!$B$2:$B$240,
reglas!$C$2:$C$240,
reglas!$D$2:$D$240,
reglas!$E$2:$E$240,
LAMBDA(rEmisor,rPatron,rConcepto,rTipo,
IF(
AND(
OR(
UPPER(TRIM(rEmisor))=UPPER(TRIM(C143)),
UPPER(TRIM(rEmisor))=""CUALQUIERA""
),
OR(
UPPER(TRIM(rTipo"&amp;"))=""SOLO EMISOR"",
AND(
UPPER(TRIM(rTipo))=""EXACTA"",
UPPER(TRIM(D143))=UPPER(TRIM(rPatron))
),
AND(
OR(
UPPER(TRIM(rTipo))=""CONTIENE"",
UPPER(TRIM(rTipo))=""COINCIDENCIA""
),
ISNUMBER(SEARCH(UPPER(TRIM(rPatron)),UPPER(TRIM(D143))))
)
)
),
rConcepto,
"&amp;"""""
)
)
)&lt;&gt;""""
),
1
),
""""
)"),"PATIO REGULADOR")</f>
        <v>PATIO REGULADOR</v>
      </c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</row>
    <row r="144">
      <c r="A144" s="32"/>
      <c r="B144" s="32"/>
      <c r="C144" s="29" t="s">
        <v>172</v>
      </c>
      <c r="D144" s="29" t="s">
        <v>1004</v>
      </c>
      <c r="E144" s="28">
        <v>905.0</v>
      </c>
      <c r="F144" s="28">
        <v>0.0</v>
      </c>
      <c r="G144" s="28" t="s">
        <v>250</v>
      </c>
      <c r="H144" s="28">
        <f t="array" ref="H144">INDEX(CC!C:C,MATCH(1,(CC!A:A=G144)*(CC!B:B=I144),0))</f>
        <v>1402</v>
      </c>
      <c r="I144" s="28" t="s">
        <v>25</v>
      </c>
      <c r="J144" s="31">
        <v>905.0</v>
      </c>
      <c r="K144" s="28" t="str">
        <f>IFERROR(__xludf.DUMMYFUNCTION("IFERROR(
INDEX(
FILTER(
MAP(
reglas!$B$2:$B$240,
reglas!$C$2:$C$240,
reglas!$D$2:$D$240,
reglas!$E$2:$E$240,
LAMBDA(rEmisor,rPatron,rConcepto,rTipo,
IF(
AND(
OR(
UPPER(TRIM(rEmisor))=UPPER(TRIM(C144)),
UPPER(TRIM(rEmisor))=""CUALQUIERA""
),
OR(
UPPER(TRIM"&amp;"(rTipo))=""SOLO EMISOR"",
AND(
UPPER(TRIM(rTipo))=""EXACTA"",
UPPER(TRIM(AG144))=UPPER(TRIM(rPatron))
),
AND(
OR(
UPPER(TRIM(rTipo))=""CONTIENE"",
UPPER(TRIM(rTipo))=""COINCIDENCIA""
),
ISNUMBER(SEARCH(UPPER(TRIM(rPatron)),UPPER(TRIM(D144))))
)
)
),
rConc"&amp;"epto,
""""
)
)
),
MAP(
reglas!$B$2:$B$240,
reglas!$C$2:$C$240,
reglas!$D$2:$D$240,
reglas!$E$2:$E$240,
LAMBDA(rEmisor,rPatron,rConcepto,rTipo,
IF(
AND(
OR(
UPPER(TRIM(rEmisor))=UPPER(TRIM(C144)),
UPPER(TRIM(rEmisor))=""CUALQUIERA""
),
OR(
UPPER(TRIM(rTipo"&amp;"))=""SOLO EMISOR"",
AND(
UPPER(TRIM(rTipo))=""EXACTA"",
UPPER(TRIM(D144))=UPPER(TRIM(rPatron))
),
AND(
OR(
UPPER(TRIM(rTipo))=""CONTIENE"",
UPPER(TRIM(rTipo))=""COINCIDENCIA""
),
ISNUMBER(SEARCH(UPPER(TRIM(rPatron)),UPPER(TRIM(D144))))
)
)
),
rConcepto,
"&amp;"""""
)
)
)&lt;&gt;""""
),
1
),
""""
)"),"PATIO REGULADOR")</f>
        <v>PATIO REGULADOR</v>
      </c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</row>
    <row r="145">
      <c r="A145" s="32"/>
      <c r="B145" s="32"/>
      <c r="C145" s="29" t="s">
        <v>172</v>
      </c>
      <c r="D145" s="29" t="s">
        <v>1005</v>
      </c>
      <c r="E145" s="28">
        <v>425.0</v>
      </c>
      <c r="F145" s="28">
        <v>0.0</v>
      </c>
      <c r="G145" s="28" t="s">
        <v>250</v>
      </c>
      <c r="H145" s="28">
        <f t="array" ref="H145">INDEX(CC!C:C,MATCH(1,(CC!A:A=G145)*(CC!B:B=I145),0))</f>
        <v>1402</v>
      </c>
      <c r="I145" s="28" t="s">
        <v>25</v>
      </c>
      <c r="J145" s="31">
        <v>425.0</v>
      </c>
      <c r="K145" s="28" t="str">
        <f>IFERROR(__xludf.DUMMYFUNCTION("IFERROR(
INDEX(
FILTER(
MAP(
reglas!$B$2:$B$240,
reglas!$C$2:$C$240,
reglas!$D$2:$D$240,
reglas!$E$2:$E$240,
LAMBDA(rEmisor,rPatron,rConcepto,rTipo,
IF(
AND(
OR(
UPPER(TRIM(rEmisor))=UPPER(TRIM(C145)),
UPPER(TRIM(rEmisor))=""CUALQUIERA""
),
OR(
UPPER(TRIM"&amp;"(rTipo))=""SOLO EMISOR"",
AND(
UPPER(TRIM(rTipo))=""EXACTA"",
UPPER(TRIM(AG145))=UPPER(TRIM(rPatron))
),
AND(
OR(
UPPER(TRIM(rTipo))=""CONTIENE"",
UPPER(TRIM(rTipo))=""COINCIDENCIA""
),
ISNUMBER(SEARCH(UPPER(TRIM(rPatron)),UPPER(TRIM(D145))))
)
)
),
rConc"&amp;"epto,
""""
)
)
),
MAP(
reglas!$B$2:$B$240,
reglas!$C$2:$C$240,
reglas!$D$2:$D$240,
reglas!$E$2:$E$240,
LAMBDA(rEmisor,rPatron,rConcepto,rTipo,
IF(
AND(
OR(
UPPER(TRIM(rEmisor))=UPPER(TRIM(C145)),
UPPER(TRIM(rEmisor))=""CUALQUIERA""
),
OR(
UPPER(TRIM(rTipo"&amp;"))=""SOLO EMISOR"",
AND(
UPPER(TRIM(rTipo))=""EXACTA"",
UPPER(TRIM(D145))=UPPER(TRIM(rPatron))
),
AND(
OR(
UPPER(TRIM(rTipo))=""CONTIENE"",
UPPER(TRIM(rTipo))=""COINCIDENCIA""
),
ISNUMBER(SEARCH(UPPER(TRIM(rPatron)),UPPER(TRIM(D145))))
)
)
),
rConcepto,
"&amp;"""""
)
)
)&lt;&gt;""""
),
1
),
""""
)"),"PATIO REGULADOR")</f>
        <v>PATIO REGULADOR</v>
      </c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</row>
    <row r="146">
      <c r="A146" s="32"/>
      <c r="B146" s="32"/>
      <c r="C146" s="29" t="s">
        <v>172</v>
      </c>
      <c r="D146" s="29" t="s">
        <v>1006</v>
      </c>
      <c r="E146" s="28">
        <v>425.0</v>
      </c>
      <c r="F146" s="28">
        <v>0.0</v>
      </c>
      <c r="G146" s="28" t="s">
        <v>250</v>
      </c>
      <c r="H146" s="28">
        <f t="array" ref="H146">INDEX(CC!C:C,MATCH(1,(CC!A:A=G146)*(CC!B:B=I146),0))</f>
        <v>1402</v>
      </c>
      <c r="I146" s="28" t="s">
        <v>25</v>
      </c>
      <c r="J146" s="31">
        <v>425.0</v>
      </c>
      <c r="K146" s="28" t="str">
        <f>IFERROR(__xludf.DUMMYFUNCTION("IFERROR(
INDEX(
FILTER(
MAP(
reglas!$B$2:$B$240,
reglas!$C$2:$C$240,
reglas!$D$2:$D$240,
reglas!$E$2:$E$240,
LAMBDA(rEmisor,rPatron,rConcepto,rTipo,
IF(
AND(
OR(
UPPER(TRIM(rEmisor))=UPPER(TRIM(C146)),
UPPER(TRIM(rEmisor))=""CUALQUIERA""
),
OR(
UPPER(TRIM"&amp;"(rTipo))=""SOLO EMISOR"",
AND(
UPPER(TRIM(rTipo))=""EXACTA"",
UPPER(TRIM(AG146))=UPPER(TRIM(rPatron))
),
AND(
OR(
UPPER(TRIM(rTipo))=""CONTIENE"",
UPPER(TRIM(rTipo))=""COINCIDENCIA""
),
ISNUMBER(SEARCH(UPPER(TRIM(rPatron)),UPPER(TRIM(D146))))
)
)
),
rConc"&amp;"epto,
""""
)
)
),
MAP(
reglas!$B$2:$B$240,
reglas!$C$2:$C$240,
reglas!$D$2:$D$240,
reglas!$E$2:$E$240,
LAMBDA(rEmisor,rPatron,rConcepto,rTipo,
IF(
AND(
OR(
UPPER(TRIM(rEmisor))=UPPER(TRIM(C146)),
UPPER(TRIM(rEmisor))=""CUALQUIERA""
),
OR(
UPPER(TRIM(rTipo"&amp;"))=""SOLO EMISOR"",
AND(
UPPER(TRIM(rTipo))=""EXACTA"",
UPPER(TRIM(D146))=UPPER(TRIM(rPatron))
),
AND(
OR(
UPPER(TRIM(rTipo))=""CONTIENE"",
UPPER(TRIM(rTipo))=""COINCIDENCIA""
),
ISNUMBER(SEARCH(UPPER(TRIM(rPatron)),UPPER(TRIM(D146))))
)
)
),
rConcepto,
"&amp;"""""
)
)
)&lt;&gt;""""
),
1
),
""""
)"),"PATIO REGULADOR")</f>
        <v>PATIO REGULADOR</v>
      </c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</row>
    <row r="147">
      <c r="A147" s="32"/>
      <c r="B147" s="32"/>
      <c r="C147" s="29" t="s">
        <v>172</v>
      </c>
      <c r="D147" s="29" t="s">
        <v>1008</v>
      </c>
      <c r="E147" s="28">
        <v>425.0</v>
      </c>
      <c r="F147" s="28">
        <v>0.0</v>
      </c>
      <c r="G147" s="28" t="s">
        <v>250</v>
      </c>
      <c r="H147" s="28">
        <f t="array" ref="H147">INDEX(CC!C:C,MATCH(1,(CC!A:A=G147)*(CC!B:B=I147),0))</f>
        <v>1402</v>
      </c>
      <c r="I147" s="28" t="s">
        <v>25</v>
      </c>
      <c r="J147" s="31">
        <v>425.0</v>
      </c>
      <c r="K147" s="28" t="str">
        <f>IFERROR(__xludf.DUMMYFUNCTION("IFERROR(
INDEX(
FILTER(
MAP(
reglas!$B$2:$B$240,
reglas!$C$2:$C$240,
reglas!$D$2:$D$240,
reglas!$E$2:$E$240,
LAMBDA(rEmisor,rPatron,rConcepto,rTipo,
IF(
AND(
OR(
UPPER(TRIM(rEmisor))=UPPER(TRIM(C147)),
UPPER(TRIM(rEmisor))=""CUALQUIERA""
),
OR(
UPPER(TRIM"&amp;"(rTipo))=""SOLO EMISOR"",
AND(
UPPER(TRIM(rTipo))=""EXACTA"",
UPPER(TRIM(AG147))=UPPER(TRIM(rPatron))
),
AND(
OR(
UPPER(TRIM(rTipo))=""CONTIENE"",
UPPER(TRIM(rTipo))=""COINCIDENCIA""
),
ISNUMBER(SEARCH(UPPER(TRIM(rPatron)),UPPER(TRIM(D147))))
)
)
),
rConc"&amp;"epto,
""""
)
)
),
MAP(
reglas!$B$2:$B$240,
reglas!$C$2:$C$240,
reglas!$D$2:$D$240,
reglas!$E$2:$E$240,
LAMBDA(rEmisor,rPatron,rConcepto,rTipo,
IF(
AND(
OR(
UPPER(TRIM(rEmisor))=UPPER(TRIM(C147)),
UPPER(TRIM(rEmisor))=""CUALQUIERA""
),
OR(
UPPER(TRIM(rTipo"&amp;"))=""SOLO EMISOR"",
AND(
UPPER(TRIM(rTipo))=""EXACTA"",
UPPER(TRIM(D147))=UPPER(TRIM(rPatron))
),
AND(
OR(
UPPER(TRIM(rTipo))=""CONTIENE"",
UPPER(TRIM(rTipo))=""COINCIDENCIA""
),
ISNUMBER(SEARCH(UPPER(TRIM(rPatron)),UPPER(TRIM(D147))))
)
)
),
rConcepto,
"&amp;"""""
)
)
)&lt;&gt;""""
),
1
),
""""
)"),"PATIO REGULADOR")</f>
        <v>PATIO REGULADOR</v>
      </c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</row>
    <row r="148">
      <c r="A148" s="32"/>
      <c r="B148" s="32"/>
      <c r="C148" s="29" t="s">
        <v>172</v>
      </c>
      <c r="D148" s="29" t="s">
        <v>1010</v>
      </c>
      <c r="E148" s="28">
        <v>425.0</v>
      </c>
      <c r="F148" s="28">
        <v>0.0</v>
      </c>
      <c r="G148" s="28" t="s">
        <v>250</v>
      </c>
      <c r="H148" s="28">
        <f t="array" ref="H148">INDEX(CC!C:C,MATCH(1,(CC!A:A=G148)*(CC!B:B=I148),0))</f>
        <v>1402</v>
      </c>
      <c r="I148" s="28" t="s">
        <v>25</v>
      </c>
      <c r="J148" s="31">
        <v>425.0</v>
      </c>
      <c r="K148" s="28" t="str">
        <f>IFERROR(__xludf.DUMMYFUNCTION("IFERROR(
INDEX(
FILTER(
MAP(
reglas!$B$2:$B$240,
reglas!$C$2:$C$240,
reglas!$D$2:$D$240,
reglas!$E$2:$E$240,
LAMBDA(rEmisor,rPatron,rConcepto,rTipo,
IF(
AND(
OR(
UPPER(TRIM(rEmisor))=UPPER(TRIM(C148)),
UPPER(TRIM(rEmisor))=""CUALQUIERA""
),
OR(
UPPER(TRIM"&amp;"(rTipo))=""SOLO EMISOR"",
AND(
UPPER(TRIM(rTipo))=""EXACTA"",
UPPER(TRIM(AG148))=UPPER(TRIM(rPatron))
),
AND(
OR(
UPPER(TRIM(rTipo))=""CONTIENE"",
UPPER(TRIM(rTipo))=""COINCIDENCIA""
),
ISNUMBER(SEARCH(UPPER(TRIM(rPatron)),UPPER(TRIM(D148))))
)
)
),
rConc"&amp;"epto,
""""
)
)
),
MAP(
reglas!$B$2:$B$240,
reglas!$C$2:$C$240,
reglas!$D$2:$D$240,
reglas!$E$2:$E$240,
LAMBDA(rEmisor,rPatron,rConcepto,rTipo,
IF(
AND(
OR(
UPPER(TRIM(rEmisor))=UPPER(TRIM(C148)),
UPPER(TRIM(rEmisor))=""CUALQUIERA""
),
OR(
UPPER(TRIM(rTipo"&amp;"))=""SOLO EMISOR"",
AND(
UPPER(TRIM(rTipo))=""EXACTA"",
UPPER(TRIM(D148))=UPPER(TRIM(rPatron))
),
AND(
OR(
UPPER(TRIM(rTipo))=""CONTIENE"",
UPPER(TRIM(rTipo))=""COINCIDENCIA""
),
ISNUMBER(SEARCH(UPPER(TRIM(rPatron)),UPPER(TRIM(D148))))
)
)
),
rConcepto,
"&amp;"""""
)
)
)&lt;&gt;""""
),
1
),
""""
)"),"PATIO REGULADOR")</f>
        <v>PATIO REGULADOR</v>
      </c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</row>
    <row r="149">
      <c r="A149" s="32"/>
      <c r="B149" s="32"/>
      <c r="C149" s="29" t="s">
        <v>172</v>
      </c>
      <c r="D149" s="29" t="s">
        <v>1011</v>
      </c>
      <c r="E149" s="28">
        <v>425.0</v>
      </c>
      <c r="F149" s="28">
        <v>0.0</v>
      </c>
      <c r="G149" s="28" t="s">
        <v>250</v>
      </c>
      <c r="H149" s="28">
        <f t="array" ref="H149">INDEX(CC!C:C,MATCH(1,(CC!A:A=G149)*(CC!B:B=I149),0))</f>
        <v>1402</v>
      </c>
      <c r="I149" s="28" t="s">
        <v>25</v>
      </c>
      <c r="J149" s="31">
        <v>425.0</v>
      </c>
      <c r="K149" s="28" t="str">
        <f>IFERROR(__xludf.DUMMYFUNCTION("IFERROR(
INDEX(
FILTER(
MAP(
reglas!$B$2:$B$240,
reglas!$C$2:$C$240,
reglas!$D$2:$D$240,
reglas!$E$2:$E$240,
LAMBDA(rEmisor,rPatron,rConcepto,rTipo,
IF(
AND(
OR(
UPPER(TRIM(rEmisor))=UPPER(TRIM(C149)),
UPPER(TRIM(rEmisor))=""CUALQUIERA""
),
OR(
UPPER(TRIM"&amp;"(rTipo))=""SOLO EMISOR"",
AND(
UPPER(TRIM(rTipo))=""EXACTA"",
UPPER(TRIM(AG149))=UPPER(TRIM(rPatron))
),
AND(
OR(
UPPER(TRIM(rTipo))=""CONTIENE"",
UPPER(TRIM(rTipo))=""COINCIDENCIA""
),
ISNUMBER(SEARCH(UPPER(TRIM(rPatron)),UPPER(TRIM(D149))))
)
)
),
rConc"&amp;"epto,
""""
)
)
),
MAP(
reglas!$B$2:$B$240,
reglas!$C$2:$C$240,
reglas!$D$2:$D$240,
reglas!$E$2:$E$240,
LAMBDA(rEmisor,rPatron,rConcepto,rTipo,
IF(
AND(
OR(
UPPER(TRIM(rEmisor))=UPPER(TRIM(C149)),
UPPER(TRIM(rEmisor))=""CUALQUIERA""
),
OR(
UPPER(TRIM(rTipo"&amp;"))=""SOLO EMISOR"",
AND(
UPPER(TRIM(rTipo))=""EXACTA"",
UPPER(TRIM(D149))=UPPER(TRIM(rPatron))
),
AND(
OR(
UPPER(TRIM(rTipo))=""CONTIENE"",
UPPER(TRIM(rTipo))=""COINCIDENCIA""
),
ISNUMBER(SEARCH(UPPER(TRIM(rPatron)),UPPER(TRIM(D149))))
)
)
),
rConcepto,
"&amp;"""""
)
)
)&lt;&gt;""""
),
1
),
""""
)"),"PATIO REGULADOR")</f>
        <v>PATIO REGULADOR</v>
      </c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</row>
    <row r="150">
      <c r="A150" s="32"/>
      <c r="B150" s="32"/>
      <c r="C150" s="29" t="s">
        <v>172</v>
      </c>
      <c r="D150" s="29" t="s">
        <v>1012</v>
      </c>
      <c r="E150" s="28">
        <v>425.0</v>
      </c>
      <c r="F150" s="28">
        <v>0.0</v>
      </c>
      <c r="G150" s="28" t="s">
        <v>250</v>
      </c>
      <c r="H150" s="28">
        <f t="array" ref="H150">INDEX(CC!C:C,MATCH(1,(CC!A:A=G150)*(CC!B:B=I150),0))</f>
        <v>1402</v>
      </c>
      <c r="I150" s="28" t="s">
        <v>25</v>
      </c>
      <c r="J150" s="31">
        <v>425.0</v>
      </c>
      <c r="K150" s="28" t="str">
        <f>IFERROR(__xludf.DUMMYFUNCTION("IFERROR(
INDEX(
FILTER(
MAP(
reglas!$B$2:$B$240,
reglas!$C$2:$C$240,
reglas!$D$2:$D$240,
reglas!$E$2:$E$240,
LAMBDA(rEmisor,rPatron,rConcepto,rTipo,
IF(
AND(
OR(
UPPER(TRIM(rEmisor))=UPPER(TRIM(C150)),
UPPER(TRIM(rEmisor))=""CUALQUIERA""
),
OR(
UPPER(TRIM"&amp;"(rTipo))=""SOLO EMISOR"",
AND(
UPPER(TRIM(rTipo))=""EXACTA"",
UPPER(TRIM(AG150))=UPPER(TRIM(rPatron))
),
AND(
OR(
UPPER(TRIM(rTipo))=""CONTIENE"",
UPPER(TRIM(rTipo))=""COINCIDENCIA""
),
ISNUMBER(SEARCH(UPPER(TRIM(rPatron)),UPPER(TRIM(D150))))
)
)
),
rConc"&amp;"epto,
""""
)
)
),
MAP(
reglas!$B$2:$B$240,
reglas!$C$2:$C$240,
reglas!$D$2:$D$240,
reglas!$E$2:$E$240,
LAMBDA(rEmisor,rPatron,rConcepto,rTipo,
IF(
AND(
OR(
UPPER(TRIM(rEmisor))=UPPER(TRIM(C150)),
UPPER(TRIM(rEmisor))=""CUALQUIERA""
),
OR(
UPPER(TRIM(rTipo"&amp;"))=""SOLO EMISOR"",
AND(
UPPER(TRIM(rTipo))=""EXACTA"",
UPPER(TRIM(D150))=UPPER(TRIM(rPatron))
),
AND(
OR(
UPPER(TRIM(rTipo))=""CONTIENE"",
UPPER(TRIM(rTipo))=""COINCIDENCIA""
),
ISNUMBER(SEARCH(UPPER(TRIM(rPatron)),UPPER(TRIM(D150))))
)
)
),
rConcepto,
"&amp;"""""
)
)
)&lt;&gt;""""
),
1
),
""""
)"),"PATIO REGULADOR")</f>
        <v>PATIO REGULADOR</v>
      </c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</row>
    <row r="151">
      <c r="A151" s="32"/>
      <c r="B151" s="32"/>
      <c r="C151" s="29" t="s">
        <v>172</v>
      </c>
      <c r="D151" s="29" t="s">
        <v>1013</v>
      </c>
      <c r="E151" s="28">
        <v>305.0</v>
      </c>
      <c r="F151" s="28">
        <v>0.0</v>
      </c>
      <c r="G151" s="28" t="s">
        <v>250</v>
      </c>
      <c r="H151" s="28">
        <f t="array" ref="H151">INDEX(CC!C:C,MATCH(1,(CC!A:A=G151)*(CC!B:B=I151),0))</f>
        <v>1402</v>
      </c>
      <c r="I151" s="28" t="s">
        <v>25</v>
      </c>
      <c r="J151" s="31">
        <v>305.0</v>
      </c>
      <c r="K151" s="28" t="str">
        <f>IFERROR(__xludf.DUMMYFUNCTION("IFERROR(
INDEX(
FILTER(
MAP(
reglas!$B$2:$B$240,
reglas!$C$2:$C$240,
reglas!$D$2:$D$240,
reglas!$E$2:$E$240,
LAMBDA(rEmisor,rPatron,rConcepto,rTipo,
IF(
AND(
OR(
UPPER(TRIM(rEmisor))=UPPER(TRIM(C151)),
UPPER(TRIM(rEmisor))=""CUALQUIERA""
),
OR(
UPPER(TRIM"&amp;"(rTipo))=""SOLO EMISOR"",
AND(
UPPER(TRIM(rTipo))=""EXACTA"",
UPPER(TRIM(AG151))=UPPER(TRIM(rPatron))
),
AND(
OR(
UPPER(TRIM(rTipo))=""CONTIENE"",
UPPER(TRIM(rTipo))=""COINCIDENCIA""
),
ISNUMBER(SEARCH(UPPER(TRIM(rPatron)),UPPER(TRIM(D151))))
)
)
),
rConc"&amp;"epto,
""""
)
)
),
MAP(
reglas!$B$2:$B$240,
reglas!$C$2:$C$240,
reglas!$D$2:$D$240,
reglas!$E$2:$E$240,
LAMBDA(rEmisor,rPatron,rConcepto,rTipo,
IF(
AND(
OR(
UPPER(TRIM(rEmisor))=UPPER(TRIM(C151)),
UPPER(TRIM(rEmisor))=""CUALQUIERA""
),
OR(
UPPER(TRIM(rTipo"&amp;"))=""SOLO EMISOR"",
AND(
UPPER(TRIM(rTipo))=""EXACTA"",
UPPER(TRIM(D151))=UPPER(TRIM(rPatron))
),
AND(
OR(
UPPER(TRIM(rTipo))=""CONTIENE"",
UPPER(TRIM(rTipo))=""COINCIDENCIA""
),
ISNUMBER(SEARCH(UPPER(TRIM(rPatron)),UPPER(TRIM(D151))))
)
)
),
rConcepto,
"&amp;"""""
)
)
)&lt;&gt;""""
),
1
),
""""
)"),"PATIO REGULADOR")</f>
        <v>PATIO REGULADOR</v>
      </c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</row>
    <row r="152">
      <c r="A152" s="32"/>
      <c r="B152" s="32"/>
      <c r="C152" s="29" t="s">
        <v>172</v>
      </c>
      <c r="D152" s="29" t="s">
        <v>1016</v>
      </c>
      <c r="E152" s="28">
        <v>545.0</v>
      </c>
      <c r="F152" s="28">
        <v>0.0</v>
      </c>
      <c r="G152" s="28" t="s">
        <v>250</v>
      </c>
      <c r="H152" s="28">
        <f t="array" ref="H152">INDEX(CC!C:C,MATCH(1,(CC!A:A=G152)*(CC!B:B=I152),0))</f>
        <v>1402</v>
      </c>
      <c r="I152" s="28" t="s">
        <v>25</v>
      </c>
      <c r="J152" s="31">
        <v>545.0</v>
      </c>
      <c r="K152" s="28" t="str">
        <f>IFERROR(__xludf.DUMMYFUNCTION("IFERROR(
INDEX(
FILTER(
MAP(
reglas!$B$2:$B$240,
reglas!$C$2:$C$240,
reglas!$D$2:$D$240,
reglas!$E$2:$E$240,
LAMBDA(rEmisor,rPatron,rConcepto,rTipo,
IF(
AND(
OR(
UPPER(TRIM(rEmisor))=UPPER(TRIM(C152)),
UPPER(TRIM(rEmisor))=""CUALQUIERA""
),
OR(
UPPER(TRIM"&amp;"(rTipo))=""SOLO EMISOR"",
AND(
UPPER(TRIM(rTipo))=""EXACTA"",
UPPER(TRIM(AG152))=UPPER(TRIM(rPatron))
),
AND(
OR(
UPPER(TRIM(rTipo))=""CONTIENE"",
UPPER(TRIM(rTipo))=""COINCIDENCIA""
),
ISNUMBER(SEARCH(UPPER(TRIM(rPatron)),UPPER(TRIM(D152))))
)
)
),
rConc"&amp;"epto,
""""
)
)
),
MAP(
reglas!$B$2:$B$240,
reglas!$C$2:$C$240,
reglas!$D$2:$D$240,
reglas!$E$2:$E$240,
LAMBDA(rEmisor,rPatron,rConcepto,rTipo,
IF(
AND(
OR(
UPPER(TRIM(rEmisor))=UPPER(TRIM(C152)),
UPPER(TRIM(rEmisor))=""CUALQUIERA""
),
OR(
UPPER(TRIM(rTipo"&amp;"))=""SOLO EMISOR"",
AND(
UPPER(TRIM(rTipo))=""EXACTA"",
UPPER(TRIM(D152))=UPPER(TRIM(rPatron))
),
AND(
OR(
UPPER(TRIM(rTipo))=""CONTIENE"",
UPPER(TRIM(rTipo))=""COINCIDENCIA""
),
ISNUMBER(SEARCH(UPPER(TRIM(rPatron)),UPPER(TRIM(D152))))
)
)
),
rConcepto,
"&amp;"""""
)
)
)&lt;&gt;""""
),
1
),
""""
)"),"PATIO REGULADOR")</f>
        <v>PATIO REGULADOR</v>
      </c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</row>
    <row r="153">
      <c r="A153" s="32"/>
      <c r="B153" s="32"/>
      <c r="C153" s="29" t="s">
        <v>172</v>
      </c>
      <c r="D153" s="29" t="s">
        <v>1018</v>
      </c>
      <c r="E153" s="28">
        <v>305.0</v>
      </c>
      <c r="F153" s="28">
        <v>0.0</v>
      </c>
      <c r="G153" s="28" t="s">
        <v>250</v>
      </c>
      <c r="H153" s="28">
        <f t="array" ref="H153">INDEX(CC!C:C,MATCH(1,(CC!A:A=G153)*(CC!B:B=I153),0))</f>
        <v>1402</v>
      </c>
      <c r="I153" s="28" t="s">
        <v>25</v>
      </c>
      <c r="J153" s="31">
        <v>305.0</v>
      </c>
      <c r="K153" s="28" t="str">
        <f>IFERROR(__xludf.DUMMYFUNCTION("IFERROR(
INDEX(
FILTER(
MAP(
reglas!$B$2:$B$240,
reglas!$C$2:$C$240,
reglas!$D$2:$D$240,
reglas!$E$2:$E$240,
LAMBDA(rEmisor,rPatron,rConcepto,rTipo,
IF(
AND(
OR(
UPPER(TRIM(rEmisor))=UPPER(TRIM(C153)),
UPPER(TRIM(rEmisor))=""CUALQUIERA""
),
OR(
UPPER(TRIM"&amp;"(rTipo))=""SOLO EMISOR"",
AND(
UPPER(TRIM(rTipo))=""EXACTA"",
UPPER(TRIM(AG153))=UPPER(TRIM(rPatron))
),
AND(
OR(
UPPER(TRIM(rTipo))=""CONTIENE"",
UPPER(TRIM(rTipo))=""COINCIDENCIA""
),
ISNUMBER(SEARCH(UPPER(TRIM(rPatron)),UPPER(TRIM(D153))))
)
)
),
rConc"&amp;"epto,
""""
)
)
),
MAP(
reglas!$B$2:$B$240,
reglas!$C$2:$C$240,
reglas!$D$2:$D$240,
reglas!$E$2:$E$240,
LAMBDA(rEmisor,rPatron,rConcepto,rTipo,
IF(
AND(
OR(
UPPER(TRIM(rEmisor))=UPPER(TRIM(C153)),
UPPER(TRIM(rEmisor))=""CUALQUIERA""
),
OR(
UPPER(TRIM(rTipo"&amp;"))=""SOLO EMISOR"",
AND(
UPPER(TRIM(rTipo))=""EXACTA"",
UPPER(TRIM(D153))=UPPER(TRIM(rPatron))
),
AND(
OR(
UPPER(TRIM(rTipo))=""CONTIENE"",
UPPER(TRIM(rTipo))=""COINCIDENCIA""
),
ISNUMBER(SEARCH(UPPER(TRIM(rPatron)),UPPER(TRIM(D153))))
)
)
),
rConcepto,
"&amp;"""""
)
)
)&lt;&gt;""""
),
1
),
""""
)"),"PATIO REGULADOR")</f>
        <v>PATIO REGULADOR</v>
      </c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</row>
    <row r="154">
      <c r="A154" s="32"/>
      <c r="B154" s="32"/>
      <c r="C154" s="29" t="s">
        <v>172</v>
      </c>
      <c r="D154" s="29" t="s">
        <v>1019</v>
      </c>
      <c r="E154" s="28">
        <v>545.0</v>
      </c>
      <c r="F154" s="28">
        <v>0.0</v>
      </c>
      <c r="G154" s="28" t="s">
        <v>250</v>
      </c>
      <c r="H154" s="28">
        <f t="array" ref="H154">INDEX(CC!C:C,MATCH(1,(CC!A:A=G154)*(CC!B:B=I154),0))</f>
        <v>1402</v>
      </c>
      <c r="I154" s="28" t="s">
        <v>25</v>
      </c>
      <c r="J154" s="31">
        <v>545.0</v>
      </c>
      <c r="K154" s="28" t="str">
        <f>IFERROR(__xludf.DUMMYFUNCTION("IFERROR(
INDEX(
FILTER(
MAP(
reglas!$B$2:$B$240,
reglas!$C$2:$C$240,
reglas!$D$2:$D$240,
reglas!$E$2:$E$240,
LAMBDA(rEmisor,rPatron,rConcepto,rTipo,
IF(
AND(
OR(
UPPER(TRIM(rEmisor))=UPPER(TRIM(C154)),
UPPER(TRIM(rEmisor))=""CUALQUIERA""
),
OR(
UPPER(TRIM"&amp;"(rTipo))=""SOLO EMISOR"",
AND(
UPPER(TRIM(rTipo))=""EXACTA"",
UPPER(TRIM(AG154))=UPPER(TRIM(rPatron))
),
AND(
OR(
UPPER(TRIM(rTipo))=""CONTIENE"",
UPPER(TRIM(rTipo))=""COINCIDENCIA""
),
ISNUMBER(SEARCH(UPPER(TRIM(rPatron)),UPPER(TRIM(D154))))
)
)
),
rConc"&amp;"epto,
""""
)
)
),
MAP(
reglas!$B$2:$B$240,
reglas!$C$2:$C$240,
reglas!$D$2:$D$240,
reglas!$E$2:$E$240,
LAMBDA(rEmisor,rPatron,rConcepto,rTipo,
IF(
AND(
OR(
UPPER(TRIM(rEmisor))=UPPER(TRIM(C154)),
UPPER(TRIM(rEmisor))=""CUALQUIERA""
),
OR(
UPPER(TRIM(rTipo"&amp;"))=""SOLO EMISOR"",
AND(
UPPER(TRIM(rTipo))=""EXACTA"",
UPPER(TRIM(D154))=UPPER(TRIM(rPatron))
),
AND(
OR(
UPPER(TRIM(rTipo))=""CONTIENE"",
UPPER(TRIM(rTipo))=""COINCIDENCIA""
),
ISNUMBER(SEARCH(UPPER(TRIM(rPatron)),UPPER(TRIM(D154))))
)
)
),
rConcepto,
"&amp;"""""
)
)
)&lt;&gt;""""
),
1
),
""""
)"),"PATIO REGULADOR")</f>
        <v>PATIO REGULADOR</v>
      </c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</row>
    <row r="155">
      <c r="A155" s="32"/>
      <c r="B155" s="32"/>
      <c r="C155" s="29" t="s">
        <v>172</v>
      </c>
      <c r="D155" s="29" t="s">
        <v>1021</v>
      </c>
      <c r="E155" s="28">
        <v>425.0</v>
      </c>
      <c r="F155" s="28">
        <v>0.0</v>
      </c>
      <c r="G155" s="28" t="s">
        <v>250</v>
      </c>
      <c r="H155" s="28">
        <f t="array" ref="H155">INDEX(CC!C:C,MATCH(1,(CC!A:A=G155)*(CC!B:B=I155),0))</f>
        <v>1402</v>
      </c>
      <c r="I155" s="28" t="s">
        <v>25</v>
      </c>
      <c r="J155" s="31">
        <v>425.0</v>
      </c>
      <c r="K155" s="28" t="str">
        <f>IFERROR(__xludf.DUMMYFUNCTION("IFERROR(
INDEX(
FILTER(
MAP(
reglas!$B$2:$B$240,
reglas!$C$2:$C$240,
reglas!$D$2:$D$240,
reglas!$E$2:$E$240,
LAMBDA(rEmisor,rPatron,rConcepto,rTipo,
IF(
AND(
OR(
UPPER(TRIM(rEmisor))=UPPER(TRIM(C155)),
UPPER(TRIM(rEmisor))=""CUALQUIERA""
),
OR(
UPPER(TRIM"&amp;"(rTipo))=""SOLO EMISOR"",
AND(
UPPER(TRIM(rTipo))=""EXACTA"",
UPPER(TRIM(AG155))=UPPER(TRIM(rPatron))
),
AND(
OR(
UPPER(TRIM(rTipo))=""CONTIENE"",
UPPER(TRIM(rTipo))=""COINCIDENCIA""
),
ISNUMBER(SEARCH(UPPER(TRIM(rPatron)),UPPER(TRIM(D155))))
)
)
),
rConc"&amp;"epto,
""""
)
)
),
MAP(
reglas!$B$2:$B$240,
reglas!$C$2:$C$240,
reglas!$D$2:$D$240,
reglas!$E$2:$E$240,
LAMBDA(rEmisor,rPatron,rConcepto,rTipo,
IF(
AND(
OR(
UPPER(TRIM(rEmisor))=UPPER(TRIM(C155)),
UPPER(TRIM(rEmisor))=""CUALQUIERA""
),
OR(
UPPER(TRIM(rTipo"&amp;"))=""SOLO EMISOR"",
AND(
UPPER(TRIM(rTipo))=""EXACTA"",
UPPER(TRIM(D155))=UPPER(TRIM(rPatron))
),
AND(
OR(
UPPER(TRIM(rTipo))=""CONTIENE"",
UPPER(TRIM(rTipo))=""COINCIDENCIA""
),
ISNUMBER(SEARCH(UPPER(TRIM(rPatron)),UPPER(TRIM(D155))))
)
)
),
rConcepto,
"&amp;"""""
)
)
)&lt;&gt;""""
),
1
),
""""
)"),"PATIO REGULADOR")</f>
        <v>PATIO REGULADOR</v>
      </c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</row>
    <row r="156">
      <c r="A156" s="32"/>
      <c r="B156" s="32"/>
      <c r="C156" s="29" t="s">
        <v>172</v>
      </c>
      <c r="D156" s="29" t="s">
        <v>1022</v>
      </c>
      <c r="E156" s="28">
        <v>545.0</v>
      </c>
      <c r="F156" s="28">
        <v>0.0</v>
      </c>
      <c r="G156" s="28" t="s">
        <v>250</v>
      </c>
      <c r="H156" s="28">
        <f t="array" ref="H156">INDEX(CC!C:C,MATCH(1,(CC!A:A=G156)*(CC!B:B=I156),0))</f>
        <v>1402</v>
      </c>
      <c r="I156" s="28" t="s">
        <v>25</v>
      </c>
      <c r="J156" s="31">
        <v>545.0</v>
      </c>
      <c r="K156" s="28" t="str">
        <f>IFERROR(__xludf.DUMMYFUNCTION("IFERROR(
INDEX(
FILTER(
MAP(
reglas!$B$2:$B$240,
reglas!$C$2:$C$240,
reglas!$D$2:$D$240,
reglas!$E$2:$E$240,
LAMBDA(rEmisor,rPatron,rConcepto,rTipo,
IF(
AND(
OR(
UPPER(TRIM(rEmisor))=UPPER(TRIM(C156)),
UPPER(TRIM(rEmisor))=""CUALQUIERA""
),
OR(
UPPER(TRIM"&amp;"(rTipo))=""SOLO EMISOR"",
AND(
UPPER(TRIM(rTipo))=""EXACTA"",
UPPER(TRIM(AG156))=UPPER(TRIM(rPatron))
),
AND(
OR(
UPPER(TRIM(rTipo))=""CONTIENE"",
UPPER(TRIM(rTipo))=""COINCIDENCIA""
),
ISNUMBER(SEARCH(UPPER(TRIM(rPatron)),UPPER(TRIM(D156))))
)
)
),
rConc"&amp;"epto,
""""
)
)
),
MAP(
reglas!$B$2:$B$240,
reglas!$C$2:$C$240,
reglas!$D$2:$D$240,
reglas!$E$2:$E$240,
LAMBDA(rEmisor,rPatron,rConcepto,rTipo,
IF(
AND(
OR(
UPPER(TRIM(rEmisor))=UPPER(TRIM(C156)),
UPPER(TRIM(rEmisor))=""CUALQUIERA""
),
OR(
UPPER(TRIM(rTipo"&amp;"))=""SOLO EMISOR"",
AND(
UPPER(TRIM(rTipo))=""EXACTA"",
UPPER(TRIM(D156))=UPPER(TRIM(rPatron))
),
AND(
OR(
UPPER(TRIM(rTipo))=""CONTIENE"",
UPPER(TRIM(rTipo))=""COINCIDENCIA""
),
ISNUMBER(SEARCH(UPPER(TRIM(rPatron)),UPPER(TRIM(D156))))
)
)
),
rConcepto,
"&amp;"""""
)
)
)&lt;&gt;""""
),
1
),
""""
)"),"PATIO REGULADOR")</f>
        <v>PATIO REGULADOR</v>
      </c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</row>
    <row r="157">
      <c r="A157" s="32"/>
      <c r="B157" s="32"/>
      <c r="C157" s="29" t="s">
        <v>172</v>
      </c>
      <c r="D157" s="29" t="s">
        <v>1024</v>
      </c>
      <c r="E157" s="28">
        <v>665.0</v>
      </c>
      <c r="F157" s="28">
        <v>0.0</v>
      </c>
      <c r="G157" s="28" t="s">
        <v>250</v>
      </c>
      <c r="H157" s="28">
        <f t="array" ref="H157">INDEX(CC!C:C,MATCH(1,(CC!A:A=G157)*(CC!B:B=I157),0))</f>
        <v>1402</v>
      </c>
      <c r="I157" s="28" t="s">
        <v>25</v>
      </c>
      <c r="J157" s="31">
        <v>665.0</v>
      </c>
      <c r="K157" s="28" t="str">
        <f>IFERROR(__xludf.DUMMYFUNCTION("IFERROR(
INDEX(
FILTER(
MAP(
reglas!$B$2:$B$240,
reglas!$C$2:$C$240,
reglas!$D$2:$D$240,
reglas!$E$2:$E$240,
LAMBDA(rEmisor,rPatron,rConcepto,rTipo,
IF(
AND(
OR(
UPPER(TRIM(rEmisor))=UPPER(TRIM(C157)),
UPPER(TRIM(rEmisor))=""CUALQUIERA""
),
OR(
UPPER(TRIM"&amp;"(rTipo))=""SOLO EMISOR"",
AND(
UPPER(TRIM(rTipo))=""EXACTA"",
UPPER(TRIM(AG157))=UPPER(TRIM(rPatron))
),
AND(
OR(
UPPER(TRIM(rTipo))=""CONTIENE"",
UPPER(TRIM(rTipo))=""COINCIDENCIA""
),
ISNUMBER(SEARCH(UPPER(TRIM(rPatron)),UPPER(TRIM(D157))))
)
)
),
rConc"&amp;"epto,
""""
)
)
),
MAP(
reglas!$B$2:$B$240,
reglas!$C$2:$C$240,
reglas!$D$2:$D$240,
reglas!$E$2:$E$240,
LAMBDA(rEmisor,rPatron,rConcepto,rTipo,
IF(
AND(
OR(
UPPER(TRIM(rEmisor))=UPPER(TRIM(C157)),
UPPER(TRIM(rEmisor))=""CUALQUIERA""
),
OR(
UPPER(TRIM(rTipo"&amp;"))=""SOLO EMISOR"",
AND(
UPPER(TRIM(rTipo))=""EXACTA"",
UPPER(TRIM(D157))=UPPER(TRIM(rPatron))
),
AND(
OR(
UPPER(TRIM(rTipo))=""CONTIENE"",
UPPER(TRIM(rTipo))=""COINCIDENCIA""
),
ISNUMBER(SEARCH(UPPER(TRIM(rPatron)),UPPER(TRIM(D157))))
)
)
),
rConcepto,
"&amp;"""""
)
)
)&lt;&gt;""""
),
1
),
""""
)"),"PATIO REGULADOR")</f>
        <v>PATIO REGULADOR</v>
      </c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</row>
    <row r="158">
      <c r="A158" s="32"/>
      <c r="B158" s="32"/>
      <c r="C158" s="29" t="s">
        <v>172</v>
      </c>
      <c r="D158" s="29" t="s">
        <v>1026</v>
      </c>
      <c r="E158" s="28">
        <v>305.0</v>
      </c>
      <c r="F158" s="28">
        <v>0.0</v>
      </c>
      <c r="G158" s="28" t="s">
        <v>250</v>
      </c>
      <c r="H158" s="28">
        <f t="array" ref="H158">INDEX(CC!C:C,MATCH(1,(CC!A:A=G158)*(CC!B:B=I158),0))</f>
        <v>1402</v>
      </c>
      <c r="I158" s="28" t="s">
        <v>25</v>
      </c>
      <c r="J158" s="31">
        <v>305.0</v>
      </c>
      <c r="K158" s="28" t="str">
        <f>IFERROR(__xludf.DUMMYFUNCTION("IFERROR(
INDEX(
FILTER(
MAP(
reglas!$B$2:$B$240,
reglas!$C$2:$C$240,
reglas!$D$2:$D$240,
reglas!$E$2:$E$240,
LAMBDA(rEmisor,rPatron,rConcepto,rTipo,
IF(
AND(
OR(
UPPER(TRIM(rEmisor))=UPPER(TRIM(C158)),
UPPER(TRIM(rEmisor))=""CUALQUIERA""
),
OR(
UPPER(TRIM"&amp;"(rTipo))=""SOLO EMISOR"",
AND(
UPPER(TRIM(rTipo))=""EXACTA"",
UPPER(TRIM(AG158))=UPPER(TRIM(rPatron))
),
AND(
OR(
UPPER(TRIM(rTipo))=""CONTIENE"",
UPPER(TRIM(rTipo))=""COINCIDENCIA""
),
ISNUMBER(SEARCH(UPPER(TRIM(rPatron)),UPPER(TRIM(D158))))
)
)
),
rConc"&amp;"epto,
""""
)
)
),
MAP(
reglas!$B$2:$B$240,
reglas!$C$2:$C$240,
reglas!$D$2:$D$240,
reglas!$E$2:$E$240,
LAMBDA(rEmisor,rPatron,rConcepto,rTipo,
IF(
AND(
OR(
UPPER(TRIM(rEmisor))=UPPER(TRIM(C158)),
UPPER(TRIM(rEmisor))=""CUALQUIERA""
),
OR(
UPPER(TRIM(rTipo"&amp;"))=""SOLO EMISOR"",
AND(
UPPER(TRIM(rTipo))=""EXACTA"",
UPPER(TRIM(D158))=UPPER(TRIM(rPatron))
),
AND(
OR(
UPPER(TRIM(rTipo))=""CONTIENE"",
UPPER(TRIM(rTipo))=""COINCIDENCIA""
),
ISNUMBER(SEARCH(UPPER(TRIM(rPatron)),UPPER(TRIM(D158))))
)
)
),
rConcepto,
"&amp;"""""
)
)
)&lt;&gt;""""
),
1
),
""""
)"),"PATIO REGULADOR")</f>
        <v>PATIO REGULADOR</v>
      </c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</row>
    <row r="159">
      <c r="A159" s="28">
        <v>1.0</v>
      </c>
      <c r="B159" s="28" t="s">
        <v>29</v>
      </c>
      <c r="C159" s="29" t="s">
        <v>375</v>
      </c>
      <c r="D159" s="29" t="s">
        <v>388</v>
      </c>
      <c r="E159" s="30">
        <v>1600.0</v>
      </c>
      <c r="F159" s="28">
        <v>0.0</v>
      </c>
      <c r="G159" s="28" t="s">
        <v>551</v>
      </c>
      <c r="H159" s="28">
        <f t="array" ref="H159">INDEX(CC!C:C,MATCH(1,(CC!A:A=G159)*(CC!B:B=I159),0))</f>
        <v>1202</v>
      </c>
      <c r="I159" s="28" t="s">
        <v>25</v>
      </c>
      <c r="J159" s="31">
        <v>1600.0</v>
      </c>
      <c r="K159" s="28" t="str">
        <f>IFERROR(__xludf.DUMMYFUNCTION("IFERROR(
INDEX(
FILTER(
MAP(
reglas!$B$2:$B$240,
reglas!$C$2:$C$240,
reglas!$D$2:$D$240,
reglas!$E$2:$E$240,
LAMBDA(rEmisor,rPatron,rConcepto,rTipo,
IF(
AND(
OR(
UPPER(TRIM(rEmisor))=UPPER(TRIM(C159)),
UPPER(TRIM(rEmisor))=""CUALQUIERA""
),
OR(
UPPER(TRIM"&amp;"(rTipo))=""SOLO EMISOR"",
AND(
UPPER(TRIM(rTipo))=""EXACTA"",
UPPER(TRIM(AG159))=UPPER(TRIM(rPatron))
),
AND(
OR(
UPPER(TRIM(rTipo))=""CONTIENE"",
UPPER(TRIM(rTipo))=""COINCIDENCIA""
),
ISNUMBER(SEARCH(UPPER(TRIM(rPatron)),UPPER(TRIM(D159))))
)
)
),
rConc"&amp;"epto,
""""
)
)
),
MAP(
reglas!$B$2:$B$240,
reglas!$C$2:$C$240,
reglas!$D$2:$D$240,
reglas!$E$2:$E$240,
LAMBDA(rEmisor,rPatron,rConcepto,rTipo,
IF(
AND(
OR(
UPPER(TRIM(rEmisor))=UPPER(TRIM(C159)),
UPPER(TRIM(rEmisor))=""CUALQUIERA""
),
OR(
UPPER(TRIM(rTipo"&amp;"))=""SOLO EMISOR"",
AND(
UPPER(TRIM(rTipo))=""EXACTA"",
UPPER(TRIM(D159))=UPPER(TRIM(rPatron))
),
AND(
OR(
UPPER(TRIM(rTipo))=""CONTIENE"",
UPPER(TRIM(rTipo))=""COINCIDENCIA""
),
ISNUMBER(SEARCH(UPPER(TRIM(rPatron)),UPPER(TRIM(D159))))
)
)
),
rConcepto,
"&amp;"""""
)
)
)&lt;&gt;""""
),
1
),
""""
)"),"MANIOBRAS")</f>
        <v>MANIOBRAS</v>
      </c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</row>
    <row r="160">
      <c r="A160" s="32"/>
      <c r="B160" s="28" t="s">
        <v>29</v>
      </c>
      <c r="C160" s="29" t="s">
        <v>278</v>
      </c>
      <c r="D160" s="29" t="s">
        <v>560</v>
      </c>
      <c r="E160" s="30">
        <v>3500.0</v>
      </c>
      <c r="F160" s="28">
        <v>0.0</v>
      </c>
      <c r="G160" s="28" t="s">
        <v>250</v>
      </c>
      <c r="H160" s="28">
        <f t="array" ref="H160">INDEX(CC!C:C,MATCH(1,(CC!A:A=G160)*(CC!B:B=I160),0))</f>
        <v>1402</v>
      </c>
      <c r="I160" s="28" t="s">
        <v>25</v>
      </c>
      <c r="J160" s="31">
        <v>3500.0</v>
      </c>
      <c r="K160" s="28" t="str">
        <f>IFERROR(__xludf.DUMMYFUNCTION("IFERROR(
INDEX(
FILTER(
MAP(
reglas!$B$2:$B$240,
reglas!$C$2:$C$240,
reglas!$D$2:$D$240,
reglas!$E$2:$E$240,
LAMBDA(rEmisor,rPatron,rConcepto,rTipo,
IF(
AND(
OR(
UPPER(TRIM(rEmisor))=UPPER(TRIM(C160)),
UPPER(TRIM(rEmisor))=""CUALQUIERA""
),
OR(
UPPER(TRIM"&amp;"(rTipo))=""SOLO EMISOR"",
AND(
UPPER(TRIM(rTipo))=""EXACTA"",
UPPER(TRIM(AG160))=UPPER(TRIM(rPatron))
),
AND(
OR(
UPPER(TRIM(rTipo))=""CONTIENE"",
UPPER(TRIM(rTipo))=""COINCIDENCIA""
),
ISNUMBER(SEARCH(UPPER(TRIM(rPatron)),UPPER(TRIM(D160))))
)
)
),
rConc"&amp;"epto,
""""
)
)
),
MAP(
reglas!$B$2:$B$240,
reglas!$C$2:$C$240,
reglas!$D$2:$D$240,
reglas!$E$2:$E$240,
LAMBDA(rEmisor,rPatron,rConcepto,rTipo,
IF(
AND(
OR(
UPPER(TRIM(rEmisor))=UPPER(TRIM(C160)),
UPPER(TRIM(rEmisor))=""CUALQUIERA""
),
OR(
UPPER(TRIM(rTipo"&amp;"))=""SOLO EMISOR"",
AND(
UPPER(TRIM(rTipo))=""EXACTA"",
UPPER(TRIM(D160))=UPPER(TRIM(rPatron))
),
AND(
OR(
UPPER(TRIM(rTipo))=""CONTIENE"",
UPPER(TRIM(rTipo))=""COINCIDENCIA""
),
ISNUMBER(SEARCH(UPPER(TRIM(rPatron)),UPPER(TRIM(D160))))
)
)
),
rConcepto,
"&amp;"""""
)
)
)&lt;&gt;""""
),
1
),
""""
)"),"MANIOBRAS")</f>
        <v>MANIOBRAS</v>
      </c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</row>
    <row r="161">
      <c r="A161" s="28">
        <v>1.0</v>
      </c>
      <c r="B161" s="28" t="s">
        <v>29</v>
      </c>
      <c r="C161" s="29" t="s">
        <v>251</v>
      </c>
      <c r="D161" s="29" t="s">
        <v>1029</v>
      </c>
      <c r="E161" s="28">
        <v>368.0</v>
      </c>
      <c r="F161" s="28">
        <v>0.0</v>
      </c>
      <c r="G161" s="28" t="s">
        <v>40</v>
      </c>
      <c r="H161" s="28">
        <f t="array" ref="H161">INDEX(CC!C:C,MATCH(1,(CC!A:A=G161)*(CC!B:B=I161),0))</f>
        <v>602</v>
      </c>
      <c r="I161" s="28" t="s">
        <v>25</v>
      </c>
      <c r="J161" s="31">
        <v>368.0</v>
      </c>
      <c r="K161" s="28" t="str">
        <f>IFERROR(__xludf.DUMMYFUNCTION("IFERROR(
INDEX(
FILTER(
MAP(
reglas!$B$2:$B$240,
reglas!$C$2:$C$240,
reglas!$D$2:$D$240,
reglas!$E$2:$E$240,
LAMBDA(rEmisor,rPatron,rConcepto,rTipo,
IF(
AND(
OR(
UPPER(TRIM(rEmisor))=UPPER(TRIM(C161)),
UPPER(TRIM(rEmisor))=""CUALQUIERA""
),
OR(
UPPER(TRIM"&amp;"(rTipo))=""SOLO EMISOR"",
AND(
UPPER(TRIM(rTipo))=""EXACTA"",
UPPER(TRIM(AG161))=UPPER(TRIM(rPatron))
),
AND(
OR(
UPPER(TRIM(rTipo))=""CONTIENE"",
UPPER(TRIM(rTipo))=""COINCIDENCIA""
),
ISNUMBER(SEARCH(UPPER(TRIM(rPatron)),UPPER(TRIM(D161))))
)
)
),
rConc"&amp;"epto,
""""
)
)
),
MAP(
reglas!$B$2:$B$240,
reglas!$C$2:$C$240,
reglas!$D$2:$D$240,
reglas!$E$2:$E$240,
LAMBDA(rEmisor,rPatron,rConcepto,rTipo,
IF(
AND(
OR(
UPPER(TRIM(rEmisor))=UPPER(TRIM(C161)),
UPPER(TRIM(rEmisor))=""CUALQUIERA""
),
OR(
UPPER(TRIM(rTipo"&amp;"))=""SOLO EMISOR"",
AND(
UPPER(TRIM(rTipo))=""EXACTA"",
UPPER(TRIM(D161))=UPPER(TRIM(rPatron))
),
AND(
OR(
UPPER(TRIM(rTipo))=""CONTIENE"",
UPPER(TRIM(rTipo))=""COINCIDENCIA""
),
ISNUMBER(SEARCH(UPPER(TRIM(rPatron)),UPPER(TRIM(D161))))
)
)
),
rConcepto,
"&amp;"""""
)
)
)&lt;&gt;""""
),
1
),
""""
)"),"VIGILANCIA - MONITOREO")</f>
        <v>VIGILANCIA - MONITOREO</v>
      </c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</row>
    <row r="162">
      <c r="A162" s="32"/>
      <c r="B162" s="32"/>
      <c r="C162" s="29" t="s">
        <v>251</v>
      </c>
      <c r="D162" s="29" t="s">
        <v>1029</v>
      </c>
      <c r="E162" s="28">
        <v>368.0</v>
      </c>
      <c r="F162" s="28">
        <v>0.0</v>
      </c>
      <c r="G162" s="28" t="s">
        <v>40</v>
      </c>
      <c r="H162" s="28">
        <f t="array" ref="H162">INDEX(CC!C:C,MATCH(1,(CC!A:A=G162)*(CC!B:B=I162),0))</f>
        <v>602</v>
      </c>
      <c r="I162" s="28" t="s">
        <v>25</v>
      </c>
      <c r="J162" s="31">
        <v>368.0</v>
      </c>
      <c r="K162" s="28" t="str">
        <f>IFERROR(__xludf.DUMMYFUNCTION("IFERROR(
INDEX(
FILTER(
MAP(
reglas!$B$2:$B$240,
reglas!$C$2:$C$240,
reglas!$D$2:$D$240,
reglas!$E$2:$E$240,
LAMBDA(rEmisor,rPatron,rConcepto,rTipo,
IF(
AND(
OR(
UPPER(TRIM(rEmisor))=UPPER(TRIM(C162)),
UPPER(TRIM(rEmisor))=""CUALQUIERA""
),
OR(
UPPER(TRIM"&amp;"(rTipo))=""SOLO EMISOR"",
AND(
UPPER(TRIM(rTipo))=""EXACTA"",
UPPER(TRIM(AG162))=UPPER(TRIM(rPatron))
),
AND(
OR(
UPPER(TRIM(rTipo))=""CONTIENE"",
UPPER(TRIM(rTipo))=""COINCIDENCIA""
),
ISNUMBER(SEARCH(UPPER(TRIM(rPatron)),UPPER(TRIM(D162))))
)
)
),
rConc"&amp;"epto,
""""
)
)
),
MAP(
reglas!$B$2:$B$240,
reglas!$C$2:$C$240,
reglas!$D$2:$D$240,
reglas!$E$2:$E$240,
LAMBDA(rEmisor,rPatron,rConcepto,rTipo,
IF(
AND(
OR(
UPPER(TRIM(rEmisor))=UPPER(TRIM(C162)),
UPPER(TRIM(rEmisor))=""CUALQUIERA""
),
OR(
UPPER(TRIM(rTipo"&amp;"))=""SOLO EMISOR"",
AND(
UPPER(TRIM(rTipo))=""EXACTA"",
UPPER(TRIM(D162))=UPPER(TRIM(rPatron))
),
AND(
OR(
UPPER(TRIM(rTipo))=""CONTIENE"",
UPPER(TRIM(rTipo))=""COINCIDENCIA""
),
ISNUMBER(SEARCH(UPPER(TRIM(rPatron)),UPPER(TRIM(D162))))
)
)
),
rConcepto,
"&amp;"""""
)
)
)&lt;&gt;""""
),
1
),
""""
)"),"VIGILANCIA - MONITOREO")</f>
        <v>VIGILANCIA - MONITOREO</v>
      </c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</row>
    <row r="163">
      <c r="A163" s="32"/>
      <c r="B163" s="32"/>
      <c r="C163" s="29" t="s">
        <v>251</v>
      </c>
      <c r="D163" s="29" t="s">
        <v>1029</v>
      </c>
      <c r="E163" s="28">
        <v>368.0</v>
      </c>
      <c r="F163" s="28">
        <v>0.0</v>
      </c>
      <c r="G163" s="28" t="s">
        <v>385</v>
      </c>
      <c r="H163" s="28">
        <f t="array" ref="H163">INDEX(CC!C:C,MATCH(1,(CC!A:A=G163)*(CC!B:B=I163),0))</f>
        <v>502</v>
      </c>
      <c r="I163" s="28" t="s">
        <v>25</v>
      </c>
      <c r="J163" s="31">
        <v>368.0</v>
      </c>
      <c r="K163" s="28" t="str">
        <f>IFERROR(__xludf.DUMMYFUNCTION("IFERROR(
INDEX(
FILTER(
MAP(
reglas!$B$2:$B$240,
reglas!$C$2:$C$240,
reglas!$D$2:$D$240,
reglas!$E$2:$E$240,
LAMBDA(rEmisor,rPatron,rConcepto,rTipo,
IF(
AND(
OR(
UPPER(TRIM(rEmisor))=UPPER(TRIM(C163)),
UPPER(TRIM(rEmisor))=""CUALQUIERA""
),
OR(
UPPER(TRIM"&amp;"(rTipo))=""SOLO EMISOR"",
AND(
UPPER(TRIM(rTipo))=""EXACTA"",
UPPER(TRIM(AG163))=UPPER(TRIM(rPatron))
),
AND(
OR(
UPPER(TRIM(rTipo))=""CONTIENE"",
UPPER(TRIM(rTipo))=""COINCIDENCIA""
),
ISNUMBER(SEARCH(UPPER(TRIM(rPatron)),UPPER(TRIM(D163))))
)
)
),
rConc"&amp;"epto,
""""
)
)
),
MAP(
reglas!$B$2:$B$240,
reglas!$C$2:$C$240,
reglas!$D$2:$D$240,
reglas!$E$2:$E$240,
LAMBDA(rEmisor,rPatron,rConcepto,rTipo,
IF(
AND(
OR(
UPPER(TRIM(rEmisor))=UPPER(TRIM(C163)),
UPPER(TRIM(rEmisor))=""CUALQUIERA""
),
OR(
UPPER(TRIM(rTipo"&amp;"))=""SOLO EMISOR"",
AND(
UPPER(TRIM(rTipo))=""EXACTA"",
UPPER(TRIM(D163))=UPPER(TRIM(rPatron))
),
AND(
OR(
UPPER(TRIM(rTipo))=""CONTIENE"",
UPPER(TRIM(rTipo))=""COINCIDENCIA""
),
ISNUMBER(SEARCH(UPPER(TRIM(rPatron)),UPPER(TRIM(D163))))
)
)
),
rConcepto,
"&amp;"""""
)
)
)&lt;&gt;""""
),
1
),
""""
)"),"VIGILANCIA - MONITOREO")</f>
        <v>VIGILANCIA - MONITOREO</v>
      </c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</row>
    <row r="164">
      <c r="A164" s="32"/>
      <c r="B164" s="32"/>
      <c r="C164" s="29" t="s">
        <v>251</v>
      </c>
      <c r="D164" s="29" t="s">
        <v>1029</v>
      </c>
      <c r="E164" s="28">
        <v>368.0</v>
      </c>
      <c r="F164" s="28">
        <v>0.0</v>
      </c>
      <c r="G164" s="28" t="s">
        <v>581</v>
      </c>
      <c r="H164" s="28">
        <f t="array" ref="H164">INDEX(CC!C:C,MATCH(1,(CC!A:A=G164)*(CC!B:B=I164),0))</f>
        <v>202</v>
      </c>
      <c r="I164" s="28" t="s">
        <v>25</v>
      </c>
      <c r="J164" s="31">
        <v>368.0</v>
      </c>
      <c r="K164" s="28" t="str">
        <f>IFERROR(__xludf.DUMMYFUNCTION("IFERROR(
INDEX(
FILTER(
MAP(
reglas!$B$2:$B$240,
reglas!$C$2:$C$240,
reglas!$D$2:$D$240,
reglas!$E$2:$E$240,
LAMBDA(rEmisor,rPatron,rConcepto,rTipo,
IF(
AND(
OR(
UPPER(TRIM(rEmisor))=UPPER(TRIM(C164)),
UPPER(TRIM(rEmisor))=""CUALQUIERA""
),
OR(
UPPER(TRIM"&amp;"(rTipo))=""SOLO EMISOR"",
AND(
UPPER(TRIM(rTipo))=""EXACTA"",
UPPER(TRIM(AG164))=UPPER(TRIM(rPatron))
),
AND(
OR(
UPPER(TRIM(rTipo))=""CONTIENE"",
UPPER(TRIM(rTipo))=""COINCIDENCIA""
),
ISNUMBER(SEARCH(UPPER(TRIM(rPatron)),UPPER(TRIM(D164))))
)
)
),
rConc"&amp;"epto,
""""
)
)
),
MAP(
reglas!$B$2:$B$240,
reglas!$C$2:$C$240,
reglas!$D$2:$D$240,
reglas!$E$2:$E$240,
LAMBDA(rEmisor,rPatron,rConcepto,rTipo,
IF(
AND(
OR(
UPPER(TRIM(rEmisor))=UPPER(TRIM(C164)),
UPPER(TRIM(rEmisor))=""CUALQUIERA""
),
OR(
UPPER(TRIM(rTipo"&amp;"))=""SOLO EMISOR"",
AND(
UPPER(TRIM(rTipo))=""EXACTA"",
UPPER(TRIM(D164))=UPPER(TRIM(rPatron))
),
AND(
OR(
UPPER(TRIM(rTipo))=""CONTIENE"",
UPPER(TRIM(rTipo))=""COINCIDENCIA""
),
ISNUMBER(SEARCH(UPPER(TRIM(rPatron)),UPPER(TRIM(D164))))
)
)
),
rConcepto,
"&amp;"""""
)
)
)&lt;&gt;""""
),
1
),
""""
)"),"VIGILANCIA - MONITOREO")</f>
        <v>VIGILANCIA - MONITOREO</v>
      </c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</row>
    <row r="165">
      <c r="A165" s="32"/>
      <c r="B165" s="32"/>
      <c r="C165" s="29" t="s">
        <v>251</v>
      </c>
      <c r="D165" s="29" t="s">
        <v>1029</v>
      </c>
      <c r="E165" s="28">
        <v>368.0</v>
      </c>
      <c r="F165" s="28">
        <v>0.0</v>
      </c>
      <c r="G165" s="28" t="s">
        <v>581</v>
      </c>
      <c r="H165" s="28">
        <f t="array" ref="H165">INDEX(CC!C:C,MATCH(1,(CC!A:A=G165)*(CC!B:B=I165),0))</f>
        <v>202</v>
      </c>
      <c r="I165" s="28" t="s">
        <v>25</v>
      </c>
      <c r="J165" s="31">
        <v>368.0</v>
      </c>
      <c r="K165" s="28" t="str">
        <f>IFERROR(__xludf.DUMMYFUNCTION("IFERROR(
INDEX(
FILTER(
MAP(
reglas!$B$2:$B$240,
reglas!$C$2:$C$240,
reglas!$D$2:$D$240,
reglas!$E$2:$E$240,
LAMBDA(rEmisor,rPatron,rConcepto,rTipo,
IF(
AND(
OR(
UPPER(TRIM(rEmisor))=UPPER(TRIM(C165)),
UPPER(TRIM(rEmisor))=""CUALQUIERA""
),
OR(
UPPER(TRIM"&amp;"(rTipo))=""SOLO EMISOR"",
AND(
UPPER(TRIM(rTipo))=""EXACTA"",
UPPER(TRIM(AG165))=UPPER(TRIM(rPatron))
),
AND(
OR(
UPPER(TRIM(rTipo))=""CONTIENE"",
UPPER(TRIM(rTipo))=""COINCIDENCIA""
),
ISNUMBER(SEARCH(UPPER(TRIM(rPatron)),UPPER(TRIM(D165))))
)
)
),
rConc"&amp;"epto,
""""
)
)
),
MAP(
reglas!$B$2:$B$240,
reglas!$C$2:$C$240,
reglas!$D$2:$D$240,
reglas!$E$2:$E$240,
LAMBDA(rEmisor,rPatron,rConcepto,rTipo,
IF(
AND(
OR(
UPPER(TRIM(rEmisor))=UPPER(TRIM(C165)),
UPPER(TRIM(rEmisor))=""CUALQUIERA""
),
OR(
UPPER(TRIM(rTipo"&amp;"))=""SOLO EMISOR"",
AND(
UPPER(TRIM(rTipo))=""EXACTA"",
UPPER(TRIM(D165))=UPPER(TRIM(rPatron))
),
AND(
OR(
UPPER(TRIM(rTipo))=""CONTIENE"",
UPPER(TRIM(rTipo))=""COINCIDENCIA""
),
ISNUMBER(SEARCH(UPPER(TRIM(rPatron)),UPPER(TRIM(D165))))
)
)
),
rConcepto,
"&amp;"""""
)
)
)&lt;&gt;""""
),
1
),
""""
)"),"VIGILANCIA - MONITOREO")</f>
        <v>VIGILANCIA - MONITOREO</v>
      </c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</row>
    <row r="166">
      <c r="A166" s="32"/>
      <c r="B166" s="32"/>
      <c r="C166" s="29" t="s">
        <v>251</v>
      </c>
      <c r="D166" s="29" t="s">
        <v>1029</v>
      </c>
      <c r="E166" s="28">
        <v>368.0</v>
      </c>
      <c r="F166" s="28">
        <v>0.0</v>
      </c>
      <c r="G166" s="28" t="s">
        <v>581</v>
      </c>
      <c r="H166" s="28">
        <f t="array" ref="H166">INDEX(CC!C:C,MATCH(1,(CC!A:A=G166)*(CC!B:B=I166),0))</f>
        <v>202</v>
      </c>
      <c r="I166" s="28" t="s">
        <v>25</v>
      </c>
      <c r="J166" s="31">
        <v>368.0</v>
      </c>
      <c r="K166" s="28" t="str">
        <f>IFERROR(__xludf.DUMMYFUNCTION("IFERROR(
INDEX(
FILTER(
MAP(
reglas!$B$2:$B$240,
reglas!$C$2:$C$240,
reglas!$D$2:$D$240,
reglas!$E$2:$E$240,
LAMBDA(rEmisor,rPatron,rConcepto,rTipo,
IF(
AND(
OR(
UPPER(TRIM(rEmisor))=UPPER(TRIM(C166)),
UPPER(TRIM(rEmisor))=""CUALQUIERA""
),
OR(
UPPER(TRIM"&amp;"(rTipo))=""SOLO EMISOR"",
AND(
UPPER(TRIM(rTipo))=""EXACTA"",
UPPER(TRIM(AG166))=UPPER(TRIM(rPatron))
),
AND(
OR(
UPPER(TRIM(rTipo))=""CONTIENE"",
UPPER(TRIM(rTipo))=""COINCIDENCIA""
),
ISNUMBER(SEARCH(UPPER(TRIM(rPatron)),UPPER(TRIM(D166))))
)
)
),
rConc"&amp;"epto,
""""
)
)
),
MAP(
reglas!$B$2:$B$240,
reglas!$C$2:$C$240,
reglas!$D$2:$D$240,
reglas!$E$2:$E$240,
LAMBDA(rEmisor,rPatron,rConcepto,rTipo,
IF(
AND(
OR(
UPPER(TRIM(rEmisor))=UPPER(TRIM(C166)),
UPPER(TRIM(rEmisor))=""CUALQUIERA""
),
OR(
UPPER(TRIM(rTipo"&amp;"))=""SOLO EMISOR"",
AND(
UPPER(TRIM(rTipo))=""EXACTA"",
UPPER(TRIM(D166))=UPPER(TRIM(rPatron))
),
AND(
OR(
UPPER(TRIM(rTipo))=""CONTIENE"",
UPPER(TRIM(rTipo))=""COINCIDENCIA""
),
ISNUMBER(SEARCH(UPPER(TRIM(rPatron)),UPPER(TRIM(D166))))
)
)
),
rConcepto,
"&amp;"""""
)
)
)&lt;&gt;""""
),
1
),
""""
)"),"VIGILANCIA - MONITOREO")</f>
        <v>VIGILANCIA - MONITOREO</v>
      </c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</row>
    <row r="167">
      <c r="A167" s="32"/>
      <c r="B167" s="32"/>
      <c r="C167" s="29" t="s">
        <v>251</v>
      </c>
      <c r="D167" s="29" t="s">
        <v>1029</v>
      </c>
      <c r="E167" s="28">
        <v>368.0</v>
      </c>
      <c r="F167" s="28">
        <v>0.0</v>
      </c>
      <c r="G167" s="28" t="s">
        <v>1032</v>
      </c>
      <c r="H167" s="28">
        <f t="array" ref="H167">INDEX(CC!C:C,MATCH(1,(CC!A:A=G167)*(CC!B:B=I167),0))</f>
        <v>302</v>
      </c>
      <c r="I167" s="28" t="s">
        <v>25</v>
      </c>
      <c r="J167" s="31">
        <v>368.0</v>
      </c>
      <c r="K167" s="28" t="str">
        <f>IFERROR(__xludf.DUMMYFUNCTION("IFERROR(
INDEX(
FILTER(
MAP(
reglas!$B$2:$B$240,
reglas!$C$2:$C$240,
reglas!$D$2:$D$240,
reglas!$E$2:$E$240,
LAMBDA(rEmisor,rPatron,rConcepto,rTipo,
IF(
AND(
OR(
UPPER(TRIM(rEmisor))=UPPER(TRIM(C167)),
UPPER(TRIM(rEmisor))=""CUALQUIERA""
),
OR(
UPPER(TRIM"&amp;"(rTipo))=""SOLO EMISOR"",
AND(
UPPER(TRIM(rTipo))=""EXACTA"",
UPPER(TRIM(AG167))=UPPER(TRIM(rPatron))
),
AND(
OR(
UPPER(TRIM(rTipo))=""CONTIENE"",
UPPER(TRIM(rTipo))=""COINCIDENCIA""
),
ISNUMBER(SEARCH(UPPER(TRIM(rPatron)),UPPER(TRIM(D167))))
)
)
),
rConc"&amp;"epto,
""""
)
)
),
MAP(
reglas!$B$2:$B$240,
reglas!$C$2:$C$240,
reglas!$D$2:$D$240,
reglas!$E$2:$E$240,
LAMBDA(rEmisor,rPatron,rConcepto,rTipo,
IF(
AND(
OR(
UPPER(TRIM(rEmisor))=UPPER(TRIM(C167)),
UPPER(TRIM(rEmisor))=""CUALQUIERA""
),
OR(
UPPER(TRIM(rTipo"&amp;"))=""SOLO EMISOR"",
AND(
UPPER(TRIM(rTipo))=""EXACTA"",
UPPER(TRIM(D167))=UPPER(TRIM(rPatron))
),
AND(
OR(
UPPER(TRIM(rTipo))=""CONTIENE"",
UPPER(TRIM(rTipo))=""COINCIDENCIA""
),
ISNUMBER(SEARCH(UPPER(TRIM(rPatron)),UPPER(TRIM(D167))))
)
)
),
rConcepto,
"&amp;"""""
)
)
)&lt;&gt;""""
),
1
),
""""
)"),"VIGILANCIA - MONITOREO")</f>
        <v>VIGILANCIA - MONITOREO</v>
      </c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</row>
    <row r="168">
      <c r="A168" s="32"/>
      <c r="B168" s="32"/>
      <c r="C168" s="29" t="s">
        <v>251</v>
      </c>
      <c r="D168" s="29" t="s">
        <v>1029</v>
      </c>
      <c r="E168" s="28">
        <v>368.0</v>
      </c>
      <c r="F168" s="28">
        <v>0.0</v>
      </c>
      <c r="G168" s="28" t="s">
        <v>1032</v>
      </c>
      <c r="H168" s="28">
        <f t="array" ref="H168">INDEX(CC!C:C,MATCH(1,(CC!A:A=G168)*(CC!B:B=I168),0))</f>
        <v>302</v>
      </c>
      <c r="I168" s="28" t="s">
        <v>25</v>
      </c>
      <c r="J168" s="31">
        <v>368.0</v>
      </c>
      <c r="K168" s="28" t="str">
        <f>IFERROR(__xludf.DUMMYFUNCTION("IFERROR(
INDEX(
FILTER(
MAP(
reglas!$B$2:$B$240,
reglas!$C$2:$C$240,
reglas!$D$2:$D$240,
reglas!$E$2:$E$240,
LAMBDA(rEmisor,rPatron,rConcepto,rTipo,
IF(
AND(
OR(
UPPER(TRIM(rEmisor))=UPPER(TRIM(C168)),
UPPER(TRIM(rEmisor))=""CUALQUIERA""
),
OR(
UPPER(TRIM"&amp;"(rTipo))=""SOLO EMISOR"",
AND(
UPPER(TRIM(rTipo))=""EXACTA"",
UPPER(TRIM(AG168))=UPPER(TRIM(rPatron))
),
AND(
OR(
UPPER(TRIM(rTipo))=""CONTIENE"",
UPPER(TRIM(rTipo))=""COINCIDENCIA""
),
ISNUMBER(SEARCH(UPPER(TRIM(rPatron)),UPPER(TRIM(D168))))
)
)
),
rConc"&amp;"epto,
""""
)
)
),
MAP(
reglas!$B$2:$B$240,
reglas!$C$2:$C$240,
reglas!$D$2:$D$240,
reglas!$E$2:$E$240,
LAMBDA(rEmisor,rPatron,rConcepto,rTipo,
IF(
AND(
OR(
UPPER(TRIM(rEmisor))=UPPER(TRIM(C168)),
UPPER(TRIM(rEmisor))=""CUALQUIERA""
),
OR(
UPPER(TRIM(rTipo"&amp;"))=""SOLO EMISOR"",
AND(
UPPER(TRIM(rTipo))=""EXACTA"",
UPPER(TRIM(D168))=UPPER(TRIM(rPatron))
),
AND(
OR(
UPPER(TRIM(rTipo))=""CONTIENE"",
UPPER(TRIM(rTipo))=""COINCIDENCIA""
),
ISNUMBER(SEARCH(UPPER(TRIM(rPatron)),UPPER(TRIM(D168))))
)
)
),
rConcepto,
"&amp;"""""
)
)
)&lt;&gt;""""
),
1
),
""""
)"),"VIGILANCIA - MONITOREO")</f>
        <v>VIGILANCIA - MONITOREO</v>
      </c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</row>
    <row r="169">
      <c r="A169" s="32"/>
      <c r="B169" s="32"/>
      <c r="C169" s="29" t="s">
        <v>251</v>
      </c>
      <c r="D169" s="29" t="s">
        <v>1029</v>
      </c>
      <c r="E169" s="28">
        <v>368.0</v>
      </c>
      <c r="F169" s="28">
        <v>0.0</v>
      </c>
      <c r="G169" s="28" t="s">
        <v>1032</v>
      </c>
      <c r="H169" s="28">
        <f t="array" ref="H169">INDEX(CC!C:C,MATCH(1,(CC!A:A=G169)*(CC!B:B=I169),0))</f>
        <v>302</v>
      </c>
      <c r="I169" s="28" t="s">
        <v>25</v>
      </c>
      <c r="J169" s="31">
        <v>368.0</v>
      </c>
      <c r="K169" s="28" t="str">
        <f>IFERROR(__xludf.DUMMYFUNCTION("IFERROR(
INDEX(
FILTER(
MAP(
reglas!$B$2:$B$240,
reglas!$C$2:$C$240,
reglas!$D$2:$D$240,
reglas!$E$2:$E$240,
LAMBDA(rEmisor,rPatron,rConcepto,rTipo,
IF(
AND(
OR(
UPPER(TRIM(rEmisor))=UPPER(TRIM(C169)),
UPPER(TRIM(rEmisor))=""CUALQUIERA""
),
OR(
UPPER(TRIM"&amp;"(rTipo))=""SOLO EMISOR"",
AND(
UPPER(TRIM(rTipo))=""EXACTA"",
UPPER(TRIM(AG169))=UPPER(TRIM(rPatron))
),
AND(
OR(
UPPER(TRIM(rTipo))=""CONTIENE"",
UPPER(TRIM(rTipo))=""COINCIDENCIA""
),
ISNUMBER(SEARCH(UPPER(TRIM(rPatron)),UPPER(TRIM(D169))))
)
)
),
rConc"&amp;"epto,
""""
)
)
),
MAP(
reglas!$B$2:$B$240,
reglas!$C$2:$C$240,
reglas!$D$2:$D$240,
reglas!$E$2:$E$240,
LAMBDA(rEmisor,rPatron,rConcepto,rTipo,
IF(
AND(
OR(
UPPER(TRIM(rEmisor))=UPPER(TRIM(C169)),
UPPER(TRIM(rEmisor))=""CUALQUIERA""
),
OR(
UPPER(TRIM(rTipo"&amp;"))=""SOLO EMISOR"",
AND(
UPPER(TRIM(rTipo))=""EXACTA"",
UPPER(TRIM(D169))=UPPER(TRIM(rPatron))
),
AND(
OR(
UPPER(TRIM(rTipo))=""CONTIENE"",
UPPER(TRIM(rTipo))=""COINCIDENCIA""
),
ISNUMBER(SEARCH(UPPER(TRIM(rPatron)),UPPER(TRIM(D169))))
)
)
),
rConcepto,
"&amp;"""""
)
)
)&lt;&gt;""""
),
1
),
""""
)"),"VIGILANCIA - MONITOREO")</f>
        <v>VIGILANCIA - MONITOREO</v>
      </c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</row>
    <row r="170">
      <c r="A170" s="32"/>
      <c r="B170" s="28" t="s">
        <v>29</v>
      </c>
      <c r="C170" s="29" t="s">
        <v>1034</v>
      </c>
      <c r="D170" s="29" t="s">
        <v>1035</v>
      </c>
      <c r="E170" s="30">
        <v>367610.0</v>
      </c>
      <c r="F170" s="28">
        <v>0.0</v>
      </c>
      <c r="G170" s="28" t="s">
        <v>225</v>
      </c>
      <c r="H170" s="28">
        <f t="array" ref="H170">INDEX(CC!C:C,MATCH(1,(CC!A:A=G170)*(CC!B:B=I170),0))</f>
        <v>102</v>
      </c>
      <c r="I170" s="28" t="s">
        <v>25</v>
      </c>
      <c r="J170" s="33"/>
      <c r="K170" s="28" t="str">
        <f>IFERROR(__xludf.DUMMYFUNCTION("IFERROR(
INDEX(
FILTER(
MAP(
reglas!$B$2:$B$240,
reglas!$C$2:$C$240,
reglas!$D$2:$D$240,
reglas!$E$2:$E$240,
LAMBDA(rEmisor,rPatron,rConcepto,rTipo,
IF(
AND(
OR(
UPPER(TRIM(rEmisor))=UPPER(TRIM(C170)),
UPPER(TRIM(rEmisor))=""CUALQUIERA""
),
OR(
UPPER(TRIM"&amp;"(rTipo))=""SOLO EMISOR"",
AND(
UPPER(TRIM(rTipo))=""EXACTA"",
UPPER(TRIM(AG170))=UPPER(TRIM(rPatron))
),
AND(
OR(
UPPER(TRIM(rTipo))=""CONTIENE"",
UPPER(TRIM(rTipo))=""COINCIDENCIA""
),
ISNUMBER(SEARCH(UPPER(TRIM(rPatron)),UPPER(TRIM(D170))))
)
)
),
rConc"&amp;"epto,
""""
)
)
),
MAP(
reglas!$B$2:$B$240,
reglas!$C$2:$C$240,
reglas!$D$2:$D$240,
reglas!$E$2:$E$240,
LAMBDA(rEmisor,rPatron,rConcepto,rTipo,
IF(
AND(
OR(
UPPER(TRIM(rEmisor))=UPPER(TRIM(C170)),
UPPER(TRIM(rEmisor))=""CUALQUIERA""
),
OR(
UPPER(TRIM(rTipo"&amp;"))=""SOLO EMISOR"",
AND(
UPPER(TRIM(rTipo))=""EXACTA"",
UPPER(TRIM(D170))=UPPER(TRIM(rPatron))
),
AND(
OR(
UPPER(TRIM(rTipo))=""CONTIENE"",
UPPER(TRIM(rTipo))=""COINCIDENCIA""
),
ISNUMBER(SEARCH(UPPER(TRIM(rPatron)),UPPER(TRIM(D170))))
)
)
),
rConcepto,
"&amp;"""""
)
)
)&lt;&gt;""""
),
1
),
""""
)"),"")</f>
        <v/>
      </c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</row>
    <row r="171">
      <c r="A171" s="32"/>
      <c r="B171" s="28" t="s">
        <v>29</v>
      </c>
      <c r="C171" s="29" t="s">
        <v>163</v>
      </c>
      <c r="D171" s="29" t="s">
        <v>340</v>
      </c>
      <c r="E171" s="30">
        <v>1385.43</v>
      </c>
      <c r="F171" s="28">
        <v>0.0</v>
      </c>
      <c r="G171" s="28" t="s">
        <v>55</v>
      </c>
      <c r="H171" s="28">
        <f t="array" ref="H171">INDEX(CC!C:C,MATCH(1,(CC!A:A=G171)*(CC!B:B=I171),0))</f>
        <v>902</v>
      </c>
      <c r="I171" s="28" t="s">
        <v>25</v>
      </c>
      <c r="J171" s="31">
        <v>1385.43</v>
      </c>
      <c r="K171" s="28" t="str">
        <f>IFERROR(__xludf.DUMMYFUNCTION("IFERROR(
INDEX(
FILTER(
MAP(
reglas!$B$2:$B$240,
reglas!$C$2:$C$240,
reglas!$D$2:$D$240,
reglas!$E$2:$E$240,
LAMBDA(rEmisor,rPatron,rConcepto,rTipo,
IF(
AND(
OR(
UPPER(TRIM(rEmisor))=UPPER(TRIM(C171)),
UPPER(TRIM(rEmisor))=""CUALQUIERA""
),
OR(
UPPER(TRIM"&amp;"(rTipo))=""SOLO EMISOR"",
AND(
UPPER(TRIM(rTipo))=""EXACTA"",
UPPER(TRIM(AG171))=UPPER(TRIM(rPatron))
),
AND(
OR(
UPPER(TRIM(rTipo))=""CONTIENE"",
UPPER(TRIM(rTipo))=""COINCIDENCIA""
),
ISNUMBER(SEARCH(UPPER(TRIM(rPatron)),UPPER(TRIM(D171))))
)
)
),
rConc"&amp;"epto,
""""
)
)
),
MAP(
reglas!$B$2:$B$240,
reglas!$C$2:$C$240,
reglas!$D$2:$D$240,
reglas!$E$2:$E$240,
LAMBDA(rEmisor,rPatron,rConcepto,rTipo,
IF(
AND(
OR(
UPPER(TRIM(rEmisor))=UPPER(TRIM(C171)),
UPPER(TRIM(rEmisor))=""CUALQUIERA""
),
OR(
UPPER(TRIM(rTipo"&amp;"))=""SOLO EMISOR"",
AND(
UPPER(TRIM(rTipo))=""EXACTA"",
UPPER(TRIM(D171))=UPPER(TRIM(rPatron))
),
AND(
OR(
UPPER(TRIM(rTipo))=""CONTIENE"",
UPPER(TRIM(rTipo))=""COINCIDENCIA""
),
ISNUMBER(SEARCH(UPPER(TRIM(rPatron)),UPPER(TRIM(D171))))
)
)
),
rConcepto,
"&amp;"""""
)
)
)&lt;&gt;""""
),
1
),
""""
)"),"ARRENDAMIENTO")</f>
        <v>ARRENDAMIENTO</v>
      </c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</row>
    <row r="172">
      <c r="A172" s="32"/>
      <c r="B172" s="28" t="s">
        <v>29</v>
      </c>
      <c r="C172" s="29" t="s">
        <v>326</v>
      </c>
      <c r="D172" s="29" t="s">
        <v>1036</v>
      </c>
      <c r="E172" s="30">
        <v>33554.64</v>
      </c>
      <c r="F172" s="28">
        <v>0.0</v>
      </c>
      <c r="G172" s="28" t="s">
        <v>225</v>
      </c>
      <c r="H172" s="28">
        <f t="array" ref="H172">INDEX(CC!C:C,MATCH(1,(CC!A:A=G172)*(CC!B:B=I172),0))</f>
        <v>102</v>
      </c>
      <c r="I172" s="28" t="s">
        <v>25</v>
      </c>
      <c r="J172" s="31">
        <v>33554.64</v>
      </c>
      <c r="K172" s="28" t="str">
        <f>IFERROR(__xludf.DUMMYFUNCTION("IFERROR(
INDEX(
FILTER(
MAP(
reglas!$B$2:$B$240,
reglas!$C$2:$C$240,
reglas!$D$2:$D$240,
reglas!$E$2:$E$240,
LAMBDA(rEmisor,rPatron,rConcepto,rTipo,
IF(
AND(
OR(
UPPER(TRIM(rEmisor))=UPPER(TRIM(C172)),
UPPER(TRIM(rEmisor))=""CUALQUIERA""
),
OR(
UPPER(TRIM"&amp;"(rTipo))=""SOLO EMISOR"",
AND(
UPPER(TRIM(rTipo))=""EXACTA"",
UPPER(TRIM(AG172))=UPPER(TRIM(rPatron))
),
AND(
OR(
UPPER(TRIM(rTipo))=""CONTIENE"",
UPPER(TRIM(rTipo))=""COINCIDENCIA""
),
ISNUMBER(SEARCH(UPPER(TRIM(rPatron)),UPPER(TRIM(D172))))
)
)
),
rConc"&amp;"epto,
""""
)
)
),
MAP(
reglas!$B$2:$B$240,
reglas!$C$2:$C$240,
reglas!$D$2:$D$240,
reglas!$E$2:$E$240,
LAMBDA(rEmisor,rPatron,rConcepto,rTipo,
IF(
AND(
OR(
UPPER(TRIM(rEmisor))=UPPER(TRIM(C172)),
UPPER(TRIM(rEmisor))=""CUALQUIERA""
),
OR(
UPPER(TRIM(rTipo"&amp;"))=""SOLO EMISOR"",
AND(
UPPER(TRIM(rTipo))=""EXACTA"",
UPPER(TRIM(D172))=UPPER(TRIM(rPatron))
),
AND(
OR(
UPPER(TRIM(rTipo))=""CONTIENE"",
UPPER(TRIM(rTipo))=""COINCIDENCIA""
),
ISNUMBER(SEARCH(UPPER(TRIM(rPatron)),UPPER(TRIM(D172))))
)
)
),
rConcepto,
"&amp;"""""
)
)
)&lt;&gt;""""
),
1
),
""""
)"),"CLASIFICADOR DE FRACCIONES ARANCELARIAS")</f>
        <v>CLASIFICADOR DE FRACCIONES ARANCELARIAS</v>
      </c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</row>
    <row r="173">
      <c r="A173" s="32"/>
      <c r="B173" s="28" t="s">
        <v>29</v>
      </c>
      <c r="C173" s="29" t="s">
        <v>276</v>
      </c>
      <c r="D173" s="29" t="s">
        <v>73</v>
      </c>
      <c r="E173" s="30">
        <v>3071.0</v>
      </c>
      <c r="F173" s="28">
        <v>0.0</v>
      </c>
      <c r="G173" s="28" t="s">
        <v>74</v>
      </c>
      <c r="H173" s="28">
        <f t="array" ref="H173">INDEX(CC!C:C,MATCH(1,(CC!A:A=G173)*(CC!B:B=I173),0))</f>
        <v>1503</v>
      </c>
      <c r="I173" s="28" t="s">
        <v>44</v>
      </c>
      <c r="J173" s="31">
        <v>3071.0</v>
      </c>
      <c r="K173" s="28" t="str">
        <f>IFERROR(__xludf.DUMMYFUNCTION("IFERROR(
INDEX(
FILTER(
MAP(
reglas!$B$2:$B$240,
reglas!$C$2:$C$240,
reglas!$D$2:$D$240,
reglas!$E$2:$E$240,
LAMBDA(rEmisor,rPatron,rConcepto,rTipo,
IF(
AND(
OR(
UPPER(TRIM(rEmisor))=UPPER(TRIM(C173)),
UPPER(TRIM(rEmisor))=""CUALQUIERA""
),
OR(
UPPER(TRIM"&amp;"(rTipo))=""SOLO EMISOR"",
AND(
UPPER(TRIM(rTipo))=""EXACTA"",
UPPER(TRIM(AG173))=UPPER(TRIM(rPatron))
),
AND(
OR(
UPPER(TRIM(rTipo))=""CONTIENE"",
UPPER(TRIM(rTipo))=""COINCIDENCIA""
),
ISNUMBER(SEARCH(UPPER(TRIM(rPatron)),UPPER(TRIM(D173))))
)
)
),
rConc"&amp;"epto,
""""
)
)
),
MAP(
reglas!$B$2:$B$240,
reglas!$C$2:$C$240,
reglas!$D$2:$D$240,
reglas!$E$2:$E$240,
LAMBDA(rEmisor,rPatron,rConcepto,rTipo,
IF(
AND(
OR(
UPPER(TRIM(rEmisor))=UPPER(TRIM(C173)),
UPPER(TRIM(rEmisor))=""CUALQUIERA""
),
OR(
UPPER(TRIM(rTipo"&amp;"))=""SOLO EMISOR"",
AND(
UPPER(TRIM(rTipo))=""EXACTA"",
UPPER(TRIM(D173))=UPPER(TRIM(rPatron))
),
AND(
OR(
UPPER(TRIM(rTipo))=""CONTIENE"",
UPPER(TRIM(rTipo))=""COINCIDENCIA""
),
ISNUMBER(SEARCH(UPPER(TRIM(rPatron)),UPPER(TRIM(D173))))
)
)
),
rConcepto,
"&amp;"""""
)
)
)&lt;&gt;""""
),
1
),
""""
)"),"MANIOBRAS")</f>
        <v>MANIOBRAS</v>
      </c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</row>
    <row r="174">
      <c r="A174" s="32"/>
      <c r="B174" s="32"/>
      <c r="C174" s="29" t="s">
        <v>276</v>
      </c>
      <c r="D174" s="29" t="s">
        <v>1038</v>
      </c>
      <c r="E174" s="30">
        <v>4571.78</v>
      </c>
      <c r="F174" s="28">
        <v>0.0</v>
      </c>
      <c r="G174" s="28" t="s">
        <v>74</v>
      </c>
      <c r="H174" s="28">
        <f t="array" ref="H174">INDEX(CC!C:C,MATCH(1,(CC!A:A=G174)*(CC!B:B=I174),0))</f>
        <v>1503</v>
      </c>
      <c r="I174" s="28" t="s">
        <v>44</v>
      </c>
      <c r="J174" s="31">
        <v>4571.78</v>
      </c>
      <c r="K174" s="28" t="str">
        <f>IFERROR(__xludf.DUMMYFUNCTION("IFERROR(
INDEX(
FILTER(
MAP(
reglas!$B$2:$B$240,
reglas!$C$2:$C$240,
reglas!$D$2:$D$240,
reglas!$E$2:$E$240,
LAMBDA(rEmisor,rPatron,rConcepto,rTipo,
IF(
AND(
OR(
UPPER(TRIM(rEmisor))=UPPER(TRIM(C174)),
UPPER(TRIM(rEmisor))=""CUALQUIERA""
),
OR(
UPPER(TRIM"&amp;"(rTipo))=""SOLO EMISOR"",
AND(
UPPER(TRIM(rTipo))=""EXACTA"",
UPPER(TRIM(AG174))=UPPER(TRIM(rPatron))
),
AND(
OR(
UPPER(TRIM(rTipo))=""CONTIENE"",
UPPER(TRIM(rTipo))=""COINCIDENCIA""
),
ISNUMBER(SEARCH(UPPER(TRIM(rPatron)),UPPER(TRIM(D174))))
)
)
),
rConc"&amp;"epto,
""""
)
)
),
MAP(
reglas!$B$2:$B$240,
reglas!$C$2:$C$240,
reglas!$D$2:$D$240,
reglas!$E$2:$E$240,
LAMBDA(rEmisor,rPatron,rConcepto,rTipo,
IF(
AND(
OR(
UPPER(TRIM(rEmisor))=UPPER(TRIM(C174)),
UPPER(TRIM(rEmisor))=""CUALQUIERA""
),
OR(
UPPER(TRIM(rTipo"&amp;"))=""SOLO EMISOR"",
AND(
UPPER(TRIM(rTipo))=""EXACTA"",
UPPER(TRIM(D174))=UPPER(TRIM(rPatron))
),
AND(
OR(
UPPER(TRIM(rTipo))=""CONTIENE"",
UPPER(TRIM(rTipo))=""COINCIDENCIA""
),
ISNUMBER(SEARCH(UPPER(TRIM(rPatron)),UPPER(TRIM(D174))))
)
)
),
rConcepto,
"&amp;"""""
)
)
)&lt;&gt;""""
),
1
),
""""
)"),"MANIOBRAS")</f>
        <v>MANIOBRAS</v>
      </c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</row>
    <row r="175">
      <c r="A175" s="32"/>
      <c r="B175" s="32"/>
      <c r="C175" s="29" t="s">
        <v>276</v>
      </c>
      <c r="D175" s="29" t="s">
        <v>77</v>
      </c>
      <c r="E175" s="28">
        <v>800.0</v>
      </c>
      <c r="F175" s="28">
        <v>0.0</v>
      </c>
      <c r="G175" s="28" t="s">
        <v>74</v>
      </c>
      <c r="H175" s="28">
        <f t="array" ref="H175">INDEX(CC!C:C,MATCH(1,(CC!A:A=G175)*(CC!B:B=I175),0))</f>
        <v>1503</v>
      </c>
      <c r="I175" s="28" t="s">
        <v>44</v>
      </c>
      <c r="J175" s="31">
        <v>800.0</v>
      </c>
      <c r="K175" s="28" t="str">
        <f>IFERROR(__xludf.DUMMYFUNCTION("IFERROR(
INDEX(
FILTER(
MAP(
reglas!$B$2:$B$240,
reglas!$C$2:$C$240,
reglas!$D$2:$D$240,
reglas!$E$2:$E$240,
LAMBDA(rEmisor,rPatron,rConcepto,rTipo,
IF(
AND(
OR(
UPPER(TRIM(rEmisor))=UPPER(TRIM(C175)),
UPPER(TRIM(rEmisor))=""CUALQUIERA""
),
OR(
UPPER(TRIM"&amp;"(rTipo))=""SOLO EMISOR"",
AND(
UPPER(TRIM(rTipo))=""EXACTA"",
UPPER(TRIM(AG175))=UPPER(TRIM(rPatron))
),
AND(
OR(
UPPER(TRIM(rTipo))=""CONTIENE"",
UPPER(TRIM(rTipo))=""COINCIDENCIA""
),
ISNUMBER(SEARCH(UPPER(TRIM(rPatron)),UPPER(TRIM(D175))))
)
)
),
rConc"&amp;"epto,
""""
)
)
),
MAP(
reglas!$B$2:$B$240,
reglas!$C$2:$C$240,
reglas!$D$2:$D$240,
reglas!$E$2:$E$240,
LAMBDA(rEmisor,rPatron,rConcepto,rTipo,
IF(
AND(
OR(
UPPER(TRIM(rEmisor))=UPPER(TRIM(C175)),
UPPER(TRIM(rEmisor))=""CUALQUIERA""
),
OR(
UPPER(TRIM(rTipo"&amp;"))=""SOLO EMISOR"",
AND(
UPPER(TRIM(rTipo))=""EXACTA"",
UPPER(TRIM(D175))=UPPER(TRIM(rPatron))
),
AND(
OR(
UPPER(TRIM(rTipo))=""CONTIENE"",
UPPER(TRIM(rTipo))=""COINCIDENCIA""
),
ISNUMBER(SEARCH(UPPER(TRIM(rPatron)),UPPER(TRIM(D175))))
)
)
),
rConcepto,
"&amp;"""""
)
)
)&lt;&gt;""""
),
1
),
""""
)"),"MANIOBRAS")</f>
        <v>MANIOBRAS</v>
      </c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</row>
    <row r="176">
      <c r="A176" s="32"/>
      <c r="B176" s="32"/>
      <c r="C176" s="29" t="s">
        <v>276</v>
      </c>
      <c r="D176" s="29" t="s">
        <v>1039</v>
      </c>
      <c r="E176" s="28">
        <v>583.01</v>
      </c>
      <c r="F176" s="28">
        <v>0.0</v>
      </c>
      <c r="G176" s="28" t="s">
        <v>74</v>
      </c>
      <c r="H176" s="28">
        <f t="array" ref="H176">INDEX(CC!C:C,MATCH(1,(CC!A:A=G176)*(CC!B:B=I176),0))</f>
        <v>1503</v>
      </c>
      <c r="I176" s="28" t="s">
        <v>44</v>
      </c>
      <c r="J176" s="31">
        <v>583.01</v>
      </c>
      <c r="K176" s="28" t="str">
        <f>IFERROR(__xludf.DUMMYFUNCTION("IFERROR(
INDEX(
FILTER(
MAP(
reglas!$B$2:$B$240,
reglas!$C$2:$C$240,
reglas!$D$2:$D$240,
reglas!$E$2:$E$240,
LAMBDA(rEmisor,rPatron,rConcepto,rTipo,
IF(
AND(
OR(
UPPER(TRIM(rEmisor))=UPPER(TRIM(C176)),
UPPER(TRIM(rEmisor))=""CUALQUIERA""
),
OR(
UPPER(TRIM"&amp;"(rTipo))=""SOLO EMISOR"",
AND(
UPPER(TRIM(rTipo))=""EXACTA"",
UPPER(TRIM(AG176))=UPPER(TRIM(rPatron))
),
AND(
OR(
UPPER(TRIM(rTipo))=""CONTIENE"",
UPPER(TRIM(rTipo))=""COINCIDENCIA""
),
ISNUMBER(SEARCH(UPPER(TRIM(rPatron)),UPPER(TRIM(D176))))
)
)
),
rConc"&amp;"epto,
""""
)
)
),
MAP(
reglas!$B$2:$B$240,
reglas!$C$2:$C$240,
reglas!$D$2:$D$240,
reglas!$E$2:$E$240,
LAMBDA(rEmisor,rPatron,rConcepto,rTipo,
IF(
AND(
OR(
UPPER(TRIM(rEmisor))=UPPER(TRIM(C176)),
UPPER(TRIM(rEmisor))=""CUALQUIERA""
),
OR(
UPPER(TRIM(rTipo"&amp;"))=""SOLO EMISOR"",
AND(
UPPER(TRIM(rTipo))=""EXACTA"",
UPPER(TRIM(D176))=UPPER(TRIM(rPatron))
),
AND(
OR(
UPPER(TRIM(rTipo))=""CONTIENE"",
UPPER(TRIM(rTipo))=""COINCIDENCIA""
),
ISNUMBER(SEARCH(UPPER(TRIM(rPatron)),UPPER(TRIM(D176))))
)
)
),
rConcepto,
"&amp;"""""
)
)
)&lt;&gt;""""
),
1
),
""""
)"),"MANIOBRAS")</f>
        <v>MANIOBRAS</v>
      </c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</row>
    <row r="177">
      <c r="A177" s="32"/>
      <c r="B177" s="28" t="s">
        <v>29</v>
      </c>
      <c r="C177" s="29" t="s">
        <v>172</v>
      </c>
      <c r="D177" s="29" t="s">
        <v>1040</v>
      </c>
      <c r="E177" s="30">
        <v>11500.0</v>
      </c>
      <c r="F177" s="28">
        <v>0.0</v>
      </c>
      <c r="G177" s="28" t="s">
        <v>250</v>
      </c>
      <c r="H177" s="28">
        <f t="array" ref="H177">INDEX(CC!C:C,MATCH(1,(CC!A:A=G177)*(CC!B:B=I177),0))</f>
        <v>1402</v>
      </c>
      <c r="I177" s="28" t="s">
        <v>25</v>
      </c>
      <c r="J177" s="31">
        <v>11500.0</v>
      </c>
      <c r="K177" s="28" t="str">
        <f>IFERROR(__xludf.DUMMYFUNCTION("IFERROR(
INDEX(
FILTER(
MAP(
reglas!$B$2:$B$240,
reglas!$C$2:$C$240,
reglas!$D$2:$D$240,
reglas!$E$2:$E$240,
LAMBDA(rEmisor,rPatron,rConcepto,rTipo,
IF(
AND(
OR(
UPPER(TRIM(rEmisor))=UPPER(TRIM(C177)),
UPPER(TRIM(rEmisor))=""CUALQUIERA""
),
OR(
UPPER(TRIM"&amp;"(rTipo))=""SOLO EMISOR"",
AND(
UPPER(TRIM(rTipo))=""EXACTA"",
UPPER(TRIM(AG177))=UPPER(TRIM(rPatron))
),
AND(
OR(
UPPER(TRIM(rTipo))=""CONTIENE"",
UPPER(TRIM(rTipo))=""COINCIDENCIA""
),
ISNUMBER(SEARCH(UPPER(TRIM(rPatron)),UPPER(TRIM(D177))))
)
)
),
rConc"&amp;"epto,
""""
)
)
),
MAP(
reglas!$B$2:$B$240,
reglas!$C$2:$C$240,
reglas!$D$2:$D$240,
reglas!$E$2:$E$240,
LAMBDA(rEmisor,rPatron,rConcepto,rTipo,
IF(
AND(
OR(
UPPER(TRIM(rEmisor))=UPPER(TRIM(C177)),
UPPER(TRIM(rEmisor))=""CUALQUIERA""
),
OR(
UPPER(TRIM(rTipo"&amp;"))=""SOLO EMISOR"",
AND(
UPPER(TRIM(rTipo))=""EXACTA"",
UPPER(TRIM(D177))=UPPER(TRIM(rPatron))
),
AND(
OR(
UPPER(TRIM(rTipo))=""CONTIENE"",
UPPER(TRIM(rTipo))=""COINCIDENCIA""
),
ISNUMBER(SEARCH(UPPER(TRIM(rPatron)),UPPER(TRIM(D177))))
)
)
),
rConcepto,
"&amp;"""""
)
)
)&lt;&gt;""""
),
1
),
""""
)"),"TRANSPORTE")</f>
        <v>TRANSPORTE</v>
      </c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</row>
    <row r="178">
      <c r="A178" s="32"/>
      <c r="B178" s="28" t="s">
        <v>29</v>
      </c>
      <c r="C178" s="29" t="s">
        <v>169</v>
      </c>
      <c r="D178" s="29" t="s">
        <v>1041</v>
      </c>
      <c r="E178" s="30">
        <v>6500.0</v>
      </c>
      <c r="F178" s="28">
        <v>0.0</v>
      </c>
      <c r="G178" s="28" t="s">
        <v>250</v>
      </c>
      <c r="H178" s="28">
        <f t="array" ref="H178">INDEX(CC!C:C,MATCH(1,(CC!A:A=G178)*(CC!B:B=I178),0))</f>
        <v>1403</v>
      </c>
      <c r="I178" s="28" t="s">
        <v>44</v>
      </c>
      <c r="J178" s="31">
        <v>6500.0</v>
      </c>
      <c r="K178" s="28" t="str">
        <f>IFERROR(__xludf.DUMMYFUNCTION("IFERROR(
INDEX(
FILTER(
MAP(
reglas!$B$2:$B$240,
reglas!$C$2:$C$240,
reglas!$D$2:$D$240,
reglas!$E$2:$E$240,
LAMBDA(rEmisor,rPatron,rConcepto,rTipo,
IF(
AND(
OR(
UPPER(TRIM(rEmisor))=UPPER(TRIM(C178)),
UPPER(TRIM(rEmisor))=""CUALQUIERA""
),
OR(
UPPER(TRIM"&amp;"(rTipo))=""SOLO EMISOR"",
AND(
UPPER(TRIM(rTipo))=""EXACTA"",
UPPER(TRIM(AG178))=UPPER(TRIM(rPatron))
),
AND(
OR(
UPPER(TRIM(rTipo))=""CONTIENE"",
UPPER(TRIM(rTipo))=""COINCIDENCIA""
),
ISNUMBER(SEARCH(UPPER(TRIM(rPatron)),UPPER(TRIM(D178))))
)
)
),
rConc"&amp;"epto,
""""
)
)
),
MAP(
reglas!$B$2:$B$240,
reglas!$C$2:$C$240,
reglas!$D$2:$D$240,
reglas!$E$2:$E$240,
LAMBDA(rEmisor,rPatron,rConcepto,rTipo,
IF(
AND(
OR(
UPPER(TRIM(rEmisor))=UPPER(TRIM(C178)),
UPPER(TRIM(rEmisor))=""CUALQUIERA""
),
OR(
UPPER(TRIM(rTipo"&amp;"))=""SOLO EMISOR"",
AND(
UPPER(TRIM(rTipo))=""EXACTA"",
UPPER(TRIM(D178))=UPPER(TRIM(rPatron))
),
AND(
OR(
UPPER(TRIM(rTipo))=""CONTIENE"",
UPPER(TRIM(rTipo))=""COINCIDENCIA""
),
ISNUMBER(SEARCH(UPPER(TRIM(rPatron)),UPPER(TRIM(D178))))
)
)
),
rConcepto,
"&amp;"""""
)
)
)&lt;&gt;""""
),
1
),
""""
)"),"TRANSPORTE")</f>
        <v>TRANSPORTE</v>
      </c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</row>
    <row r="179">
      <c r="A179" s="32"/>
      <c r="B179" s="28" t="s">
        <v>29</v>
      </c>
      <c r="C179" s="29" t="s">
        <v>234</v>
      </c>
      <c r="D179" s="29" t="s">
        <v>1043</v>
      </c>
      <c r="E179" s="30">
        <v>37920.0</v>
      </c>
      <c r="F179" s="28">
        <v>0.0</v>
      </c>
      <c r="G179" s="28" t="s">
        <v>551</v>
      </c>
      <c r="H179" s="28">
        <f t="array" ref="H179">INDEX(CC!C:C,MATCH(1,(CC!A:A=G179)*(CC!B:B=I179),0))</f>
        <v>1202</v>
      </c>
      <c r="I179" s="28" t="s">
        <v>25</v>
      </c>
      <c r="J179" s="5"/>
      <c r="K179" s="28" t="str">
        <f>IFERROR(__xludf.DUMMYFUNCTION("IFERROR(
INDEX(
FILTER(
MAP(
reglas!$B$2:$B$240,
reglas!$C$2:$C$240,
reglas!$D$2:$D$240,
reglas!$E$2:$E$240,
LAMBDA(rEmisor,rPatron,rConcepto,rTipo,
IF(
AND(
OR(
UPPER(TRIM(rEmisor))=UPPER(TRIM(C179)),
UPPER(TRIM(rEmisor))=""CUALQUIERA""
),
OR(
UPPER(TRIM"&amp;"(rTipo))=""SOLO EMISOR"",
AND(
UPPER(TRIM(rTipo))=""EXACTA"",
UPPER(TRIM(AG179))=UPPER(TRIM(rPatron))
),
AND(
OR(
UPPER(TRIM(rTipo))=""CONTIENE"",
UPPER(TRIM(rTipo))=""COINCIDENCIA""
),
ISNUMBER(SEARCH(UPPER(TRIM(rPatron)),UPPER(TRIM(D179))))
)
)
),
rConc"&amp;"epto,
""""
)
)
),
MAP(
reglas!$B$2:$B$240,
reglas!$C$2:$C$240,
reglas!$D$2:$D$240,
reglas!$E$2:$E$240,
LAMBDA(rEmisor,rPatron,rConcepto,rTipo,
IF(
AND(
OR(
UPPER(TRIM(rEmisor))=UPPER(TRIM(C179)),
UPPER(TRIM(rEmisor))=""CUALQUIERA""
),
OR(
UPPER(TRIM(rTipo"&amp;"))=""SOLO EMISOR"",
AND(
UPPER(TRIM(rTipo))=""EXACTA"",
UPPER(TRIM(D179))=UPPER(TRIM(rPatron))
),
AND(
OR(
UPPER(TRIM(rTipo))=""CONTIENE"",
UPPER(TRIM(rTipo))=""COINCIDENCIA""
),
ISNUMBER(SEARCH(UPPER(TRIM(rPatron)),UPPER(TRIM(D179))))
)
)
),
rConcepto,
"&amp;"""""
)
)
)&lt;&gt;""""
),
1
),
""""
)"),"VALIDACION")</f>
        <v>VALIDACION</v>
      </c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</row>
    <row r="180">
      <c r="A180" s="32"/>
      <c r="B180" s="32"/>
      <c r="C180" s="29" t="s">
        <v>234</v>
      </c>
      <c r="D180" s="29" t="s">
        <v>1043</v>
      </c>
      <c r="E180" s="32"/>
      <c r="F180" s="32"/>
      <c r="G180" s="28" t="s">
        <v>601</v>
      </c>
      <c r="H180" s="28">
        <f t="array" ref="H180">INDEX(CC!C:C,MATCH(1,(CC!A:A=G180)*(CC!B:B=I180),0))</f>
        <v>402</v>
      </c>
      <c r="I180" s="28" t="s">
        <v>25</v>
      </c>
      <c r="J180" s="5"/>
      <c r="K180" s="28" t="str">
        <f>IFERROR(__xludf.DUMMYFUNCTION("IFERROR(
INDEX(
FILTER(
MAP(
reglas!$B$2:$B$240,
reglas!$C$2:$C$240,
reglas!$D$2:$D$240,
reglas!$E$2:$E$240,
LAMBDA(rEmisor,rPatron,rConcepto,rTipo,
IF(
AND(
OR(
UPPER(TRIM(rEmisor))=UPPER(TRIM(C180)),
UPPER(TRIM(rEmisor))=""CUALQUIERA""
),
OR(
UPPER(TRIM"&amp;"(rTipo))=""SOLO EMISOR"",
AND(
UPPER(TRIM(rTipo))=""EXACTA"",
UPPER(TRIM(AG180))=UPPER(TRIM(rPatron))
),
AND(
OR(
UPPER(TRIM(rTipo))=""CONTIENE"",
UPPER(TRIM(rTipo))=""COINCIDENCIA""
),
ISNUMBER(SEARCH(UPPER(TRIM(rPatron)),UPPER(TRIM(D180))))
)
)
),
rConc"&amp;"epto,
""""
)
)
),
MAP(
reglas!$B$2:$B$240,
reglas!$C$2:$C$240,
reglas!$D$2:$D$240,
reglas!$E$2:$E$240,
LAMBDA(rEmisor,rPatron,rConcepto,rTipo,
IF(
AND(
OR(
UPPER(TRIM(rEmisor))=UPPER(TRIM(C180)),
UPPER(TRIM(rEmisor))=""CUALQUIERA""
),
OR(
UPPER(TRIM(rTipo"&amp;"))=""SOLO EMISOR"",
AND(
UPPER(TRIM(rTipo))=""EXACTA"",
UPPER(TRIM(D180))=UPPER(TRIM(rPatron))
),
AND(
OR(
UPPER(TRIM(rTipo))=""CONTIENE"",
UPPER(TRIM(rTipo))=""COINCIDENCIA""
),
ISNUMBER(SEARCH(UPPER(TRIM(rPatron)),UPPER(TRIM(D180))))
)
)
),
rConcepto,
"&amp;"""""
)
)
)&lt;&gt;""""
),
1
),
""""
)"),"VALIDACION")</f>
        <v>VALIDACION</v>
      </c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</row>
    <row r="181">
      <c r="A181" s="32"/>
      <c r="B181" s="32"/>
      <c r="C181" s="29" t="s">
        <v>234</v>
      </c>
      <c r="D181" s="29" t="s">
        <v>1043</v>
      </c>
      <c r="E181" s="32"/>
      <c r="F181" s="32"/>
      <c r="G181" s="28" t="s">
        <v>539</v>
      </c>
      <c r="H181" s="28">
        <f t="array" ref="H181">INDEX(CC!C:C,MATCH(1,(CC!A:A=G181)*(CC!B:B=I181),0))</f>
        <v>1302</v>
      </c>
      <c r="I181" s="28" t="s">
        <v>25</v>
      </c>
      <c r="J181" s="5"/>
      <c r="K181" s="28" t="str">
        <f>IFERROR(__xludf.DUMMYFUNCTION("IFERROR(
INDEX(
FILTER(
MAP(
reglas!$B$2:$B$240,
reglas!$C$2:$C$240,
reglas!$D$2:$D$240,
reglas!$E$2:$E$240,
LAMBDA(rEmisor,rPatron,rConcepto,rTipo,
IF(
AND(
OR(
UPPER(TRIM(rEmisor))=UPPER(TRIM(C181)),
UPPER(TRIM(rEmisor))=""CUALQUIERA""
),
OR(
UPPER(TRIM"&amp;"(rTipo))=""SOLO EMISOR"",
AND(
UPPER(TRIM(rTipo))=""EXACTA"",
UPPER(TRIM(AG181))=UPPER(TRIM(rPatron))
),
AND(
OR(
UPPER(TRIM(rTipo))=""CONTIENE"",
UPPER(TRIM(rTipo))=""COINCIDENCIA""
),
ISNUMBER(SEARCH(UPPER(TRIM(rPatron)),UPPER(TRIM(D181))))
)
)
),
rConc"&amp;"epto,
""""
)
)
),
MAP(
reglas!$B$2:$B$240,
reglas!$C$2:$C$240,
reglas!$D$2:$D$240,
reglas!$E$2:$E$240,
LAMBDA(rEmisor,rPatron,rConcepto,rTipo,
IF(
AND(
OR(
UPPER(TRIM(rEmisor))=UPPER(TRIM(C181)),
UPPER(TRIM(rEmisor))=""CUALQUIERA""
),
OR(
UPPER(TRIM(rTipo"&amp;"))=""SOLO EMISOR"",
AND(
UPPER(TRIM(rTipo))=""EXACTA"",
UPPER(TRIM(D181))=UPPER(TRIM(rPatron))
),
AND(
OR(
UPPER(TRIM(rTipo))=""CONTIENE"",
UPPER(TRIM(rTipo))=""COINCIDENCIA""
),
ISNUMBER(SEARCH(UPPER(TRIM(rPatron)),UPPER(TRIM(D181))))
)
)
),
rConcepto,
"&amp;"""""
)
)
)&lt;&gt;""""
),
1
),
""""
)"),"VALIDACION")</f>
        <v>VALIDACION</v>
      </c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</row>
    <row r="182">
      <c r="A182" s="32"/>
      <c r="B182" s="28" t="s">
        <v>29</v>
      </c>
      <c r="C182" s="29" t="s">
        <v>278</v>
      </c>
      <c r="D182" s="29" t="s">
        <v>560</v>
      </c>
      <c r="E182" s="30">
        <v>3500.0</v>
      </c>
      <c r="F182" s="28">
        <v>0.0</v>
      </c>
      <c r="G182" s="28" t="s">
        <v>250</v>
      </c>
      <c r="H182" s="28">
        <f t="array" ref="H182">INDEX(CC!C:C,MATCH(1,(CC!A:A=G182)*(CC!B:B=I182),0))</f>
        <v>1402</v>
      </c>
      <c r="I182" s="28" t="s">
        <v>25</v>
      </c>
      <c r="J182" s="31">
        <v>3500.0</v>
      </c>
      <c r="K182" s="28" t="str">
        <f>IFERROR(__xludf.DUMMYFUNCTION("IFERROR(
INDEX(
FILTER(
MAP(
reglas!$B$2:$B$240,
reglas!$C$2:$C$240,
reglas!$D$2:$D$240,
reglas!$E$2:$E$240,
LAMBDA(rEmisor,rPatron,rConcepto,rTipo,
IF(
AND(
OR(
UPPER(TRIM(rEmisor))=UPPER(TRIM(C182)),
UPPER(TRIM(rEmisor))=""CUALQUIERA""
),
OR(
UPPER(TRIM"&amp;"(rTipo))=""SOLO EMISOR"",
AND(
UPPER(TRIM(rTipo))=""EXACTA"",
UPPER(TRIM(AG182))=UPPER(TRIM(rPatron))
),
AND(
OR(
UPPER(TRIM(rTipo))=""CONTIENE"",
UPPER(TRIM(rTipo))=""COINCIDENCIA""
),
ISNUMBER(SEARCH(UPPER(TRIM(rPatron)),UPPER(TRIM(D182))))
)
)
),
rConc"&amp;"epto,
""""
)
)
),
MAP(
reglas!$B$2:$B$240,
reglas!$C$2:$C$240,
reglas!$D$2:$D$240,
reglas!$E$2:$E$240,
LAMBDA(rEmisor,rPatron,rConcepto,rTipo,
IF(
AND(
OR(
UPPER(TRIM(rEmisor))=UPPER(TRIM(C182)),
UPPER(TRIM(rEmisor))=""CUALQUIERA""
),
OR(
UPPER(TRIM(rTipo"&amp;"))=""SOLO EMISOR"",
AND(
UPPER(TRIM(rTipo))=""EXACTA"",
UPPER(TRIM(D182))=UPPER(TRIM(rPatron))
),
AND(
OR(
UPPER(TRIM(rTipo))=""CONTIENE"",
UPPER(TRIM(rTipo))=""COINCIDENCIA""
),
ISNUMBER(SEARCH(UPPER(TRIM(rPatron)),UPPER(TRIM(D182))))
)
)
),
rConcepto,
"&amp;"""""
)
)
)&lt;&gt;""""
),
1
),
""""
)"),"MANIOBRAS")</f>
        <v>MANIOBRAS</v>
      </c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</row>
    <row r="183">
      <c r="A183" s="32"/>
      <c r="B183" s="28" t="s">
        <v>29</v>
      </c>
      <c r="C183" s="29" t="s">
        <v>172</v>
      </c>
      <c r="D183" s="29" t="s">
        <v>562</v>
      </c>
      <c r="E183" s="30">
        <v>11500.0</v>
      </c>
      <c r="F183" s="28">
        <v>0.0</v>
      </c>
      <c r="G183" s="28" t="s">
        <v>250</v>
      </c>
      <c r="H183" s="28">
        <f t="array" ref="H183">INDEX(CC!C:C,MATCH(1,(CC!A:A=G183)*(CC!B:B=I183),0))</f>
        <v>1402</v>
      </c>
      <c r="I183" s="28" t="s">
        <v>25</v>
      </c>
      <c r="J183" s="31">
        <v>11500.0</v>
      </c>
      <c r="K183" s="28" t="str">
        <f>IFERROR(__xludf.DUMMYFUNCTION("IFERROR(
INDEX(
FILTER(
MAP(
reglas!$B$2:$B$240,
reglas!$C$2:$C$240,
reglas!$D$2:$D$240,
reglas!$E$2:$E$240,
LAMBDA(rEmisor,rPatron,rConcepto,rTipo,
IF(
AND(
OR(
UPPER(TRIM(rEmisor))=UPPER(TRIM(C183)),
UPPER(TRIM(rEmisor))=""CUALQUIERA""
),
OR(
UPPER(TRIM"&amp;"(rTipo))=""SOLO EMISOR"",
AND(
UPPER(TRIM(rTipo))=""EXACTA"",
UPPER(TRIM(AG183))=UPPER(TRIM(rPatron))
),
AND(
OR(
UPPER(TRIM(rTipo))=""CONTIENE"",
UPPER(TRIM(rTipo))=""COINCIDENCIA""
),
ISNUMBER(SEARCH(UPPER(TRIM(rPatron)),UPPER(TRIM(D183))))
)
)
),
rConc"&amp;"epto,
""""
)
)
),
MAP(
reglas!$B$2:$B$240,
reglas!$C$2:$C$240,
reglas!$D$2:$D$240,
reglas!$E$2:$E$240,
LAMBDA(rEmisor,rPatron,rConcepto,rTipo,
IF(
AND(
OR(
UPPER(TRIM(rEmisor))=UPPER(TRIM(C183)),
UPPER(TRIM(rEmisor))=""CUALQUIERA""
),
OR(
UPPER(TRIM(rTipo"&amp;"))=""SOLO EMISOR"",
AND(
UPPER(TRIM(rTipo))=""EXACTA"",
UPPER(TRIM(D183))=UPPER(TRIM(rPatron))
),
AND(
OR(
UPPER(TRIM(rTipo))=""CONTIENE"",
UPPER(TRIM(rTipo))=""COINCIDENCIA""
),
ISNUMBER(SEARCH(UPPER(TRIM(rPatron)),UPPER(TRIM(D183))))
)
)
),
rConcepto,
"&amp;"""""
)
)
)&lt;&gt;""""
),
1
),
""""
)"),"TRANSPORTE")</f>
        <v>TRANSPORTE</v>
      </c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</row>
    <row r="184">
      <c r="A184" s="28">
        <v>1.0</v>
      </c>
      <c r="B184" s="28" t="s">
        <v>29</v>
      </c>
      <c r="C184" s="29" t="s">
        <v>271</v>
      </c>
      <c r="D184" s="29" t="s">
        <v>589</v>
      </c>
      <c r="E184" s="28">
        <v>634.89</v>
      </c>
      <c r="F184" s="28">
        <v>0.0</v>
      </c>
      <c r="G184" s="28" t="s">
        <v>84</v>
      </c>
      <c r="H184" s="28">
        <f t="array" ref="H184">INDEX(CC!C:C,MATCH(1,(CC!A:A=G184)*(CC!B:B=I184),0))</f>
        <v>1002</v>
      </c>
      <c r="I184" s="28" t="s">
        <v>25</v>
      </c>
      <c r="J184" s="31">
        <v>634.89</v>
      </c>
      <c r="K184" s="28" t="str">
        <f>IFERROR(__xludf.DUMMYFUNCTION("IFERROR(
INDEX(
FILTER(
MAP(
reglas!$B$2:$B$240,
reglas!$C$2:$C$240,
reglas!$D$2:$D$240,
reglas!$E$2:$E$240,
LAMBDA(rEmisor,rPatron,rConcepto,rTipo,
IF(
AND(
OR(
UPPER(TRIM(rEmisor))=UPPER(TRIM(C184)),
UPPER(TRIM(rEmisor))=""CUALQUIERA""
),
OR(
UPPER(TRIM"&amp;"(rTipo))=""SOLO EMISOR"",
AND(
UPPER(TRIM(rTipo))=""EXACTA"",
UPPER(TRIM(AG184))=UPPER(TRIM(rPatron))
),
AND(
OR(
UPPER(TRIM(rTipo))=""CONTIENE"",
UPPER(TRIM(rTipo))=""COINCIDENCIA""
),
ISNUMBER(SEARCH(UPPER(TRIM(rPatron)),UPPER(TRIM(D184))))
)
)
),
rConc"&amp;"epto,
""""
)
)
),
MAP(
reglas!$B$2:$B$240,
reglas!$C$2:$C$240,
reglas!$D$2:$D$240,
reglas!$E$2:$E$240,
LAMBDA(rEmisor,rPatron,rConcepto,rTipo,
IF(
AND(
OR(
UPPER(TRIM(rEmisor))=UPPER(TRIM(C184)),
UPPER(TRIM(rEmisor))=""CUALQUIERA""
),
OR(
UPPER(TRIM(rTipo"&amp;"))=""SOLO EMISOR"",
AND(
UPPER(TRIM(rTipo))=""EXACTA"",
UPPER(TRIM(D184))=UPPER(TRIM(rPatron))
),
AND(
OR(
UPPER(TRIM(rTipo))=""CONTIENE"",
UPPER(TRIM(rTipo))=""COINCIDENCIA""
),
ISNUMBER(SEARCH(UPPER(TRIM(rPatron)),UPPER(TRIM(D184))))
)
)
),
rConcepto,
"&amp;"""""
)
)
)&lt;&gt;""""
),
1
),
""""
)"),"MANIOBRAS")</f>
        <v>MANIOBRAS</v>
      </c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</row>
    <row r="185">
      <c r="A185" s="28">
        <v>1.0</v>
      </c>
      <c r="B185" s="28" t="s">
        <v>29</v>
      </c>
      <c r="C185" s="29" t="s">
        <v>218</v>
      </c>
      <c r="D185" s="29" t="s">
        <v>1045</v>
      </c>
      <c r="E185" s="30">
        <v>27500.0</v>
      </c>
      <c r="F185" s="28">
        <v>0.0</v>
      </c>
      <c r="G185" s="28" t="s">
        <v>225</v>
      </c>
      <c r="H185" s="28">
        <f t="array" ref="H185">INDEX(CC!C:C,MATCH(1,(CC!A:A=G185)*(CC!B:B=I185),0))</f>
        <v>102</v>
      </c>
      <c r="I185" s="28" t="s">
        <v>25</v>
      </c>
      <c r="J185" s="31">
        <v>21484.38</v>
      </c>
      <c r="K185" s="28" t="str">
        <f>IFERROR(__xludf.DUMMYFUNCTION("IFERROR(
INDEX(
FILTER(
MAP(
reglas!$B$2:$B$240,
reglas!$C$2:$C$240,
reglas!$D$2:$D$240,
reglas!$E$2:$E$240,
LAMBDA(rEmisor,rPatron,rConcepto,rTipo,
IF(
AND(
OR(
UPPER(TRIM(rEmisor))=UPPER(TRIM(C185)),
UPPER(TRIM(rEmisor))=""CUALQUIERA""
),
OR(
UPPER(TRIM"&amp;"(rTipo))=""SOLO EMISOR"",
AND(
UPPER(TRIM(rTipo))=""EXACTA"",
UPPER(TRIM(AG185))=UPPER(TRIM(rPatron))
),
AND(
OR(
UPPER(TRIM(rTipo))=""CONTIENE"",
UPPER(TRIM(rTipo))=""COINCIDENCIA""
),
ISNUMBER(SEARCH(UPPER(TRIM(rPatron)),UPPER(TRIM(D185))))
)
)
),
rConc"&amp;"epto,
""""
)
)
),
MAP(
reglas!$B$2:$B$240,
reglas!$C$2:$C$240,
reglas!$D$2:$D$240,
reglas!$E$2:$E$240,
LAMBDA(rEmisor,rPatron,rConcepto,rTipo,
IF(
AND(
OR(
UPPER(TRIM(rEmisor))=UPPER(TRIM(C185)),
UPPER(TRIM(rEmisor))=""CUALQUIERA""
),
OR(
UPPER(TRIM(rTipo"&amp;"))=""SOLO EMISOR"",
AND(
UPPER(TRIM(rTipo))=""EXACTA"",
UPPER(TRIM(D185))=UPPER(TRIM(rPatron))
),
AND(
OR(
UPPER(TRIM(rTipo))=""CONTIENE"",
UPPER(TRIM(rTipo))=""COINCIDENCIA""
),
ISNUMBER(SEARCH(UPPER(TRIM(rPatron)),UPPER(TRIM(D185))))
)
)
),
rConcepto,
"&amp;"""""
)
)
)&lt;&gt;""""
),
1
),
""""
)"),"ARRENDAMIENTO")</f>
        <v>ARRENDAMIENTO</v>
      </c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</row>
    <row r="186">
      <c r="A186" s="32"/>
      <c r="B186" s="32"/>
      <c r="C186" s="29" t="s">
        <v>218</v>
      </c>
      <c r="D186" s="29" t="s">
        <v>1045</v>
      </c>
      <c r="E186" s="32"/>
      <c r="F186" s="32"/>
      <c r="G186" s="28" t="s">
        <v>74</v>
      </c>
      <c r="H186" s="28">
        <f t="array" ref="H186">INDEX(CC!C:C,MATCH(1,(CC!A:A=G186)*(CC!B:B=I186),0))</f>
        <v>1502</v>
      </c>
      <c r="I186" s="28" t="s">
        <v>25</v>
      </c>
      <c r="J186" s="31">
        <v>6015.3</v>
      </c>
      <c r="K186" s="28" t="str">
        <f>IFERROR(__xludf.DUMMYFUNCTION("IFERROR(
INDEX(
FILTER(
MAP(
reglas!$B$2:$B$240,
reglas!$C$2:$C$240,
reglas!$D$2:$D$240,
reglas!$E$2:$E$240,
LAMBDA(rEmisor,rPatron,rConcepto,rTipo,
IF(
AND(
OR(
UPPER(TRIM(rEmisor))=UPPER(TRIM(C186)),
UPPER(TRIM(rEmisor))=""CUALQUIERA""
),
OR(
UPPER(TRIM"&amp;"(rTipo))=""SOLO EMISOR"",
AND(
UPPER(TRIM(rTipo))=""EXACTA"",
UPPER(TRIM(AG186))=UPPER(TRIM(rPatron))
),
AND(
OR(
UPPER(TRIM(rTipo))=""CONTIENE"",
UPPER(TRIM(rTipo))=""COINCIDENCIA""
),
ISNUMBER(SEARCH(UPPER(TRIM(rPatron)),UPPER(TRIM(D186))))
)
)
),
rConc"&amp;"epto,
""""
)
)
),
MAP(
reglas!$B$2:$B$240,
reglas!$C$2:$C$240,
reglas!$D$2:$D$240,
reglas!$E$2:$E$240,
LAMBDA(rEmisor,rPatron,rConcepto,rTipo,
IF(
AND(
OR(
UPPER(TRIM(rEmisor))=UPPER(TRIM(C186)),
UPPER(TRIM(rEmisor))=""CUALQUIERA""
),
OR(
UPPER(TRIM(rTipo"&amp;"))=""SOLO EMISOR"",
AND(
UPPER(TRIM(rTipo))=""EXACTA"",
UPPER(TRIM(D186))=UPPER(TRIM(rPatron))
),
AND(
OR(
UPPER(TRIM(rTipo))=""CONTIENE"",
UPPER(TRIM(rTipo))=""COINCIDENCIA""
),
ISNUMBER(SEARCH(UPPER(TRIM(rPatron)),UPPER(TRIM(D186))))
)
)
),
rConcepto,
"&amp;"""""
)
)
)&lt;&gt;""""
),
1
),
""""
)"),"ARRENDAMIENTO")</f>
        <v>ARRENDAMIENTO</v>
      </c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</row>
    <row r="187">
      <c r="A187" s="28">
        <v>1.0</v>
      </c>
      <c r="B187" s="28" t="s">
        <v>29</v>
      </c>
      <c r="C187" s="29" t="s">
        <v>281</v>
      </c>
      <c r="D187" s="29" t="s">
        <v>1046</v>
      </c>
      <c r="E187" s="28">
        <v>700.0</v>
      </c>
      <c r="F187" s="28">
        <v>0.0</v>
      </c>
      <c r="G187" s="28" t="s">
        <v>84</v>
      </c>
      <c r="H187" s="28">
        <f t="array" ref="H187">INDEX(CC!C:C,MATCH(1,(CC!A:A=G187)*(CC!B:B=I187),0))</f>
        <v>1002</v>
      </c>
      <c r="I187" s="28" t="s">
        <v>25</v>
      </c>
      <c r="J187" s="31">
        <v>700.0</v>
      </c>
      <c r="K187" s="28" t="str">
        <f>IFERROR(__xludf.DUMMYFUNCTION("IFERROR(
INDEX(
FILTER(
MAP(
reglas!$B$2:$B$240,
reglas!$C$2:$C$240,
reglas!$D$2:$D$240,
reglas!$E$2:$E$240,
LAMBDA(rEmisor,rPatron,rConcepto,rTipo,
IF(
AND(
OR(
UPPER(TRIM(rEmisor))=UPPER(TRIM(C187)),
UPPER(TRIM(rEmisor))=""CUALQUIERA""
),
OR(
UPPER(TRIM"&amp;"(rTipo))=""SOLO EMISOR"",
AND(
UPPER(TRIM(rTipo))=""EXACTA"",
UPPER(TRIM(AG187))=UPPER(TRIM(rPatron))
),
AND(
OR(
UPPER(TRIM(rTipo))=""CONTIENE"",
UPPER(TRIM(rTipo))=""COINCIDENCIA""
),
ISNUMBER(SEARCH(UPPER(TRIM(rPatron)),UPPER(TRIM(D187))))
)
)
),
rConc"&amp;"epto,
""""
)
)
),
MAP(
reglas!$B$2:$B$240,
reglas!$C$2:$C$240,
reglas!$D$2:$D$240,
reglas!$E$2:$E$240,
LAMBDA(rEmisor,rPatron,rConcepto,rTipo,
IF(
AND(
OR(
UPPER(TRIM(rEmisor))=UPPER(TRIM(C187)),
UPPER(TRIM(rEmisor))=""CUALQUIERA""
),
OR(
UPPER(TRIM(rTipo"&amp;"))=""SOLO EMISOR"",
AND(
UPPER(TRIM(rTipo))=""EXACTA"",
UPPER(TRIM(D187))=UPPER(TRIM(rPatron))
),
AND(
OR(
UPPER(TRIM(rTipo))=""CONTIENE"",
UPPER(TRIM(rTipo))=""COINCIDENCIA""
),
ISNUMBER(SEARCH(UPPER(TRIM(rPatron)),UPPER(TRIM(D187))))
)
)
),
rConcepto,
"&amp;"""""
)
)
)&lt;&gt;""""
),
1
),
""""
)"),"TRANSPORTE")</f>
        <v>TRANSPORTE</v>
      </c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</row>
    <row r="188">
      <c r="A188" s="32"/>
      <c r="B188" s="28" t="s">
        <v>29</v>
      </c>
      <c r="C188" s="29" t="s">
        <v>278</v>
      </c>
      <c r="D188" s="29" t="s">
        <v>560</v>
      </c>
      <c r="E188" s="30">
        <v>3500.0</v>
      </c>
      <c r="F188" s="28">
        <v>0.0</v>
      </c>
      <c r="G188" s="28" t="s">
        <v>250</v>
      </c>
      <c r="H188" s="28">
        <f t="array" ref="H188">INDEX(CC!C:C,MATCH(1,(CC!A:A=G188)*(CC!B:B=I188),0))</f>
        <v>1402</v>
      </c>
      <c r="I188" s="28" t="s">
        <v>25</v>
      </c>
      <c r="J188" s="31">
        <v>3500.0</v>
      </c>
      <c r="K188" s="28" t="str">
        <f>IFERROR(__xludf.DUMMYFUNCTION("IFERROR(
INDEX(
FILTER(
MAP(
reglas!$B$2:$B$240,
reglas!$C$2:$C$240,
reglas!$D$2:$D$240,
reglas!$E$2:$E$240,
LAMBDA(rEmisor,rPatron,rConcepto,rTipo,
IF(
AND(
OR(
UPPER(TRIM(rEmisor))=UPPER(TRIM(C188)),
UPPER(TRIM(rEmisor))=""CUALQUIERA""
),
OR(
UPPER(TRIM"&amp;"(rTipo))=""SOLO EMISOR"",
AND(
UPPER(TRIM(rTipo))=""EXACTA"",
UPPER(TRIM(AG188))=UPPER(TRIM(rPatron))
),
AND(
OR(
UPPER(TRIM(rTipo))=""CONTIENE"",
UPPER(TRIM(rTipo))=""COINCIDENCIA""
),
ISNUMBER(SEARCH(UPPER(TRIM(rPatron)),UPPER(TRIM(D188))))
)
)
),
rConc"&amp;"epto,
""""
)
)
),
MAP(
reglas!$B$2:$B$240,
reglas!$C$2:$C$240,
reglas!$D$2:$D$240,
reglas!$E$2:$E$240,
LAMBDA(rEmisor,rPatron,rConcepto,rTipo,
IF(
AND(
OR(
UPPER(TRIM(rEmisor))=UPPER(TRIM(C188)),
UPPER(TRIM(rEmisor))=""CUALQUIERA""
),
OR(
UPPER(TRIM(rTipo"&amp;"))=""SOLO EMISOR"",
AND(
UPPER(TRIM(rTipo))=""EXACTA"",
UPPER(TRIM(D188))=UPPER(TRIM(rPatron))
),
AND(
OR(
UPPER(TRIM(rTipo))=""CONTIENE"",
UPPER(TRIM(rTipo))=""COINCIDENCIA""
),
ISNUMBER(SEARCH(UPPER(TRIM(rPatron)),UPPER(TRIM(D188))))
)
)
),
rConcepto,
"&amp;"""""
)
)
)&lt;&gt;""""
),
1
),
""""
)"),"MANIOBRAS")</f>
        <v>MANIOBRAS</v>
      </c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</row>
    <row r="189">
      <c r="A189" s="32"/>
      <c r="B189" s="28" t="s">
        <v>29</v>
      </c>
      <c r="C189" s="29" t="s">
        <v>172</v>
      </c>
      <c r="D189" s="29" t="s">
        <v>1047</v>
      </c>
      <c r="E189" s="30">
        <v>11500.0</v>
      </c>
      <c r="F189" s="28">
        <v>0.0</v>
      </c>
      <c r="G189" s="28" t="s">
        <v>250</v>
      </c>
      <c r="H189" s="28">
        <f t="array" ref="H189">INDEX(CC!C:C,MATCH(1,(CC!A:A=G189)*(CC!B:B=I189),0))</f>
        <v>1402</v>
      </c>
      <c r="I189" s="28" t="s">
        <v>25</v>
      </c>
      <c r="J189" s="31">
        <v>11500.0</v>
      </c>
      <c r="K189" s="28" t="str">
        <f>IFERROR(__xludf.DUMMYFUNCTION("IFERROR(
INDEX(
FILTER(
MAP(
reglas!$B$2:$B$240,
reglas!$C$2:$C$240,
reglas!$D$2:$D$240,
reglas!$E$2:$E$240,
LAMBDA(rEmisor,rPatron,rConcepto,rTipo,
IF(
AND(
OR(
UPPER(TRIM(rEmisor))=UPPER(TRIM(C189)),
UPPER(TRIM(rEmisor))=""CUALQUIERA""
),
OR(
UPPER(TRIM"&amp;"(rTipo))=""SOLO EMISOR"",
AND(
UPPER(TRIM(rTipo))=""EXACTA"",
UPPER(TRIM(AG189))=UPPER(TRIM(rPatron))
),
AND(
OR(
UPPER(TRIM(rTipo))=""CONTIENE"",
UPPER(TRIM(rTipo))=""COINCIDENCIA""
),
ISNUMBER(SEARCH(UPPER(TRIM(rPatron)),UPPER(TRIM(D189))))
)
)
),
rConc"&amp;"epto,
""""
)
)
),
MAP(
reglas!$B$2:$B$240,
reglas!$C$2:$C$240,
reglas!$D$2:$D$240,
reglas!$E$2:$E$240,
LAMBDA(rEmisor,rPatron,rConcepto,rTipo,
IF(
AND(
OR(
UPPER(TRIM(rEmisor))=UPPER(TRIM(C189)),
UPPER(TRIM(rEmisor))=""CUALQUIERA""
),
OR(
UPPER(TRIM(rTipo"&amp;"))=""SOLO EMISOR"",
AND(
UPPER(TRIM(rTipo))=""EXACTA"",
UPPER(TRIM(D189))=UPPER(TRIM(rPatron))
),
AND(
OR(
UPPER(TRIM(rTipo))=""CONTIENE"",
UPPER(TRIM(rTipo))=""COINCIDENCIA""
),
ISNUMBER(SEARCH(UPPER(TRIM(rPatron)),UPPER(TRIM(D189))))
)
)
),
rConcepto,
"&amp;"""""
)
)
)&lt;&gt;""""
),
1
),
""""
)"),"TRANSPORTE")</f>
        <v>TRANSPORTE</v>
      </c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</row>
    <row r="190">
      <c r="A190" s="28">
        <v>1.0</v>
      </c>
      <c r="B190" s="28" t="s">
        <v>29</v>
      </c>
      <c r="C190" s="29" t="s">
        <v>466</v>
      </c>
      <c r="D190" s="29" t="s">
        <v>368</v>
      </c>
      <c r="E190" s="28">
        <v>261.0</v>
      </c>
      <c r="F190" s="28">
        <v>0.0</v>
      </c>
      <c r="G190" s="28" t="s">
        <v>551</v>
      </c>
      <c r="H190" s="28">
        <f t="array" ref="H190">INDEX(CC!C:C,MATCH(1,(CC!A:A=G190)*(CC!B:B=I190),0))</f>
        <v>1203</v>
      </c>
      <c r="I190" s="28" t="s">
        <v>44</v>
      </c>
      <c r="J190" s="31">
        <v>261.0</v>
      </c>
      <c r="K190" s="28" t="str">
        <f>IFERROR(__xludf.DUMMYFUNCTION("IFERROR(
INDEX(
FILTER(
MAP(
reglas!$B$2:$B$240,
reglas!$C$2:$C$240,
reglas!$D$2:$D$240,
reglas!$E$2:$E$240,
LAMBDA(rEmisor,rPatron,rConcepto,rTipo,
IF(
AND(
OR(
UPPER(TRIM(rEmisor))=UPPER(TRIM(C190)),
UPPER(TRIM(rEmisor))=""CUALQUIERA""
),
OR(
UPPER(TRIM"&amp;"(rTipo))=""SOLO EMISOR"",
AND(
UPPER(TRIM(rTipo))=""EXACTA"",
UPPER(TRIM(AG190))=UPPER(TRIM(rPatron))
),
AND(
OR(
UPPER(TRIM(rTipo))=""CONTIENE"",
UPPER(TRIM(rTipo))=""COINCIDENCIA""
),
ISNUMBER(SEARCH(UPPER(TRIM(rPatron)),UPPER(TRIM(D190))))
)
)
),
rConc"&amp;"epto,
""""
)
)
),
MAP(
reglas!$B$2:$B$240,
reglas!$C$2:$C$240,
reglas!$D$2:$D$240,
reglas!$E$2:$E$240,
LAMBDA(rEmisor,rPatron,rConcepto,rTipo,
IF(
AND(
OR(
UPPER(TRIM(rEmisor))=UPPER(TRIM(C190)),
UPPER(TRIM(rEmisor))=""CUALQUIERA""
),
OR(
UPPER(TRIM(rTipo"&amp;"))=""SOLO EMISOR"",
AND(
UPPER(TRIM(rTipo))=""EXACTA"",
UPPER(TRIM(D190))=UPPER(TRIM(rPatron))
),
AND(
OR(
UPPER(TRIM(rTipo))=""CONTIENE"",
UPPER(TRIM(rTipo))=""COINCIDENCIA""
),
ISNUMBER(SEARCH(UPPER(TRIM(rPatron)),UPPER(TRIM(D190))))
)
)
),
rConcepto,
"&amp;"""""
)
)
)&lt;&gt;""""
),
1
),
""""
)"),"MANIOBRAS")</f>
        <v>MANIOBRAS</v>
      </c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</row>
    <row r="191">
      <c r="A191" s="32"/>
      <c r="B191" s="32"/>
      <c r="C191" s="29" t="s">
        <v>466</v>
      </c>
      <c r="D191" s="29" t="s">
        <v>369</v>
      </c>
      <c r="E191" s="28">
        <v>163.79</v>
      </c>
      <c r="F191" s="28">
        <v>0.0</v>
      </c>
      <c r="G191" s="28" t="s">
        <v>551</v>
      </c>
      <c r="H191" s="28">
        <f t="array" ref="H191">INDEX(CC!C:C,MATCH(1,(CC!A:A=G191)*(CC!B:B=I191),0))</f>
        <v>1203</v>
      </c>
      <c r="I191" s="28" t="s">
        <v>44</v>
      </c>
      <c r="J191" s="31">
        <v>163.79</v>
      </c>
      <c r="K191" s="28" t="str">
        <f>IFERROR(__xludf.DUMMYFUNCTION("IFERROR(
INDEX(
FILTER(
MAP(
reglas!$B$2:$B$240,
reglas!$C$2:$C$240,
reglas!$D$2:$D$240,
reglas!$E$2:$E$240,
LAMBDA(rEmisor,rPatron,rConcepto,rTipo,
IF(
AND(
OR(
UPPER(TRIM(rEmisor))=UPPER(TRIM(C191)),
UPPER(TRIM(rEmisor))=""CUALQUIERA""
),
OR(
UPPER(TRIM"&amp;"(rTipo))=""SOLO EMISOR"",
AND(
UPPER(TRIM(rTipo))=""EXACTA"",
UPPER(TRIM(AG191))=UPPER(TRIM(rPatron))
),
AND(
OR(
UPPER(TRIM(rTipo))=""CONTIENE"",
UPPER(TRIM(rTipo))=""COINCIDENCIA""
),
ISNUMBER(SEARCH(UPPER(TRIM(rPatron)),UPPER(TRIM(D191))))
)
)
),
rConc"&amp;"epto,
""""
)
)
),
MAP(
reglas!$B$2:$B$240,
reglas!$C$2:$C$240,
reglas!$D$2:$D$240,
reglas!$E$2:$E$240,
LAMBDA(rEmisor,rPatron,rConcepto,rTipo,
IF(
AND(
OR(
UPPER(TRIM(rEmisor))=UPPER(TRIM(C191)),
UPPER(TRIM(rEmisor))=""CUALQUIERA""
),
OR(
UPPER(TRIM(rTipo"&amp;"))=""SOLO EMISOR"",
AND(
UPPER(TRIM(rTipo))=""EXACTA"",
UPPER(TRIM(D191))=UPPER(TRIM(rPatron))
),
AND(
OR(
UPPER(TRIM(rTipo))=""CONTIENE"",
UPPER(TRIM(rTipo))=""COINCIDENCIA""
),
ISNUMBER(SEARCH(UPPER(TRIM(rPatron)),UPPER(TRIM(D191))))
)
)
),
rConcepto,
"&amp;"""""
)
)
)&lt;&gt;""""
),
1
),
""""
)"),"MANIOBRAS")</f>
        <v>MANIOBRAS</v>
      </c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</row>
    <row r="192">
      <c r="A192" s="32"/>
      <c r="B192" s="32"/>
      <c r="C192" s="29" t="s">
        <v>466</v>
      </c>
      <c r="D192" s="29" t="s">
        <v>932</v>
      </c>
      <c r="E192" s="30">
        <v>16434.0</v>
      </c>
      <c r="F192" s="28">
        <v>0.0</v>
      </c>
      <c r="G192" s="28" t="s">
        <v>551</v>
      </c>
      <c r="H192" s="28">
        <f t="array" ref="H192">INDEX(CC!C:C,MATCH(1,(CC!A:A=G192)*(CC!B:B=I192),0))</f>
        <v>1203</v>
      </c>
      <c r="I192" s="28" t="s">
        <v>44</v>
      </c>
      <c r="J192" s="31">
        <v>16434.0</v>
      </c>
      <c r="K192" s="28" t="str">
        <f>IFERROR(__xludf.DUMMYFUNCTION("IFERROR(
INDEX(
FILTER(
MAP(
reglas!$B$2:$B$240,
reglas!$C$2:$C$240,
reglas!$D$2:$D$240,
reglas!$E$2:$E$240,
LAMBDA(rEmisor,rPatron,rConcepto,rTipo,
IF(
AND(
OR(
UPPER(TRIM(rEmisor))=UPPER(TRIM(C192)),
UPPER(TRIM(rEmisor))=""CUALQUIERA""
),
OR(
UPPER(TRIM"&amp;"(rTipo))=""SOLO EMISOR"",
AND(
UPPER(TRIM(rTipo))=""EXACTA"",
UPPER(TRIM(AG192))=UPPER(TRIM(rPatron))
),
AND(
OR(
UPPER(TRIM(rTipo))=""CONTIENE"",
UPPER(TRIM(rTipo))=""COINCIDENCIA""
),
ISNUMBER(SEARCH(UPPER(TRIM(rPatron)),UPPER(TRIM(D192))))
)
)
),
rConc"&amp;"epto,
""""
)
)
),
MAP(
reglas!$B$2:$B$240,
reglas!$C$2:$C$240,
reglas!$D$2:$D$240,
reglas!$E$2:$E$240,
LAMBDA(rEmisor,rPatron,rConcepto,rTipo,
IF(
AND(
OR(
UPPER(TRIM(rEmisor))=UPPER(TRIM(C192)),
UPPER(TRIM(rEmisor))=""CUALQUIERA""
),
OR(
UPPER(TRIM(rTipo"&amp;"))=""SOLO EMISOR"",
AND(
UPPER(TRIM(rTipo))=""EXACTA"",
UPPER(TRIM(D192))=UPPER(TRIM(rPatron))
),
AND(
OR(
UPPER(TRIM(rTipo))=""CONTIENE"",
UPPER(TRIM(rTipo))=""COINCIDENCIA""
),
ISNUMBER(SEARCH(UPPER(TRIM(rPatron)),UPPER(TRIM(D192))))
)
)
),
rConcepto,
"&amp;"""""
)
)
)&lt;&gt;""""
),
1
),
""""
)"),"MANIOBRAS")</f>
        <v>MANIOBRAS</v>
      </c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</row>
    <row r="193">
      <c r="A193" s="32"/>
      <c r="B193" s="32"/>
      <c r="C193" s="29" t="s">
        <v>466</v>
      </c>
      <c r="D193" s="29" t="s">
        <v>933</v>
      </c>
      <c r="E193" s="28">
        <v>922.0</v>
      </c>
      <c r="F193" s="28">
        <v>0.0</v>
      </c>
      <c r="G193" s="28" t="s">
        <v>551</v>
      </c>
      <c r="H193" s="28">
        <f t="array" ref="H193">INDEX(CC!C:C,MATCH(1,(CC!A:A=G193)*(CC!B:B=I193),0))</f>
        <v>1203</v>
      </c>
      <c r="I193" s="28" t="s">
        <v>44</v>
      </c>
      <c r="J193" s="31">
        <v>922.0</v>
      </c>
      <c r="K193" s="28" t="str">
        <f>IFERROR(__xludf.DUMMYFUNCTION("IFERROR(
INDEX(
FILTER(
MAP(
reglas!$B$2:$B$240,
reglas!$C$2:$C$240,
reglas!$D$2:$D$240,
reglas!$E$2:$E$240,
LAMBDA(rEmisor,rPatron,rConcepto,rTipo,
IF(
AND(
OR(
UPPER(TRIM(rEmisor))=UPPER(TRIM(C193)),
UPPER(TRIM(rEmisor))=""CUALQUIERA""
),
OR(
UPPER(TRIM"&amp;"(rTipo))=""SOLO EMISOR"",
AND(
UPPER(TRIM(rTipo))=""EXACTA"",
UPPER(TRIM(AG193))=UPPER(TRIM(rPatron))
),
AND(
OR(
UPPER(TRIM(rTipo))=""CONTIENE"",
UPPER(TRIM(rTipo))=""COINCIDENCIA""
),
ISNUMBER(SEARCH(UPPER(TRIM(rPatron)),UPPER(TRIM(D193))))
)
)
),
rConc"&amp;"epto,
""""
)
)
),
MAP(
reglas!$B$2:$B$240,
reglas!$C$2:$C$240,
reglas!$D$2:$D$240,
reglas!$E$2:$E$240,
LAMBDA(rEmisor,rPatron,rConcepto,rTipo,
IF(
AND(
OR(
UPPER(TRIM(rEmisor))=UPPER(TRIM(C193)),
UPPER(TRIM(rEmisor))=""CUALQUIERA""
),
OR(
UPPER(TRIM(rTipo"&amp;"))=""SOLO EMISOR"",
AND(
UPPER(TRIM(rTipo))=""EXACTA"",
UPPER(TRIM(D193))=UPPER(TRIM(rPatron))
),
AND(
OR(
UPPER(TRIM(rTipo))=""CONTIENE"",
UPPER(TRIM(rTipo))=""COINCIDENCIA""
),
ISNUMBER(SEARCH(UPPER(TRIM(rPatron)),UPPER(TRIM(D193))))
)
)
),
rConcepto,
"&amp;"""""
)
)
)&lt;&gt;""""
),
1
),
""""
)"),"MANIOBRAS")</f>
        <v>MANIOBRAS</v>
      </c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</row>
    <row r="194">
      <c r="A194" s="28">
        <v>1.0</v>
      </c>
      <c r="B194" s="28" t="s">
        <v>29</v>
      </c>
      <c r="C194" s="29" t="s">
        <v>375</v>
      </c>
      <c r="D194" s="29" t="s">
        <v>384</v>
      </c>
      <c r="E194" s="30">
        <v>1618.65</v>
      </c>
      <c r="F194" s="28">
        <v>0.0</v>
      </c>
      <c r="G194" s="28" t="s">
        <v>551</v>
      </c>
      <c r="H194" s="28">
        <f t="array" ref="H194">INDEX(CC!C:C,MATCH(1,(CC!A:A=G194)*(CC!B:B=I194),0))</f>
        <v>1202</v>
      </c>
      <c r="I194" s="28" t="s">
        <v>25</v>
      </c>
      <c r="J194" s="31">
        <v>1618.65</v>
      </c>
      <c r="K194" s="28" t="str">
        <f>IFERROR(__xludf.DUMMYFUNCTION("IFERROR(
INDEX(
FILTER(
MAP(
reglas!$B$2:$B$240,
reglas!$C$2:$C$240,
reglas!$D$2:$D$240,
reglas!$E$2:$E$240,
LAMBDA(rEmisor,rPatron,rConcepto,rTipo,
IF(
AND(
OR(
UPPER(TRIM(rEmisor))=UPPER(TRIM(C194)),
UPPER(TRIM(rEmisor))=""CUALQUIERA""
),
OR(
UPPER(TRIM"&amp;"(rTipo))=""SOLO EMISOR"",
AND(
UPPER(TRIM(rTipo))=""EXACTA"",
UPPER(TRIM(AG194))=UPPER(TRIM(rPatron))
),
AND(
OR(
UPPER(TRIM(rTipo))=""CONTIENE"",
UPPER(TRIM(rTipo))=""COINCIDENCIA""
),
ISNUMBER(SEARCH(UPPER(TRIM(rPatron)),UPPER(TRIM(D194))))
)
)
),
rConc"&amp;"epto,
""""
)
)
),
MAP(
reglas!$B$2:$B$240,
reglas!$C$2:$C$240,
reglas!$D$2:$D$240,
reglas!$E$2:$E$240,
LAMBDA(rEmisor,rPatron,rConcepto,rTipo,
IF(
AND(
OR(
UPPER(TRIM(rEmisor))=UPPER(TRIM(C194)),
UPPER(TRIM(rEmisor))=""CUALQUIERA""
),
OR(
UPPER(TRIM(rTipo"&amp;"))=""SOLO EMISOR"",
AND(
UPPER(TRIM(rTipo))=""EXACTA"",
UPPER(TRIM(D194))=UPPER(TRIM(rPatron))
),
AND(
OR(
UPPER(TRIM(rTipo))=""CONTIENE"",
UPPER(TRIM(rTipo))=""COINCIDENCIA""
),
ISNUMBER(SEARCH(UPPER(TRIM(rPatron)),UPPER(TRIM(D194))))
)
)
),
rConcepto,
"&amp;"""""
)
)
)&lt;&gt;""""
),
1
),
""""
)"),"MANIOBRAS")</f>
        <v>MANIOBRAS</v>
      </c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</row>
    <row r="195">
      <c r="A195" s="32"/>
      <c r="B195" s="28" t="s">
        <v>29</v>
      </c>
      <c r="C195" s="29" t="s">
        <v>346</v>
      </c>
      <c r="D195" s="29" t="s">
        <v>347</v>
      </c>
      <c r="E195" s="30">
        <v>5415.63</v>
      </c>
      <c r="F195" s="28">
        <v>0.0</v>
      </c>
      <c r="G195" s="28" t="s">
        <v>539</v>
      </c>
      <c r="H195" s="28">
        <f t="array" ref="H195">INDEX(CC!C:C,MATCH(1,(CC!A:A=G195)*(CC!B:B=I195),0))</f>
        <v>1303</v>
      </c>
      <c r="I195" s="28" t="s">
        <v>44</v>
      </c>
      <c r="J195" s="31">
        <v>5415.63</v>
      </c>
      <c r="K195" s="28" t="str">
        <f>IFERROR(__xludf.DUMMYFUNCTION("IFERROR(
INDEX(
FILTER(
MAP(
reglas!$B$2:$B$240,
reglas!$C$2:$C$240,
reglas!$D$2:$D$240,
reglas!$E$2:$E$240,
LAMBDA(rEmisor,rPatron,rConcepto,rTipo,
IF(
AND(
OR(
UPPER(TRIM(rEmisor))=UPPER(TRIM(C195)),
UPPER(TRIM(rEmisor))=""CUALQUIERA""
),
OR(
UPPER(TRIM"&amp;"(rTipo))=""SOLO EMISOR"",
AND(
UPPER(TRIM(rTipo))=""EXACTA"",
UPPER(TRIM(AG195))=UPPER(TRIM(rPatron))
),
AND(
OR(
UPPER(TRIM(rTipo))=""CONTIENE"",
UPPER(TRIM(rTipo))=""COINCIDENCIA""
),
ISNUMBER(SEARCH(UPPER(TRIM(rPatron)),UPPER(TRIM(D195))))
)
)
),
rConc"&amp;"epto,
""""
)
)
),
MAP(
reglas!$B$2:$B$240,
reglas!$C$2:$C$240,
reglas!$D$2:$D$240,
reglas!$E$2:$E$240,
LAMBDA(rEmisor,rPatron,rConcepto,rTipo,
IF(
AND(
OR(
UPPER(TRIM(rEmisor))=UPPER(TRIM(C195)),
UPPER(TRIM(rEmisor))=""CUALQUIERA""
),
OR(
UPPER(TRIM(rTipo"&amp;"))=""SOLO EMISOR"",
AND(
UPPER(TRIM(rTipo))=""EXACTA"",
UPPER(TRIM(D195))=UPPER(TRIM(rPatron))
),
AND(
OR(
UPPER(TRIM(rTipo))=""CONTIENE"",
UPPER(TRIM(rTipo))=""COINCIDENCIA""
),
ISNUMBER(SEARCH(UPPER(TRIM(rPatron)),UPPER(TRIM(D195))))
)
)
),
rConcepto,
"&amp;"""""
)
)
)&lt;&gt;""""
),
1
),
""""
)"),"TRANSPORTE")</f>
        <v>TRANSPORTE</v>
      </c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</row>
    <row r="196">
      <c r="A196" s="32"/>
      <c r="B196" s="28" t="s">
        <v>29</v>
      </c>
      <c r="C196" s="29" t="s">
        <v>1051</v>
      </c>
      <c r="D196" s="29" t="s">
        <v>1052</v>
      </c>
      <c r="E196" s="28">
        <v>43.97</v>
      </c>
      <c r="F196" s="28">
        <v>0.0</v>
      </c>
      <c r="G196" s="28" t="s">
        <v>225</v>
      </c>
      <c r="H196" s="28">
        <f t="array" ref="H196">INDEX(CC!C:C,MATCH(1,(CC!A:A=G196)*(CC!B:B=I196),0))</f>
        <v>102</v>
      </c>
      <c r="I196" s="28" t="s">
        <v>25</v>
      </c>
      <c r="J196" s="31">
        <v>43.97</v>
      </c>
      <c r="K196" s="28" t="str">
        <f>IFERROR(__xludf.DUMMYFUNCTION("IFERROR(
INDEX(
FILTER(
MAP(
reglas!$B$2:$B$240,
reglas!$C$2:$C$240,
reglas!$D$2:$D$240,
reglas!$E$2:$E$240,
LAMBDA(rEmisor,rPatron,rConcepto,rTipo,
IF(
AND(
OR(
UPPER(TRIM(rEmisor))=UPPER(TRIM(C196)),
UPPER(TRIM(rEmisor))=""CUALQUIERA""
),
OR(
UPPER(TRIM"&amp;"(rTipo))=""SOLO EMISOR"",
AND(
UPPER(TRIM(rTipo))=""EXACTA"",
UPPER(TRIM(AG196))=UPPER(TRIM(rPatron))
),
AND(
OR(
UPPER(TRIM(rTipo))=""CONTIENE"",
UPPER(TRIM(rTipo))=""COINCIDENCIA""
),
ISNUMBER(SEARCH(UPPER(TRIM(rPatron)),UPPER(TRIM(D196))))
)
)
),
rConc"&amp;"epto,
""""
)
)
),
MAP(
reglas!$B$2:$B$240,
reglas!$C$2:$C$240,
reglas!$D$2:$D$240,
reglas!$E$2:$E$240,
LAMBDA(rEmisor,rPatron,rConcepto,rTipo,
IF(
AND(
OR(
UPPER(TRIM(rEmisor))=UPPER(TRIM(C196)),
UPPER(TRIM(rEmisor))=""CUALQUIERA""
),
OR(
UPPER(TRIM(rTipo"&amp;"))=""SOLO EMISOR"",
AND(
UPPER(TRIM(rTipo))=""EXACTA"",
UPPER(TRIM(D196))=UPPER(TRIM(rPatron))
),
AND(
OR(
UPPER(TRIM(rTipo))=""CONTIENE"",
UPPER(TRIM(rTipo))=""COINCIDENCIA""
),
ISNUMBER(SEARCH(UPPER(TRIM(rPatron)),UPPER(TRIM(D196))))
)
)
),
rConcepto,
"&amp;"""""
)
)
)&lt;&gt;""""
),
1
),
""""
)"),"")</f>
        <v/>
      </c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</row>
    <row r="197">
      <c r="A197" s="28">
        <v>1.0</v>
      </c>
      <c r="B197" s="28" t="s">
        <v>29</v>
      </c>
      <c r="C197" s="29" t="s">
        <v>466</v>
      </c>
      <c r="D197" s="29" t="s">
        <v>1053</v>
      </c>
      <c r="E197" s="30">
        <v>3000.0</v>
      </c>
      <c r="F197" s="28">
        <v>0.0</v>
      </c>
      <c r="G197" s="28" t="s">
        <v>551</v>
      </c>
      <c r="H197" s="28">
        <f t="array" ref="H197">INDEX(CC!C:C,MATCH(1,(CC!A:A=G197)*(CC!B:B=I197),0))</f>
        <v>1203</v>
      </c>
      <c r="I197" s="28" t="s">
        <v>44</v>
      </c>
      <c r="J197" s="31">
        <v>3000.0</v>
      </c>
      <c r="K197" s="28" t="str">
        <f>IFERROR(__xludf.DUMMYFUNCTION("IFERROR(
INDEX(
FILTER(
MAP(
reglas!$B$2:$B$240,
reglas!$C$2:$C$240,
reglas!$D$2:$D$240,
reglas!$E$2:$E$240,
LAMBDA(rEmisor,rPatron,rConcepto,rTipo,
IF(
AND(
OR(
UPPER(TRIM(rEmisor))=UPPER(TRIM(C197)),
UPPER(TRIM(rEmisor))=""CUALQUIERA""
),
OR(
UPPER(TRIM"&amp;"(rTipo))=""SOLO EMISOR"",
AND(
UPPER(TRIM(rTipo))=""EXACTA"",
UPPER(TRIM(AG197))=UPPER(TRIM(rPatron))
),
AND(
OR(
UPPER(TRIM(rTipo))=""CONTIENE"",
UPPER(TRIM(rTipo))=""COINCIDENCIA""
),
ISNUMBER(SEARCH(UPPER(TRIM(rPatron)),UPPER(TRIM(D197))))
)
)
),
rConc"&amp;"epto,
""""
)
)
),
MAP(
reglas!$B$2:$B$240,
reglas!$C$2:$C$240,
reglas!$D$2:$D$240,
reglas!$E$2:$E$240,
LAMBDA(rEmisor,rPatron,rConcepto,rTipo,
IF(
AND(
OR(
UPPER(TRIM(rEmisor))=UPPER(TRIM(C197)),
UPPER(TRIM(rEmisor))=""CUALQUIERA""
),
OR(
UPPER(TRIM(rTipo"&amp;"))=""SOLO EMISOR"",
AND(
UPPER(TRIM(rTipo))=""EXACTA"",
UPPER(TRIM(D197))=UPPER(TRIM(rPatron))
),
AND(
OR(
UPPER(TRIM(rTipo))=""CONTIENE"",
UPPER(TRIM(rTipo))=""COINCIDENCIA""
),
ISNUMBER(SEARCH(UPPER(TRIM(rPatron)),UPPER(TRIM(D197))))
)
)
),
rConcepto,
"&amp;"""""
)
)
)&lt;&gt;""""
),
1
),
""""
)"),"MANIOBRAS")</f>
        <v>MANIOBRAS</v>
      </c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</row>
    <row r="198">
      <c r="A198" s="28">
        <v>1.0</v>
      </c>
      <c r="B198" s="28" t="s">
        <v>29</v>
      </c>
      <c r="C198" s="29" t="s">
        <v>96</v>
      </c>
      <c r="D198" s="29" t="s">
        <v>77</v>
      </c>
      <c r="E198" s="28">
        <v>866.68</v>
      </c>
      <c r="F198" s="28">
        <v>0.0</v>
      </c>
      <c r="G198" s="28" t="s">
        <v>74</v>
      </c>
      <c r="H198" s="28">
        <f t="array" ref="H198">INDEX(CC!C:C,MATCH(1,(CC!A:A=G198)*(CC!B:B=I198),0))</f>
        <v>1503</v>
      </c>
      <c r="I198" s="28" t="s">
        <v>44</v>
      </c>
      <c r="J198" s="31">
        <v>866.68</v>
      </c>
      <c r="K198" s="28" t="str">
        <f>IFERROR(__xludf.DUMMYFUNCTION("IFERROR(
INDEX(
FILTER(
MAP(
reglas!$B$2:$B$240,
reglas!$C$2:$C$240,
reglas!$D$2:$D$240,
reglas!$E$2:$E$240,
LAMBDA(rEmisor,rPatron,rConcepto,rTipo,
IF(
AND(
OR(
UPPER(TRIM(rEmisor))=UPPER(TRIM(C198)),
UPPER(TRIM(rEmisor))=""CUALQUIERA""
),
OR(
UPPER(TRIM"&amp;"(rTipo))=""SOLO EMISOR"",
AND(
UPPER(TRIM(rTipo))=""EXACTA"",
UPPER(TRIM(AG198))=UPPER(TRIM(rPatron))
),
AND(
OR(
UPPER(TRIM(rTipo))=""CONTIENE"",
UPPER(TRIM(rTipo))=""COINCIDENCIA""
),
ISNUMBER(SEARCH(UPPER(TRIM(rPatron)),UPPER(TRIM(D198))))
)
)
),
rConc"&amp;"epto,
""""
)
)
),
MAP(
reglas!$B$2:$B$240,
reglas!$C$2:$C$240,
reglas!$D$2:$D$240,
reglas!$E$2:$E$240,
LAMBDA(rEmisor,rPatron,rConcepto,rTipo,
IF(
AND(
OR(
UPPER(TRIM(rEmisor))=UPPER(TRIM(C198)),
UPPER(TRIM(rEmisor))=""CUALQUIERA""
),
OR(
UPPER(TRIM(rTipo"&amp;"))=""SOLO EMISOR"",
AND(
UPPER(TRIM(rTipo))=""EXACTA"",
UPPER(TRIM(D198))=UPPER(TRIM(rPatron))
),
AND(
OR(
UPPER(TRIM(rTipo))=""CONTIENE"",
UPPER(TRIM(rTipo))=""COINCIDENCIA""
),
ISNUMBER(SEARCH(UPPER(TRIM(rPatron)),UPPER(TRIM(D198))))
)
)
),
rConcepto,
"&amp;"""""
)
)
)&lt;&gt;""""
),
1
),
""""
)"),"GUIAS")</f>
        <v>GUIAS</v>
      </c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</row>
    <row r="199">
      <c r="A199" s="32"/>
      <c r="B199" s="32"/>
      <c r="C199" s="29" t="s">
        <v>96</v>
      </c>
      <c r="D199" s="29" t="s">
        <v>1038</v>
      </c>
      <c r="E199" s="30">
        <v>1369.24</v>
      </c>
      <c r="F199" s="28">
        <v>0.0</v>
      </c>
      <c r="G199" s="28" t="s">
        <v>74</v>
      </c>
      <c r="H199" s="28">
        <f t="array" ref="H199">INDEX(CC!C:C,MATCH(1,(CC!A:A=G199)*(CC!B:B=I199),0))</f>
        <v>1503</v>
      </c>
      <c r="I199" s="28" t="s">
        <v>44</v>
      </c>
      <c r="J199" s="31">
        <v>1369.24</v>
      </c>
      <c r="K199" s="28" t="str">
        <f>IFERROR(__xludf.DUMMYFUNCTION("IFERROR(
INDEX(
FILTER(
MAP(
reglas!$B$2:$B$240,
reglas!$C$2:$C$240,
reglas!$D$2:$D$240,
reglas!$E$2:$E$240,
LAMBDA(rEmisor,rPatron,rConcepto,rTipo,
IF(
AND(
OR(
UPPER(TRIM(rEmisor))=UPPER(TRIM(C199)),
UPPER(TRIM(rEmisor))=""CUALQUIERA""
),
OR(
UPPER(TRIM"&amp;"(rTipo))=""SOLO EMISOR"",
AND(
UPPER(TRIM(rTipo))=""EXACTA"",
UPPER(TRIM(AG199))=UPPER(TRIM(rPatron))
),
AND(
OR(
UPPER(TRIM(rTipo))=""CONTIENE"",
UPPER(TRIM(rTipo))=""COINCIDENCIA""
),
ISNUMBER(SEARCH(UPPER(TRIM(rPatron)),UPPER(TRIM(D199))))
)
)
),
rConc"&amp;"epto,
""""
)
)
),
MAP(
reglas!$B$2:$B$240,
reglas!$C$2:$C$240,
reglas!$D$2:$D$240,
reglas!$E$2:$E$240,
LAMBDA(rEmisor,rPatron,rConcepto,rTipo,
IF(
AND(
OR(
UPPER(TRIM(rEmisor))=UPPER(TRIM(C199)),
UPPER(TRIM(rEmisor))=""CUALQUIERA""
),
OR(
UPPER(TRIM(rTipo"&amp;"))=""SOLO EMISOR"",
AND(
UPPER(TRIM(rTipo))=""EXACTA"",
UPPER(TRIM(D199))=UPPER(TRIM(rPatron))
),
AND(
OR(
UPPER(TRIM(rTipo))=""CONTIENE"",
UPPER(TRIM(rTipo))=""COINCIDENCIA""
),
ISNUMBER(SEARCH(UPPER(TRIM(rPatron)),UPPER(TRIM(D199))))
)
)
),
rConcepto,
"&amp;"""""
)
)
)&lt;&gt;""""
),
1
),
""""
)"),"GUIAS")</f>
        <v>GUIAS</v>
      </c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</row>
    <row r="200">
      <c r="A200" s="32"/>
      <c r="B200" s="32"/>
      <c r="C200" s="29" t="s">
        <v>96</v>
      </c>
      <c r="D200" s="29" t="s">
        <v>73</v>
      </c>
      <c r="E200" s="28">
        <v>940.26</v>
      </c>
      <c r="F200" s="28">
        <v>0.0</v>
      </c>
      <c r="G200" s="28" t="s">
        <v>74</v>
      </c>
      <c r="H200" s="28">
        <f t="array" ref="H200">INDEX(CC!C:C,MATCH(1,(CC!A:A=G200)*(CC!B:B=I200),0))</f>
        <v>1503</v>
      </c>
      <c r="I200" s="28" t="s">
        <v>44</v>
      </c>
      <c r="J200" s="31">
        <v>940.26</v>
      </c>
      <c r="K200" s="28" t="str">
        <f>IFERROR(__xludf.DUMMYFUNCTION("IFERROR(
INDEX(
FILTER(
MAP(
reglas!$B$2:$B$240,
reglas!$C$2:$C$240,
reglas!$D$2:$D$240,
reglas!$E$2:$E$240,
LAMBDA(rEmisor,rPatron,rConcepto,rTipo,
IF(
AND(
OR(
UPPER(TRIM(rEmisor))=UPPER(TRIM(C200)),
UPPER(TRIM(rEmisor))=""CUALQUIERA""
),
OR(
UPPER(TRIM"&amp;"(rTipo))=""SOLO EMISOR"",
AND(
UPPER(TRIM(rTipo))=""EXACTA"",
UPPER(TRIM(AG200))=UPPER(TRIM(rPatron))
),
AND(
OR(
UPPER(TRIM(rTipo))=""CONTIENE"",
UPPER(TRIM(rTipo))=""COINCIDENCIA""
),
ISNUMBER(SEARCH(UPPER(TRIM(rPatron)),UPPER(TRIM(D200))))
)
)
),
rConc"&amp;"epto,
""""
)
)
),
MAP(
reglas!$B$2:$B$240,
reglas!$C$2:$C$240,
reglas!$D$2:$D$240,
reglas!$E$2:$E$240,
LAMBDA(rEmisor,rPatron,rConcepto,rTipo,
IF(
AND(
OR(
UPPER(TRIM(rEmisor))=UPPER(TRIM(C200)),
UPPER(TRIM(rEmisor))=""CUALQUIERA""
),
OR(
UPPER(TRIM(rTipo"&amp;"))=""SOLO EMISOR"",
AND(
UPPER(TRIM(rTipo))=""EXACTA"",
UPPER(TRIM(D200))=UPPER(TRIM(rPatron))
),
AND(
OR(
UPPER(TRIM(rTipo))=""CONTIENE"",
UPPER(TRIM(rTipo))=""COINCIDENCIA""
),
ISNUMBER(SEARCH(UPPER(TRIM(rPatron)),UPPER(TRIM(D200))))
)
)
),
rConcepto,
"&amp;"""""
)
)
)&lt;&gt;""""
),
1
),
""""
)"),"GUIAS")</f>
        <v>GUIAS</v>
      </c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</row>
    <row r="201">
      <c r="A201" s="32"/>
      <c r="B201" s="28" t="s">
        <v>29</v>
      </c>
      <c r="C201" s="29" t="s">
        <v>302</v>
      </c>
      <c r="D201" s="29" t="s">
        <v>1056</v>
      </c>
      <c r="E201" s="30">
        <v>14740.0</v>
      </c>
      <c r="F201" s="28">
        <v>0.0</v>
      </c>
      <c r="G201" s="28" t="s">
        <v>554</v>
      </c>
      <c r="H201" s="28">
        <f t="array" ref="H201">INDEX(CC!C:C,MATCH(1,(CC!A:A=G201)*(CC!B:B=I201),0))</f>
        <v>1702</v>
      </c>
      <c r="I201" s="28" t="s">
        <v>25</v>
      </c>
      <c r="J201" s="31">
        <v>14740.0</v>
      </c>
      <c r="K201" s="28" t="str">
        <f>IFERROR(__xludf.DUMMYFUNCTION("IFERROR(
INDEX(
FILTER(
MAP(
reglas!$B$2:$B$240,
reglas!$C$2:$C$240,
reglas!$D$2:$D$240,
reglas!$E$2:$E$240,
LAMBDA(rEmisor,rPatron,rConcepto,rTipo,
IF(
AND(
OR(
UPPER(TRIM(rEmisor))=UPPER(TRIM(C201)),
UPPER(TRIM(rEmisor))=""CUALQUIERA""
),
OR(
UPPER(TRIM"&amp;"(rTipo))=""SOLO EMISOR"",
AND(
UPPER(TRIM(rTipo))=""EXACTA"",
UPPER(TRIM(AG201))=UPPER(TRIM(rPatron))
),
AND(
OR(
UPPER(TRIM(rTipo))=""CONTIENE"",
UPPER(TRIM(rTipo))=""COINCIDENCIA""
),
ISNUMBER(SEARCH(UPPER(TRIM(rPatron)),UPPER(TRIM(D201))))
)
)
),
rConc"&amp;"epto,
""""
)
)
),
MAP(
reglas!$B$2:$B$240,
reglas!$C$2:$C$240,
reglas!$D$2:$D$240,
reglas!$E$2:$E$240,
LAMBDA(rEmisor,rPatron,rConcepto,rTipo,
IF(
AND(
OR(
UPPER(TRIM(rEmisor))=UPPER(TRIM(C201)),
UPPER(TRIM(rEmisor))=""CUALQUIERA""
),
OR(
UPPER(TRIM(rTipo"&amp;"))=""SOLO EMISOR"",
AND(
UPPER(TRIM(rTipo))=""EXACTA"",
UPPER(TRIM(D201))=UPPER(TRIM(rPatron))
),
AND(
OR(
UPPER(TRIM(rTipo))=""CONTIENE"",
UPPER(TRIM(rTipo))=""COINCIDENCIA""
),
ISNUMBER(SEARCH(UPPER(TRIM(rPatron)),UPPER(TRIM(D201))))
)
)
),
rConcepto,
"&amp;"""""
)
)
)&lt;&gt;""""
),
1
),
""""
)"),"TRANSPORTE")</f>
        <v>TRANSPORTE</v>
      </c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</row>
    <row r="202">
      <c r="A202" s="28">
        <v>1.0</v>
      </c>
      <c r="B202" s="28" t="s">
        <v>29</v>
      </c>
      <c r="C202" s="29" t="s">
        <v>271</v>
      </c>
      <c r="D202" s="29" t="s">
        <v>585</v>
      </c>
      <c r="E202" s="28">
        <v>633.54</v>
      </c>
      <c r="F202" s="28">
        <v>0.0</v>
      </c>
      <c r="G202" s="28" t="s">
        <v>84</v>
      </c>
      <c r="H202" s="28">
        <f t="array" ref="H202">INDEX(CC!C:C,MATCH(1,(CC!A:A=G202)*(CC!B:B=I202),0))</f>
        <v>1002</v>
      </c>
      <c r="I202" s="28" t="s">
        <v>25</v>
      </c>
      <c r="J202" s="31">
        <v>633.54</v>
      </c>
      <c r="K202" s="28" t="str">
        <f>IFERROR(__xludf.DUMMYFUNCTION("IFERROR(
INDEX(
FILTER(
MAP(
reglas!$B$2:$B$240,
reglas!$C$2:$C$240,
reglas!$D$2:$D$240,
reglas!$E$2:$E$240,
LAMBDA(rEmisor,rPatron,rConcepto,rTipo,
IF(
AND(
OR(
UPPER(TRIM(rEmisor))=UPPER(TRIM(C202)),
UPPER(TRIM(rEmisor))=""CUALQUIERA""
),
OR(
UPPER(TRIM"&amp;"(rTipo))=""SOLO EMISOR"",
AND(
UPPER(TRIM(rTipo))=""EXACTA"",
UPPER(TRIM(AG202))=UPPER(TRIM(rPatron))
),
AND(
OR(
UPPER(TRIM(rTipo))=""CONTIENE"",
UPPER(TRIM(rTipo))=""COINCIDENCIA""
),
ISNUMBER(SEARCH(UPPER(TRIM(rPatron)),UPPER(TRIM(D202))))
)
)
),
rConc"&amp;"epto,
""""
)
)
),
MAP(
reglas!$B$2:$B$240,
reglas!$C$2:$C$240,
reglas!$D$2:$D$240,
reglas!$E$2:$E$240,
LAMBDA(rEmisor,rPatron,rConcepto,rTipo,
IF(
AND(
OR(
UPPER(TRIM(rEmisor))=UPPER(TRIM(C202)),
UPPER(TRIM(rEmisor))=""CUALQUIERA""
),
OR(
UPPER(TRIM(rTipo"&amp;"))=""SOLO EMISOR"",
AND(
UPPER(TRIM(rTipo))=""EXACTA"",
UPPER(TRIM(D202))=UPPER(TRIM(rPatron))
),
AND(
OR(
UPPER(TRIM(rTipo))=""CONTIENE"",
UPPER(TRIM(rTipo))=""COINCIDENCIA""
),
ISNUMBER(SEARCH(UPPER(TRIM(rPatron)),UPPER(TRIM(D202))))
)
)
),
rConcepto,
"&amp;"""""
)
)
)&lt;&gt;""""
),
1
),
""""
)"),"MANIOBRAS")</f>
        <v>MANIOBRAS</v>
      </c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</row>
    <row r="203">
      <c r="A203" s="32"/>
      <c r="B203" s="32"/>
      <c r="C203" s="29" t="s">
        <v>271</v>
      </c>
      <c r="D203" s="29" t="s">
        <v>587</v>
      </c>
      <c r="E203" s="28">
        <v>579.65</v>
      </c>
      <c r="F203" s="28">
        <v>0.0</v>
      </c>
      <c r="G203" s="28" t="s">
        <v>84</v>
      </c>
      <c r="H203" s="28">
        <f t="array" ref="H203">INDEX(CC!C:C,MATCH(1,(CC!A:A=G203)*(CC!B:B=I203),0))</f>
        <v>1002</v>
      </c>
      <c r="I203" s="28" t="s">
        <v>25</v>
      </c>
      <c r="J203" s="31">
        <v>579.65</v>
      </c>
      <c r="K203" s="28" t="str">
        <f>IFERROR(__xludf.DUMMYFUNCTION("IFERROR(
INDEX(
FILTER(
MAP(
reglas!$B$2:$B$240,
reglas!$C$2:$C$240,
reglas!$D$2:$D$240,
reglas!$E$2:$E$240,
LAMBDA(rEmisor,rPatron,rConcepto,rTipo,
IF(
AND(
OR(
UPPER(TRIM(rEmisor))=UPPER(TRIM(C203)),
UPPER(TRIM(rEmisor))=""CUALQUIERA""
),
OR(
UPPER(TRIM"&amp;"(rTipo))=""SOLO EMISOR"",
AND(
UPPER(TRIM(rTipo))=""EXACTA"",
UPPER(TRIM(AG203))=UPPER(TRIM(rPatron))
),
AND(
OR(
UPPER(TRIM(rTipo))=""CONTIENE"",
UPPER(TRIM(rTipo))=""COINCIDENCIA""
),
ISNUMBER(SEARCH(UPPER(TRIM(rPatron)),UPPER(TRIM(D203))))
)
)
),
rConc"&amp;"epto,
""""
)
)
),
MAP(
reglas!$B$2:$B$240,
reglas!$C$2:$C$240,
reglas!$D$2:$D$240,
reglas!$E$2:$E$240,
LAMBDA(rEmisor,rPatron,rConcepto,rTipo,
IF(
AND(
OR(
UPPER(TRIM(rEmisor))=UPPER(TRIM(C203)),
UPPER(TRIM(rEmisor))=""CUALQUIERA""
),
OR(
UPPER(TRIM(rTipo"&amp;"))=""SOLO EMISOR"",
AND(
UPPER(TRIM(rTipo))=""EXACTA"",
UPPER(TRIM(D203))=UPPER(TRIM(rPatron))
),
AND(
OR(
UPPER(TRIM(rTipo))=""CONTIENE"",
UPPER(TRIM(rTipo))=""COINCIDENCIA""
),
ISNUMBER(SEARCH(UPPER(TRIM(rPatron)),UPPER(TRIM(D203))))
)
)
),
rConcepto,
"&amp;"""""
)
)
)&lt;&gt;""""
),
1
),
""""
)"),"MANIOBRAS")</f>
        <v>MANIOBRAS</v>
      </c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</row>
    <row r="204">
      <c r="A204" s="32"/>
      <c r="B204" s="32"/>
      <c r="C204" s="29" t="s">
        <v>271</v>
      </c>
      <c r="D204" s="29" t="s">
        <v>586</v>
      </c>
      <c r="E204" s="28">
        <v>633.89</v>
      </c>
      <c r="F204" s="28">
        <v>0.0</v>
      </c>
      <c r="G204" s="28" t="s">
        <v>84</v>
      </c>
      <c r="H204" s="28">
        <f t="array" ref="H204">INDEX(CC!C:C,MATCH(1,(CC!A:A=G204)*(CC!B:B=I204),0))</f>
        <v>1002</v>
      </c>
      <c r="I204" s="28" t="s">
        <v>25</v>
      </c>
      <c r="J204" s="31">
        <v>633.89</v>
      </c>
      <c r="K204" s="28" t="str">
        <f>IFERROR(__xludf.DUMMYFUNCTION("IFERROR(
INDEX(
FILTER(
MAP(
reglas!$B$2:$B$240,
reglas!$C$2:$C$240,
reglas!$D$2:$D$240,
reglas!$E$2:$E$240,
LAMBDA(rEmisor,rPatron,rConcepto,rTipo,
IF(
AND(
OR(
UPPER(TRIM(rEmisor))=UPPER(TRIM(C204)),
UPPER(TRIM(rEmisor))=""CUALQUIERA""
),
OR(
UPPER(TRIM"&amp;"(rTipo))=""SOLO EMISOR"",
AND(
UPPER(TRIM(rTipo))=""EXACTA"",
UPPER(TRIM(AG204))=UPPER(TRIM(rPatron))
),
AND(
OR(
UPPER(TRIM(rTipo))=""CONTIENE"",
UPPER(TRIM(rTipo))=""COINCIDENCIA""
),
ISNUMBER(SEARCH(UPPER(TRIM(rPatron)),UPPER(TRIM(D204))))
)
)
),
rConc"&amp;"epto,
""""
)
)
),
MAP(
reglas!$B$2:$B$240,
reglas!$C$2:$C$240,
reglas!$D$2:$D$240,
reglas!$E$2:$E$240,
LAMBDA(rEmisor,rPatron,rConcepto,rTipo,
IF(
AND(
OR(
UPPER(TRIM(rEmisor))=UPPER(TRIM(C204)),
UPPER(TRIM(rEmisor))=""CUALQUIERA""
),
OR(
UPPER(TRIM(rTipo"&amp;"))=""SOLO EMISOR"",
AND(
UPPER(TRIM(rTipo))=""EXACTA"",
UPPER(TRIM(D204))=UPPER(TRIM(rPatron))
),
AND(
OR(
UPPER(TRIM(rTipo))=""CONTIENE"",
UPPER(TRIM(rTipo))=""COINCIDENCIA""
),
ISNUMBER(SEARCH(UPPER(TRIM(rPatron)),UPPER(TRIM(D204))))
)
)
),
rConcepto,
"&amp;"""""
)
)
)&lt;&gt;""""
),
1
),
""""
)"),"MANIOBRAS")</f>
        <v>MANIOBRAS</v>
      </c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</row>
    <row r="205">
      <c r="A205" s="32"/>
      <c r="B205" s="32"/>
      <c r="C205" s="29" t="s">
        <v>271</v>
      </c>
      <c r="D205" s="29" t="s">
        <v>589</v>
      </c>
      <c r="E205" s="28">
        <v>697.31</v>
      </c>
      <c r="F205" s="28">
        <v>0.0</v>
      </c>
      <c r="G205" s="28" t="s">
        <v>84</v>
      </c>
      <c r="H205" s="28">
        <f t="array" ref="H205">INDEX(CC!C:C,MATCH(1,(CC!A:A=G205)*(CC!B:B=I205),0))</f>
        <v>1002</v>
      </c>
      <c r="I205" s="28" t="s">
        <v>25</v>
      </c>
      <c r="J205" s="31">
        <v>697.31</v>
      </c>
      <c r="K205" s="28" t="str">
        <f>IFERROR(__xludf.DUMMYFUNCTION("IFERROR(
INDEX(
FILTER(
MAP(
reglas!$B$2:$B$240,
reglas!$C$2:$C$240,
reglas!$D$2:$D$240,
reglas!$E$2:$E$240,
LAMBDA(rEmisor,rPatron,rConcepto,rTipo,
IF(
AND(
OR(
UPPER(TRIM(rEmisor))=UPPER(TRIM(C205)),
UPPER(TRIM(rEmisor))=""CUALQUIERA""
),
OR(
UPPER(TRIM"&amp;"(rTipo))=""SOLO EMISOR"",
AND(
UPPER(TRIM(rTipo))=""EXACTA"",
UPPER(TRIM(AG205))=UPPER(TRIM(rPatron))
),
AND(
OR(
UPPER(TRIM(rTipo))=""CONTIENE"",
UPPER(TRIM(rTipo))=""COINCIDENCIA""
),
ISNUMBER(SEARCH(UPPER(TRIM(rPatron)),UPPER(TRIM(D205))))
)
)
),
rConc"&amp;"epto,
""""
)
)
),
MAP(
reglas!$B$2:$B$240,
reglas!$C$2:$C$240,
reglas!$D$2:$D$240,
reglas!$E$2:$E$240,
LAMBDA(rEmisor,rPatron,rConcepto,rTipo,
IF(
AND(
OR(
UPPER(TRIM(rEmisor))=UPPER(TRIM(C205)),
UPPER(TRIM(rEmisor))=""CUALQUIERA""
),
OR(
UPPER(TRIM(rTipo"&amp;"))=""SOLO EMISOR"",
AND(
UPPER(TRIM(rTipo))=""EXACTA"",
UPPER(TRIM(D205))=UPPER(TRIM(rPatron))
),
AND(
OR(
UPPER(TRIM(rTipo))=""CONTIENE"",
UPPER(TRIM(rTipo))=""COINCIDENCIA""
),
ISNUMBER(SEARCH(UPPER(TRIM(rPatron)),UPPER(TRIM(D205))))
)
)
),
rConcepto,
"&amp;"""""
)
)
)&lt;&gt;""""
),
1
),
""""
)"),"MANIOBRAS")</f>
        <v>MANIOBRAS</v>
      </c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</row>
    <row r="206">
      <c r="A206" s="32"/>
      <c r="B206" s="32"/>
      <c r="C206" s="29" t="s">
        <v>271</v>
      </c>
      <c r="D206" s="29" t="s">
        <v>593</v>
      </c>
      <c r="E206" s="28">
        <v>359.92</v>
      </c>
      <c r="F206" s="28">
        <v>0.0</v>
      </c>
      <c r="G206" s="28" t="s">
        <v>84</v>
      </c>
      <c r="H206" s="28">
        <f t="array" ref="H206">INDEX(CC!C:C,MATCH(1,(CC!A:A=G206)*(CC!B:B=I206),0))</f>
        <v>1002</v>
      </c>
      <c r="I206" s="28" t="s">
        <v>25</v>
      </c>
      <c r="J206" s="31">
        <v>359.92</v>
      </c>
      <c r="K206" s="28" t="str">
        <f>IFERROR(__xludf.DUMMYFUNCTION("IFERROR(
INDEX(
FILTER(
MAP(
reglas!$B$2:$B$240,
reglas!$C$2:$C$240,
reglas!$D$2:$D$240,
reglas!$E$2:$E$240,
LAMBDA(rEmisor,rPatron,rConcepto,rTipo,
IF(
AND(
OR(
UPPER(TRIM(rEmisor))=UPPER(TRIM(C206)),
UPPER(TRIM(rEmisor))=""CUALQUIERA""
),
OR(
UPPER(TRIM"&amp;"(rTipo))=""SOLO EMISOR"",
AND(
UPPER(TRIM(rTipo))=""EXACTA"",
UPPER(TRIM(AG206))=UPPER(TRIM(rPatron))
),
AND(
OR(
UPPER(TRIM(rTipo))=""CONTIENE"",
UPPER(TRIM(rTipo))=""COINCIDENCIA""
),
ISNUMBER(SEARCH(UPPER(TRIM(rPatron)),UPPER(TRIM(D206))))
)
)
),
rConc"&amp;"epto,
""""
)
)
),
MAP(
reglas!$B$2:$B$240,
reglas!$C$2:$C$240,
reglas!$D$2:$D$240,
reglas!$E$2:$E$240,
LAMBDA(rEmisor,rPatron,rConcepto,rTipo,
IF(
AND(
OR(
UPPER(TRIM(rEmisor))=UPPER(TRIM(C206)),
UPPER(TRIM(rEmisor))=""CUALQUIERA""
),
OR(
UPPER(TRIM(rTipo"&amp;"))=""SOLO EMISOR"",
AND(
UPPER(TRIM(rTipo))=""EXACTA"",
UPPER(TRIM(D206))=UPPER(TRIM(rPatron))
),
AND(
OR(
UPPER(TRIM(rTipo))=""CONTIENE"",
UPPER(TRIM(rTipo))=""COINCIDENCIA""
),
ISNUMBER(SEARCH(UPPER(TRIM(rPatron)),UPPER(TRIM(D206))))
)
)
),
rConcepto,
"&amp;"""""
)
)
)&lt;&gt;""""
),
1
),
""""
)"),"MANIOBRAS")</f>
        <v>MANIOBRAS</v>
      </c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</row>
    <row r="207">
      <c r="A207" s="32"/>
      <c r="B207" s="32"/>
      <c r="C207" s="29" t="s">
        <v>271</v>
      </c>
      <c r="D207" s="29" t="s">
        <v>596</v>
      </c>
      <c r="E207" s="28">
        <v>665.08</v>
      </c>
      <c r="F207" s="28">
        <v>0.0</v>
      </c>
      <c r="G207" s="28" t="s">
        <v>84</v>
      </c>
      <c r="H207" s="28">
        <f t="array" ref="H207">INDEX(CC!C:C,MATCH(1,(CC!A:A=G207)*(CC!B:B=I207),0))</f>
        <v>1002</v>
      </c>
      <c r="I207" s="28" t="s">
        <v>25</v>
      </c>
      <c r="J207" s="31">
        <v>665.08</v>
      </c>
      <c r="K207" s="28" t="str">
        <f>IFERROR(__xludf.DUMMYFUNCTION("IFERROR(
INDEX(
FILTER(
MAP(
reglas!$B$2:$B$240,
reglas!$C$2:$C$240,
reglas!$D$2:$D$240,
reglas!$E$2:$E$240,
LAMBDA(rEmisor,rPatron,rConcepto,rTipo,
IF(
AND(
OR(
UPPER(TRIM(rEmisor))=UPPER(TRIM(C207)),
UPPER(TRIM(rEmisor))=""CUALQUIERA""
),
OR(
UPPER(TRIM"&amp;"(rTipo))=""SOLO EMISOR"",
AND(
UPPER(TRIM(rTipo))=""EXACTA"",
UPPER(TRIM(AG207))=UPPER(TRIM(rPatron))
),
AND(
OR(
UPPER(TRIM(rTipo))=""CONTIENE"",
UPPER(TRIM(rTipo))=""COINCIDENCIA""
),
ISNUMBER(SEARCH(UPPER(TRIM(rPatron)),UPPER(TRIM(D207))))
)
)
),
rConc"&amp;"epto,
""""
)
)
),
MAP(
reglas!$B$2:$B$240,
reglas!$C$2:$C$240,
reglas!$D$2:$D$240,
reglas!$E$2:$E$240,
LAMBDA(rEmisor,rPatron,rConcepto,rTipo,
IF(
AND(
OR(
UPPER(TRIM(rEmisor))=UPPER(TRIM(C207)),
UPPER(TRIM(rEmisor))=""CUALQUIERA""
),
OR(
UPPER(TRIM(rTipo"&amp;"))=""SOLO EMISOR"",
AND(
UPPER(TRIM(rTipo))=""EXACTA"",
UPPER(TRIM(D207))=UPPER(TRIM(rPatron))
),
AND(
OR(
UPPER(TRIM(rTipo))=""CONTIENE"",
UPPER(TRIM(rTipo))=""COINCIDENCIA""
),
ISNUMBER(SEARCH(UPPER(TRIM(rPatron)),UPPER(TRIM(D207))))
)
)
),
rConcepto,
"&amp;"""""
)
)
)&lt;&gt;""""
),
1
),
""""
)"),"MANIOBRAS")</f>
        <v>MANIOBRAS</v>
      </c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</row>
    <row r="208">
      <c r="A208" s="32"/>
      <c r="B208" s="28" t="s">
        <v>29</v>
      </c>
      <c r="C208" s="29" t="s">
        <v>278</v>
      </c>
      <c r="D208" s="29" t="s">
        <v>560</v>
      </c>
      <c r="E208" s="30">
        <v>3500.0</v>
      </c>
      <c r="F208" s="28">
        <v>0.0</v>
      </c>
      <c r="G208" s="28" t="s">
        <v>250</v>
      </c>
      <c r="H208" s="28">
        <f t="array" ref="H208">INDEX(CC!C:C,MATCH(1,(CC!A:A=G208)*(CC!B:B=I208),0))</f>
        <v>1402</v>
      </c>
      <c r="I208" s="28" t="s">
        <v>25</v>
      </c>
      <c r="J208" s="31">
        <v>3500.0</v>
      </c>
      <c r="K208" s="28" t="str">
        <f>IFERROR(__xludf.DUMMYFUNCTION("IFERROR(
INDEX(
FILTER(
MAP(
reglas!$B$2:$B$240,
reglas!$C$2:$C$240,
reglas!$D$2:$D$240,
reglas!$E$2:$E$240,
LAMBDA(rEmisor,rPatron,rConcepto,rTipo,
IF(
AND(
OR(
UPPER(TRIM(rEmisor))=UPPER(TRIM(C208)),
UPPER(TRIM(rEmisor))=""CUALQUIERA""
),
OR(
UPPER(TRIM"&amp;"(rTipo))=""SOLO EMISOR"",
AND(
UPPER(TRIM(rTipo))=""EXACTA"",
UPPER(TRIM(AG208))=UPPER(TRIM(rPatron))
),
AND(
OR(
UPPER(TRIM(rTipo))=""CONTIENE"",
UPPER(TRIM(rTipo))=""COINCIDENCIA""
),
ISNUMBER(SEARCH(UPPER(TRIM(rPatron)),UPPER(TRIM(D208))))
)
)
),
rConc"&amp;"epto,
""""
)
)
),
MAP(
reglas!$B$2:$B$240,
reglas!$C$2:$C$240,
reglas!$D$2:$D$240,
reglas!$E$2:$E$240,
LAMBDA(rEmisor,rPatron,rConcepto,rTipo,
IF(
AND(
OR(
UPPER(TRIM(rEmisor))=UPPER(TRIM(C208)),
UPPER(TRIM(rEmisor))=""CUALQUIERA""
),
OR(
UPPER(TRIM(rTipo"&amp;"))=""SOLO EMISOR"",
AND(
UPPER(TRIM(rTipo))=""EXACTA"",
UPPER(TRIM(D208))=UPPER(TRIM(rPatron))
),
AND(
OR(
UPPER(TRIM(rTipo))=""CONTIENE"",
UPPER(TRIM(rTipo))=""COINCIDENCIA""
),
ISNUMBER(SEARCH(UPPER(TRIM(rPatron)),UPPER(TRIM(D208))))
)
)
),
rConcepto,
"&amp;"""""
)
)
)&lt;&gt;""""
),
1
),
""""
)"),"MANIOBRAS")</f>
        <v>MANIOBRAS</v>
      </c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</row>
    <row r="209">
      <c r="A209" s="28">
        <v>1.0</v>
      </c>
      <c r="B209" s="28" t="s">
        <v>29</v>
      </c>
      <c r="C209" s="29" t="s">
        <v>375</v>
      </c>
      <c r="D209" s="29" t="s">
        <v>386</v>
      </c>
      <c r="E209" s="30">
        <v>1216.44</v>
      </c>
      <c r="F209" s="28">
        <v>0.0</v>
      </c>
      <c r="G209" s="28" t="s">
        <v>551</v>
      </c>
      <c r="H209" s="28">
        <f t="array" ref="H209">INDEX(CC!C:C,MATCH(1,(CC!A:A=G209)*(CC!B:B=I209),0))</f>
        <v>1202</v>
      </c>
      <c r="I209" s="28" t="s">
        <v>25</v>
      </c>
      <c r="J209" s="31">
        <v>1216.44</v>
      </c>
      <c r="K209" s="28" t="str">
        <f>IFERROR(__xludf.DUMMYFUNCTION("IFERROR(
INDEX(
FILTER(
MAP(
reglas!$B$2:$B$240,
reglas!$C$2:$C$240,
reglas!$D$2:$D$240,
reglas!$E$2:$E$240,
LAMBDA(rEmisor,rPatron,rConcepto,rTipo,
IF(
AND(
OR(
UPPER(TRIM(rEmisor))=UPPER(TRIM(C209)),
UPPER(TRIM(rEmisor))=""CUALQUIERA""
),
OR(
UPPER(TRIM"&amp;"(rTipo))=""SOLO EMISOR"",
AND(
UPPER(TRIM(rTipo))=""EXACTA"",
UPPER(TRIM(AG209))=UPPER(TRIM(rPatron))
),
AND(
OR(
UPPER(TRIM(rTipo))=""CONTIENE"",
UPPER(TRIM(rTipo))=""COINCIDENCIA""
),
ISNUMBER(SEARCH(UPPER(TRIM(rPatron)),UPPER(TRIM(D209))))
)
)
),
rConc"&amp;"epto,
""""
)
)
),
MAP(
reglas!$B$2:$B$240,
reglas!$C$2:$C$240,
reglas!$D$2:$D$240,
reglas!$E$2:$E$240,
LAMBDA(rEmisor,rPatron,rConcepto,rTipo,
IF(
AND(
OR(
UPPER(TRIM(rEmisor))=UPPER(TRIM(C209)),
UPPER(TRIM(rEmisor))=""CUALQUIERA""
),
OR(
UPPER(TRIM(rTipo"&amp;"))=""SOLO EMISOR"",
AND(
UPPER(TRIM(rTipo))=""EXACTA"",
UPPER(TRIM(D209))=UPPER(TRIM(rPatron))
),
AND(
OR(
UPPER(TRIM(rTipo))=""CONTIENE"",
UPPER(TRIM(rTipo))=""COINCIDENCIA""
),
ISNUMBER(SEARCH(UPPER(TRIM(rPatron)),UPPER(TRIM(D209))))
)
)
),
rConcepto,
"&amp;"""""
)
)
)&lt;&gt;""""
),
1
),
""""
)"),"MANIOBRAS")</f>
        <v>MANIOBRAS</v>
      </c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</row>
    <row r="210">
      <c r="A210" s="28">
        <v>1.0</v>
      </c>
      <c r="B210" s="28" t="s">
        <v>29</v>
      </c>
      <c r="C210" s="29" t="s">
        <v>271</v>
      </c>
      <c r="D210" s="29" t="s">
        <v>589</v>
      </c>
      <c r="E210" s="28">
        <v>633.89</v>
      </c>
      <c r="F210" s="28">
        <v>0.0</v>
      </c>
      <c r="G210" s="28" t="s">
        <v>84</v>
      </c>
      <c r="H210" s="28">
        <f t="array" ref="H210">INDEX(CC!C:C,MATCH(1,(CC!A:A=G210)*(CC!B:B=I210),0))</f>
        <v>1002</v>
      </c>
      <c r="I210" s="28" t="s">
        <v>25</v>
      </c>
      <c r="J210" s="31">
        <v>633.89</v>
      </c>
      <c r="K210" s="28" t="str">
        <f>IFERROR(__xludf.DUMMYFUNCTION("IFERROR(
INDEX(
FILTER(
MAP(
reglas!$B$2:$B$240,
reglas!$C$2:$C$240,
reglas!$D$2:$D$240,
reglas!$E$2:$E$240,
LAMBDA(rEmisor,rPatron,rConcepto,rTipo,
IF(
AND(
OR(
UPPER(TRIM(rEmisor))=UPPER(TRIM(C210)),
UPPER(TRIM(rEmisor))=""CUALQUIERA""
),
OR(
UPPER(TRIM"&amp;"(rTipo))=""SOLO EMISOR"",
AND(
UPPER(TRIM(rTipo))=""EXACTA"",
UPPER(TRIM(AG210))=UPPER(TRIM(rPatron))
),
AND(
OR(
UPPER(TRIM(rTipo))=""CONTIENE"",
UPPER(TRIM(rTipo))=""COINCIDENCIA""
),
ISNUMBER(SEARCH(UPPER(TRIM(rPatron)),UPPER(TRIM(D210))))
)
)
),
rConc"&amp;"epto,
""""
)
)
),
MAP(
reglas!$B$2:$B$240,
reglas!$C$2:$C$240,
reglas!$D$2:$D$240,
reglas!$E$2:$E$240,
LAMBDA(rEmisor,rPatron,rConcepto,rTipo,
IF(
AND(
OR(
UPPER(TRIM(rEmisor))=UPPER(TRIM(C210)),
UPPER(TRIM(rEmisor))=""CUALQUIERA""
),
OR(
UPPER(TRIM(rTipo"&amp;"))=""SOLO EMISOR"",
AND(
UPPER(TRIM(rTipo))=""EXACTA"",
UPPER(TRIM(D210))=UPPER(TRIM(rPatron))
),
AND(
OR(
UPPER(TRIM(rTipo))=""CONTIENE"",
UPPER(TRIM(rTipo))=""COINCIDENCIA""
),
ISNUMBER(SEARCH(UPPER(TRIM(rPatron)),UPPER(TRIM(D210))))
)
)
),
rConcepto,
"&amp;"""""
)
)
)&lt;&gt;""""
),
1
),
""""
)"),"MANIOBRAS")</f>
        <v>MANIOBRAS</v>
      </c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</row>
    <row r="211">
      <c r="A211" s="32"/>
      <c r="B211" s="28" t="s">
        <v>29</v>
      </c>
      <c r="C211" s="29" t="s">
        <v>468</v>
      </c>
      <c r="D211" s="29" t="s">
        <v>1060</v>
      </c>
      <c r="E211" s="30">
        <v>4500.0</v>
      </c>
      <c r="F211" s="28">
        <v>0.0</v>
      </c>
      <c r="G211" s="28" t="s">
        <v>554</v>
      </c>
      <c r="H211" s="28">
        <f t="array" ref="H211">INDEX(CC!C:C,MATCH(1,(CC!A:A=G211)*(CC!B:B=I211),0))</f>
        <v>1703</v>
      </c>
      <c r="I211" s="28" t="s">
        <v>44</v>
      </c>
      <c r="J211" s="31">
        <v>4500.0</v>
      </c>
      <c r="K211" s="28" t="str">
        <f>IFERROR(__xludf.DUMMYFUNCTION("IFERROR(
INDEX(
FILTER(
MAP(
reglas!$B$2:$B$240,
reglas!$C$2:$C$240,
reglas!$D$2:$D$240,
reglas!$E$2:$E$240,
LAMBDA(rEmisor,rPatron,rConcepto,rTipo,
IF(
AND(
OR(
UPPER(TRIM(rEmisor))=UPPER(TRIM(C211)),
UPPER(TRIM(rEmisor))=""CUALQUIERA""
),
OR(
UPPER(TRIM"&amp;"(rTipo))=""SOLO EMISOR"",
AND(
UPPER(TRIM(rTipo))=""EXACTA"",
UPPER(TRIM(AG211))=UPPER(TRIM(rPatron))
),
AND(
OR(
UPPER(TRIM(rTipo))=""CONTIENE"",
UPPER(TRIM(rTipo))=""COINCIDENCIA""
),
ISNUMBER(SEARCH(UPPER(TRIM(rPatron)),UPPER(TRIM(D211))))
)
)
),
rConc"&amp;"epto,
""""
)
)
),
MAP(
reglas!$B$2:$B$240,
reglas!$C$2:$C$240,
reglas!$D$2:$D$240,
reglas!$E$2:$E$240,
LAMBDA(rEmisor,rPatron,rConcepto,rTipo,
IF(
AND(
OR(
UPPER(TRIM(rEmisor))=UPPER(TRIM(C211)),
UPPER(TRIM(rEmisor))=""CUALQUIERA""
),
OR(
UPPER(TRIM(rTipo"&amp;"))=""SOLO EMISOR"",
AND(
UPPER(TRIM(rTipo))=""EXACTA"",
UPPER(TRIM(D211))=UPPER(TRIM(rPatron))
),
AND(
OR(
UPPER(TRIM(rTipo))=""CONTIENE"",
UPPER(TRIM(rTipo))=""COINCIDENCIA""
),
ISNUMBER(SEARCH(UPPER(TRIM(rPatron)),UPPER(TRIM(D211))))
)
)
),
rConcepto,
"&amp;"""""
)
)
)&lt;&gt;""""
),
1
),
""""
)"),"MANIOBRAS")</f>
        <v>MANIOBRAS</v>
      </c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</row>
    <row r="212">
      <c r="A212" s="32"/>
      <c r="B212" s="28" t="s">
        <v>29</v>
      </c>
      <c r="C212" s="29" t="s">
        <v>1051</v>
      </c>
      <c r="D212" s="29" t="s">
        <v>1052</v>
      </c>
      <c r="E212" s="28">
        <v>205.77</v>
      </c>
      <c r="F212" s="28">
        <v>0.0</v>
      </c>
      <c r="G212" s="28" t="s">
        <v>225</v>
      </c>
      <c r="H212" s="28">
        <f t="array" ref="H212">INDEX(CC!C:C,MATCH(1,(CC!A:A=G212)*(CC!B:B=I212),0))</f>
        <v>102</v>
      </c>
      <c r="I212" s="28" t="s">
        <v>25</v>
      </c>
      <c r="J212" s="31">
        <v>205.77</v>
      </c>
      <c r="K212" s="28" t="str">
        <f>IFERROR(__xludf.DUMMYFUNCTION("IFERROR(
INDEX(
FILTER(
MAP(
reglas!$B$2:$B$240,
reglas!$C$2:$C$240,
reglas!$D$2:$D$240,
reglas!$E$2:$E$240,
LAMBDA(rEmisor,rPatron,rConcepto,rTipo,
IF(
AND(
OR(
UPPER(TRIM(rEmisor))=UPPER(TRIM(C212)),
UPPER(TRIM(rEmisor))=""CUALQUIERA""
),
OR(
UPPER(TRIM"&amp;"(rTipo))=""SOLO EMISOR"",
AND(
UPPER(TRIM(rTipo))=""EXACTA"",
UPPER(TRIM(AG212))=UPPER(TRIM(rPatron))
),
AND(
OR(
UPPER(TRIM(rTipo))=""CONTIENE"",
UPPER(TRIM(rTipo))=""COINCIDENCIA""
),
ISNUMBER(SEARCH(UPPER(TRIM(rPatron)),UPPER(TRIM(D212))))
)
)
),
rConc"&amp;"epto,
""""
)
)
),
MAP(
reglas!$B$2:$B$240,
reglas!$C$2:$C$240,
reglas!$D$2:$D$240,
reglas!$E$2:$E$240,
LAMBDA(rEmisor,rPatron,rConcepto,rTipo,
IF(
AND(
OR(
UPPER(TRIM(rEmisor))=UPPER(TRIM(C212)),
UPPER(TRIM(rEmisor))=""CUALQUIERA""
),
OR(
UPPER(TRIM(rTipo"&amp;"))=""SOLO EMISOR"",
AND(
UPPER(TRIM(rTipo))=""EXACTA"",
UPPER(TRIM(D212))=UPPER(TRIM(rPatron))
),
AND(
OR(
UPPER(TRIM(rTipo))=""CONTIENE"",
UPPER(TRIM(rTipo))=""COINCIDENCIA""
),
ISNUMBER(SEARCH(UPPER(TRIM(rPatron)),UPPER(TRIM(D212))))
)
)
),
rConcepto,
"&amp;"""""
)
)
)&lt;&gt;""""
),
1
),
""""
)"),"")</f>
        <v/>
      </c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</row>
    <row r="213">
      <c r="A213" s="32"/>
      <c r="B213" s="28" t="s">
        <v>29</v>
      </c>
      <c r="C213" s="29" t="s">
        <v>1063</v>
      </c>
      <c r="D213" s="29" t="s">
        <v>1064</v>
      </c>
      <c r="E213" s="30">
        <v>4617.0</v>
      </c>
      <c r="F213" s="28">
        <v>0.0</v>
      </c>
      <c r="G213" s="28" t="s">
        <v>395</v>
      </c>
      <c r="H213" s="28">
        <f t="array" ref="H213">INDEX(CC!C:C,MATCH(1,(CC!A:A=G213)*(CC!B:B=I213),0))</f>
        <v>1103</v>
      </c>
      <c r="I213" s="28" t="s">
        <v>44</v>
      </c>
      <c r="J213" s="31">
        <v>4617.0</v>
      </c>
      <c r="K213" s="28" t="str">
        <f>IFERROR(__xludf.DUMMYFUNCTION("IFERROR(
INDEX(
FILTER(
MAP(
reglas!$B$2:$B$240,
reglas!$C$2:$C$240,
reglas!$D$2:$D$240,
reglas!$E$2:$E$240,
LAMBDA(rEmisor,rPatron,rConcepto,rTipo,
IF(
AND(
OR(
UPPER(TRIM(rEmisor))=UPPER(TRIM(C213)),
UPPER(TRIM(rEmisor))=""CUALQUIERA""
),
OR(
UPPER(TRIM"&amp;"(rTipo))=""SOLO EMISOR"",
AND(
UPPER(TRIM(rTipo))=""EXACTA"",
UPPER(TRIM(AG213))=UPPER(TRIM(rPatron))
),
AND(
OR(
UPPER(TRIM(rTipo))=""CONTIENE"",
UPPER(TRIM(rTipo))=""COINCIDENCIA""
),
ISNUMBER(SEARCH(UPPER(TRIM(rPatron)),UPPER(TRIM(D213))))
)
)
),
rConc"&amp;"epto,
""""
)
)
),
MAP(
reglas!$B$2:$B$240,
reglas!$C$2:$C$240,
reglas!$D$2:$D$240,
reglas!$E$2:$E$240,
LAMBDA(rEmisor,rPatron,rConcepto,rTipo,
IF(
AND(
OR(
UPPER(TRIM(rEmisor))=UPPER(TRIM(C213)),
UPPER(TRIM(rEmisor))=""CUALQUIERA""
),
OR(
UPPER(TRIM(rTipo"&amp;"))=""SOLO EMISOR"",
AND(
UPPER(TRIM(rTipo))=""EXACTA"",
UPPER(TRIM(D213))=UPPER(TRIM(rPatron))
),
AND(
OR(
UPPER(TRIM(rTipo))=""CONTIENE"",
UPPER(TRIM(rTipo))=""COINCIDENCIA""
),
ISNUMBER(SEARCH(UPPER(TRIM(rPatron)),UPPER(TRIM(D213))))
)
)
),
rConcepto,
"&amp;"""""
)
)
)&lt;&gt;""""
),
1
),
""""
)"),"")</f>
        <v/>
      </c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</row>
    <row r="214">
      <c r="A214" s="32"/>
      <c r="B214" s="28" t="s">
        <v>29</v>
      </c>
      <c r="C214" s="29" t="s">
        <v>1051</v>
      </c>
      <c r="D214" s="29" t="s">
        <v>1052</v>
      </c>
      <c r="E214" s="28">
        <v>137.67</v>
      </c>
      <c r="F214" s="28">
        <v>0.0</v>
      </c>
      <c r="G214" s="28" t="s">
        <v>225</v>
      </c>
      <c r="H214" s="28">
        <f t="array" ref="H214">INDEX(CC!C:C,MATCH(1,(CC!A:A=G214)*(CC!B:B=I214),0))</f>
        <v>102</v>
      </c>
      <c r="I214" s="28" t="s">
        <v>25</v>
      </c>
      <c r="J214" s="31">
        <v>137.67</v>
      </c>
      <c r="K214" s="28" t="str">
        <f>IFERROR(__xludf.DUMMYFUNCTION("IFERROR(
INDEX(
FILTER(
MAP(
reglas!$B$2:$B$240,
reglas!$C$2:$C$240,
reglas!$D$2:$D$240,
reglas!$E$2:$E$240,
LAMBDA(rEmisor,rPatron,rConcepto,rTipo,
IF(
AND(
OR(
UPPER(TRIM(rEmisor))=UPPER(TRIM(C214)),
UPPER(TRIM(rEmisor))=""CUALQUIERA""
),
OR(
UPPER(TRIM"&amp;"(rTipo))=""SOLO EMISOR"",
AND(
UPPER(TRIM(rTipo))=""EXACTA"",
UPPER(TRIM(AG214))=UPPER(TRIM(rPatron))
),
AND(
OR(
UPPER(TRIM(rTipo))=""CONTIENE"",
UPPER(TRIM(rTipo))=""COINCIDENCIA""
),
ISNUMBER(SEARCH(UPPER(TRIM(rPatron)),UPPER(TRIM(D214))))
)
)
),
rConc"&amp;"epto,
""""
)
)
),
MAP(
reglas!$B$2:$B$240,
reglas!$C$2:$C$240,
reglas!$D$2:$D$240,
reglas!$E$2:$E$240,
LAMBDA(rEmisor,rPatron,rConcepto,rTipo,
IF(
AND(
OR(
UPPER(TRIM(rEmisor))=UPPER(TRIM(C214)),
UPPER(TRIM(rEmisor))=""CUALQUIERA""
),
OR(
UPPER(TRIM(rTipo"&amp;"))=""SOLO EMISOR"",
AND(
UPPER(TRIM(rTipo))=""EXACTA"",
UPPER(TRIM(D214))=UPPER(TRIM(rPatron))
),
AND(
OR(
UPPER(TRIM(rTipo))=""CONTIENE"",
UPPER(TRIM(rTipo))=""COINCIDENCIA""
),
ISNUMBER(SEARCH(UPPER(TRIM(rPatron)),UPPER(TRIM(D214))))
)
)
),
rConcepto,
"&amp;"""""
)
)
)&lt;&gt;""""
),
1
),
""""
)"),"")</f>
        <v/>
      </c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</row>
    <row r="215">
      <c r="A215" s="32"/>
      <c r="B215" s="28" t="s">
        <v>29</v>
      </c>
      <c r="C215" s="29" t="s">
        <v>1051</v>
      </c>
      <c r="D215" s="29" t="s">
        <v>1052</v>
      </c>
      <c r="E215" s="28">
        <v>77.53</v>
      </c>
      <c r="F215" s="28">
        <v>0.0</v>
      </c>
      <c r="G215" s="28" t="s">
        <v>225</v>
      </c>
      <c r="H215" s="28">
        <f t="array" ref="H215">INDEX(CC!C:C,MATCH(1,(CC!A:A=G215)*(CC!B:B=I215),0))</f>
        <v>102</v>
      </c>
      <c r="I215" s="28" t="s">
        <v>25</v>
      </c>
      <c r="J215" s="31">
        <v>77.53</v>
      </c>
      <c r="K215" s="28" t="str">
        <f>IFERROR(__xludf.DUMMYFUNCTION("IFERROR(
INDEX(
FILTER(
MAP(
reglas!$B$2:$B$240,
reglas!$C$2:$C$240,
reglas!$D$2:$D$240,
reglas!$E$2:$E$240,
LAMBDA(rEmisor,rPatron,rConcepto,rTipo,
IF(
AND(
OR(
UPPER(TRIM(rEmisor))=UPPER(TRIM(C215)),
UPPER(TRIM(rEmisor))=""CUALQUIERA""
),
OR(
UPPER(TRIM"&amp;"(rTipo))=""SOLO EMISOR"",
AND(
UPPER(TRIM(rTipo))=""EXACTA"",
UPPER(TRIM(AG215))=UPPER(TRIM(rPatron))
),
AND(
OR(
UPPER(TRIM(rTipo))=""CONTIENE"",
UPPER(TRIM(rTipo))=""COINCIDENCIA""
),
ISNUMBER(SEARCH(UPPER(TRIM(rPatron)),UPPER(TRIM(D215))))
)
)
),
rConc"&amp;"epto,
""""
)
)
),
MAP(
reglas!$B$2:$B$240,
reglas!$C$2:$C$240,
reglas!$D$2:$D$240,
reglas!$E$2:$E$240,
LAMBDA(rEmisor,rPatron,rConcepto,rTipo,
IF(
AND(
OR(
UPPER(TRIM(rEmisor))=UPPER(TRIM(C215)),
UPPER(TRIM(rEmisor))=""CUALQUIERA""
),
OR(
UPPER(TRIM(rTipo"&amp;"))=""SOLO EMISOR"",
AND(
UPPER(TRIM(rTipo))=""EXACTA"",
UPPER(TRIM(D215))=UPPER(TRIM(rPatron))
),
AND(
OR(
UPPER(TRIM(rTipo))=""CONTIENE"",
UPPER(TRIM(rTipo))=""COINCIDENCIA""
),
ISNUMBER(SEARCH(UPPER(TRIM(rPatron)),UPPER(TRIM(D215))))
)
)
),
rConcepto,
"&amp;"""""
)
)
)&lt;&gt;""""
),
1
),
""""
)"),"")</f>
        <v/>
      </c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</row>
    <row r="216">
      <c r="A216" s="32"/>
      <c r="B216" s="28" t="s">
        <v>29</v>
      </c>
      <c r="C216" s="29" t="s">
        <v>278</v>
      </c>
      <c r="D216" s="29" t="s">
        <v>560</v>
      </c>
      <c r="E216" s="30">
        <v>3500.0</v>
      </c>
      <c r="F216" s="28">
        <v>0.0</v>
      </c>
      <c r="G216" s="28" t="s">
        <v>250</v>
      </c>
      <c r="H216" s="28">
        <f t="array" ref="H216">INDEX(CC!C:C,MATCH(1,(CC!A:A=G216)*(CC!B:B=I216),0))</f>
        <v>1402</v>
      </c>
      <c r="I216" s="28" t="s">
        <v>25</v>
      </c>
      <c r="J216" s="31">
        <v>3500.0</v>
      </c>
      <c r="K216" s="28" t="str">
        <f>IFERROR(__xludf.DUMMYFUNCTION("IFERROR(
INDEX(
FILTER(
MAP(
reglas!$B$2:$B$240,
reglas!$C$2:$C$240,
reglas!$D$2:$D$240,
reglas!$E$2:$E$240,
LAMBDA(rEmisor,rPatron,rConcepto,rTipo,
IF(
AND(
OR(
UPPER(TRIM(rEmisor))=UPPER(TRIM(C216)),
UPPER(TRIM(rEmisor))=""CUALQUIERA""
),
OR(
UPPER(TRIM"&amp;"(rTipo))=""SOLO EMISOR"",
AND(
UPPER(TRIM(rTipo))=""EXACTA"",
UPPER(TRIM(AG216))=UPPER(TRIM(rPatron))
),
AND(
OR(
UPPER(TRIM(rTipo))=""CONTIENE"",
UPPER(TRIM(rTipo))=""COINCIDENCIA""
),
ISNUMBER(SEARCH(UPPER(TRIM(rPatron)),UPPER(TRIM(D216))))
)
)
),
rConc"&amp;"epto,
""""
)
)
),
MAP(
reglas!$B$2:$B$240,
reglas!$C$2:$C$240,
reglas!$D$2:$D$240,
reglas!$E$2:$E$240,
LAMBDA(rEmisor,rPatron,rConcepto,rTipo,
IF(
AND(
OR(
UPPER(TRIM(rEmisor))=UPPER(TRIM(C216)),
UPPER(TRIM(rEmisor))=""CUALQUIERA""
),
OR(
UPPER(TRIM(rTipo"&amp;"))=""SOLO EMISOR"",
AND(
UPPER(TRIM(rTipo))=""EXACTA"",
UPPER(TRIM(D216))=UPPER(TRIM(rPatron))
),
AND(
OR(
UPPER(TRIM(rTipo))=""CONTIENE"",
UPPER(TRIM(rTipo))=""COINCIDENCIA""
),
ISNUMBER(SEARCH(UPPER(TRIM(rPatron)),UPPER(TRIM(D216))))
)
)
),
rConcepto,
"&amp;"""""
)
)
)&lt;&gt;""""
),
1
),
""""
)"),"MANIOBRAS")</f>
        <v>MANIOBRAS</v>
      </c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</row>
    <row r="217">
      <c r="A217" s="32"/>
      <c r="B217" s="28" t="s">
        <v>29</v>
      </c>
      <c r="C217" s="29" t="s">
        <v>172</v>
      </c>
      <c r="D217" s="29" t="s">
        <v>1065</v>
      </c>
      <c r="E217" s="30">
        <v>11500.0</v>
      </c>
      <c r="F217" s="28">
        <v>0.0</v>
      </c>
      <c r="G217" s="28" t="s">
        <v>250</v>
      </c>
      <c r="H217" s="28">
        <f t="array" ref="H217">INDEX(CC!C:C,MATCH(1,(CC!A:A=G217)*(CC!B:B=I217),0))</f>
        <v>1402</v>
      </c>
      <c r="I217" s="28" t="s">
        <v>25</v>
      </c>
      <c r="J217" s="31">
        <v>11500.0</v>
      </c>
      <c r="K217" s="28" t="str">
        <f>IFERROR(__xludf.DUMMYFUNCTION("IFERROR(
INDEX(
FILTER(
MAP(
reglas!$B$2:$B$240,
reglas!$C$2:$C$240,
reglas!$D$2:$D$240,
reglas!$E$2:$E$240,
LAMBDA(rEmisor,rPatron,rConcepto,rTipo,
IF(
AND(
OR(
UPPER(TRIM(rEmisor))=UPPER(TRIM(C217)),
UPPER(TRIM(rEmisor))=""CUALQUIERA""
),
OR(
UPPER(TRIM"&amp;"(rTipo))=""SOLO EMISOR"",
AND(
UPPER(TRIM(rTipo))=""EXACTA"",
UPPER(TRIM(AG217))=UPPER(TRIM(rPatron))
),
AND(
OR(
UPPER(TRIM(rTipo))=""CONTIENE"",
UPPER(TRIM(rTipo))=""COINCIDENCIA""
),
ISNUMBER(SEARCH(UPPER(TRIM(rPatron)),UPPER(TRIM(D217))))
)
)
),
rConc"&amp;"epto,
""""
)
)
),
MAP(
reglas!$B$2:$B$240,
reglas!$C$2:$C$240,
reglas!$D$2:$D$240,
reglas!$E$2:$E$240,
LAMBDA(rEmisor,rPatron,rConcepto,rTipo,
IF(
AND(
OR(
UPPER(TRIM(rEmisor))=UPPER(TRIM(C217)),
UPPER(TRIM(rEmisor))=""CUALQUIERA""
),
OR(
UPPER(TRIM(rTipo"&amp;"))=""SOLO EMISOR"",
AND(
UPPER(TRIM(rTipo))=""EXACTA"",
UPPER(TRIM(D217))=UPPER(TRIM(rPatron))
),
AND(
OR(
UPPER(TRIM(rTipo))=""CONTIENE"",
UPPER(TRIM(rTipo))=""COINCIDENCIA""
),
ISNUMBER(SEARCH(UPPER(TRIM(rPatron)),UPPER(TRIM(D217))))
)
)
),
rConcepto,
"&amp;"""""
)
)
)&lt;&gt;""""
),
1
),
""""
)"),"TRANSPORTE")</f>
        <v>TRANSPORTE</v>
      </c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</row>
    <row r="218">
      <c r="A218" s="28">
        <v>1.0</v>
      </c>
      <c r="B218" s="28" t="s">
        <v>29</v>
      </c>
      <c r="C218" s="29" t="s">
        <v>120</v>
      </c>
      <c r="D218" s="29" t="s">
        <v>1072</v>
      </c>
      <c r="E218" s="30">
        <v>5712.0</v>
      </c>
      <c r="F218" s="28">
        <v>0.0</v>
      </c>
      <c r="G218" s="28" t="s">
        <v>55</v>
      </c>
      <c r="H218" s="28">
        <f t="array" ref="H218">INDEX(CC!C:C,MATCH(1,(CC!A:A=G218)*(CC!B:B=I218),0))</f>
        <v>902</v>
      </c>
      <c r="I218" s="28" t="s">
        <v>25</v>
      </c>
      <c r="J218" s="31">
        <v>5712.0</v>
      </c>
      <c r="K218" s="28" t="str">
        <f>IFERROR(__xludf.DUMMYFUNCTION("IFERROR(
INDEX(
FILTER(
MAP(
reglas!$B$2:$B$240,
reglas!$C$2:$C$240,
reglas!$D$2:$D$240,
reglas!$E$2:$E$240,
LAMBDA(rEmisor,rPatron,rConcepto,rTipo,
IF(
AND(
OR(
UPPER(TRIM(rEmisor))=UPPER(TRIM(C218)),
UPPER(TRIM(rEmisor))=""CUALQUIERA""
),
OR(
UPPER(TRIM"&amp;"(rTipo))=""SOLO EMISOR"",
AND(
UPPER(TRIM(rTipo))=""EXACTA"",
UPPER(TRIM(AG218))=UPPER(TRIM(rPatron))
),
AND(
OR(
UPPER(TRIM(rTipo))=""CONTIENE"",
UPPER(TRIM(rTipo))=""COINCIDENCIA""
),
ISNUMBER(SEARCH(UPPER(TRIM(rPatron)),UPPER(TRIM(D218))))
)
)
),
rConc"&amp;"epto,
""""
)
)
),
MAP(
reglas!$B$2:$B$240,
reglas!$C$2:$C$240,
reglas!$D$2:$D$240,
reglas!$E$2:$E$240,
LAMBDA(rEmisor,rPatron,rConcepto,rTipo,
IF(
AND(
OR(
UPPER(TRIM(rEmisor))=UPPER(TRIM(C218)),
UPPER(TRIM(rEmisor))=""CUALQUIERA""
),
OR(
UPPER(TRIM(rTipo"&amp;"))=""SOLO EMISOR"",
AND(
UPPER(TRIM(rTipo))=""EXACTA"",
UPPER(TRIM(D218))=UPPER(TRIM(rPatron))
),
AND(
OR(
UPPER(TRIM(rTipo))=""CONTIENE"",
UPPER(TRIM(rTipo))=""COINCIDENCIA""
),
ISNUMBER(SEARCH(UPPER(TRIM(rPatron)),UPPER(TRIM(D218))))
)
)
),
rConcepto,
"&amp;"""""
)
)
)&lt;&gt;""""
),
1
),
""""
)"),"VALIDACION")</f>
        <v>VALIDACION</v>
      </c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</row>
    <row r="219">
      <c r="A219" s="28">
        <v>1.0</v>
      </c>
      <c r="B219" s="28" t="s">
        <v>29</v>
      </c>
      <c r="C219" s="29" t="s">
        <v>120</v>
      </c>
      <c r="D219" s="29" t="s">
        <v>127</v>
      </c>
      <c r="E219" s="28">
        <v>220.0</v>
      </c>
      <c r="F219" s="28">
        <v>0.0</v>
      </c>
      <c r="G219" s="28" t="s">
        <v>554</v>
      </c>
      <c r="H219" s="28">
        <f t="array" ref="H219">INDEX(CC!C:C,MATCH(1,(CC!A:A=G219)*(CC!B:B=I219),0))</f>
        <v>1702</v>
      </c>
      <c r="I219" s="28" t="s">
        <v>25</v>
      </c>
      <c r="J219" s="31">
        <v>220.0</v>
      </c>
      <c r="K219" s="28" t="str">
        <f>IFERROR(__xludf.DUMMYFUNCTION("IFERROR(
INDEX(
FILTER(
MAP(
reglas!$B$2:$B$240,
reglas!$C$2:$C$240,
reglas!$D$2:$D$240,
reglas!$E$2:$E$240,
LAMBDA(rEmisor,rPatron,rConcepto,rTipo,
IF(
AND(
OR(
UPPER(TRIM(rEmisor))=UPPER(TRIM(C219)),
UPPER(TRIM(rEmisor))=""CUALQUIERA""
),
OR(
UPPER(TRIM"&amp;"(rTipo))=""SOLO EMISOR"",
AND(
UPPER(TRIM(rTipo))=""EXACTA"",
UPPER(TRIM(AG219))=UPPER(TRIM(rPatron))
),
AND(
OR(
UPPER(TRIM(rTipo))=""CONTIENE"",
UPPER(TRIM(rTipo))=""COINCIDENCIA""
),
ISNUMBER(SEARCH(UPPER(TRIM(rPatron)),UPPER(TRIM(D219))))
)
)
),
rConc"&amp;"epto,
""""
)
)
),
MAP(
reglas!$B$2:$B$240,
reglas!$C$2:$C$240,
reglas!$D$2:$D$240,
reglas!$E$2:$E$240,
LAMBDA(rEmisor,rPatron,rConcepto,rTipo,
IF(
AND(
OR(
UPPER(TRIM(rEmisor))=UPPER(TRIM(C219)),
UPPER(TRIM(rEmisor))=""CUALQUIERA""
),
OR(
UPPER(TRIM(rTipo"&amp;"))=""SOLO EMISOR"",
AND(
UPPER(TRIM(rTipo))=""EXACTA"",
UPPER(TRIM(D219))=UPPER(TRIM(rPatron))
),
AND(
OR(
UPPER(TRIM(rTipo))=""CONTIENE"",
UPPER(TRIM(rTipo))=""COINCIDENCIA""
),
ISNUMBER(SEARCH(UPPER(TRIM(rPatron)),UPPER(TRIM(D219))))
)
)
),
rConcepto,
"&amp;"""""
)
)
)&lt;&gt;""""
),
1
),
""""
)"),"VALIDACION")</f>
        <v>VALIDACION</v>
      </c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</row>
    <row r="220">
      <c r="A220" s="32"/>
      <c r="B220" s="28" t="s">
        <v>29</v>
      </c>
      <c r="C220" s="29" t="s">
        <v>469</v>
      </c>
      <c r="D220" s="29" t="s">
        <v>1076</v>
      </c>
      <c r="E220" s="28">
        <v>400.47</v>
      </c>
      <c r="F220" s="28">
        <v>0.0</v>
      </c>
      <c r="G220" s="28" t="s">
        <v>250</v>
      </c>
      <c r="H220" s="28">
        <f t="array" ref="H220">INDEX(CC!C:C,MATCH(1,(CC!A:A=G220)*(CC!B:B=I220),0))</f>
        <v>1402</v>
      </c>
      <c r="I220" s="28" t="s">
        <v>25</v>
      </c>
      <c r="J220" s="31">
        <v>400.47</v>
      </c>
      <c r="K220" s="28" t="str">
        <f>IFERROR(__xludf.DUMMYFUNCTION("IFERROR(
INDEX(
FILTER(
MAP(
reglas!$B$2:$B$240,
reglas!$C$2:$C$240,
reglas!$D$2:$D$240,
reglas!$E$2:$E$240,
LAMBDA(rEmisor,rPatron,rConcepto,rTipo,
IF(
AND(
OR(
UPPER(TRIM(rEmisor))=UPPER(TRIM(C220)),
UPPER(TRIM(rEmisor))=""CUALQUIERA""
),
OR(
UPPER(TRIM"&amp;"(rTipo))=""SOLO EMISOR"",
AND(
UPPER(TRIM(rTipo))=""EXACTA"",
UPPER(TRIM(AG220))=UPPER(TRIM(rPatron))
),
AND(
OR(
UPPER(TRIM(rTipo))=""CONTIENE"",
UPPER(TRIM(rTipo))=""COINCIDENCIA""
),
ISNUMBER(SEARCH(UPPER(TRIM(rPatron)),UPPER(TRIM(D220))))
)
)
),
rConc"&amp;"epto,
""""
)
)
),
MAP(
reglas!$B$2:$B$240,
reglas!$C$2:$C$240,
reglas!$D$2:$D$240,
reglas!$E$2:$E$240,
LAMBDA(rEmisor,rPatron,rConcepto,rTipo,
IF(
AND(
OR(
UPPER(TRIM(rEmisor))=UPPER(TRIM(C220)),
UPPER(TRIM(rEmisor))=""CUALQUIERA""
),
OR(
UPPER(TRIM(rTipo"&amp;"))=""SOLO EMISOR"",
AND(
UPPER(TRIM(rTipo))=""EXACTA"",
UPPER(TRIM(D220))=UPPER(TRIM(rPatron))
),
AND(
OR(
UPPER(TRIM(rTipo))=""CONTIENE"",
UPPER(TRIM(rTipo))=""COINCIDENCIA""
),
ISNUMBER(SEARCH(UPPER(TRIM(rPatron)),UPPER(TRIM(D220))))
)
)
),
rConcepto,
"&amp;"""""
)
)
)&lt;&gt;""""
),
1
),
""""
)"),"PAPELERIA")</f>
        <v>PAPELERIA</v>
      </c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</row>
    <row r="221">
      <c r="A221" s="32"/>
      <c r="B221" s="28" t="s">
        <v>29</v>
      </c>
      <c r="C221" s="29" t="s">
        <v>1077</v>
      </c>
      <c r="D221" s="29" t="s">
        <v>1052</v>
      </c>
      <c r="E221" s="28">
        <v>51.72</v>
      </c>
      <c r="F221" s="28">
        <v>0.0</v>
      </c>
      <c r="G221" s="28" t="s">
        <v>225</v>
      </c>
      <c r="H221" s="28">
        <f t="array" ref="H221">INDEX(CC!C:C,MATCH(1,(CC!A:A=G221)*(CC!B:B=I221),0))</f>
        <v>102</v>
      </c>
      <c r="I221" s="28" t="s">
        <v>25</v>
      </c>
      <c r="J221" s="31">
        <v>51.72</v>
      </c>
      <c r="K221" s="28" t="str">
        <f>IFERROR(__xludf.DUMMYFUNCTION("IFERROR(
INDEX(
FILTER(
MAP(
reglas!$B$2:$B$240,
reglas!$C$2:$C$240,
reglas!$D$2:$D$240,
reglas!$E$2:$E$240,
LAMBDA(rEmisor,rPatron,rConcepto,rTipo,
IF(
AND(
OR(
UPPER(TRIM(rEmisor))=UPPER(TRIM(C221)),
UPPER(TRIM(rEmisor))=""CUALQUIERA""
),
OR(
UPPER(TRIM"&amp;"(rTipo))=""SOLO EMISOR"",
AND(
UPPER(TRIM(rTipo))=""EXACTA"",
UPPER(TRIM(AG221))=UPPER(TRIM(rPatron))
),
AND(
OR(
UPPER(TRIM(rTipo))=""CONTIENE"",
UPPER(TRIM(rTipo))=""COINCIDENCIA""
),
ISNUMBER(SEARCH(UPPER(TRIM(rPatron)),UPPER(TRIM(D221))))
)
)
),
rConc"&amp;"epto,
""""
)
)
),
MAP(
reglas!$B$2:$B$240,
reglas!$C$2:$C$240,
reglas!$D$2:$D$240,
reglas!$E$2:$E$240,
LAMBDA(rEmisor,rPatron,rConcepto,rTipo,
IF(
AND(
OR(
UPPER(TRIM(rEmisor))=UPPER(TRIM(C221)),
UPPER(TRIM(rEmisor))=""CUALQUIERA""
),
OR(
UPPER(TRIM(rTipo"&amp;"))=""SOLO EMISOR"",
AND(
UPPER(TRIM(rTipo))=""EXACTA"",
UPPER(TRIM(D221))=UPPER(TRIM(rPatron))
),
AND(
OR(
UPPER(TRIM(rTipo))=""CONTIENE"",
UPPER(TRIM(rTipo))=""COINCIDENCIA""
),
ISNUMBER(SEARCH(UPPER(TRIM(rPatron)),UPPER(TRIM(D221))))
)
)
),
rConcepto,
"&amp;"""""
)
)
)&lt;&gt;""""
),
1
),
""""
)"),"")</f>
        <v/>
      </c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</row>
    <row r="222">
      <c r="A222" s="28">
        <v>1.0</v>
      </c>
      <c r="B222" s="28" t="s">
        <v>29</v>
      </c>
      <c r="C222" s="29" t="s">
        <v>271</v>
      </c>
      <c r="D222" s="29" t="s">
        <v>589</v>
      </c>
      <c r="E222" s="28">
        <v>633.89</v>
      </c>
      <c r="F222" s="28">
        <v>0.0</v>
      </c>
      <c r="G222" s="28" t="s">
        <v>84</v>
      </c>
      <c r="H222" s="28">
        <f t="array" ref="H222">INDEX(CC!C:C,MATCH(1,(CC!A:A=G222)*(CC!B:B=I222),0))</f>
        <v>1002</v>
      </c>
      <c r="I222" s="28" t="s">
        <v>25</v>
      </c>
      <c r="J222" s="31">
        <v>633.89</v>
      </c>
      <c r="K222" s="28" t="str">
        <f>IFERROR(__xludf.DUMMYFUNCTION("IFERROR(
INDEX(
FILTER(
MAP(
reglas!$B$2:$B$240,
reglas!$C$2:$C$240,
reglas!$D$2:$D$240,
reglas!$E$2:$E$240,
LAMBDA(rEmisor,rPatron,rConcepto,rTipo,
IF(
AND(
OR(
UPPER(TRIM(rEmisor))=UPPER(TRIM(C222)),
UPPER(TRIM(rEmisor))=""CUALQUIERA""
),
OR(
UPPER(TRIM"&amp;"(rTipo))=""SOLO EMISOR"",
AND(
UPPER(TRIM(rTipo))=""EXACTA"",
UPPER(TRIM(AG222))=UPPER(TRIM(rPatron))
),
AND(
OR(
UPPER(TRIM(rTipo))=""CONTIENE"",
UPPER(TRIM(rTipo))=""COINCIDENCIA""
),
ISNUMBER(SEARCH(UPPER(TRIM(rPatron)),UPPER(TRIM(D222))))
)
)
),
rConc"&amp;"epto,
""""
)
)
),
MAP(
reglas!$B$2:$B$240,
reglas!$C$2:$C$240,
reglas!$D$2:$D$240,
reglas!$E$2:$E$240,
LAMBDA(rEmisor,rPatron,rConcepto,rTipo,
IF(
AND(
OR(
UPPER(TRIM(rEmisor))=UPPER(TRIM(C222)),
UPPER(TRIM(rEmisor))=""CUALQUIERA""
),
OR(
UPPER(TRIM(rTipo"&amp;"))=""SOLO EMISOR"",
AND(
UPPER(TRIM(rTipo))=""EXACTA"",
UPPER(TRIM(D222))=UPPER(TRIM(rPatron))
),
AND(
OR(
UPPER(TRIM(rTipo))=""CONTIENE"",
UPPER(TRIM(rTipo))=""COINCIDENCIA""
),
ISNUMBER(SEARCH(UPPER(TRIM(rPatron)),UPPER(TRIM(D222))))
)
)
),
rConcepto,
"&amp;"""""
)
)
)&lt;&gt;""""
),
1
),
""""
)"),"MANIOBRAS")</f>
        <v>MANIOBRAS</v>
      </c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</row>
    <row r="223">
      <c r="A223" s="32"/>
      <c r="B223" s="28" t="s">
        <v>29</v>
      </c>
      <c r="C223" s="29" t="s">
        <v>172</v>
      </c>
      <c r="D223" s="29" t="s">
        <v>1081</v>
      </c>
      <c r="E223" s="30">
        <v>11500.0</v>
      </c>
      <c r="F223" s="28">
        <v>0.0</v>
      </c>
      <c r="G223" s="28" t="s">
        <v>250</v>
      </c>
      <c r="H223" s="28">
        <f t="array" ref="H223">INDEX(CC!C:C,MATCH(1,(CC!A:A=G223)*(CC!B:B=I223),0))</f>
        <v>1402</v>
      </c>
      <c r="I223" s="28" t="s">
        <v>25</v>
      </c>
      <c r="J223" s="31">
        <v>11500.0</v>
      </c>
      <c r="K223" s="28" t="str">
        <f>IFERROR(__xludf.DUMMYFUNCTION("IFERROR(
INDEX(
FILTER(
MAP(
reglas!$B$2:$B$240,
reglas!$C$2:$C$240,
reglas!$D$2:$D$240,
reglas!$E$2:$E$240,
LAMBDA(rEmisor,rPatron,rConcepto,rTipo,
IF(
AND(
OR(
UPPER(TRIM(rEmisor))=UPPER(TRIM(C223)),
UPPER(TRIM(rEmisor))=""CUALQUIERA""
),
OR(
UPPER(TRIM"&amp;"(rTipo))=""SOLO EMISOR"",
AND(
UPPER(TRIM(rTipo))=""EXACTA"",
UPPER(TRIM(AG223))=UPPER(TRIM(rPatron))
),
AND(
OR(
UPPER(TRIM(rTipo))=""CONTIENE"",
UPPER(TRIM(rTipo))=""COINCIDENCIA""
),
ISNUMBER(SEARCH(UPPER(TRIM(rPatron)),UPPER(TRIM(D223))))
)
)
),
rConc"&amp;"epto,
""""
)
)
),
MAP(
reglas!$B$2:$B$240,
reglas!$C$2:$C$240,
reglas!$D$2:$D$240,
reglas!$E$2:$E$240,
LAMBDA(rEmisor,rPatron,rConcepto,rTipo,
IF(
AND(
OR(
UPPER(TRIM(rEmisor))=UPPER(TRIM(C223)),
UPPER(TRIM(rEmisor))=""CUALQUIERA""
),
OR(
UPPER(TRIM(rTipo"&amp;"))=""SOLO EMISOR"",
AND(
UPPER(TRIM(rTipo))=""EXACTA"",
UPPER(TRIM(D223))=UPPER(TRIM(rPatron))
),
AND(
OR(
UPPER(TRIM(rTipo))=""CONTIENE"",
UPPER(TRIM(rTipo))=""COINCIDENCIA""
),
ISNUMBER(SEARCH(UPPER(TRIM(rPatron)),UPPER(TRIM(D223))))
)
)
),
rConcepto,
"&amp;"""""
)
)
)&lt;&gt;""""
),
1
),
""""
)"),"TRANSPORTE")</f>
        <v>TRANSPORTE</v>
      </c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</row>
    <row r="224">
      <c r="A224" s="28">
        <v>1.0</v>
      </c>
      <c r="B224" s="28" t="s">
        <v>29</v>
      </c>
      <c r="C224" s="29" t="s">
        <v>271</v>
      </c>
      <c r="D224" s="29" t="s">
        <v>585</v>
      </c>
      <c r="E224" s="28">
        <v>631.45</v>
      </c>
      <c r="F224" s="28">
        <v>0.0</v>
      </c>
      <c r="G224" s="28" t="s">
        <v>84</v>
      </c>
      <c r="H224" s="28">
        <f t="array" ref="H224">INDEX(CC!C:C,MATCH(1,(CC!A:A=G224)*(CC!B:B=I224),0))</f>
        <v>1002</v>
      </c>
      <c r="I224" s="28" t="s">
        <v>25</v>
      </c>
      <c r="J224" s="31">
        <v>631.45</v>
      </c>
      <c r="K224" s="28" t="str">
        <f>IFERROR(__xludf.DUMMYFUNCTION("IFERROR(
INDEX(
FILTER(
MAP(
reglas!$B$2:$B$240,
reglas!$C$2:$C$240,
reglas!$D$2:$D$240,
reglas!$E$2:$E$240,
LAMBDA(rEmisor,rPatron,rConcepto,rTipo,
IF(
AND(
OR(
UPPER(TRIM(rEmisor))=UPPER(TRIM(C224)),
UPPER(TRIM(rEmisor))=""CUALQUIERA""
),
OR(
UPPER(TRIM"&amp;"(rTipo))=""SOLO EMISOR"",
AND(
UPPER(TRIM(rTipo))=""EXACTA"",
UPPER(TRIM(AG224))=UPPER(TRIM(rPatron))
),
AND(
OR(
UPPER(TRIM(rTipo))=""CONTIENE"",
UPPER(TRIM(rTipo))=""COINCIDENCIA""
),
ISNUMBER(SEARCH(UPPER(TRIM(rPatron)),UPPER(TRIM(D224))))
)
)
),
rConc"&amp;"epto,
""""
)
)
),
MAP(
reglas!$B$2:$B$240,
reglas!$C$2:$C$240,
reglas!$D$2:$D$240,
reglas!$E$2:$E$240,
LAMBDA(rEmisor,rPatron,rConcepto,rTipo,
IF(
AND(
OR(
UPPER(TRIM(rEmisor))=UPPER(TRIM(C224)),
UPPER(TRIM(rEmisor))=""CUALQUIERA""
),
OR(
UPPER(TRIM(rTipo"&amp;"))=""SOLO EMISOR"",
AND(
UPPER(TRIM(rTipo))=""EXACTA"",
UPPER(TRIM(D224))=UPPER(TRIM(rPatron))
),
AND(
OR(
UPPER(TRIM(rTipo))=""CONTIENE"",
UPPER(TRIM(rTipo))=""COINCIDENCIA""
),
ISNUMBER(SEARCH(UPPER(TRIM(rPatron)),UPPER(TRIM(D224))))
)
)
),
rConcepto,
"&amp;"""""
)
)
)&lt;&gt;""""
),
1
),
""""
)"),"MANIOBRAS")</f>
        <v>MANIOBRAS</v>
      </c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</row>
    <row r="225">
      <c r="A225" s="32"/>
      <c r="B225" s="32"/>
      <c r="C225" s="29" t="s">
        <v>271</v>
      </c>
      <c r="D225" s="29" t="s">
        <v>587</v>
      </c>
      <c r="E225" s="28">
        <v>577.74</v>
      </c>
      <c r="F225" s="28">
        <v>0.0</v>
      </c>
      <c r="G225" s="28" t="s">
        <v>84</v>
      </c>
      <c r="H225" s="28">
        <f t="array" ref="H225">INDEX(CC!C:C,MATCH(1,(CC!A:A=G225)*(CC!B:B=I225),0))</f>
        <v>1002</v>
      </c>
      <c r="I225" s="28" t="s">
        <v>25</v>
      </c>
      <c r="J225" s="31">
        <v>577.74</v>
      </c>
      <c r="K225" s="28" t="str">
        <f>IFERROR(__xludf.DUMMYFUNCTION("IFERROR(
INDEX(
FILTER(
MAP(
reglas!$B$2:$B$240,
reglas!$C$2:$C$240,
reglas!$D$2:$D$240,
reglas!$E$2:$E$240,
LAMBDA(rEmisor,rPatron,rConcepto,rTipo,
IF(
AND(
OR(
UPPER(TRIM(rEmisor))=UPPER(TRIM(C225)),
UPPER(TRIM(rEmisor))=""CUALQUIERA""
),
OR(
UPPER(TRIM"&amp;"(rTipo))=""SOLO EMISOR"",
AND(
UPPER(TRIM(rTipo))=""EXACTA"",
UPPER(TRIM(AG225))=UPPER(TRIM(rPatron))
),
AND(
OR(
UPPER(TRIM(rTipo))=""CONTIENE"",
UPPER(TRIM(rTipo))=""COINCIDENCIA""
),
ISNUMBER(SEARCH(UPPER(TRIM(rPatron)),UPPER(TRIM(D225))))
)
)
),
rConc"&amp;"epto,
""""
)
)
),
MAP(
reglas!$B$2:$B$240,
reglas!$C$2:$C$240,
reglas!$D$2:$D$240,
reglas!$E$2:$E$240,
LAMBDA(rEmisor,rPatron,rConcepto,rTipo,
IF(
AND(
OR(
UPPER(TRIM(rEmisor))=UPPER(TRIM(C225)),
UPPER(TRIM(rEmisor))=""CUALQUIERA""
),
OR(
UPPER(TRIM(rTipo"&amp;"))=""SOLO EMISOR"",
AND(
UPPER(TRIM(rTipo))=""EXACTA"",
UPPER(TRIM(D225))=UPPER(TRIM(rPatron))
),
AND(
OR(
UPPER(TRIM(rTipo))=""CONTIENE"",
UPPER(TRIM(rTipo))=""COINCIDENCIA""
),
ISNUMBER(SEARCH(UPPER(TRIM(rPatron)),UPPER(TRIM(D225))))
)
)
),
rConcepto,
"&amp;"""""
)
)
)&lt;&gt;""""
),
1
),
""""
)"),"MANIOBRAS")</f>
        <v>MANIOBRAS</v>
      </c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</row>
    <row r="226">
      <c r="A226" s="32"/>
      <c r="B226" s="32"/>
      <c r="C226" s="29" t="s">
        <v>271</v>
      </c>
      <c r="D226" s="29" t="s">
        <v>589</v>
      </c>
      <c r="E226" s="28">
        <v>631.8</v>
      </c>
      <c r="F226" s="28">
        <v>0.0</v>
      </c>
      <c r="G226" s="28" t="s">
        <v>84</v>
      </c>
      <c r="H226" s="28">
        <f t="array" ref="H226">INDEX(CC!C:C,MATCH(1,(CC!A:A=G226)*(CC!B:B=I226),0))</f>
        <v>1002</v>
      </c>
      <c r="I226" s="28" t="s">
        <v>25</v>
      </c>
      <c r="J226" s="31">
        <v>631.8</v>
      </c>
      <c r="K226" s="28" t="str">
        <f>IFERROR(__xludf.DUMMYFUNCTION("IFERROR(
INDEX(
FILTER(
MAP(
reglas!$B$2:$B$240,
reglas!$C$2:$C$240,
reglas!$D$2:$D$240,
reglas!$E$2:$E$240,
LAMBDA(rEmisor,rPatron,rConcepto,rTipo,
IF(
AND(
OR(
UPPER(TRIM(rEmisor))=UPPER(TRIM(C226)),
UPPER(TRIM(rEmisor))=""CUALQUIERA""
),
OR(
UPPER(TRIM"&amp;"(rTipo))=""SOLO EMISOR"",
AND(
UPPER(TRIM(rTipo))=""EXACTA"",
UPPER(TRIM(AG226))=UPPER(TRIM(rPatron))
),
AND(
OR(
UPPER(TRIM(rTipo))=""CONTIENE"",
UPPER(TRIM(rTipo))=""COINCIDENCIA""
),
ISNUMBER(SEARCH(UPPER(TRIM(rPatron)),UPPER(TRIM(D226))))
)
)
),
rConc"&amp;"epto,
""""
)
)
),
MAP(
reglas!$B$2:$B$240,
reglas!$C$2:$C$240,
reglas!$D$2:$D$240,
reglas!$E$2:$E$240,
LAMBDA(rEmisor,rPatron,rConcepto,rTipo,
IF(
AND(
OR(
UPPER(TRIM(rEmisor))=UPPER(TRIM(C226)),
UPPER(TRIM(rEmisor))=""CUALQUIERA""
),
OR(
UPPER(TRIM(rTipo"&amp;"))=""SOLO EMISOR"",
AND(
UPPER(TRIM(rTipo))=""EXACTA"",
UPPER(TRIM(D226))=UPPER(TRIM(rPatron))
),
AND(
OR(
UPPER(TRIM(rTipo))=""CONTIENE"",
UPPER(TRIM(rTipo))=""COINCIDENCIA""
),
ISNUMBER(SEARCH(UPPER(TRIM(rPatron)),UPPER(TRIM(D226))))
)
)
),
rConcepto,
"&amp;"""""
)
)
)&lt;&gt;""""
),
1
),
""""
)"),"MANIOBRAS")</f>
        <v>MANIOBRAS</v>
      </c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</row>
    <row r="227">
      <c r="A227" s="32"/>
      <c r="B227" s="32"/>
      <c r="C227" s="29" t="s">
        <v>271</v>
      </c>
      <c r="D227" s="29" t="s">
        <v>596</v>
      </c>
      <c r="E227" s="28">
        <v>662.89</v>
      </c>
      <c r="F227" s="28">
        <v>0.0</v>
      </c>
      <c r="G227" s="28" t="s">
        <v>84</v>
      </c>
      <c r="H227" s="28">
        <f t="array" ref="H227">INDEX(CC!C:C,MATCH(1,(CC!A:A=G227)*(CC!B:B=I227),0))</f>
        <v>1002</v>
      </c>
      <c r="I227" s="28" t="s">
        <v>25</v>
      </c>
      <c r="J227" s="31">
        <v>662.89</v>
      </c>
      <c r="K227" s="28" t="str">
        <f>IFERROR(__xludf.DUMMYFUNCTION("IFERROR(
INDEX(
FILTER(
MAP(
reglas!$B$2:$B$240,
reglas!$C$2:$C$240,
reglas!$D$2:$D$240,
reglas!$E$2:$E$240,
LAMBDA(rEmisor,rPatron,rConcepto,rTipo,
IF(
AND(
OR(
UPPER(TRIM(rEmisor))=UPPER(TRIM(C227)),
UPPER(TRIM(rEmisor))=""CUALQUIERA""
),
OR(
UPPER(TRIM"&amp;"(rTipo))=""SOLO EMISOR"",
AND(
UPPER(TRIM(rTipo))=""EXACTA"",
UPPER(TRIM(AG227))=UPPER(TRIM(rPatron))
),
AND(
OR(
UPPER(TRIM(rTipo))=""CONTIENE"",
UPPER(TRIM(rTipo))=""COINCIDENCIA""
),
ISNUMBER(SEARCH(UPPER(TRIM(rPatron)),UPPER(TRIM(D227))))
)
)
),
rConc"&amp;"epto,
""""
)
)
),
MAP(
reglas!$B$2:$B$240,
reglas!$C$2:$C$240,
reglas!$D$2:$D$240,
reglas!$E$2:$E$240,
LAMBDA(rEmisor,rPatron,rConcepto,rTipo,
IF(
AND(
OR(
UPPER(TRIM(rEmisor))=UPPER(TRIM(C227)),
UPPER(TRIM(rEmisor))=""CUALQUIERA""
),
OR(
UPPER(TRIM(rTipo"&amp;"))=""SOLO EMISOR"",
AND(
UPPER(TRIM(rTipo))=""EXACTA"",
UPPER(TRIM(D227))=UPPER(TRIM(rPatron))
),
AND(
OR(
UPPER(TRIM(rTipo))=""CONTIENE"",
UPPER(TRIM(rTipo))=""COINCIDENCIA""
),
ISNUMBER(SEARCH(UPPER(TRIM(rPatron)),UPPER(TRIM(D227))))
)
)
),
rConcepto,
"&amp;"""""
)
)
)&lt;&gt;""""
),
1
),
""""
)"),"MANIOBRAS")</f>
        <v>MANIOBRAS</v>
      </c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</row>
    <row r="228">
      <c r="A228" s="28">
        <v>1.0</v>
      </c>
      <c r="B228" s="28" t="s">
        <v>29</v>
      </c>
      <c r="C228" s="29" t="s">
        <v>120</v>
      </c>
      <c r="D228" s="29" t="s">
        <v>1072</v>
      </c>
      <c r="E228" s="28">
        <v>253.0</v>
      </c>
      <c r="F228" s="28">
        <v>0.0</v>
      </c>
      <c r="G228" s="28" t="s">
        <v>554</v>
      </c>
      <c r="H228" s="28">
        <f t="array" ref="H228">INDEX(CC!C:C,MATCH(1,(CC!A:A=G228)*(CC!B:B=I228),0))</f>
        <v>1702</v>
      </c>
      <c r="I228" s="28" t="s">
        <v>25</v>
      </c>
      <c r="J228" s="31">
        <v>253.0</v>
      </c>
      <c r="K228" s="28" t="str">
        <f>IFERROR(__xludf.DUMMYFUNCTION("IFERROR(
INDEX(
FILTER(
MAP(
reglas!$B$2:$B$240,
reglas!$C$2:$C$240,
reglas!$D$2:$D$240,
reglas!$E$2:$E$240,
LAMBDA(rEmisor,rPatron,rConcepto,rTipo,
IF(
AND(
OR(
UPPER(TRIM(rEmisor))=UPPER(TRIM(C228)),
UPPER(TRIM(rEmisor))=""CUALQUIERA""
),
OR(
UPPER(TRIM"&amp;"(rTipo))=""SOLO EMISOR"",
AND(
UPPER(TRIM(rTipo))=""EXACTA"",
UPPER(TRIM(AG228))=UPPER(TRIM(rPatron))
),
AND(
OR(
UPPER(TRIM(rTipo))=""CONTIENE"",
UPPER(TRIM(rTipo))=""COINCIDENCIA""
),
ISNUMBER(SEARCH(UPPER(TRIM(rPatron)),UPPER(TRIM(D228))))
)
)
),
rConc"&amp;"epto,
""""
)
)
),
MAP(
reglas!$B$2:$B$240,
reglas!$C$2:$C$240,
reglas!$D$2:$D$240,
reglas!$E$2:$E$240,
LAMBDA(rEmisor,rPatron,rConcepto,rTipo,
IF(
AND(
OR(
UPPER(TRIM(rEmisor))=UPPER(TRIM(C228)),
UPPER(TRIM(rEmisor))=""CUALQUIERA""
),
OR(
UPPER(TRIM(rTipo"&amp;"))=""SOLO EMISOR"",
AND(
UPPER(TRIM(rTipo))=""EXACTA"",
UPPER(TRIM(D228))=UPPER(TRIM(rPatron))
),
AND(
OR(
UPPER(TRIM(rTipo))=""CONTIENE"",
UPPER(TRIM(rTipo))=""COINCIDENCIA""
),
ISNUMBER(SEARCH(UPPER(TRIM(rPatron)),UPPER(TRIM(D228))))
)
)
),
rConcepto,
"&amp;"""""
)
)
)&lt;&gt;""""
),
1
),
""""
)"),"VALIDACION")</f>
        <v>VALIDACION</v>
      </c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</row>
    <row r="229">
      <c r="A229" s="32"/>
      <c r="B229" s="28" t="s">
        <v>29</v>
      </c>
      <c r="C229" s="29" t="s">
        <v>172</v>
      </c>
      <c r="D229" s="29" t="s">
        <v>559</v>
      </c>
      <c r="E229" s="30">
        <v>11500.0</v>
      </c>
      <c r="F229" s="28">
        <v>0.0</v>
      </c>
      <c r="G229" s="28" t="s">
        <v>250</v>
      </c>
      <c r="H229" s="28">
        <f t="array" ref="H229">INDEX(CC!C:C,MATCH(1,(CC!A:A=G229)*(CC!B:B=I229),0))</f>
        <v>1402</v>
      </c>
      <c r="I229" s="28" t="s">
        <v>25</v>
      </c>
      <c r="J229" s="31">
        <v>11500.0</v>
      </c>
      <c r="K229" s="28" t="str">
        <f>IFERROR(__xludf.DUMMYFUNCTION("IFERROR(
INDEX(
FILTER(
MAP(
reglas!$B$2:$B$240,
reglas!$C$2:$C$240,
reglas!$D$2:$D$240,
reglas!$E$2:$E$240,
LAMBDA(rEmisor,rPatron,rConcepto,rTipo,
IF(
AND(
OR(
UPPER(TRIM(rEmisor))=UPPER(TRIM(C229)),
UPPER(TRIM(rEmisor))=""CUALQUIERA""
),
OR(
UPPER(TRIM"&amp;"(rTipo))=""SOLO EMISOR"",
AND(
UPPER(TRIM(rTipo))=""EXACTA"",
UPPER(TRIM(AG229))=UPPER(TRIM(rPatron))
),
AND(
OR(
UPPER(TRIM(rTipo))=""CONTIENE"",
UPPER(TRIM(rTipo))=""COINCIDENCIA""
),
ISNUMBER(SEARCH(UPPER(TRIM(rPatron)),UPPER(TRIM(D229))))
)
)
),
rConc"&amp;"epto,
""""
)
)
),
MAP(
reglas!$B$2:$B$240,
reglas!$C$2:$C$240,
reglas!$D$2:$D$240,
reglas!$E$2:$E$240,
LAMBDA(rEmisor,rPatron,rConcepto,rTipo,
IF(
AND(
OR(
UPPER(TRIM(rEmisor))=UPPER(TRIM(C229)),
UPPER(TRIM(rEmisor))=""CUALQUIERA""
),
OR(
UPPER(TRIM(rTipo"&amp;"))=""SOLO EMISOR"",
AND(
UPPER(TRIM(rTipo))=""EXACTA"",
UPPER(TRIM(D229))=UPPER(TRIM(rPatron))
),
AND(
OR(
UPPER(TRIM(rTipo))=""CONTIENE"",
UPPER(TRIM(rTipo))=""COINCIDENCIA""
),
ISNUMBER(SEARCH(UPPER(TRIM(rPatron)),UPPER(TRIM(D229))))
)
)
),
rConcepto,
"&amp;"""""
)
)
)&lt;&gt;""""
),
1
),
""""
)"),"TRANSPORTE")</f>
        <v>TRANSPORTE</v>
      </c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</row>
    <row r="230">
      <c r="A230" s="32"/>
      <c r="B230" s="28" t="s">
        <v>29</v>
      </c>
      <c r="C230" s="29" t="s">
        <v>172</v>
      </c>
      <c r="D230" s="29" t="s">
        <v>1081</v>
      </c>
      <c r="E230" s="30">
        <v>11500.0</v>
      </c>
      <c r="F230" s="28">
        <v>0.0</v>
      </c>
      <c r="G230" s="28" t="s">
        <v>250</v>
      </c>
      <c r="H230" s="28">
        <f t="array" ref="H230">INDEX(CC!C:C,MATCH(1,(CC!A:A=G230)*(CC!B:B=I230),0))</f>
        <v>1402</v>
      </c>
      <c r="I230" s="28" t="s">
        <v>25</v>
      </c>
      <c r="J230" s="31">
        <v>11500.0</v>
      </c>
      <c r="K230" s="28" t="str">
        <f>IFERROR(__xludf.DUMMYFUNCTION("IFERROR(
INDEX(
FILTER(
MAP(
reglas!$B$2:$B$240,
reglas!$C$2:$C$240,
reglas!$D$2:$D$240,
reglas!$E$2:$E$240,
LAMBDA(rEmisor,rPatron,rConcepto,rTipo,
IF(
AND(
OR(
UPPER(TRIM(rEmisor))=UPPER(TRIM(C230)),
UPPER(TRIM(rEmisor))=""CUALQUIERA""
),
OR(
UPPER(TRIM"&amp;"(rTipo))=""SOLO EMISOR"",
AND(
UPPER(TRIM(rTipo))=""EXACTA"",
UPPER(TRIM(AG230))=UPPER(TRIM(rPatron))
),
AND(
OR(
UPPER(TRIM(rTipo))=""CONTIENE"",
UPPER(TRIM(rTipo))=""COINCIDENCIA""
),
ISNUMBER(SEARCH(UPPER(TRIM(rPatron)),UPPER(TRIM(D230))))
)
)
),
rConc"&amp;"epto,
""""
)
)
),
MAP(
reglas!$B$2:$B$240,
reglas!$C$2:$C$240,
reglas!$D$2:$D$240,
reglas!$E$2:$E$240,
LAMBDA(rEmisor,rPatron,rConcepto,rTipo,
IF(
AND(
OR(
UPPER(TRIM(rEmisor))=UPPER(TRIM(C230)),
UPPER(TRIM(rEmisor))=""CUALQUIERA""
),
OR(
UPPER(TRIM(rTipo"&amp;"))=""SOLO EMISOR"",
AND(
UPPER(TRIM(rTipo))=""EXACTA"",
UPPER(TRIM(D230))=UPPER(TRIM(rPatron))
),
AND(
OR(
UPPER(TRIM(rTipo))=""CONTIENE"",
UPPER(TRIM(rTipo))=""COINCIDENCIA""
),
ISNUMBER(SEARCH(UPPER(TRIM(rPatron)),UPPER(TRIM(D230))))
)
)
),
rConcepto,
"&amp;"""""
)
)
)&lt;&gt;""""
),
1
),
""""
)"),"TRANSPORTE")</f>
        <v>TRANSPORTE</v>
      </c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</row>
    <row r="231">
      <c r="A231" s="32"/>
      <c r="B231" s="28" t="s">
        <v>29</v>
      </c>
      <c r="C231" s="29" t="s">
        <v>278</v>
      </c>
      <c r="D231" s="29" t="s">
        <v>560</v>
      </c>
      <c r="E231" s="30">
        <v>3500.0</v>
      </c>
      <c r="F231" s="28">
        <v>0.0</v>
      </c>
      <c r="G231" s="28" t="s">
        <v>250</v>
      </c>
      <c r="H231" s="28">
        <f t="array" ref="H231">INDEX(CC!C:C,MATCH(1,(CC!A:A=G231)*(CC!B:B=I231),0))</f>
        <v>1402</v>
      </c>
      <c r="I231" s="28" t="s">
        <v>25</v>
      </c>
      <c r="J231" s="31">
        <v>3500.0</v>
      </c>
      <c r="K231" s="28" t="str">
        <f>IFERROR(__xludf.DUMMYFUNCTION("IFERROR(
INDEX(
FILTER(
MAP(
reglas!$B$2:$B$240,
reglas!$C$2:$C$240,
reglas!$D$2:$D$240,
reglas!$E$2:$E$240,
LAMBDA(rEmisor,rPatron,rConcepto,rTipo,
IF(
AND(
OR(
UPPER(TRIM(rEmisor))=UPPER(TRIM(C231)),
UPPER(TRIM(rEmisor))=""CUALQUIERA""
),
OR(
UPPER(TRIM"&amp;"(rTipo))=""SOLO EMISOR"",
AND(
UPPER(TRIM(rTipo))=""EXACTA"",
UPPER(TRIM(AG231))=UPPER(TRIM(rPatron))
),
AND(
OR(
UPPER(TRIM(rTipo))=""CONTIENE"",
UPPER(TRIM(rTipo))=""COINCIDENCIA""
),
ISNUMBER(SEARCH(UPPER(TRIM(rPatron)),UPPER(TRIM(D231))))
)
)
),
rConc"&amp;"epto,
""""
)
)
),
MAP(
reglas!$B$2:$B$240,
reglas!$C$2:$C$240,
reglas!$D$2:$D$240,
reglas!$E$2:$E$240,
LAMBDA(rEmisor,rPatron,rConcepto,rTipo,
IF(
AND(
OR(
UPPER(TRIM(rEmisor))=UPPER(TRIM(C231)),
UPPER(TRIM(rEmisor))=""CUALQUIERA""
),
OR(
UPPER(TRIM(rTipo"&amp;"))=""SOLO EMISOR"",
AND(
UPPER(TRIM(rTipo))=""EXACTA"",
UPPER(TRIM(D231))=UPPER(TRIM(rPatron))
),
AND(
OR(
UPPER(TRIM(rTipo))=""CONTIENE"",
UPPER(TRIM(rTipo))=""COINCIDENCIA""
),
ISNUMBER(SEARCH(UPPER(TRIM(rPatron)),UPPER(TRIM(D231))))
)
)
),
rConcepto,
"&amp;"""""
)
)
)&lt;&gt;""""
),
1
),
""""
)"),"MANIOBRAS")</f>
        <v>MANIOBRAS</v>
      </c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</row>
    <row r="232">
      <c r="A232" s="32"/>
      <c r="B232" s="28" t="s">
        <v>29</v>
      </c>
      <c r="C232" s="29" t="s">
        <v>172</v>
      </c>
      <c r="D232" s="29" t="s">
        <v>1065</v>
      </c>
      <c r="E232" s="30">
        <v>11500.0</v>
      </c>
      <c r="F232" s="28">
        <v>0.0</v>
      </c>
      <c r="G232" s="28" t="s">
        <v>250</v>
      </c>
      <c r="H232" s="28">
        <f t="array" ref="H232">INDEX(CC!C:C,MATCH(1,(CC!A:A=G232)*(CC!B:B=I232),0))</f>
        <v>1402</v>
      </c>
      <c r="I232" s="28" t="s">
        <v>25</v>
      </c>
      <c r="J232" s="31">
        <v>11500.0</v>
      </c>
      <c r="K232" s="28" t="str">
        <f>IFERROR(__xludf.DUMMYFUNCTION("IFERROR(
INDEX(
FILTER(
MAP(
reglas!$B$2:$B$240,
reglas!$C$2:$C$240,
reglas!$D$2:$D$240,
reglas!$E$2:$E$240,
LAMBDA(rEmisor,rPatron,rConcepto,rTipo,
IF(
AND(
OR(
UPPER(TRIM(rEmisor))=UPPER(TRIM(C232)),
UPPER(TRIM(rEmisor))=""CUALQUIERA""
),
OR(
UPPER(TRIM"&amp;"(rTipo))=""SOLO EMISOR"",
AND(
UPPER(TRIM(rTipo))=""EXACTA"",
UPPER(TRIM(AG232))=UPPER(TRIM(rPatron))
),
AND(
OR(
UPPER(TRIM(rTipo))=""CONTIENE"",
UPPER(TRIM(rTipo))=""COINCIDENCIA""
),
ISNUMBER(SEARCH(UPPER(TRIM(rPatron)),UPPER(TRIM(D232))))
)
)
),
rConc"&amp;"epto,
""""
)
)
),
MAP(
reglas!$B$2:$B$240,
reglas!$C$2:$C$240,
reglas!$D$2:$D$240,
reglas!$E$2:$E$240,
LAMBDA(rEmisor,rPatron,rConcepto,rTipo,
IF(
AND(
OR(
UPPER(TRIM(rEmisor))=UPPER(TRIM(C232)),
UPPER(TRIM(rEmisor))=""CUALQUIERA""
),
OR(
UPPER(TRIM(rTipo"&amp;"))=""SOLO EMISOR"",
AND(
UPPER(TRIM(rTipo))=""EXACTA"",
UPPER(TRIM(D232))=UPPER(TRIM(rPatron))
),
AND(
OR(
UPPER(TRIM(rTipo))=""CONTIENE"",
UPPER(TRIM(rTipo))=""COINCIDENCIA""
),
ISNUMBER(SEARCH(UPPER(TRIM(rPatron)),UPPER(TRIM(D232))))
)
)
),
rConcepto,
"&amp;"""""
)
)
)&lt;&gt;""""
),
1
),
""""
)"),"TRANSPORTE")</f>
        <v>TRANSPORTE</v>
      </c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</row>
    <row r="233">
      <c r="A233" s="28">
        <v>1.0</v>
      </c>
      <c r="B233" s="28" t="s">
        <v>29</v>
      </c>
      <c r="C233" s="29" t="s">
        <v>271</v>
      </c>
      <c r="D233" s="29" t="s">
        <v>585</v>
      </c>
      <c r="E233" s="28">
        <v>631.45</v>
      </c>
      <c r="F233" s="28">
        <v>0.0</v>
      </c>
      <c r="G233" s="28" t="s">
        <v>84</v>
      </c>
      <c r="H233" s="28">
        <f t="array" ref="H233">INDEX(CC!C:C,MATCH(1,(CC!A:A=G233)*(CC!B:B=I233),0))</f>
        <v>1002</v>
      </c>
      <c r="I233" s="28" t="s">
        <v>25</v>
      </c>
      <c r="J233" s="31">
        <v>631.45</v>
      </c>
      <c r="K233" s="28" t="str">
        <f>IFERROR(__xludf.DUMMYFUNCTION("IFERROR(
INDEX(
FILTER(
MAP(
reglas!$B$2:$B$240,
reglas!$C$2:$C$240,
reglas!$D$2:$D$240,
reglas!$E$2:$E$240,
LAMBDA(rEmisor,rPatron,rConcepto,rTipo,
IF(
AND(
OR(
UPPER(TRIM(rEmisor))=UPPER(TRIM(C233)),
UPPER(TRIM(rEmisor))=""CUALQUIERA""
),
OR(
UPPER(TRIM"&amp;"(rTipo))=""SOLO EMISOR"",
AND(
UPPER(TRIM(rTipo))=""EXACTA"",
UPPER(TRIM(AG233))=UPPER(TRIM(rPatron))
),
AND(
OR(
UPPER(TRIM(rTipo))=""CONTIENE"",
UPPER(TRIM(rTipo))=""COINCIDENCIA""
),
ISNUMBER(SEARCH(UPPER(TRIM(rPatron)),UPPER(TRIM(D233))))
)
)
),
rConc"&amp;"epto,
""""
)
)
),
MAP(
reglas!$B$2:$B$240,
reglas!$C$2:$C$240,
reglas!$D$2:$D$240,
reglas!$E$2:$E$240,
LAMBDA(rEmisor,rPatron,rConcepto,rTipo,
IF(
AND(
OR(
UPPER(TRIM(rEmisor))=UPPER(TRIM(C233)),
UPPER(TRIM(rEmisor))=""CUALQUIERA""
),
OR(
UPPER(TRIM(rTipo"&amp;"))=""SOLO EMISOR"",
AND(
UPPER(TRIM(rTipo))=""EXACTA"",
UPPER(TRIM(D233))=UPPER(TRIM(rPatron))
),
AND(
OR(
UPPER(TRIM(rTipo))=""CONTIENE"",
UPPER(TRIM(rTipo))=""COINCIDENCIA""
),
ISNUMBER(SEARCH(UPPER(TRIM(rPatron)),UPPER(TRIM(D233))))
)
)
),
rConcepto,
"&amp;"""""
)
)
)&lt;&gt;""""
),
1
),
""""
)"),"MANIOBRAS")</f>
        <v>MANIOBRAS</v>
      </c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</row>
    <row r="234">
      <c r="A234" s="32"/>
      <c r="B234" s="32"/>
      <c r="C234" s="29" t="s">
        <v>271</v>
      </c>
      <c r="D234" s="29" t="s">
        <v>587</v>
      </c>
      <c r="E234" s="28">
        <v>577.74</v>
      </c>
      <c r="F234" s="28">
        <v>0.0</v>
      </c>
      <c r="G234" s="28" t="s">
        <v>84</v>
      </c>
      <c r="H234" s="28">
        <f t="array" ref="H234">INDEX(CC!C:C,MATCH(1,(CC!A:A=G234)*(CC!B:B=I234),0))</f>
        <v>1002</v>
      </c>
      <c r="I234" s="28" t="s">
        <v>25</v>
      </c>
      <c r="J234" s="31">
        <v>577.74</v>
      </c>
      <c r="K234" s="28" t="str">
        <f>IFERROR(__xludf.DUMMYFUNCTION("IFERROR(
INDEX(
FILTER(
MAP(
reglas!$B$2:$B$240,
reglas!$C$2:$C$240,
reglas!$D$2:$D$240,
reglas!$E$2:$E$240,
LAMBDA(rEmisor,rPatron,rConcepto,rTipo,
IF(
AND(
OR(
UPPER(TRIM(rEmisor))=UPPER(TRIM(C234)),
UPPER(TRIM(rEmisor))=""CUALQUIERA""
),
OR(
UPPER(TRIM"&amp;"(rTipo))=""SOLO EMISOR"",
AND(
UPPER(TRIM(rTipo))=""EXACTA"",
UPPER(TRIM(AG234))=UPPER(TRIM(rPatron))
),
AND(
OR(
UPPER(TRIM(rTipo))=""CONTIENE"",
UPPER(TRIM(rTipo))=""COINCIDENCIA""
),
ISNUMBER(SEARCH(UPPER(TRIM(rPatron)),UPPER(TRIM(D234))))
)
)
),
rConc"&amp;"epto,
""""
)
)
),
MAP(
reglas!$B$2:$B$240,
reglas!$C$2:$C$240,
reglas!$D$2:$D$240,
reglas!$E$2:$E$240,
LAMBDA(rEmisor,rPatron,rConcepto,rTipo,
IF(
AND(
OR(
UPPER(TRIM(rEmisor))=UPPER(TRIM(C234)),
UPPER(TRIM(rEmisor))=""CUALQUIERA""
),
OR(
UPPER(TRIM(rTipo"&amp;"))=""SOLO EMISOR"",
AND(
UPPER(TRIM(rTipo))=""EXACTA"",
UPPER(TRIM(D234))=UPPER(TRIM(rPatron))
),
AND(
OR(
UPPER(TRIM(rTipo))=""CONTIENE"",
UPPER(TRIM(rTipo))=""COINCIDENCIA""
),
ISNUMBER(SEARCH(UPPER(TRIM(rPatron)),UPPER(TRIM(D234))))
)
)
),
rConcepto,
"&amp;"""""
)
)
)&lt;&gt;""""
),
1
),
""""
)"),"MANIOBRAS")</f>
        <v>MANIOBRAS</v>
      </c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</row>
    <row r="235">
      <c r="A235" s="32"/>
      <c r="B235" s="32"/>
      <c r="C235" s="29" t="s">
        <v>271</v>
      </c>
      <c r="D235" s="29" t="s">
        <v>586</v>
      </c>
      <c r="E235" s="28">
        <v>631.8</v>
      </c>
      <c r="F235" s="28">
        <v>0.0</v>
      </c>
      <c r="G235" s="28" t="s">
        <v>84</v>
      </c>
      <c r="H235" s="28">
        <f t="array" ref="H235">INDEX(CC!C:C,MATCH(1,(CC!A:A=G235)*(CC!B:B=I235),0))</f>
        <v>1002</v>
      </c>
      <c r="I235" s="28" t="s">
        <v>25</v>
      </c>
      <c r="J235" s="31">
        <v>631.8</v>
      </c>
      <c r="K235" s="28" t="str">
        <f>IFERROR(__xludf.DUMMYFUNCTION("IFERROR(
INDEX(
FILTER(
MAP(
reglas!$B$2:$B$240,
reglas!$C$2:$C$240,
reglas!$D$2:$D$240,
reglas!$E$2:$E$240,
LAMBDA(rEmisor,rPatron,rConcepto,rTipo,
IF(
AND(
OR(
UPPER(TRIM(rEmisor))=UPPER(TRIM(C235)),
UPPER(TRIM(rEmisor))=""CUALQUIERA""
),
OR(
UPPER(TRIM"&amp;"(rTipo))=""SOLO EMISOR"",
AND(
UPPER(TRIM(rTipo))=""EXACTA"",
UPPER(TRIM(AG235))=UPPER(TRIM(rPatron))
),
AND(
OR(
UPPER(TRIM(rTipo))=""CONTIENE"",
UPPER(TRIM(rTipo))=""COINCIDENCIA""
),
ISNUMBER(SEARCH(UPPER(TRIM(rPatron)),UPPER(TRIM(D235))))
)
)
),
rConc"&amp;"epto,
""""
)
)
),
MAP(
reglas!$B$2:$B$240,
reglas!$C$2:$C$240,
reglas!$D$2:$D$240,
reglas!$E$2:$E$240,
LAMBDA(rEmisor,rPatron,rConcepto,rTipo,
IF(
AND(
OR(
UPPER(TRIM(rEmisor))=UPPER(TRIM(C235)),
UPPER(TRIM(rEmisor))=""CUALQUIERA""
),
OR(
UPPER(TRIM(rTipo"&amp;"))=""SOLO EMISOR"",
AND(
UPPER(TRIM(rTipo))=""EXACTA"",
UPPER(TRIM(D235))=UPPER(TRIM(rPatron))
),
AND(
OR(
UPPER(TRIM(rTipo))=""CONTIENE"",
UPPER(TRIM(rTipo))=""COINCIDENCIA""
),
ISNUMBER(SEARCH(UPPER(TRIM(rPatron)),UPPER(TRIM(D235))))
)
)
),
rConcepto,
"&amp;"""""
)
)
)&lt;&gt;""""
),
1
),
""""
)"),"MANIOBRAS")</f>
        <v>MANIOBRAS</v>
      </c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</row>
    <row r="236">
      <c r="A236" s="32"/>
      <c r="B236" s="32"/>
      <c r="C236" s="29" t="s">
        <v>271</v>
      </c>
      <c r="D236" s="29" t="s">
        <v>589</v>
      </c>
      <c r="E236" s="28">
        <v>631.8</v>
      </c>
      <c r="F236" s="28">
        <v>0.0</v>
      </c>
      <c r="G236" s="28" t="s">
        <v>84</v>
      </c>
      <c r="H236" s="28">
        <f t="array" ref="H236">INDEX(CC!C:C,MATCH(1,(CC!A:A=G236)*(CC!B:B=I236),0))</f>
        <v>1002</v>
      </c>
      <c r="I236" s="28" t="s">
        <v>25</v>
      </c>
      <c r="J236" s="31">
        <v>631.8</v>
      </c>
      <c r="K236" s="28" t="str">
        <f>IFERROR(__xludf.DUMMYFUNCTION("IFERROR(
INDEX(
FILTER(
MAP(
reglas!$B$2:$B$240,
reglas!$C$2:$C$240,
reglas!$D$2:$D$240,
reglas!$E$2:$E$240,
LAMBDA(rEmisor,rPatron,rConcepto,rTipo,
IF(
AND(
OR(
UPPER(TRIM(rEmisor))=UPPER(TRIM(C236)),
UPPER(TRIM(rEmisor))=""CUALQUIERA""
),
OR(
UPPER(TRIM"&amp;"(rTipo))=""SOLO EMISOR"",
AND(
UPPER(TRIM(rTipo))=""EXACTA"",
UPPER(TRIM(AG236))=UPPER(TRIM(rPatron))
),
AND(
OR(
UPPER(TRIM(rTipo))=""CONTIENE"",
UPPER(TRIM(rTipo))=""COINCIDENCIA""
),
ISNUMBER(SEARCH(UPPER(TRIM(rPatron)),UPPER(TRIM(D236))))
)
)
),
rConc"&amp;"epto,
""""
)
)
),
MAP(
reglas!$B$2:$B$240,
reglas!$C$2:$C$240,
reglas!$D$2:$D$240,
reglas!$E$2:$E$240,
LAMBDA(rEmisor,rPatron,rConcepto,rTipo,
IF(
AND(
OR(
UPPER(TRIM(rEmisor))=UPPER(TRIM(C236)),
UPPER(TRIM(rEmisor))=""CUALQUIERA""
),
OR(
UPPER(TRIM(rTipo"&amp;"))=""SOLO EMISOR"",
AND(
UPPER(TRIM(rTipo))=""EXACTA"",
UPPER(TRIM(D236))=UPPER(TRIM(rPatron))
),
AND(
OR(
UPPER(TRIM(rTipo))=""CONTIENE"",
UPPER(TRIM(rTipo))=""COINCIDENCIA""
),
ISNUMBER(SEARCH(UPPER(TRIM(rPatron)),UPPER(TRIM(D236))))
)
)
),
rConcepto,
"&amp;"""""
)
)
)&lt;&gt;""""
),
1
),
""""
)"),"MANIOBRAS")</f>
        <v>MANIOBRAS</v>
      </c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</row>
    <row r="237">
      <c r="A237" s="32"/>
      <c r="B237" s="32"/>
      <c r="C237" s="29" t="s">
        <v>271</v>
      </c>
      <c r="D237" s="29" t="s">
        <v>593</v>
      </c>
      <c r="E237" s="28">
        <v>661.16</v>
      </c>
      <c r="F237" s="28">
        <v>0.0</v>
      </c>
      <c r="G237" s="28" t="s">
        <v>84</v>
      </c>
      <c r="H237" s="28">
        <f t="array" ref="H237">INDEX(CC!C:C,MATCH(1,(CC!A:A=G237)*(CC!B:B=I237),0))</f>
        <v>1002</v>
      </c>
      <c r="I237" s="28" t="s">
        <v>25</v>
      </c>
      <c r="J237" s="31">
        <v>661.16</v>
      </c>
      <c r="K237" s="28" t="str">
        <f>IFERROR(__xludf.DUMMYFUNCTION("IFERROR(
INDEX(
FILTER(
MAP(
reglas!$B$2:$B$240,
reglas!$C$2:$C$240,
reglas!$D$2:$D$240,
reglas!$E$2:$E$240,
LAMBDA(rEmisor,rPatron,rConcepto,rTipo,
IF(
AND(
OR(
UPPER(TRIM(rEmisor))=UPPER(TRIM(C237)),
UPPER(TRIM(rEmisor))=""CUALQUIERA""
),
OR(
UPPER(TRIM"&amp;"(rTipo))=""SOLO EMISOR"",
AND(
UPPER(TRIM(rTipo))=""EXACTA"",
UPPER(TRIM(AG237))=UPPER(TRIM(rPatron))
),
AND(
OR(
UPPER(TRIM(rTipo))=""CONTIENE"",
UPPER(TRIM(rTipo))=""COINCIDENCIA""
),
ISNUMBER(SEARCH(UPPER(TRIM(rPatron)),UPPER(TRIM(D237))))
)
)
),
rConc"&amp;"epto,
""""
)
)
),
MAP(
reglas!$B$2:$B$240,
reglas!$C$2:$C$240,
reglas!$D$2:$D$240,
reglas!$E$2:$E$240,
LAMBDA(rEmisor,rPatron,rConcepto,rTipo,
IF(
AND(
OR(
UPPER(TRIM(rEmisor))=UPPER(TRIM(C237)),
UPPER(TRIM(rEmisor))=""CUALQUIERA""
),
OR(
UPPER(TRIM(rTipo"&amp;"))=""SOLO EMISOR"",
AND(
UPPER(TRIM(rTipo))=""EXACTA"",
UPPER(TRIM(D237))=UPPER(TRIM(rPatron))
),
AND(
OR(
UPPER(TRIM(rTipo))=""CONTIENE"",
UPPER(TRIM(rTipo))=""COINCIDENCIA""
),
ISNUMBER(SEARCH(UPPER(TRIM(rPatron)),UPPER(TRIM(D237))))
)
)
),
rConcepto,
"&amp;"""""
)
)
)&lt;&gt;""""
),
1
),
""""
)"),"MANIOBRAS")</f>
        <v>MANIOBRAS</v>
      </c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</row>
    <row r="238">
      <c r="A238" s="32"/>
      <c r="B238" s="32"/>
      <c r="C238" s="29" t="s">
        <v>271</v>
      </c>
      <c r="D238" s="29" t="s">
        <v>596</v>
      </c>
      <c r="E238" s="28">
        <v>662.89</v>
      </c>
      <c r="F238" s="28">
        <v>0.0</v>
      </c>
      <c r="G238" s="28" t="s">
        <v>84</v>
      </c>
      <c r="H238" s="28">
        <f t="array" ref="H238">INDEX(CC!C:C,MATCH(1,(CC!A:A=G238)*(CC!B:B=I238),0))</f>
        <v>1002</v>
      </c>
      <c r="I238" s="28" t="s">
        <v>25</v>
      </c>
      <c r="J238" s="31">
        <v>662.89</v>
      </c>
      <c r="K238" s="28" t="str">
        <f>IFERROR(__xludf.DUMMYFUNCTION("IFERROR(
INDEX(
FILTER(
MAP(
reglas!$B$2:$B$240,
reglas!$C$2:$C$240,
reglas!$D$2:$D$240,
reglas!$E$2:$E$240,
LAMBDA(rEmisor,rPatron,rConcepto,rTipo,
IF(
AND(
OR(
UPPER(TRIM(rEmisor))=UPPER(TRIM(C238)),
UPPER(TRIM(rEmisor))=""CUALQUIERA""
),
OR(
UPPER(TRIM"&amp;"(rTipo))=""SOLO EMISOR"",
AND(
UPPER(TRIM(rTipo))=""EXACTA"",
UPPER(TRIM(AG238))=UPPER(TRIM(rPatron))
),
AND(
OR(
UPPER(TRIM(rTipo))=""CONTIENE"",
UPPER(TRIM(rTipo))=""COINCIDENCIA""
),
ISNUMBER(SEARCH(UPPER(TRIM(rPatron)),UPPER(TRIM(D238))))
)
)
),
rConc"&amp;"epto,
""""
)
)
),
MAP(
reglas!$B$2:$B$240,
reglas!$C$2:$C$240,
reglas!$D$2:$D$240,
reglas!$E$2:$E$240,
LAMBDA(rEmisor,rPatron,rConcepto,rTipo,
IF(
AND(
OR(
UPPER(TRIM(rEmisor))=UPPER(TRIM(C238)),
UPPER(TRIM(rEmisor))=""CUALQUIERA""
),
OR(
UPPER(TRIM(rTipo"&amp;"))=""SOLO EMISOR"",
AND(
UPPER(TRIM(rTipo))=""EXACTA"",
UPPER(TRIM(D238))=UPPER(TRIM(rPatron))
),
AND(
OR(
UPPER(TRIM(rTipo))=""CONTIENE"",
UPPER(TRIM(rTipo))=""COINCIDENCIA""
),
ISNUMBER(SEARCH(UPPER(TRIM(rPatron)),UPPER(TRIM(D238))))
)
)
),
rConcepto,
"&amp;"""""
)
)
)&lt;&gt;""""
),
1
),
""""
)"),"MANIOBRAS")</f>
        <v>MANIOBRAS</v>
      </c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</row>
    <row r="239">
      <c r="A239" s="28">
        <v>1.0</v>
      </c>
      <c r="B239" s="28" t="s">
        <v>29</v>
      </c>
      <c r="C239" s="29" t="s">
        <v>96</v>
      </c>
      <c r="D239" s="29" t="s">
        <v>1088</v>
      </c>
      <c r="E239" s="28">
        <v>427.55</v>
      </c>
      <c r="F239" s="28">
        <v>0.0</v>
      </c>
      <c r="G239" s="28" t="s">
        <v>74</v>
      </c>
      <c r="H239" s="28">
        <f t="array" ref="H239">INDEX(CC!C:C,MATCH(1,(CC!A:A=G239)*(CC!B:B=I239),0))</f>
        <v>1503</v>
      </c>
      <c r="I239" s="28" t="s">
        <v>44</v>
      </c>
      <c r="J239" s="31">
        <v>427.55</v>
      </c>
      <c r="K239" s="28" t="str">
        <f>IFERROR(__xludf.DUMMYFUNCTION("IFERROR(
INDEX(
FILTER(
MAP(
reglas!$B$2:$B$240,
reglas!$C$2:$C$240,
reglas!$D$2:$D$240,
reglas!$E$2:$E$240,
LAMBDA(rEmisor,rPatron,rConcepto,rTipo,
IF(
AND(
OR(
UPPER(TRIM(rEmisor))=UPPER(TRIM(C239)),
UPPER(TRIM(rEmisor))=""CUALQUIERA""
),
OR(
UPPER(TRIM"&amp;"(rTipo))=""SOLO EMISOR"",
AND(
UPPER(TRIM(rTipo))=""EXACTA"",
UPPER(TRIM(AG239))=UPPER(TRIM(rPatron))
),
AND(
OR(
UPPER(TRIM(rTipo))=""CONTIENE"",
UPPER(TRIM(rTipo))=""COINCIDENCIA""
),
ISNUMBER(SEARCH(UPPER(TRIM(rPatron)),UPPER(TRIM(D239))))
)
)
),
rConc"&amp;"epto,
""""
)
)
),
MAP(
reglas!$B$2:$B$240,
reglas!$C$2:$C$240,
reglas!$D$2:$D$240,
reglas!$E$2:$E$240,
LAMBDA(rEmisor,rPatron,rConcepto,rTipo,
IF(
AND(
OR(
UPPER(TRIM(rEmisor))=UPPER(TRIM(C239)),
UPPER(TRIM(rEmisor))=""CUALQUIERA""
),
OR(
UPPER(TRIM(rTipo"&amp;"))=""SOLO EMISOR"",
AND(
UPPER(TRIM(rTipo))=""EXACTA"",
UPPER(TRIM(D239))=UPPER(TRIM(rPatron))
),
AND(
OR(
UPPER(TRIM(rTipo))=""CONTIENE"",
UPPER(TRIM(rTipo))=""COINCIDENCIA""
),
ISNUMBER(SEARCH(UPPER(TRIM(rPatron)),UPPER(TRIM(D239))))
)
)
),
rConcepto,
"&amp;"""""
)
)
)&lt;&gt;""""
),
1
),
""""
)"),"GUIAS")</f>
        <v>GUIAS</v>
      </c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</row>
    <row r="240">
      <c r="A240" s="32"/>
      <c r="B240" s="28" t="s">
        <v>29</v>
      </c>
      <c r="C240" s="29" t="s">
        <v>278</v>
      </c>
      <c r="D240" s="29" t="s">
        <v>560</v>
      </c>
      <c r="E240" s="30">
        <v>3500.0</v>
      </c>
      <c r="F240" s="28">
        <v>0.0</v>
      </c>
      <c r="G240" s="28" t="s">
        <v>250</v>
      </c>
      <c r="H240" s="28">
        <f t="array" ref="H240">INDEX(CC!C:C,MATCH(1,(CC!A:A=G240)*(CC!B:B=I240),0))</f>
        <v>1402</v>
      </c>
      <c r="I240" s="28" t="s">
        <v>25</v>
      </c>
      <c r="J240" s="31">
        <v>3500.0</v>
      </c>
      <c r="K240" s="28" t="str">
        <f>IFERROR(__xludf.DUMMYFUNCTION("IFERROR(
INDEX(
FILTER(
MAP(
reglas!$B$2:$B$240,
reglas!$C$2:$C$240,
reglas!$D$2:$D$240,
reglas!$E$2:$E$240,
LAMBDA(rEmisor,rPatron,rConcepto,rTipo,
IF(
AND(
OR(
UPPER(TRIM(rEmisor))=UPPER(TRIM(C240)),
UPPER(TRIM(rEmisor))=""CUALQUIERA""
),
OR(
UPPER(TRIM"&amp;"(rTipo))=""SOLO EMISOR"",
AND(
UPPER(TRIM(rTipo))=""EXACTA"",
UPPER(TRIM(AG240))=UPPER(TRIM(rPatron))
),
AND(
OR(
UPPER(TRIM(rTipo))=""CONTIENE"",
UPPER(TRIM(rTipo))=""COINCIDENCIA""
),
ISNUMBER(SEARCH(UPPER(TRIM(rPatron)),UPPER(TRIM(D240))))
)
)
),
rConc"&amp;"epto,
""""
)
)
),
MAP(
reglas!$B$2:$B$240,
reglas!$C$2:$C$240,
reglas!$D$2:$D$240,
reglas!$E$2:$E$240,
LAMBDA(rEmisor,rPatron,rConcepto,rTipo,
IF(
AND(
OR(
UPPER(TRIM(rEmisor))=UPPER(TRIM(C240)),
UPPER(TRIM(rEmisor))=""CUALQUIERA""
),
OR(
UPPER(TRIM(rTipo"&amp;"))=""SOLO EMISOR"",
AND(
UPPER(TRIM(rTipo))=""EXACTA"",
UPPER(TRIM(D240))=UPPER(TRIM(rPatron))
),
AND(
OR(
UPPER(TRIM(rTipo))=""CONTIENE"",
UPPER(TRIM(rTipo))=""COINCIDENCIA""
),
ISNUMBER(SEARCH(UPPER(TRIM(rPatron)),UPPER(TRIM(D240))))
)
)
),
rConcepto,
"&amp;"""""
)
)
)&lt;&gt;""""
),
1
),
""""
)"),"MANIOBRAS")</f>
        <v>MANIOBRAS</v>
      </c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</row>
    <row r="241">
      <c r="A241" s="28">
        <v>1.0</v>
      </c>
      <c r="B241" s="28" t="s">
        <v>29</v>
      </c>
      <c r="C241" s="29" t="s">
        <v>271</v>
      </c>
      <c r="D241" s="29" t="s">
        <v>585</v>
      </c>
      <c r="E241" s="28">
        <v>633.65</v>
      </c>
      <c r="F241" s="28">
        <v>0.0</v>
      </c>
      <c r="G241" s="28" t="s">
        <v>84</v>
      </c>
      <c r="H241" s="28">
        <f t="array" ref="H241">INDEX(CC!C:C,MATCH(1,(CC!A:A=G241)*(CC!B:B=I241),0))</f>
        <v>1002</v>
      </c>
      <c r="I241" s="28" t="s">
        <v>25</v>
      </c>
      <c r="J241" s="31">
        <v>633.65</v>
      </c>
      <c r="K241" s="28" t="str">
        <f>IFERROR(__xludf.DUMMYFUNCTION("IFERROR(
INDEX(
FILTER(
MAP(
reglas!$B$2:$B$240,
reglas!$C$2:$C$240,
reglas!$D$2:$D$240,
reglas!$E$2:$E$240,
LAMBDA(rEmisor,rPatron,rConcepto,rTipo,
IF(
AND(
OR(
UPPER(TRIM(rEmisor))=UPPER(TRIM(C241)),
UPPER(TRIM(rEmisor))=""CUALQUIERA""
),
OR(
UPPER(TRIM"&amp;"(rTipo))=""SOLO EMISOR"",
AND(
UPPER(TRIM(rTipo))=""EXACTA"",
UPPER(TRIM(AG241))=UPPER(TRIM(rPatron))
),
AND(
OR(
UPPER(TRIM(rTipo))=""CONTIENE"",
UPPER(TRIM(rTipo))=""COINCIDENCIA""
),
ISNUMBER(SEARCH(UPPER(TRIM(rPatron)),UPPER(TRIM(D241))))
)
)
),
rConc"&amp;"epto,
""""
)
)
),
MAP(
reglas!$B$2:$B$240,
reglas!$C$2:$C$240,
reglas!$D$2:$D$240,
reglas!$E$2:$E$240,
LAMBDA(rEmisor,rPatron,rConcepto,rTipo,
IF(
AND(
OR(
UPPER(TRIM(rEmisor))=UPPER(TRIM(C241)),
UPPER(TRIM(rEmisor))=""CUALQUIERA""
),
OR(
UPPER(TRIM(rTipo"&amp;"))=""SOLO EMISOR"",
AND(
UPPER(TRIM(rTipo))=""EXACTA"",
UPPER(TRIM(D241))=UPPER(TRIM(rPatron))
),
AND(
OR(
UPPER(TRIM(rTipo))=""CONTIENE"",
UPPER(TRIM(rTipo))=""COINCIDENCIA""
),
ISNUMBER(SEARCH(UPPER(TRIM(rPatron)),UPPER(TRIM(D241))))
)
)
),
rConcepto,
"&amp;"""""
)
)
)&lt;&gt;""""
),
1
),
""""
)"),"MANIOBRAS")</f>
        <v>MANIOBRAS</v>
      </c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</row>
    <row r="242">
      <c r="A242" s="32"/>
      <c r="B242" s="32"/>
      <c r="C242" s="29" t="s">
        <v>271</v>
      </c>
      <c r="D242" s="29" t="s">
        <v>587</v>
      </c>
      <c r="E242" s="28">
        <v>579.75</v>
      </c>
      <c r="F242" s="28">
        <v>0.0</v>
      </c>
      <c r="G242" s="28" t="s">
        <v>84</v>
      </c>
      <c r="H242" s="28">
        <f t="array" ref="H242">INDEX(CC!C:C,MATCH(1,(CC!A:A=G242)*(CC!B:B=I242),0))</f>
        <v>1002</v>
      </c>
      <c r="I242" s="28" t="s">
        <v>25</v>
      </c>
      <c r="J242" s="31">
        <v>579.75</v>
      </c>
      <c r="K242" s="28" t="str">
        <f>IFERROR(__xludf.DUMMYFUNCTION("IFERROR(
INDEX(
FILTER(
MAP(
reglas!$B$2:$B$240,
reglas!$C$2:$C$240,
reglas!$D$2:$D$240,
reglas!$E$2:$E$240,
LAMBDA(rEmisor,rPatron,rConcepto,rTipo,
IF(
AND(
OR(
UPPER(TRIM(rEmisor))=UPPER(TRIM(C242)),
UPPER(TRIM(rEmisor))=""CUALQUIERA""
),
OR(
UPPER(TRIM"&amp;"(rTipo))=""SOLO EMISOR"",
AND(
UPPER(TRIM(rTipo))=""EXACTA"",
UPPER(TRIM(AG242))=UPPER(TRIM(rPatron))
),
AND(
OR(
UPPER(TRIM(rTipo))=""CONTIENE"",
UPPER(TRIM(rTipo))=""COINCIDENCIA""
),
ISNUMBER(SEARCH(UPPER(TRIM(rPatron)),UPPER(TRIM(D242))))
)
)
),
rConc"&amp;"epto,
""""
)
)
),
MAP(
reglas!$B$2:$B$240,
reglas!$C$2:$C$240,
reglas!$D$2:$D$240,
reglas!$E$2:$E$240,
LAMBDA(rEmisor,rPatron,rConcepto,rTipo,
IF(
AND(
OR(
UPPER(TRIM(rEmisor))=UPPER(TRIM(C242)),
UPPER(TRIM(rEmisor))=""CUALQUIERA""
),
OR(
UPPER(TRIM(rTipo"&amp;"))=""SOLO EMISOR"",
AND(
UPPER(TRIM(rTipo))=""EXACTA"",
UPPER(TRIM(D242))=UPPER(TRIM(rPatron))
),
AND(
OR(
UPPER(TRIM(rTipo))=""CONTIENE"",
UPPER(TRIM(rTipo))=""COINCIDENCIA""
),
ISNUMBER(SEARCH(UPPER(TRIM(rPatron)),UPPER(TRIM(D242))))
)
)
),
rConcepto,
"&amp;"""""
)
)
)&lt;&gt;""""
),
1
),
""""
)"),"MANIOBRAS")</f>
        <v>MANIOBRAS</v>
      </c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</row>
    <row r="243">
      <c r="A243" s="32"/>
      <c r="B243" s="32"/>
      <c r="C243" s="29" t="s">
        <v>271</v>
      </c>
      <c r="D243" s="29" t="s">
        <v>586</v>
      </c>
      <c r="E243" s="28">
        <v>633.99</v>
      </c>
      <c r="F243" s="28">
        <v>0.0</v>
      </c>
      <c r="G243" s="28" t="s">
        <v>84</v>
      </c>
      <c r="H243" s="28">
        <f t="array" ref="H243">INDEX(CC!C:C,MATCH(1,(CC!A:A=G243)*(CC!B:B=I243),0))</f>
        <v>1002</v>
      </c>
      <c r="I243" s="28" t="s">
        <v>25</v>
      </c>
      <c r="J243" s="31">
        <v>633.99</v>
      </c>
      <c r="K243" s="28" t="str">
        <f>IFERROR(__xludf.DUMMYFUNCTION("IFERROR(
INDEX(
FILTER(
MAP(
reglas!$B$2:$B$240,
reglas!$C$2:$C$240,
reglas!$D$2:$D$240,
reglas!$E$2:$E$240,
LAMBDA(rEmisor,rPatron,rConcepto,rTipo,
IF(
AND(
OR(
UPPER(TRIM(rEmisor))=UPPER(TRIM(C243)),
UPPER(TRIM(rEmisor))=""CUALQUIERA""
),
OR(
UPPER(TRIM"&amp;"(rTipo))=""SOLO EMISOR"",
AND(
UPPER(TRIM(rTipo))=""EXACTA"",
UPPER(TRIM(AG243))=UPPER(TRIM(rPatron))
),
AND(
OR(
UPPER(TRIM(rTipo))=""CONTIENE"",
UPPER(TRIM(rTipo))=""COINCIDENCIA""
),
ISNUMBER(SEARCH(UPPER(TRIM(rPatron)),UPPER(TRIM(D243))))
)
)
),
rConc"&amp;"epto,
""""
)
)
),
MAP(
reglas!$B$2:$B$240,
reglas!$C$2:$C$240,
reglas!$D$2:$D$240,
reglas!$E$2:$E$240,
LAMBDA(rEmisor,rPatron,rConcepto,rTipo,
IF(
AND(
OR(
UPPER(TRIM(rEmisor))=UPPER(TRIM(C243)),
UPPER(TRIM(rEmisor))=""CUALQUIERA""
),
OR(
UPPER(TRIM(rTipo"&amp;"))=""SOLO EMISOR"",
AND(
UPPER(TRIM(rTipo))=""EXACTA"",
UPPER(TRIM(D243))=UPPER(TRIM(rPatron))
),
AND(
OR(
UPPER(TRIM(rTipo))=""CONTIENE"",
UPPER(TRIM(rTipo))=""COINCIDENCIA""
),
ISNUMBER(SEARCH(UPPER(TRIM(rPatron)),UPPER(TRIM(D243))))
)
)
),
rConcepto,
"&amp;"""""
)
)
)&lt;&gt;""""
),
1
),
""""
)"),"MANIOBRAS")</f>
        <v>MANIOBRAS</v>
      </c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</row>
    <row r="244">
      <c r="A244" s="32"/>
      <c r="B244" s="32"/>
      <c r="C244" s="29" t="s">
        <v>271</v>
      </c>
      <c r="D244" s="29" t="s">
        <v>589</v>
      </c>
      <c r="E244" s="28">
        <v>633.99</v>
      </c>
      <c r="F244" s="28">
        <v>0.0</v>
      </c>
      <c r="G244" s="28" t="s">
        <v>84</v>
      </c>
      <c r="H244" s="28">
        <f t="array" ref="H244">INDEX(CC!C:C,MATCH(1,(CC!A:A=G244)*(CC!B:B=I244),0))</f>
        <v>1002</v>
      </c>
      <c r="I244" s="28" t="s">
        <v>25</v>
      </c>
      <c r="J244" s="31">
        <v>633.99</v>
      </c>
      <c r="K244" s="28" t="str">
        <f>IFERROR(__xludf.DUMMYFUNCTION("IFERROR(
INDEX(
FILTER(
MAP(
reglas!$B$2:$B$240,
reglas!$C$2:$C$240,
reglas!$D$2:$D$240,
reglas!$E$2:$E$240,
LAMBDA(rEmisor,rPatron,rConcepto,rTipo,
IF(
AND(
OR(
UPPER(TRIM(rEmisor))=UPPER(TRIM(C244)),
UPPER(TRIM(rEmisor))=""CUALQUIERA""
),
OR(
UPPER(TRIM"&amp;"(rTipo))=""SOLO EMISOR"",
AND(
UPPER(TRIM(rTipo))=""EXACTA"",
UPPER(TRIM(AG244))=UPPER(TRIM(rPatron))
),
AND(
OR(
UPPER(TRIM(rTipo))=""CONTIENE"",
UPPER(TRIM(rTipo))=""COINCIDENCIA""
),
ISNUMBER(SEARCH(UPPER(TRIM(rPatron)),UPPER(TRIM(D244))))
)
)
),
rConc"&amp;"epto,
""""
)
)
),
MAP(
reglas!$B$2:$B$240,
reglas!$C$2:$C$240,
reglas!$D$2:$D$240,
reglas!$E$2:$E$240,
LAMBDA(rEmisor,rPatron,rConcepto,rTipo,
IF(
AND(
OR(
UPPER(TRIM(rEmisor))=UPPER(TRIM(C244)),
UPPER(TRIM(rEmisor))=""CUALQUIERA""
),
OR(
UPPER(TRIM(rTipo"&amp;"))=""SOLO EMISOR"",
AND(
UPPER(TRIM(rTipo))=""EXACTA"",
UPPER(TRIM(D244))=UPPER(TRIM(rPatron))
),
AND(
OR(
UPPER(TRIM(rTipo))=""CONTIENE"",
UPPER(TRIM(rTipo))=""COINCIDENCIA""
),
ISNUMBER(SEARCH(UPPER(TRIM(rPatron)),UPPER(TRIM(D244))))
)
)
),
rConcepto,
"&amp;"""""
)
)
)&lt;&gt;""""
),
1
),
""""
)"),"MANIOBRAS")</f>
        <v>MANIOBRAS</v>
      </c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</row>
    <row r="245">
      <c r="A245" s="32"/>
      <c r="B245" s="32"/>
      <c r="C245" s="29" t="s">
        <v>271</v>
      </c>
      <c r="D245" s="29" t="s">
        <v>593</v>
      </c>
      <c r="E245" s="28">
        <v>359.98</v>
      </c>
      <c r="F245" s="28">
        <v>0.0</v>
      </c>
      <c r="G245" s="28" t="s">
        <v>84</v>
      </c>
      <c r="H245" s="28">
        <f t="array" ref="H245">INDEX(CC!C:C,MATCH(1,(CC!A:A=G245)*(CC!B:B=I245),0))</f>
        <v>1002</v>
      </c>
      <c r="I245" s="28" t="s">
        <v>25</v>
      </c>
      <c r="J245" s="31">
        <v>359.98</v>
      </c>
      <c r="K245" s="28" t="str">
        <f>IFERROR(__xludf.DUMMYFUNCTION("IFERROR(
INDEX(
FILTER(
MAP(
reglas!$B$2:$B$240,
reglas!$C$2:$C$240,
reglas!$D$2:$D$240,
reglas!$E$2:$E$240,
LAMBDA(rEmisor,rPatron,rConcepto,rTipo,
IF(
AND(
OR(
UPPER(TRIM(rEmisor))=UPPER(TRIM(C245)),
UPPER(TRIM(rEmisor))=""CUALQUIERA""
),
OR(
UPPER(TRIM"&amp;"(rTipo))=""SOLO EMISOR"",
AND(
UPPER(TRIM(rTipo))=""EXACTA"",
UPPER(TRIM(AG245))=UPPER(TRIM(rPatron))
),
AND(
OR(
UPPER(TRIM(rTipo))=""CONTIENE"",
UPPER(TRIM(rTipo))=""COINCIDENCIA""
),
ISNUMBER(SEARCH(UPPER(TRIM(rPatron)),UPPER(TRIM(D245))))
)
)
),
rConc"&amp;"epto,
""""
)
)
),
MAP(
reglas!$B$2:$B$240,
reglas!$C$2:$C$240,
reglas!$D$2:$D$240,
reglas!$E$2:$E$240,
LAMBDA(rEmisor,rPatron,rConcepto,rTipo,
IF(
AND(
OR(
UPPER(TRIM(rEmisor))=UPPER(TRIM(C245)),
UPPER(TRIM(rEmisor))=""CUALQUIERA""
),
OR(
UPPER(TRIM(rTipo"&amp;"))=""SOLO EMISOR"",
AND(
UPPER(TRIM(rTipo))=""EXACTA"",
UPPER(TRIM(D245))=UPPER(TRIM(rPatron))
),
AND(
OR(
UPPER(TRIM(rTipo))=""CONTIENE"",
UPPER(TRIM(rTipo))=""COINCIDENCIA""
),
ISNUMBER(SEARCH(UPPER(TRIM(rPatron)),UPPER(TRIM(D245))))
)
)
),
rConcepto,
"&amp;"""""
)
)
)&lt;&gt;""""
),
1
),
""""
)"),"MANIOBRAS")</f>
        <v>MANIOBRAS</v>
      </c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</row>
    <row r="246">
      <c r="A246" s="32"/>
      <c r="B246" s="32"/>
      <c r="C246" s="29" t="s">
        <v>271</v>
      </c>
      <c r="D246" s="29" t="s">
        <v>596</v>
      </c>
      <c r="E246" s="28">
        <v>665.19</v>
      </c>
      <c r="F246" s="28">
        <v>0.0</v>
      </c>
      <c r="G246" s="28" t="s">
        <v>84</v>
      </c>
      <c r="H246" s="28">
        <f t="array" ref="H246">INDEX(CC!C:C,MATCH(1,(CC!A:A=G246)*(CC!B:B=I246),0))</f>
        <v>1002</v>
      </c>
      <c r="I246" s="28" t="s">
        <v>25</v>
      </c>
      <c r="J246" s="31">
        <v>665.19</v>
      </c>
      <c r="K246" s="28" t="str">
        <f>IFERROR(__xludf.DUMMYFUNCTION("IFERROR(
INDEX(
FILTER(
MAP(
reglas!$B$2:$B$240,
reglas!$C$2:$C$240,
reglas!$D$2:$D$240,
reglas!$E$2:$E$240,
LAMBDA(rEmisor,rPatron,rConcepto,rTipo,
IF(
AND(
OR(
UPPER(TRIM(rEmisor))=UPPER(TRIM(C246)),
UPPER(TRIM(rEmisor))=""CUALQUIERA""
),
OR(
UPPER(TRIM"&amp;"(rTipo))=""SOLO EMISOR"",
AND(
UPPER(TRIM(rTipo))=""EXACTA"",
UPPER(TRIM(AG246))=UPPER(TRIM(rPatron))
),
AND(
OR(
UPPER(TRIM(rTipo))=""CONTIENE"",
UPPER(TRIM(rTipo))=""COINCIDENCIA""
),
ISNUMBER(SEARCH(UPPER(TRIM(rPatron)),UPPER(TRIM(D246))))
)
)
),
rConc"&amp;"epto,
""""
)
)
),
MAP(
reglas!$B$2:$B$240,
reglas!$C$2:$C$240,
reglas!$D$2:$D$240,
reglas!$E$2:$E$240,
LAMBDA(rEmisor,rPatron,rConcepto,rTipo,
IF(
AND(
OR(
UPPER(TRIM(rEmisor))=UPPER(TRIM(C246)),
UPPER(TRIM(rEmisor))=""CUALQUIERA""
),
OR(
UPPER(TRIM(rTipo"&amp;"))=""SOLO EMISOR"",
AND(
UPPER(TRIM(rTipo))=""EXACTA"",
UPPER(TRIM(D246))=UPPER(TRIM(rPatron))
),
AND(
OR(
UPPER(TRIM(rTipo))=""CONTIENE"",
UPPER(TRIM(rTipo))=""COINCIDENCIA""
),
ISNUMBER(SEARCH(UPPER(TRIM(rPatron)),UPPER(TRIM(D246))))
)
)
),
rConcepto,
"&amp;"""""
)
)
)&lt;&gt;""""
),
1
),
""""
)"),"MANIOBRAS")</f>
        <v>MANIOBRAS</v>
      </c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</row>
    <row r="247">
      <c r="A247" s="32"/>
      <c r="B247" s="28" t="s">
        <v>29</v>
      </c>
      <c r="C247" s="29" t="s">
        <v>471</v>
      </c>
      <c r="D247" s="29" t="s">
        <v>1104</v>
      </c>
      <c r="E247" s="30">
        <v>6500.0</v>
      </c>
      <c r="F247" s="28">
        <v>0.0</v>
      </c>
      <c r="G247" s="28" t="s">
        <v>225</v>
      </c>
      <c r="H247" s="28">
        <f t="array" ref="H247">INDEX(CC!C:C,MATCH(1,(CC!A:A=G247)*(CC!B:B=I247),0))</f>
        <v>102</v>
      </c>
      <c r="I247" s="28" t="s">
        <v>25</v>
      </c>
      <c r="J247" s="31">
        <v>6500.0</v>
      </c>
      <c r="K247" s="28" t="str">
        <f>IFERROR(__xludf.DUMMYFUNCTION("IFERROR(
INDEX(
FILTER(
MAP(
reglas!$B$2:$B$240,
reglas!$C$2:$C$240,
reglas!$D$2:$D$240,
reglas!$E$2:$E$240,
LAMBDA(rEmisor,rPatron,rConcepto,rTipo,
IF(
AND(
OR(
UPPER(TRIM(rEmisor))=UPPER(TRIM(C247)),
UPPER(TRIM(rEmisor))=""CUALQUIERA""
),
OR(
UPPER(TRIM"&amp;"(rTipo))=""SOLO EMISOR"",
AND(
UPPER(TRIM(rTipo))=""EXACTA"",
UPPER(TRIM(AG247))=UPPER(TRIM(rPatron))
),
AND(
OR(
UPPER(TRIM(rTipo))=""CONTIENE"",
UPPER(TRIM(rTipo))=""COINCIDENCIA""
),
ISNUMBER(SEARCH(UPPER(TRIM(rPatron)),UPPER(TRIM(D247))))
)
)
),
rConc"&amp;"epto,
""""
)
)
),
MAP(
reglas!$B$2:$B$240,
reglas!$C$2:$C$240,
reglas!$D$2:$D$240,
reglas!$E$2:$E$240,
LAMBDA(rEmisor,rPatron,rConcepto,rTipo,
IF(
AND(
OR(
UPPER(TRIM(rEmisor))=UPPER(TRIM(C247)),
UPPER(TRIM(rEmisor))=""CUALQUIERA""
),
OR(
UPPER(TRIM(rTipo"&amp;"))=""SOLO EMISOR"",
AND(
UPPER(TRIM(rTipo))=""EXACTA"",
UPPER(TRIM(D247))=UPPER(TRIM(rPatron))
),
AND(
OR(
UPPER(TRIM(rTipo))=""CONTIENE"",
UPPER(TRIM(rTipo))=""COINCIDENCIA""
),
ISNUMBER(SEARCH(UPPER(TRIM(rPatron)),UPPER(TRIM(D247))))
)
)
),
rConcepto,
"&amp;"""""
)
)
)&lt;&gt;""""
),
1
),
""""
)"),"ASESORIA LEGAL")</f>
        <v>ASESORIA LEGAL</v>
      </c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</row>
    <row r="248">
      <c r="A248" s="32"/>
      <c r="B248" s="28" t="s">
        <v>29</v>
      </c>
      <c r="C248" s="29" t="s">
        <v>1106</v>
      </c>
      <c r="D248" s="29" t="s">
        <v>1052</v>
      </c>
      <c r="E248" s="28">
        <v>51.71</v>
      </c>
      <c r="F248" s="28">
        <v>0.0</v>
      </c>
      <c r="G248" s="28" t="s">
        <v>225</v>
      </c>
      <c r="H248" s="28">
        <f t="array" ref="H248">INDEX(CC!C:C,MATCH(1,(CC!A:A=G248)*(CC!B:B=I248),0))</f>
        <v>102</v>
      </c>
      <c r="I248" s="28" t="s">
        <v>25</v>
      </c>
      <c r="J248" s="31">
        <v>51.71</v>
      </c>
      <c r="K248" s="28" t="str">
        <f>IFERROR(__xludf.DUMMYFUNCTION("IFERROR(
INDEX(
FILTER(
MAP(
reglas!$B$2:$B$240,
reglas!$C$2:$C$240,
reglas!$D$2:$D$240,
reglas!$E$2:$E$240,
LAMBDA(rEmisor,rPatron,rConcepto,rTipo,
IF(
AND(
OR(
UPPER(TRIM(rEmisor))=UPPER(TRIM(C248)),
UPPER(TRIM(rEmisor))=""CUALQUIERA""
),
OR(
UPPER(TRIM"&amp;"(rTipo))=""SOLO EMISOR"",
AND(
UPPER(TRIM(rTipo))=""EXACTA"",
UPPER(TRIM(AG248))=UPPER(TRIM(rPatron))
),
AND(
OR(
UPPER(TRIM(rTipo))=""CONTIENE"",
UPPER(TRIM(rTipo))=""COINCIDENCIA""
),
ISNUMBER(SEARCH(UPPER(TRIM(rPatron)),UPPER(TRIM(D248))))
)
)
),
rConc"&amp;"epto,
""""
)
)
),
MAP(
reglas!$B$2:$B$240,
reglas!$C$2:$C$240,
reglas!$D$2:$D$240,
reglas!$E$2:$E$240,
LAMBDA(rEmisor,rPatron,rConcepto,rTipo,
IF(
AND(
OR(
UPPER(TRIM(rEmisor))=UPPER(TRIM(C248)),
UPPER(TRIM(rEmisor))=""CUALQUIERA""
),
OR(
UPPER(TRIM(rTipo"&amp;"))=""SOLO EMISOR"",
AND(
UPPER(TRIM(rTipo))=""EXACTA"",
UPPER(TRIM(D248))=UPPER(TRIM(rPatron))
),
AND(
OR(
UPPER(TRIM(rTipo))=""CONTIENE"",
UPPER(TRIM(rTipo))=""COINCIDENCIA""
),
ISNUMBER(SEARCH(UPPER(TRIM(rPatron)),UPPER(TRIM(D248))))
)
)
),
rConcepto,
"&amp;"""""
)
)
)&lt;&gt;""""
),
1
),
""""
)"),"")</f>
        <v/>
      </c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</row>
    <row r="249">
      <c r="A249" s="28">
        <v>1.0</v>
      </c>
      <c r="B249" s="28" t="s">
        <v>29</v>
      </c>
      <c r="C249" s="29" t="s">
        <v>462</v>
      </c>
      <c r="D249" s="29" t="s">
        <v>1107</v>
      </c>
      <c r="E249" s="30">
        <v>1499.0</v>
      </c>
      <c r="F249" s="28">
        <v>0.0</v>
      </c>
      <c r="G249" s="28" t="s">
        <v>395</v>
      </c>
      <c r="H249" s="28">
        <f t="array" ref="H249">INDEX(CC!C:C,MATCH(1,(CC!A:A=G249)*(CC!B:B=I249),0))</f>
        <v>1103</v>
      </c>
      <c r="I249" s="28" t="s">
        <v>44</v>
      </c>
      <c r="J249" s="31">
        <v>1499.0</v>
      </c>
      <c r="K249" s="28" t="str">
        <f>IFERROR(__xludf.DUMMYFUNCTION("IFERROR(
INDEX(
FILTER(
MAP(
reglas!$B$2:$B$240,
reglas!$C$2:$C$240,
reglas!$D$2:$D$240,
reglas!$E$2:$E$240,
LAMBDA(rEmisor,rPatron,rConcepto,rTipo,
IF(
AND(
OR(
UPPER(TRIM(rEmisor))=UPPER(TRIM(C249)),
UPPER(TRIM(rEmisor))=""CUALQUIERA""
),
OR(
UPPER(TRIM"&amp;"(rTipo))=""SOLO EMISOR"",
AND(
UPPER(TRIM(rTipo))=""EXACTA"",
UPPER(TRIM(AG249))=UPPER(TRIM(rPatron))
),
AND(
OR(
UPPER(TRIM(rTipo))=""CONTIENE"",
UPPER(TRIM(rTipo))=""COINCIDENCIA""
),
ISNUMBER(SEARCH(UPPER(TRIM(rPatron)),UPPER(TRIM(D249))))
)
)
),
rConc"&amp;"epto,
""""
)
)
),
MAP(
reglas!$B$2:$B$240,
reglas!$C$2:$C$240,
reglas!$D$2:$D$240,
reglas!$E$2:$E$240,
LAMBDA(rEmisor,rPatron,rConcepto,rTipo,
IF(
AND(
OR(
UPPER(TRIM(rEmisor))=UPPER(TRIM(C249)),
UPPER(TRIM(rEmisor))=""CUALQUIERA""
),
OR(
UPPER(TRIM(rTipo"&amp;"))=""SOLO EMISOR"",
AND(
UPPER(TRIM(rTipo))=""EXACTA"",
UPPER(TRIM(D249))=UPPER(TRIM(rPatron))
),
AND(
OR(
UPPER(TRIM(rTipo))=""CONTIENE"",
UPPER(TRIM(rTipo))=""COINCIDENCIA""
),
ISNUMBER(SEARCH(UPPER(TRIM(rPatron)),UPPER(TRIM(D249))))
)
)
),
rConcepto,
"&amp;"""""
)
)
)&lt;&gt;""""
),
1
),
""""
)"),"MANIOBRAS")</f>
        <v>MANIOBRAS</v>
      </c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</row>
    <row r="250">
      <c r="A250" s="28">
        <v>1.0</v>
      </c>
      <c r="B250" s="28" t="s">
        <v>29</v>
      </c>
      <c r="C250" s="29" t="s">
        <v>271</v>
      </c>
      <c r="D250" s="29" t="s">
        <v>589</v>
      </c>
      <c r="E250" s="28">
        <v>633.89</v>
      </c>
      <c r="F250" s="28">
        <v>0.0</v>
      </c>
      <c r="G250" s="28" t="s">
        <v>84</v>
      </c>
      <c r="H250" s="28">
        <f t="array" ref="H250">INDEX(CC!C:C,MATCH(1,(CC!A:A=G250)*(CC!B:B=I250),0))</f>
        <v>1002</v>
      </c>
      <c r="I250" s="28" t="s">
        <v>25</v>
      </c>
      <c r="J250" s="31">
        <v>633.89</v>
      </c>
      <c r="K250" s="28" t="str">
        <f>IFERROR(__xludf.DUMMYFUNCTION("IFERROR(
INDEX(
FILTER(
MAP(
reglas!$B$2:$B$240,
reglas!$C$2:$C$240,
reglas!$D$2:$D$240,
reglas!$E$2:$E$240,
LAMBDA(rEmisor,rPatron,rConcepto,rTipo,
IF(
AND(
OR(
UPPER(TRIM(rEmisor))=UPPER(TRIM(C250)),
UPPER(TRIM(rEmisor))=""CUALQUIERA""
),
OR(
UPPER(TRIM"&amp;"(rTipo))=""SOLO EMISOR"",
AND(
UPPER(TRIM(rTipo))=""EXACTA"",
UPPER(TRIM(AG250))=UPPER(TRIM(rPatron))
),
AND(
OR(
UPPER(TRIM(rTipo))=""CONTIENE"",
UPPER(TRIM(rTipo))=""COINCIDENCIA""
),
ISNUMBER(SEARCH(UPPER(TRIM(rPatron)),UPPER(TRIM(D250))))
)
)
),
rConc"&amp;"epto,
""""
)
)
),
MAP(
reglas!$B$2:$B$240,
reglas!$C$2:$C$240,
reglas!$D$2:$D$240,
reglas!$E$2:$E$240,
LAMBDA(rEmisor,rPatron,rConcepto,rTipo,
IF(
AND(
OR(
UPPER(TRIM(rEmisor))=UPPER(TRIM(C250)),
UPPER(TRIM(rEmisor))=""CUALQUIERA""
),
OR(
UPPER(TRIM(rTipo"&amp;"))=""SOLO EMISOR"",
AND(
UPPER(TRIM(rTipo))=""EXACTA"",
UPPER(TRIM(D250))=UPPER(TRIM(rPatron))
),
AND(
OR(
UPPER(TRIM(rTipo))=""CONTIENE"",
UPPER(TRIM(rTipo))=""COINCIDENCIA""
),
ISNUMBER(SEARCH(UPPER(TRIM(rPatron)),UPPER(TRIM(D250))))
)
)
),
rConcepto,
"&amp;"""""
)
)
)&lt;&gt;""""
),
1
),
""""
)"),"MANIOBRAS")</f>
        <v>MANIOBRAS</v>
      </c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</row>
    <row r="251">
      <c r="A251" s="28">
        <v>1.0</v>
      </c>
      <c r="B251" s="28" t="s">
        <v>29</v>
      </c>
      <c r="C251" s="29" t="s">
        <v>271</v>
      </c>
      <c r="D251" s="29" t="s">
        <v>589</v>
      </c>
      <c r="E251" s="28">
        <v>633.89</v>
      </c>
      <c r="F251" s="28">
        <v>0.0</v>
      </c>
      <c r="G251" s="28" t="s">
        <v>84</v>
      </c>
      <c r="H251" s="28">
        <f t="array" ref="H251">INDEX(CC!C:C,MATCH(1,(CC!A:A=G251)*(CC!B:B=I251),0))</f>
        <v>1002</v>
      </c>
      <c r="I251" s="28" t="s">
        <v>25</v>
      </c>
      <c r="J251" s="31">
        <v>633.89</v>
      </c>
      <c r="K251" s="28" t="str">
        <f>IFERROR(__xludf.DUMMYFUNCTION("IFERROR(
INDEX(
FILTER(
MAP(
reglas!$B$2:$B$240,
reglas!$C$2:$C$240,
reglas!$D$2:$D$240,
reglas!$E$2:$E$240,
LAMBDA(rEmisor,rPatron,rConcepto,rTipo,
IF(
AND(
OR(
UPPER(TRIM(rEmisor))=UPPER(TRIM(C251)),
UPPER(TRIM(rEmisor))=""CUALQUIERA""
),
OR(
UPPER(TRIM"&amp;"(rTipo))=""SOLO EMISOR"",
AND(
UPPER(TRIM(rTipo))=""EXACTA"",
UPPER(TRIM(AG251))=UPPER(TRIM(rPatron))
),
AND(
OR(
UPPER(TRIM(rTipo))=""CONTIENE"",
UPPER(TRIM(rTipo))=""COINCIDENCIA""
),
ISNUMBER(SEARCH(UPPER(TRIM(rPatron)),UPPER(TRIM(D251))))
)
)
),
rConc"&amp;"epto,
""""
)
)
),
MAP(
reglas!$B$2:$B$240,
reglas!$C$2:$C$240,
reglas!$D$2:$D$240,
reglas!$E$2:$E$240,
LAMBDA(rEmisor,rPatron,rConcepto,rTipo,
IF(
AND(
OR(
UPPER(TRIM(rEmisor))=UPPER(TRIM(C251)),
UPPER(TRIM(rEmisor))=""CUALQUIERA""
),
OR(
UPPER(TRIM(rTipo"&amp;"))=""SOLO EMISOR"",
AND(
UPPER(TRIM(rTipo))=""EXACTA"",
UPPER(TRIM(D251))=UPPER(TRIM(rPatron))
),
AND(
OR(
UPPER(TRIM(rTipo))=""CONTIENE"",
UPPER(TRIM(rTipo))=""COINCIDENCIA""
),
ISNUMBER(SEARCH(UPPER(TRIM(rPatron)),UPPER(TRIM(D251))))
)
)
),
rConcepto,
"&amp;"""""
)
)
)&lt;&gt;""""
),
1
),
""""
)"),"MANIOBRAS")</f>
        <v>MANIOBRAS</v>
      </c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</row>
    <row r="252">
      <c r="A252" s="28">
        <v>1.0</v>
      </c>
      <c r="B252" s="28" t="s">
        <v>29</v>
      </c>
      <c r="C252" s="29" t="s">
        <v>462</v>
      </c>
      <c r="D252" s="29" t="s">
        <v>1112</v>
      </c>
      <c r="E252" s="30">
        <v>1958.0</v>
      </c>
      <c r="F252" s="28">
        <v>0.0</v>
      </c>
      <c r="G252" s="28" t="s">
        <v>395</v>
      </c>
      <c r="H252" s="28">
        <f t="array" ref="H252">INDEX(CC!C:C,MATCH(1,(CC!A:A=G252)*(CC!B:B=I252),0))</f>
        <v>1103</v>
      </c>
      <c r="I252" s="28" t="s">
        <v>44</v>
      </c>
      <c r="J252" s="31">
        <v>1958.0</v>
      </c>
      <c r="K252" s="28" t="str">
        <f>IFERROR(__xludf.DUMMYFUNCTION("IFERROR(
INDEX(
FILTER(
MAP(
reglas!$B$2:$B$240,
reglas!$C$2:$C$240,
reglas!$D$2:$D$240,
reglas!$E$2:$E$240,
LAMBDA(rEmisor,rPatron,rConcepto,rTipo,
IF(
AND(
OR(
UPPER(TRIM(rEmisor))=UPPER(TRIM(C252)),
UPPER(TRIM(rEmisor))=""CUALQUIERA""
),
OR(
UPPER(TRIM"&amp;"(rTipo))=""SOLO EMISOR"",
AND(
UPPER(TRIM(rTipo))=""EXACTA"",
UPPER(TRIM(AG252))=UPPER(TRIM(rPatron))
),
AND(
OR(
UPPER(TRIM(rTipo))=""CONTIENE"",
UPPER(TRIM(rTipo))=""COINCIDENCIA""
),
ISNUMBER(SEARCH(UPPER(TRIM(rPatron)),UPPER(TRIM(D252))))
)
)
),
rConc"&amp;"epto,
""""
)
)
),
MAP(
reglas!$B$2:$B$240,
reglas!$C$2:$C$240,
reglas!$D$2:$D$240,
reglas!$E$2:$E$240,
LAMBDA(rEmisor,rPatron,rConcepto,rTipo,
IF(
AND(
OR(
UPPER(TRIM(rEmisor))=UPPER(TRIM(C252)),
UPPER(TRIM(rEmisor))=""CUALQUIERA""
),
OR(
UPPER(TRIM(rTipo"&amp;"))=""SOLO EMISOR"",
AND(
UPPER(TRIM(rTipo))=""EXACTA"",
UPPER(TRIM(D252))=UPPER(TRIM(rPatron))
),
AND(
OR(
UPPER(TRIM(rTipo))=""CONTIENE"",
UPPER(TRIM(rTipo))=""COINCIDENCIA""
),
ISNUMBER(SEARCH(UPPER(TRIM(rPatron)),UPPER(TRIM(D252))))
)
)
),
rConcepto,
"&amp;"""""
)
)
)&lt;&gt;""""
),
1
),
""""
)"),"MANIOBRAS")</f>
        <v>MANIOBRAS</v>
      </c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</row>
    <row r="253">
      <c r="A253" s="32"/>
      <c r="B253" s="32"/>
      <c r="C253" s="29" t="s">
        <v>462</v>
      </c>
      <c r="D253" s="29" t="s">
        <v>1116</v>
      </c>
      <c r="E253" s="30">
        <v>2939.73</v>
      </c>
      <c r="F253" s="28">
        <v>0.0</v>
      </c>
      <c r="G253" s="28" t="s">
        <v>395</v>
      </c>
      <c r="H253" s="28">
        <f t="array" ref="H253">INDEX(CC!C:C,MATCH(1,(CC!A:A=G253)*(CC!B:B=I253),0))</f>
        <v>1103</v>
      </c>
      <c r="I253" s="28" t="s">
        <v>44</v>
      </c>
      <c r="J253" s="31">
        <v>2939.73</v>
      </c>
      <c r="K253" s="28" t="str">
        <f>IFERROR(__xludf.DUMMYFUNCTION("IFERROR(
INDEX(
FILTER(
MAP(
reglas!$B$2:$B$240,
reglas!$C$2:$C$240,
reglas!$D$2:$D$240,
reglas!$E$2:$E$240,
LAMBDA(rEmisor,rPatron,rConcepto,rTipo,
IF(
AND(
OR(
UPPER(TRIM(rEmisor))=UPPER(TRIM(C253)),
UPPER(TRIM(rEmisor))=""CUALQUIERA""
),
OR(
UPPER(TRIM"&amp;"(rTipo))=""SOLO EMISOR"",
AND(
UPPER(TRIM(rTipo))=""EXACTA"",
UPPER(TRIM(AG253))=UPPER(TRIM(rPatron))
),
AND(
OR(
UPPER(TRIM(rTipo))=""CONTIENE"",
UPPER(TRIM(rTipo))=""COINCIDENCIA""
),
ISNUMBER(SEARCH(UPPER(TRIM(rPatron)),UPPER(TRIM(D253))))
)
)
),
rConc"&amp;"epto,
""""
)
)
),
MAP(
reglas!$B$2:$B$240,
reglas!$C$2:$C$240,
reglas!$D$2:$D$240,
reglas!$E$2:$E$240,
LAMBDA(rEmisor,rPatron,rConcepto,rTipo,
IF(
AND(
OR(
UPPER(TRIM(rEmisor))=UPPER(TRIM(C253)),
UPPER(TRIM(rEmisor))=""CUALQUIERA""
),
OR(
UPPER(TRIM(rTipo"&amp;"))=""SOLO EMISOR"",
AND(
UPPER(TRIM(rTipo))=""EXACTA"",
UPPER(TRIM(D253))=UPPER(TRIM(rPatron))
),
AND(
OR(
UPPER(TRIM(rTipo))=""CONTIENE"",
UPPER(TRIM(rTipo))=""COINCIDENCIA""
),
ISNUMBER(SEARCH(UPPER(TRIM(rPatron)),UPPER(TRIM(D253))))
)
)
),
rConcepto,
"&amp;"""""
)
)
)&lt;&gt;""""
),
1
),
""""
)"),"MANIOBRAS")</f>
        <v>MANIOBRAS</v>
      </c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</row>
    <row r="254">
      <c r="A254" s="32"/>
      <c r="B254" s="32"/>
      <c r="C254" s="29" t="s">
        <v>462</v>
      </c>
      <c r="D254" s="29" t="s">
        <v>1118</v>
      </c>
      <c r="E254" s="28">
        <v>163.79</v>
      </c>
      <c r="F254" s="28">
        <v>0.0</v>
      </c>
      <c r="G254" s="28" t="s">
        <v>395</v>
      </c>
      <c r="H254" s="28">
        <f t="array" ref="H254">INDEX(CC!C:C,MATCH(1,(CC!A:A=G254)*(CC!B:B=I254),0))</f>
        <v>1103</v>
      </c>
      <c r="I254" s="28" t="s">
        <v>44</v>
      </c>
      <c r="J254" s="31">
        <v>163.79</v>
      </c>
      <c r="K254" s="28" t="str">
        <f>IFERROR(__xludf.DUMMYFUNCTION("IFERROR(
INDEX(
FILTER(
MAP(
reglas!$B$2:$B$240,
reglas!$C$2:$C$240,
reglas!$D$2:$D$240,
reglas!$E$2:$E$240,
LAMBDA(rEmisor,rPatron,rConcepto,rTipo,
IF(
AND(
OR(
UPPER(TRIM(rEmisor))=UPPER(TRIM(C254)),
UPPER(TRIM(rEmisor))=""CUALQUIERA""
),
OR(
UPPER(TRIM"&amp;"(rTipo))=""SOLO EMISOR"",
AND(
UPPER(TRIM(rTipo))=""EXACTA"",
UPPER(TRIM(AG254))=UPPER(TRIM(rPatron))
),
AND(
OR(
UPPER(TRIM(rTipo))=""CONTIENE"",
UPPER(TRIM(rTipo))=""COINCIDENCIA""
),
ISNUMBER(SEARCH(UPPER(TRIM(rPatron)),UPPER(TRIM(D254))))
)
)
),
rConc"&amp;"epto,
""""
)
)
),
MAP(
reglas!$B$2:$B$240,
reglas!$C$2:$C$240,
reglas!$D$2:$D$240,
reglas!$E$2:$E$240,
LAMBDA(rEmisor,rPatron,rConcepto,rTipo,
IF(
AND(
OR(
UPPER(TRIM(rEmisor))=UPPER(TRIM(C254)),
UPPER(TRIM(rEmisor))=""CUALQUIERA""
),
OR(
UPPER(TRIM(rTipo"&amp;"))=""SOLO EMISOR"",
AND(
UPPER(TRIM(rTipo))=""EXACTA"",
UPPER(TRIM(D254))=UPPER(TRIM(rPatron))
),
AND(
OR(
UPPER(TRIM(rTipo))=""CONTIENE"",
UPPER(TRIM(rTipo))=""COINCIDENCIA""
),
ISNUMBER(SEARCH(UPPER(TRIM(rPatron)),UPPER(TRIM(D254))))
)
)
),
rConcepto,
"&amp;"""""
)
)
)&lt;&gt;""""
),
1
),
""""
)"),"MANIOBRAS")</f>
        <v>MANIOBRAS</v>
      </c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</row>
    <row r="255">
      <c r="A255" s="32"/>
      <c r="B255" s="32"/>
      <c r="C255" s="29" t="s">
        <v>462</v>
      </c>
      <c r="D255" s="29" t="s">
        <v>1122</v>
      </c>
      <c r="E255" s="28">
        <v>161.5</v>
      </c>
      <c r="F255" s="28">
        <v>0.0</v>
      </c>
      <c r="G255" s="28" t="s">
        <v>395</v>
      </c>
      <c r="H255" s="28">
        <f t="array" ref="H255">INDEX(CC!C:C,MATCH(1,(CC!A:A=G255)*(CC!B:B=I255),0))</f>
        <v>1103</v>
      </c>
      <c r="I255" s="28" t="s">
        <v>44</v>
      </c>
      <c r="J255" s="31">
        <v>161.5</v>
      </c>
      <c r="K255" s="28" t="str">
        <f>IFERROR(__xludf.DUMMYFUNCTION("IFERROR(
INDEX(
FILTER(
MAP(
reglas!$B$2:$B$240,
reglas!$C$2:$C$240,
reglas!$D$2:$D$240,
reglas!$E$2:$E$240,
LAMBDA(rEmisor,rPatron,rConcepto,rTipo,
IF(
AND(
OR(
UPPER(TRIM(rEmisor))=UPPER(TRIM(C255)),
UPPER(TRIM(rEmisor))=""CUALQUIERA""
),
OR(
UPPER(TRIM"&amp;"(rTipo))=""SOLO EMISOR"",
AND(
UPPER(TRIM(rTipo))=""EXACTA"",
UPPER(TRIM(AG255))=UPPER(TRIM(rPatron))
),
AND(
OR(
UPPER(TRIM(rTipo))=""CONTIENE"",
UPPER(TRIM(rTipo))=""COINCIDENCIA""
),
ISNUMBER(SEARCH(UPPER(TRIM(rPatron)),UPPER(TRIM(D255))))
)
)
),
rConc"&amp;"epto,
""""
)
)
),
MAP(
reglas!$B$2:$B$240,
reglas!$C$2:$C$240,
reglas!$D$2:$D$240,
reglas!$E$2:$E$240,
LAMBDA(rEmisor,rPatron,rConcepto,rTipo,
IF(
AND(
OR(
UPPER(TRIM(rEmisor))=UPPER(TRIM(C255)),
UPPER(TRIM(rEmisor))=""CUALQUIERA""
),
OR(
UPPER(TRIM(rTipo"&amp;"))=""SOLO EMISOR"",
AND(
UPPER(TRIM(rTipo))=""EXACTA"",
UPPER(TRIM(D255))=UPPER(TRIM(rPatron))
),
AND(
OR(
UPPER(TRIM(rTipo))=""CONTIENE"",
UPPER(TRIM(rTipo))=""COINCIDENCIA""
),
ISNUMBER(SEARCH(UPPER(TRIM(rPatron)),UPPER(TRIM(D255))))
)
)
),
rConcepto,
"&amp;"""""
)
)
)&lt;&gt;""""
),
1
),
""""
)"),"MANIOBRAS")</f>
        <v>MANIOBRAS</v>
      </c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</row>
    <row r="256">
      <c r="A256" s="32"/>
      <c r="B256" s="32"/>
      <c r="C256" s="29" t="s">
        <v>462</v>
      </c>
      <c r="D256" s="29" t="s">
        <v>1122</v>
      </c>
      <c r="E256" s="28">
        <v>161.5</v>
      </c>
      <c r="F256" s="28">
        <v>0.0</v>
      </c>
      <c r="G256" s="28" t="s">
        <v>395</v>
      </c>
      <c r="H256" s="28">
        <f t="array" ref="H256">INDEX(CC!C:C,MATCH(1,(CC!A:A=G256)*(CC!B:B=I256),0))</f>
        <v>1103</v>
      </c>
      <c r="I256" s="28" t="s">
        <v>44</v>
      </c>
      <c r="J256" s="31">
        <v>161.5</v>
      </c>
      <c r="K256" s="28" t="str">
        <f>IFERROR(__xludf.DUMMYFUNCTION("IFERROR(
INDEX(
FILTER(
MAP(
reglas!$B$2:$B$240,
reglas!$C$2:$C$240,
reglas!$D$2:$D$240,
reglas!$E$2:$E$240,
LAMBDA(rEmisor,rPatron,rConcepto,rTipo,
IF(
AND(
OR(
UPPER(TRIM(rEmisor))=UPPER(TRIM(C256)),
UPPER(TRIM(rEmisor))=""CUALQUIERA""
),
OR(
UPPER(TRIM"&amp;"(rTipo))=""SOLO EMISOR"",
AND(
UPPER(TRIM(rTipo))=""EXACTA"",
UPPER(TRIM(AG256))=UPPER(TRIM(rPatron))
),
AND(
OR(
UPPER(TRIM(rTipo))=""CONTIENE"",
UPPER(TRIM(rTipo))=""COINCIDENCIA""
),
ISNUMBER(SEARCH(UPPER(TRIM(rPatron)),UPPER(TRIM(D256))))
)
)
),
rConc"&amp;"epto,
""""
)
)
),
MAP(
reglas!$B$2:$B$240,
reglas!$C$2:$C$240,
reglas!$D$2:$D$240,
reglas!$E$2:$E$240,
LAMBDA(rEmisor,rPatron,rConcepto,rTipo,
IF(
AND(
OR(
UPPER(TRIM(rEmisor))=UPPER(TRIM(C256)),
UPPER(TRIM(rEmisor))=""CUALQUIERA""
),
OR(
UPPER(TRIM(rTipo"&amp;"))=""SOLO EMISOR"",
AND(
UPPER(TRIM(rTipo))=""EXACTA"",
UPPER(TRIM(D256))=UPPER(TRIM(rPatron))
),
AND(
OR(
UPPER(TRIM(rTipo))=""CONTIENE"",
UPPER(TRIM(rTipo))=""COINCIDENCIA""
),
ISNUMBER(SEARCH(UPPER(TRIM(rPatron)),UPPER(TRIM(D256))))
)
)
),
rConcepto,
"&amp;"""""
)
)
)&lt;&gt;""""
),
1
),
""""
)"),"MANIOBRAS")</f>
        <v>MANIOBRAS</v>
      </c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</row>
    <row r="257">
      <c r="A257" s="32"/>
      <c r="B257" s="32"/>
      <c r="C257" s="29" t="s">
        <v>462</v>
      </c>
      <c r="D257" s="29" t="s">
        <v>1124</v>
      </c>
      <c r="E257" s="28">
        <v>500.0</v>
      </c>
      <c r="F257" s="28">
        <v>0.0</v>
      </c>
      <c r="G257" s="28" t="s">
        <v>395</v>
      </c>
      <c r="H257" s="28">
        <f t="array" ref="H257">INDEX(CC!C:C,MATCH(1,(CC!A:A=G257)*(CC!B:B=I257),0))</f>
        <v>1103</v>
      </c>
      <c r="I257" s="28" t="s">
        <v>44</v>
      </c>
      <c r="J257" s="31">
        <v>500.0</v>
      </c>
      <c r="K257" s="28" t="str">
        <f>IFERROR(__xludf.DUMMYFUNCTION("IFERROR(
INDEX(
FILTER(
MAP(
reglas!$B$2:$B$240,
reglas!$C$2:$C$240,
reglas!$D$2:$D$240,
reglas!$E$2:$E$240,
LAMBDA(rEmisor,rPatron,rConcepto,rTipo,
IF(
AND(
OR(
UPPER(TRIM(rEmisor))=UPPER(TRIM(C257)),
UPPER(TRIM(rEmisor))=""CUALQUIERA""
),
OR(
UPPER(TRIM"&amp;"(rTipo))=""SOLO EMISOR"",
AND(
UPPER(TRIM(rTipo))=""EXACTA"",
UPPER(TRIM(AG257))=UPPER(TRIM(rPatron))
),
AND(
OR(
UPPER(TRIM(rTipo))=""CONTIENE"",
UPPER(TRIM(rTipo))=""COINCIDENCIA""
),
ISNUMBER(SEARCH(UPPER(TRIM(rPatron)),UPPER(TRIM(D257))))
)
)
),
rConc"&amp;"epto,
""""
)
)
),
MAP(
reglas!$B$2:$B$240,
reglas!$C$2:$C$240,
reglas!$D$2:$D$240,
reglas!$E$2:$E$240,
LAMBDA(rEmisor,rPatron,rConcepto,rTipo,
IF(
AND(
OR(
UPPER(TRIM(rEmisor))=UPPER(TRIM(C257)),
UPPER(TRIM(rEmisor))=""CUALQUIERA""
),
OR(
UPPER(TRIM(rTipo"&amp;"))=""SOLO EMISOR"",
AND(
UPPER(TRIM(rTipo))=""EXACTA"",
UPPER(TRIM(D257))=UPPER(TRIM(rPatron))
),
AND(
OR(
UPPER(TRIM(rTipo))=""CONTIENE"",
UPPER(TRIM(rTipo))=""COINCIDENCIA""
),
ISNUMBER(SEARCH(UPPER(TRIM(rPatron)),UPPER(TRIM(D257))))
)
)
),
rConcepto,
"&amp;"""""
)
)
)&lt;&gt;""""
),
1
),
""""
)"),"MANIOBRAS")</f>
        <v>MANIOBRAS</v>
      </c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</row>
    <row r="258">
      <c r="A258" s="32"/>
      <c r="B258" s="32"/>
      <c r="C258" s="29" t="s">
        <v>462</v>
      </c>
      <c r="D258" s="29" t="s">
        <v>1125</v>
      </c>
      <c r="E258" s="30">
        <v>3011.0</v>
      </c>
      <c r="F258" s="28">
        <v>0.0</v>
      </c>
      <c r="G258" s="28" t="s">
        <v>395</v>
      </c>
      <c r="H258" s="28">
        <f t="array" ref="H258">INDEX(CC!C:C,MATCH(1,(CC!A:A=G258)*(CC!B:B=I258),0))</f>
        <v>1103</v>
      </c>
      <c r="I258" s="28" t="s">
        <v>44</v>
      </c>
      <c r="J258" s="31">
        <v>3011.0</v>
      </c>
      <c r="K258" s="28" t="str">
        <f>IFERROR(__xludf.DUMMYFUNCTION("IFERROR(
INDEX(
FILTER(
MAP(
reglas!$B$2:$B$240,
reglas!$C$2:$C$240,
reglas!$D$2:$D$240,
reglas!$E$2:$E$240,
LAMBDA(rEmisor,rPatron,rConcepto,rTipo,
IF(
AND(
OR(
UPPER(TRIM(rEmisor))=UPPER(TRIM(C258)),
UPPER(TRIM(rEmisor))=""CUALQUIERA""
),
OR(
UPPER(TRIM"&amp;"(rTipo))=""SOLO EMISOR"",
AND(
UPPER(TRIM(rTipo))=""EXACTA"",
UPPER(TRIM(AG258))=UPPER(TRIM(rPatron))
),
AND(
OR(
UPPER(TRIM(rTipo))=""CONTIENE"",
UPPER(TRIM(rTipo))=""COINCIDENCIA""
),
ISNUMBER(SEARCH(UPPER(TRIM(rPatron)),UPPER(TRIM(D258))))
)
)
),
rConc"&amp;"epto,
""""
)
)
),
MAP(
reglas!$B$2:$B$240,
reglas!$C$2:$C$240,
reglas!$D$2:$D$240,
reglas!$E$2:$E$240,
LAMBDA(rEmisor,rPatron,rConcepto,rTipo,
IF(
AND(
OR(
UPPER(TRIM(rEmisor))=UPPER(TRIM(C258)),
UPPER(TRIM(rEmisor))=""CUALQUIERA""
),
OR(
UPPER(TRIM(rTipo"&amp;"))=""SOLO EMISOR"",
AND(
UPPER(TRIM(rTipo))=""EXACTA"",
UPPER(TRIM(D258))=UPPER(TRIM(rPatron))
),
AND(
OR(
UPPER(TRIM(rTipo))=""CONTIENE"",
UPPER(TRIM(rTipo))=""COINCIDENCIA""
),
ISNUMBER(SEARCH(UPPER(TRIM(rPatron)),UPPER(TRIM(D258))))
)
)
),
rConcepto,
"&amp;"""""
)
)
)&lt;&gt;""""
),
1
),
""""
)"),"MANIOBRAS")</f>
        <v>MANIOBRAS</v>
      </c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</row>
    <row r="259">
      <c r="A259" s="32"/>
      <c r="B259" s="32"/>
      <c r="C259" s="29" t="s">
        <v>462</v>
      </c>
      <c r="D259" s="29" t="s">
        <v>1126</v>
      </c>
      <c r="E259" s="30">
        <v>1786.0</v>
      </c>
      <c r="F259" s="28">
        <v>0.0</v>
      </c>
      <c r="G259" s="28" t="s">
        <v>395</v>
      </c>
      <c r="H259" s="28">
        <f t="array" ref="H259">INDEX(CC!C:C,MATCH(1,(CC!A:A=G259)*(CC!B:B=I259),0))</f>
        <v>1103</v>
      </c>
      <c r="I259" s="28" t="s">
        <v>44</v>
      </c>
      <c r="J259" s="31">
        <v>1786.0</v>
      </c>
      <c r="K259" s="28" t="str">
        <f>IFERROR(__xludf.DUMMYFUNCTION("IFERROR(
INDEX(
FILTER(
MAP(
reglas!$B$2:$B$240,
reglas!$C$2:$C$240,
reglas!$D$2:$D$240,
reglas!$E$2:$E$240,
LAMBDA(rEmisor,rPatron,rConcepto,rTipo,
IF(
AND(
OR(
UPPER(TRIM(rEmisor))=UPPER(TRIM(C259)),
UPPER(TRIM(rEmisor))=""CUALQUIERA""
),
OR(
UPPER(TRIM"&amp;"(rTipo))=""SOLO EMISOR"",
AND(
UPPER(TRIM(rTipo))=""EXACTA"",
UPPER(TRIM(AG259))=UPPER(TRIM(rPatron))
),
AND(
OR(
UPPER(TRIM(rTipo))=""CONTIENE"",
UPPER(TRIM(rTipo))=""COINCIDENCIA""
),
ISNUMBER(SEARCH(UPPER(TRIM(rPatron)),UPPER(TRIM(D259))))
)
)
),
rConc"&amp;"epto,
""""
)
)
),
MAP(
reglas!$B$2:$B$240,
reglas!$C$2:$C$240,
reglas!$D$2:$D$240,
reglas!$E$2:$E$240,
LAMBDA(rEmisor,rPatron,rConcepto,rTipo,
IF(
AND(
OR(
UPPER(TRIM(rEmisor))=UPPER(TRIM(C259)),
UPPER(TRIM(rEmisor))=""CUALQUIERA""
),
OR(
UPPER(TRIM(rTipo"&amp;"))=""SOLO EMISOR"",
AND(
UPPER(TRIM(rTipo))=""EXACTA"",
UPPER(TRIM(D259))=UPPER(TRIM(rPatron))
),
AND(
OR(
UPPER(TRIM(rTipo))=""CONTIENE"",
UPPER(TRIM(rTipo))=""COINCIDENCIA""
),
ISNUMBER(SEARCH(UPPER(TRIM(rPatron)),UPPER(TRIM(D259))))
)
)
),
rConcepto,
"&amp;"""""
)
)
)&lt;&gt;""""
),
1
),
""""
)"),"MANIOBRAS")</f>
        <v>MANIOBRAS</v>
      </c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</row>
    <row r="260">
      <c r="A260" s="32"/>
      <c r="B260" s="32"/>
      <c r="C260" s="29" t="s">
        <v>462</v>
      </c>
      <c r="D260" s="29" t="s">
        <v>1128</v>
      </c>
      <c r="E260" s="28">
        <v>218.0</v>
      </c>
      <c r="F260" s="28">
        <v>0.0</v>
      </c>
      <c r="G260" s="28" t="s">
        <v>395</v>
      </c>
      <c r="H260" s="28">
        <f t="array" ref="H260">INDEX(CC!C:C,MATCH(1,(CC!A:A=G260)*(CC!B:B=I260),0))</f>
        <v>1103</v>
      </c>
      <c r="I260" s="28" t="s">
        <v>44</v>
      </c>
      <c r="J260" s="31">
        <v>218.0</v>
      </c>
      <c r="K260" s="28" t="str">
        <f>IFERROR(__xludf.DUMMYFUNCTION("IFERROR(
INDEX(
FILTER(
MAP(
reglas!$B$2:$B$240,
reglas!$C$2:$C$240,
reglas!$D$2:$D$240,
reglas!$E$2:$E$240,
LAMBDA(rEmisor,rPatron,rConcepto,rTipo,
IF(
AND(
OR(
UPPER(TRIM(rEmisor))=UPPER(TRIM(C260)),
UPPER(TRIM(rEmisor))=""CUALQUIERA""
),
OR(
UPPER(TRIM"&amp;"(rTipo))=""SOLO EMISOR"",
AND(
UPPER(TRIM(rTipo))=""EXACTA"",
UPPER(TRIM(AG260))=UPPER(TRIM(rPatron))
),
AND(
OR(
UPPER(TRIM(rTipo))=""CONTIENE"",
UPPER(TRIM(rTipo))=""COINCIDENCIA""
),
ISNUMBER(SEARCH(UPPER(TRIM(rPatron)),UPPER(TRIM(D260))))
)
)
),
rConc"&amp;"epto,
""""
)
)
),
MAP(
reglas!$B$2:$B$240,
reglas!$C$2:$C$240,
reglas!$D$2:$D$240,
reglas!$E$2:$E$240,
LAMBDA(rEmisor,rPatron,rConcepto,rTipo,
IF(
AND(
OR(
UPPER(TRIM(rEmisor))=UPPER(TRIM(C260)),
UPPER(TRIM(rEmisor))=""CUALQUIERA""
),
OR(
UPPER(TRIM(rTipo"&amp;"))=""SOLO EMISOR"",
AND(
UPPER(TRIM(rTipo))=""EXACTA"",
UPPER(TRIM(D260))=UPPER(TRIM(rPatron))
),
AND(
OR(
UPPER(TRIM(rTipo))=""CONTIENE"",
UPPER(TRIM(rTipo))=""COINCIDENCIA""
),
ISNUMBER(SEARCH(UPPER(TRIM(rPatron)),UPPER(TRIM(D260))))
)
)
),
rConcepto,
"&amp;"""""
)
)
)&lt;&gt;""""
),
1
),
""""
)"),"MANIOBRAS")</f>
        <v>MANIOBRAS</v>
      </c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</row>
    <row r="261">
      <c r="A261" s="32"/>
      <c r="B261" s="32"/>
      <c r="C261" s="29" t="s">
        <v>462</v>
      </c>
      <c r="D261" s="29" t="s">
        <v>1130</v>
      </c>
      <c r="E261" s="30">
        <v>1268.0</v>
      </c>
      <c r="F261" s="28">
        <v>0.0</v>
      </c>
      <c r="G261" s="28" t="s">
        <v>395</v>
      </c>
      <c r="H261" s="28">
        <f t="array" ref="H261">INDEX(CC!C:C,MATCH(1,(CC!A:A=G261)*(CC!B:B=I261),0))</f>
        <v>1103</v>
      </c>
      <c r="I261" s="28" t="s">
        <v>44</v>
      </c>
      <c r="J261" s="31">
        <v>1268.0</v>
      </c>
      <c r="K261" s="28" t="str">
        <f>IFERROR(__xludf.DUMMYFUNCTION("IFERROR(
INDEX(
FILTER(
MAP(
reglas!$B$2:$B$240,
reglas!$C$2:$C$240,
reglas!$D$2:$D$240,
reglas!$E$2:$E$240,
LAMBDA(rEmisor,rPatron,rConcepto,rTipo,
IF(
AND(
OR(
UPPER(TRIM(rEmisor))=UPPER(TRIM(C261)),
UPPER(TRIM(rEmisor))=""CUALQUIERA""
),
OR(
UPPER(TRIM"&amp;"(rTipo))=""SOLO EMISOR"",
AND(
UPPER(TRIM(rTipo))=""EXACTA"",
UPPER(TRIM(AG261))=UPPER(TRIM(rPatron))
),
AND(
OR(
UPPER(TRIM(rTipo))=""CONTIENE"",
UPPER(TRIM(rTipo))=""COINCIDENCIA""
),
ISNUMBER(SEARCH(UPPER(TRIM(rPatron)),UPPER(TRIM(D261))))
)
)
),
rConc"&amp;"epto,
""""
)
)
),
MAP(
reglas!$B$2:$B$240,
reglas!$C$2:$C$240,
reglas!$D$2:$D$240,
reglas!$E$2:$E$240,
LAMBDA(rEmisor,rPatron,rConcepto,rTipo,
IF(
AND(
OR(
UPPER(TRIM(rEmisor))=UPPER(TRIM(C261)),
UPPER(TRIM(rEmisor))=""CUALQUIERA""
),
OR(
UPPER(TRIM(rTipo"&amp;"))=""SOLO EMISOR"",
AND(
UPPER(TRIM(rTipo))=""EXACTA"",
UPPER(TRIM(D261))=UPPER(TRIM(rPatron))
),
AND(
OR(
UPPER(TRIM(rTipo))=""CONTIENE"",
UPPER(TRIM(rTipo))=""COINCIDENCIA""
),
ISNUMBER(SEARCH(UPPER(TRIM(rPatron)),UPPER(TRIM(D261))))
)
)
),
rConcepto,
"&amp;"""""
)
)
)&lt;&gt;""""
),
1
),
""""
)"),"MANIOBRAS")</f>
        <v>MANIOBRAS</v>
      </c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</row>
    <row r="262">
      <c r="A262" s="32"/>
      <c r="B262" s="32"/>
      <c r="C262" s="29" t="s">
        <v>462</v>
      </c>
      <c r="D262" s="29" t="s">
        <v>1130</v>
      </c>
      <c r="E262" s="30">
        <v>1268.0</v>
      </c>
      <c r="F262" s="28">
        <v>0.0</v>
      </c>
      <c r="G262" s="28" t="s">
        <v>395</v>
      </c>
      <c r="H262" s="28">
        <f t="array" ref="H262">INDEX(CC!C:C,MATCH(1,(CC!A:A=G262)*(CC!B:B=I262),0))</f>
        <v>1103</v>
      </c>
      <c r="I262" s="28" t="s">
        <v>44</v>
      </c>
      <c r="J262" s="31">
        <v>1268.0</v>
      </c>
      <c r="K262" s="28" t="str">
        <f>IFERROR(__xludf.DUMMYFUNCTION("IFERROR(
INDEX(
FILTER(
MAP(
reglas!$B$2:$B$240,
reglas!$C$2:$C$240,
reglas!$D$2:$D$240,
reglas!$E$2:$E$240,
LAMBDA(rEmisor,rPatron,rConcepto,rTipo,
IF(
AND(
OR(
UPPER(TRIM(rEmisor))=UPPER(TRIM(C262)),
UPPER(TRIM(rEmisor))=""CUALQUIERA""
),
OR(
UPPER(TRIM"&amp;"(rTipo))=""SOLO EMISOR"",
AND(
UPPER(TRIM(rTipo))=""EXACTA"",
UPPER(TRIM(AG262))=UPPER(TRIM(rPatron))
),
AND(
OR(
UPPER(TRIM(rTipo))=""CONTIENE"",
UPPER(TRIM(rTipo))=""COINCIDENCIA""
),
ISNUMBER(SEARCH(UPPER(TRIM(rPatron)),UPPER(TRIM(D262))))
)
)
),
rConc"&amp;"epto,
""""
)
)
),
MAP(
reglas!$B$2:$B$240,
reglas!$C$2:$C$240,
reglas!$D$2:$D$240,
reglas!$E$2:$E$240,
LAMBDA(rEmisor,rPatron,rConcepto,rTipo,
IF(
AND(
OR(
UPPER(TRIM(rEmisor))=UPPER(TRIM(C262)),
UPPER(TRIM(rEmisor))=""CUALQUIERA""
),
OR(
UPPER(TRIM(rTipo"&amp;"))=""SOLO EMISOR"",
AND(
UPPER(TRIM(rTipo))=""EXACTA"",
UPPER(TRIM(D262))=UPPER(TRIM(rPatron))
),
AND(
OR(
UPPER(TRIM(rTipo))=""CONTIENE"",
UPPER(TRIM(rTipo))=""COINCIDENCIA""
),
ISNUMBER(SEARCH(UPPER(TRIM(rPatron)),UPPER(TRIM(D262))))
)
)
),
rConcepto,
"&amp;"""""
)
)
)&lt;&gt;""""
),
1
),
""""
)"),"MANIOBRAS")</f>
        <v>MANIOBRAS</v>
      </c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</row>
    <row r="263">
      <c r="A263" s="32"/>
      <c r="B263" s="32"/>
      <c r="C263" s="29" t="s">
        <v>462</v>
      </c>
      <c r="D263" s="29" t="s">
        <v>1132</v>
      </c>
      <c r="E263" s="30">
        <v>3804.0</v>
      </c>
      <c r="F263" s="28">
        <v>0.0</v>
      </c>
      <c r="G263" s="28" t="s">
        <v>395</v>
      </c>
      <c r="H263" s="28">
        <f t="array" ref="H263">INDEX(CC!C:C,MATCH(1,(CC!A:A=G263)*(CC!B:B=I263),0))</f>
        <v>1103</v>
      </c>
      <c r="I263" s="28" t="s">
        <v>44</v>
      </c>
      <c r="J263" s="31">
        <v>3804.0</v>
      </c>
      <c r="K263" s="28" t="str">
        <f>IFERROR(__xludf.DUMMYFUNCTION("IFERROR(
INDEX(
FILTER(
MAP(
reglas!$B$2:$B$240,
reglas!$C$2:$C$240,
reglas!$D$2:$D$240,
reglas!$E$2:$E$240,
LAMBDA(rEmisor,rPatron,rConcepto,rTipo,
IF(
AND(
OR(
UPPER(TRIM(rEmisor))=UPPER(TRIM(C263)),
UPPER(TRIM(rEmisor))=""CUALQUIERA""
),
OR(
UPPER(TRIM"&amp;"(rTipo))=""SOLO EMISOR"",
AND(
UPPER(TRIM(rTipo))=""EXACTA"",
UPPER(TRIM(AG263))=UPPER(TRIM(rPatron))
),
AND(
OR(
UPPER(TRIM(rTipo))=""CONTIENE"",
UPPER(TRIM(rTipo))=""COINCIDENCIA""
),
ISNUMBER(SEARCH(UPPER(TRIM(rPatron)),UPPER(TRIM(D263))))
)
)
),
rConc"&amp;"epto,
""""
)
)
),
MAP(
reglas!$B$2:$B$240,
reglas!$C$2:$C$240,
reglas!$D$2:$D$240,
reglas!$E$2:$E$240,
LAMBDA(rEmisor,rPatron,rConcepto,rTipo,
IF(
AND(
OR(
UPPER(TRIM(rEmisor))=UPPER(TRIM(C263)),
UPPER(TRIM(rEmisor))=""CUALQUIERA""
),
OR(
UPPER(TRIM(rTipo"&amp;"))=""SOLO EMISOR"",
AND(
UPPER(TRIM(rTipo))=""EXACTA"",
UPPER(TRIM(D263))=UPPER(TRIM(rPatron))
),
AND(
OR(
UPPER(TRIM(rTipo))=""CONTIENE"",
UPPER(TRIM(rTipo))=""COINCIDENCIA""
),
ISNUMBER(SEARCH(UPPER(TRIM(rPatron)),UPPER(TRIM(D263))))
)
)
),
rConcepto,
"&amp;"""""
)
)
)&lt;&gt;""""
),
1
),
""""
)"),"MANIOBRAS")</f>
        <v>MANIOBRAS</v>
      </c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</row>
    <row r="264">
      <c r="A264" s="32"/>
      <c r="B264" s="32"/>
      <c r="C264" s="29" t="s">
        <v>462</v>
      </c>
      <c r="D264" s="29" t="s">
        <v>1133</v>
      </c>
      <c r="E264" s="30">
        <v>1268.0</v>
      </c>
      <c r="F264" s="28">
        <v>0.0</v>
      </c>
      <c r="G264" s="28" t="s">
        <v>395</v>
      </c>
      <c r="H264" s="28">
        <f t="array" ref="H264">INDEX(CC!C:C,MATCH(1,(CC!A:A=G264)*(CC!B:B=I264),0))</f>
        <v>1103</v>
      </c>
      <c r="I264" s="28" t="s">
        <v>44</v>
      </c>
      <c r="J264" s="31">
        <v>1268.0</v>
      </c>
      <c r="K264" s="28" t="str">
        <f>IFERROR(__xludf.DUMMYFUNCTION("IFERROR(
INDEX(
FILTER(
MAP(
reglas!$B$2:$B$240,
reglas!$C$2:$C$240,
reglas!$D$2:$D$240,
reglas!$E$2:$E$240,
LAMBDA(rEmisor,rPatron,rConcepto,rTipo,
IF(
AND(
OR(
UPPER(TRIM(rEmisor))=UPPER(TRIM(C264)),
UPPER(TRIM(rEmisor))=""CUALQUIERA""
),
OR(
UPPER(TRIM"&amp;"(rTipo))=""SOLO EMISOR"",
AND(
UPPER(TRIM(rTipo))=""EXACTA"",
UPPER(TRIM(AG264))=UPPER(TRIM(rPatron))
),
AND(
OR(
UPPER(TRIM(rTipo))=""CONTIENE"",
UPPER(TRIM(rTipo))=""COINCIDENCIA""
),
ISNUMBER(SEARCH(UPPER(TRIM(rPatron)),UPPER(TRIM(D264))))
)
)
),
rConc"&amp;"epto,
""""
)
)
),
MAP(
reglas!$B$2:$B$240,
reglas!$C$2:$C$240,
reglas!$D$2:$D$240,
reglas!$E$2:$E$240,
LAMBDA(rEmisor,rPatron,rConcepto,rTipo,
IF(
AND(
OR(
UPPER(TRIM(rEmisor))=UPPER(TRIM(C264)),
UPPER(TRIM(rEmisor))=""CUALQUIERA""
),
OR(
UPPER(TRIM(rTipo"&amp;"))=""SOLO EMISOR"",
AND(
UPPER(TRIM(rTipo))=""EXACTA"",
UPPER(TRIM(D264))=UPPER(TRIM(rPatron))
),
AND(
OR(
UPPER(TRIM(rTipo))=""CONTIENE"",
UPPER(TRIM(rTipo))=""COINCIDENCIA""
),
ISNUMBER(SEARCH(UPPER(TRIM(rPatron)),UPPER(TRIM(D264))))
)
)
),
rConcepto,
"&amp;"""""
)
)
)&lt;&gt;""""
),
1
),
""""
)"),"MANIOBRAS")</f>
        <v>MANIOBRAS</v>
      </c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</row>
    <row r="265">
      <c r="A265" s="32"/>
      <c r="B265" s="32"/>
      <c r="C265" s="29" t="s">
        <v>462</v>
      </c>
      <c r="D265" s="29" t="s">
        <v>1135</v>
      </c>
      <c r="E265" s="30">
        <v>2226.0</v>
      </c>
      <c r="F265" s="28">
        <v>0.0</v>
      </c>
      <c r="G265" s="28" t="s">
        <v>395</v>
      </c>
      <c r="H265" s="28">
        <f t="array" ref="H265">INDEX(CC!C:C,MATCH(1,(CC!A:A=G265)*(CC!B:B=I265),0))</f>
        <v>1103</v>
      </c>
      <c r="I265" s="28" t="s">
        <v>44</v>
      </c>
      <c r="J265" s="31">
        <v>2226.0</v>
      </c>
      <c r="K265" s="28" t="str">
        <f>IFERROR(__xludf.DUMMYFUNCTION("IFERROR(
INDEX(
FILTER(
MAP(
reglas!$B$2:$B$240,
reglas!$C$2:$C$240,
reglas!$D$2:$D$240,
reglas!$E$2:$E$240,
LAMBDA(rEmisor,rPatron,rConcepto,rTipo,
IF(
AND(
OR(
UPPER(TRIM(rEmisor))=UPPER(TRIM(C265)),
UPPER(TRIM(rEmisor))=""CUALQUIERA""
),
OR(
UPPER(TRIM"&amp;"(rTipo))=""SOLO EMISOR"",
AND(
UPPER(TRIM(rTipo))=""EXACTA"",
UPPER(TRIM(AG265))=UPPER(TRIM(rPatron))
),
AND(
OR(
UPPER(TRIM(rTipo))=""CONTIENE"",
UPPER(TRIM(rTipo))=""COINCIDENCIA""
),
ISNUMBER(SEARCH(UPPER(TRIM(rPatron)),UPPER(TRIM(D265))))
)
)
),
rConc"&amp;"epto,
""""
)
)
),
MAP(
reglas!$B$2:$B$240,
reglas!$C$2:$C$240,
reglas!$D$2:$D$240,
reglas!$E$2:$E$240,
LAMBDA(rEmisor,rPatron,rConcepto,rTipo,
IF(
AND(
OR(
UPPER(TRIM(rEmisor))=UPPER(TRIM(C265)),
UPPER(TRIM(rEmisor))=""CUALQUIERA""
),
OR(
UPPER(TRIM(rTipo"&amp;"))=""SOLO EMISOR"",
AND(
UPPER(TRIM(rTipo))=""EXACTA"",
UPPER(TRIM(D265))=UPPER(TRIM(rPatron))
),
AND(
OR(
UPPER(TRIM(rTipo))=""CONTIENE"",
UPPER(TRIM(rTipo))=""COINCIDENCIA""
),
ISNUMBER(SEARCH(UPPER(TRIM(rPatron)),UPPER(TRIM(D265))))
)
)
),
rConcepto,
"&amp;"""""
)
)
)&lt;&gt;""""
),
1
),
""""
)"),"MANIOBRAS")</f>
        <v>MANIOBRAS</v>
      </c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</row>
    <row r="266">
      <c r="A266" s="32"/>
      <c r="B266" s="32"/>
      <c r="C266" s="29" t="s">
        <v>462</v>
      </c>
      <c r="D266" s="29" t="s">
        <v>1139</v>
      </c>
      <c r="E266" s="28">
        <v>893.0</v>
      </c>
      <c r="F266" s="28">
        <v>0.0</v>
      </c>
      <c r="G266" s="28" t="s">
        <v>395</v>
      </c>
      <c r="H266" s="28">
        <f t="array" ref="H266">INDEX(CC!C:C,MATCH(1,(CC!A:A=G266)*(CC!B:B=I266),0))</f>
        <v>1103</v>
      </c>
      <c r="I266" s="28" t="s">
        <v>44</v>
      </c>
      <c r="J266" s="31">
        <v>893.0</v>
      </c>
      <c r="K266" s="28" t="str">
        <f>IFERROR(__xludf.DUMMYFUNCTION("IFERROR(
INDEX(
FILTER(
MAP(
reglas!$B$2:$B$240,
reglas!$C$2:$C$240,
reglas!$D$2:$D$240,
reglas!$E$2:$E$240,
LAMBDA(rEmisor,rPatron,rConcepto,rTipo,
IF(
AND(
OR(
UPPER(TRIM(rEmisor))=UPPER(TRIM(C266)),
UPPER(TRIM(rEmisor))=""CUALQUIERA""
),
OR(
UPPER(TRIM"&amp;"(rTipo))=""SOLO EMISOR"",
AND(
UPPER(TRIM(rTipo))=""EXACTA"",
UPPER(TRIM(AG266))=UPPER(TRIM(rPatron))
),
AND(
OR(
UPPER(TRIM(rTipo))=""CONTIENE"",
UPPER(TRIM(rTipo))=""COINCIDENCIA""
),
ISNUMBER(SEARCH(UPPER(TRIM(rPatron)),UPPER(TRIM(D266))))
)
)
),
rConc"&amp;"epto,
""""
)
)
),
MAP(
reglas!$B$2:$B$240,
reglas!$C$2:$C$240,
reglas!$D$2:$D$240,
reglas!$E$2:$E$240,
LAMBDA(rEmisor,rPatron,rConcepto,rTipo,
IF(
AND(
OR(
UPPER(TRIM(rEmisor))=UPPER(TRIM(C266)),
UPPER(TRIM(rEmisor))=""CUALQUIERA""
),
OR(
UPPER(TRIM(rTipo"&amp;"))=""SOLO EMISOR"",
AND(
UPPER(TRIM(rTipo))=""EXACTA"",
UPPER(TRIM(D266))=UPPER(TRIM(rPatron))
),
AND(
OR(
UPPER(TRIM(rTipo))=""CONTIENE"",
UPPER(TRIM(rTipo))=""COINCIDENCIA""
),
ISNUMBER(SEARCH(UPPER(TRIM(rPatron)),UPPER(TRIM(D266))))
)
)
),
rConcepto,
"&amp;"""""
)
)
)&lt;&gt;""""
),
1
),
""""
)"),"MANIOBRAS")</f>
        <v>MANIOBRAS</v>
      </c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</row>
    <row r="267">
      <c r="A267" s="32"/>
      <c r="B267" s="32"/>
      <c r="C267" s="29" t="s">
        <v>462</v>
      </c>
      <c r="D267" s="29" t="s">
        <v>1154</v>
      </c>
      <c r="E267" s="30">
        <v>3971.0</v>
      </c>
      <c r="F267" s="28">
        <v>0.0</v>
      </c>
      <c r="G267" s="28" t="s">
        <v>395</v>
      </c>
      <c r="H267" s="28">
        <f t="array" ref="H267">INDEX(CC!C:C,MATCH(1,(CC!A:A=G267)*(CC!B:B=I267),0))</f>
        <v>1103</v>
      </c>
      <c r="I267" s="28" t="s">
        <v>44</v>
      </c>
      <c r="J267" s="31">
        <v>3971.0</v>
      </c>
      <c r="K267" s="28" t="str">
        <f>IFERROR(__xludf.DUMMYFUNCTION("IFERROR(
INDEX(
FILTER(
MAP(
reglas!$B$2:$B$240,
reglas!$C$2:$C$240,
reglas!$D$2:$D$240,
reglas!$E$2:$E$240,
LAMBDA(rEmisor,rPatron,rConcepto,rTipo,
IF(
AND(
OR(
UPPER(TRIM(rEmisor))=UPPER(TRIM(C267)),
UPPER(TRIM(rEmisor))=""CUALQUIERA""
),
OR(
UPPER(TRIM"&amp;"(rTipo))=""SOLO EMISOR"",
AND(
UPPER(TRIM(rTipo))=""EXACTA"",
UPPER(TRIM(AG267))=UPPER(TRIM(rPatron))
),
AND(
OR(
UPPER(TRIM(rTipo))=""CONTIENE"",
UPPER(TRIM(rTipo))=""COINCIDENCIA""
),
ISNUMBER(SEARCH(UPPER(TRIM(rPatron)),UPPER(TRIM(D267))))
)
)
),
rConc"&amp;"epto,
""""
)
)
),
MAP(
reglas!$B$2:$B$240,
reglas!$C$2:$C$240,
reglas!$D$2:$D$240,
reglas!$E$2:$E$240,
LAMBDA(rEmisor,rPatron,rConcepto,rTipo,
IF(
AND(
OR(
UPPER(TRIM(rEmisor))=UPPER(TRIM(C267)),
UPPER(TRIM(rEmisor))=""CUALQUIERA""
),
OR(
UPPER(TRIM(rTipo"&amp;"))=""SOLO EMISOR"",
AND(
UPPER(TRIM(rTipo))=""EXACTA"",
UPPER(TRIM(D267))=UPPER(TRIM(rPatron))
),
AND(
OR(
UPPER(TRIM(rTipo))=""CONTIENE"",
UPPER(TRIM(rTipo))=""COINCIDENCIA""
),
ISNUMBER(SEARCH(UPPER(TRIM(rPatron)),UPPER(TRIM(D267))))
)
)
),
rConcepto,
"&amp;"""""
)
)
)&lt;&gt;""""
),
1
),
""""
)"),"MANIOBRAS")</f>
        <v>MANIOBRAS</v>
      </c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</row>
    <row r="268">
      <c r="A268" s="32"/>
      <c r="B268" s="28" t="s">
        <v>29</v>
      </c>
      <c r="C268" s="29" t="s">
        <v>469</v>
      </c>
      <c r="D268" s="29" t="s">
        <v>1076</v>
      </c>
      <c r="E268" s="28">
        <v>400.47</v>
      </c>
      <c r="F268" s="28">
        <v>0.0</v>
      </c>
      <c r="G268" s="28" t="s">
        <v>250</v>
      </c>
      <c r="H268" s="28">
        <f t="array" ref="H268">INDEX(CC!C:C,MATCH(1,(CC!A:A=G268)*(CC!B:B=I268),0))</f>
        <v>1402</v>
      </c>
      <c r="I268" s="28" t="s">
        <v>25</v>
      </c>
      <c r="J268" s="31">
        <v>400.47</v>
      </c>
      <c r="K268" s="28" t="str">
        <f>IFERROR(__xludf.DUMMYFUNCTION("IFERROR(
INDEX(
FILTER(
MAP(
reglas!$B$2:$B$240,
reglas!$C$2:$C$240,
reglas!$D$2:$D$240,
reglas!$E$2:$E$240,
LAMBDA(rEmisor,rPatron,rConcepto,rTipo,
IF(
AND(
OR(
UPPER(TRIM(rEmisor))=UPPER(TRIM(C268)),
UPPER(TRIM(rEmisor))=""CUALQUIERA""
),
OR(
UPPER(TRIM"&amp;"(rTipo))=""SOLO EMISOR"",
AND(
UPPER(TRIM(rTipo))=""EXACTA"",
UPPER(TRIM(AG268))=UPPER(TRIM(rPatron))
),
AND(
OR(
UPPER(TRIM(rTipo))=""CONTIENE"",
UPPER(TRIM(rTipo))=""COINCIDENCIA""
),
ISNUMBER(SEARCH(UPPER(TRIM(rPatron)),UPPER(TRIM(D268))))
)
)
),
rConc"&amp;"epto,
""""
)
)
),
MAP(
reglas!$B$2:$B$240,
reglas!$C$2:$C$240,
reglas!$D$2:$D$240,
reglas!$E$2:$E$240,
LAMBDA(rEmisor,rPatron,rConcepto,rTipo,
IF(
AND(
OR(
UPPER(TRIM(rEmisor))=UPPER(TRIM(C268)),
UPPER(TRIM(rEmisor))=""CUALQUIERA""
),
OR(
UPPER(TRIM(rTipo"&amp;"))=""SOLO EMISOR"",
AND(
UPPER(TRIM(rTipo))=""EXACTA"",
UPPER(TRIM(D268))=UPPER(TRIM(rPatron))
),
AND(
OR(
UPPER(TRIM(rTipo))=""CONTIENE"",
UPPER(TRIM(rTipo))=""COINCIDENCIA""
),
ISNUMBER(SEARCH(UPPER(TRIM(rPatron)),UPPER(TRIM(D268))))
)
)
),
rConcepto,
"&amp;"""""
)
)
)&lt;&gt;""""
),
1
),
""""
)"),"PAPELERIA")</f>
        <v>PAPELERIA</v>
      </c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</row>
    <row r="269">
      <c r="A269" s="32"/>
      <c r="B269" s="28" t="s">
        <v>29</v>
      </c>
      <c r="C269" s="29" t="s">
        <v>278</v>
      </c>
      <c r="D269" s="29" t="s">
        <v>560</v>
      </c>
      <c r="E269" s="30">
        <v>3500.0</v>
      </c>
      <c r="F269" s="28">
        <v>0.0</v>
      </c>
      <c r="G269" s="28" t="s">
        <v>250</v>
      </c>
      <c r="H269" s="28">
        <f t="array" ref="H269">INDEX(CC!C:C,MATCH(1,(CC!A:A=G269)*(CC!B:B=I269),0))</f>
        <v>1402</v>
      </c>
      <c r="I269" s="28" t="s">
        <v>25</v>
      </c>
      <c r="J269" s="31">
        <v>3500.0</v>
      </c>
      <c r="K269" s="28" t="str">
        <f>IFERROR(__xludf.DUMMYFUNCTION("IFERROR(
INDEX(
FILTER(
MAP(
reglas!$B$2:$B$240,
reglas!$C$2:$C$240,
reglas!$D$2:$D$240,
reglas!$E$2:$E$240,
LAMBDA(rEmisor,rPatron,rConcepto,rTipo,
IF(
AND(
OR(
UPPER(TRIM(rEmisor))=UPPER(TRIM(C269)),
UPPER(TRIM(rEmisor))=""CUALQUIERA""
),
OR(
UPPER(TRIM"&amp;"(rTipo))=""SOLO EMISOR"",
AND(
UPPER(TRIM(rTipo))=""EXACTA"",
UPPER(TRIM(AG269))=UPPER(TRIM(rPatron))
),
AND(
OR(
UPPER(TRIM(rTipo))=""CONTIENE"",
UPPER(TRIM(rTipo))=""COINCIDENCIA""
),
ISNUMBER(SEARCH(UPPER(TRIM(rPatron)),UPPER(TRIM(D269))))
)
)
),
rConc"&amp;"epto,
""""
)
)
),
MAP(
reglas!$B$2:$B$240,
reglas!$C$2:$C$240,
reglas!$D$2:$D$240,
reglas!$E$2:$E$240,
LAMBDA(rEmisor,rPatron,rConcepto,rTipo,
IF(
AND(
OR(
UPPER(TRIM(rEmisor))=UPPER(TRIM(C269)),
UPPER(TRIM(rEmisor))=""CUALQUIERA""
),
OR(
UPPER(TRIM(rTipo"&amp;"))=""SOLO EMISOR"",
AND(
UPPER(TRIM(rTipo))=""EXACTA"",
UPPER(TRIM(D269))=UPPER(TRIM(rPatron))
),
AND(
OR(
UPPER(TRIM(rTipo))=""CONTIENE"",
UPPER(TRIM(rTipo))=""COINCIDENCIA""
),
ISNUMBER(SEARCH(UPPER(TRIM(rPatron)),UPPER(TRIM(D269))))
)
)
),
rConcepto,
"&amp;"""""
)
)
)&lt;&gt;""""
),
1
),
""""
)"),"MANIOBRAS")</f>
        <v>MANIOBRAS</v>
      </c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</row>
    <row r="270">
      <c r="A270" s="28">
        <v>17.3288</v>
      </c>
      <c r="B270" s="28" t="s">
        <v>244</v>
      </c>
      <c r="C270" s="29" t="s">
        <v>472</v>
      </c>
      <c r="D270" s="29" t="s">
        <v>1197</v>
      </c>
      <c r="E270" s="28">
        <v>220.0</v>
      </c>
      <c r="F270" s="28">
        <v>0.0</v>
      </c>
      <c r="G270" s="28" t="s">
        <v>551</v>
      </c>
      <c r="H270" s="28">
        <f t="array" ref="H270">INDEX(CC!C:C,MATCH(1,(CC!A:A=G270)*(CC!B:B=I270),0))</f>
        <v>1203</v>
      </c>
      <c r="I270" s="28" t="s">
        <v>44</v>
      </c>
      <c r="J270" s="31">
        <v>3812.34</v>
      </c>
      <c r="K270" s="28" t="str">
        <f>IFERROR(__xludf.DUMMYFUNCTION("IFERROR(
INDEX(
FILTER(
MAP(
reglas!$B$2:$B$240,
reglas!$C$2:$C$240,
reglas!$D$2:$D$240,
reglas!$E$2:$E$240,
LAMBDA(rEmisor,rPatron,rConcepto,rTipo,
IF(
AND(
OR(
UPPER(TRIM(rEmisor))=UPPER(TRIM(C270)),
UPPER(TRIM(rEmisor))=""CUALQUIERA""
),
OR(
UPPER(TRIM"&amp;"(rTipo))=""SOLO EMISOR"",
AND(
UPPER(TRIM(rTipo))=""EXACTA"",
UPPER(TRIM(AG270))=UPPER(TRIM(rPatron))
),
AND(
OR(
UPPER(TRIM(rTipo))=""CONTIENE"",
UPPER(TRIM(rTipo))=""COINCIDENCIA""
),
ISNUMBER(SEARCH(UPPER(TRIM(rPatron)),UPPER(TRIM(D270))))
)
)
),
rConc"&amp;"epto,
""""
)
)
),
MAP(
reglas!$B$2:$B$240,
reglas!$C$2:$C$240,
reglas!$D$2:$D$240,
reglas!$E$2:$E$240,
LAMBDA(rEmisor,rPatron,rConcepto,rTipo,
IF(
AND(
OR(
UPPER(TRIM(rEmisor))=UPPER(TRIM(C270)),
UPPER(TRIM(rEmisor))=""CUALQUIERA""
),
OR(
UPPER(TRIM(rTipo"&amp;"))=""SOLO EMISOR"",
AND(
UPPER(TRIM(rTipo))=""EXACTA"",
UPPER(TRIM(D270))=UPPER(TRIM(rPatron))
),
AND(
OR(
UPPER(TRIM(rTipo))=""CONTIENE"",
UPPER(TRIM(rTipo))=""COINCIDENCIA""
),
ISNUMBER(SEARCH(UPPER(TRIM(rPatron)),UPPER(TRIM(D270))))
)
)
),
rConcepto,
"&amp;"""""
)
)
)&lt;&gt;""""
),
1
),
""""
)"),"FLETE MARITIMO")</f>
        <v>FLETE MARITIMO</v>
      </c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</row>
    <row r="271">
      <c r="A271" s="32"/>
      <c r="B271" s="28" t="s">
        <v>29</v>
      </c>
      <c r="C271" s="29" t="s">
        <v>278</v>
      </c>
      <c r="D271" s="29" t="s">
        <v>560</v>
      </c>
      <c r="E271" s="30">
        <v>3500.0</v>
      </c>
      <c r="F271" s="28">
        <v>0.0</v>
      </c>
      <c r="G271" s="28" t="s">
        <v>250</v>
      </c>
      <c r="H271" s="28">
        <f t="array" ref="H271">INDEX(CC!C:C,MATCH(1,(CC!A:A=G271)*(CC!B:B=I271),0))</f>
        <v>1402</v>
      </c>
      <c r="I271" s="28" t="s">
        <v>25</v>
      </c>
      <c r="J271" s="31">
        <v>3500.0</v>
      </c>
      <c r="K271" s="28" t="str">
        <f>IFERROR(__xludf.DUMMYFUNCTION("IFERROR(
INDEX(
FILTER(
MAP(
reglas!$B$2:$B$240,
reglas!$C$2:$C$240,
reglas!$D$2:$D$240,
reglas!$E$2:$E$240,
LAMBDA(rEmisor,rPatron,rConcepto,rTipo,
IF(
AND(
OR(
UPPER(TRIM(rEmisor))=UPPER(TRIM(C271)),
UPPER(TRIM(rEmisor))=""CUALQUIERA""
),
OR(
UPPER(TRIM"&amp;"(rTipo))=""SOLO EMISOR"",
AND(
UPPER(TRIM(rTipo))=""EXACTA"",
UPPER(TRIM(AG271))=UPPER(TRIM(rPatron))
),
AND(
OR(
UPPER(TRIM(rTipo))=""CONTIENE"",
UPPER(TRIM(rTipo))=""COINCIDENCIA""
),
ISNUMBER(SEARCH(UPPER(TRIM(rPatron)),UPPER(TRIM(D271))))
)
)
),
rConc"&amp;"epto,
""""
)
)
),
MAP(
reglas!$B$2:$B$240,
reglas!$C$2:$C$240,
reglas!$D$2:$D$240,
reglas!$E$2:$E$240,
LAMBDA(rEmisor,rPatron,rConcepto,rTipo,
IF(
AND(
OR(
UPPER(TRIM(rEmisor))=UPPER(TRIM(C271)),
UPPER(TRIM(rEmisor))=""CUALQUIERA""
),
OR(
UPPER(TRIM(rTipo"&amp;"))=""SOLO EMISOR"",
AND(
UPPER(TRIM(rTipo))=""EXACTA"",
UPPER(TRIM(D271))=UPPER(TRIM(rPatron))
),
AND(
OR(
UPPER(TRIM(rTipo))=""CONTIENE"",
UPPER(TRIM(rTipo))=""COINCIDENCIA""
),
ISNUMBER(SEARCH(UPPER(TRIM(rPatron)),UPPER(TRIM(D271))))
)
)
),
rConcepto,
"&amp;"""""
)
)
)&lt;&gt;""""
),
1
),
""""
)"),"MANIOBRAS")</f>
        <v>MANIOBRAS</v>
      </c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</row>
    <row r="272">
      <c r="A272" s="32"/>
      <c r="B272" s="28" t="s">
        <v>29</v>
      </c>
      <c r="C272" s="29" t="s">
        <v>474</v>
      </c>
      <c r="D272" s="29" t="s">
        <v>1199</v>
      </c>
      <c r="E272" s="28">
        <v>711.08</v>
      </c>
      <c r="F272" s="28">
        <v>0.0</v>
      </c>
      <c r="G272" s="28" t="s">
        <v>539</v>
      </c>
      <c r="H272" s="28">
        <f t="array" ref="H272">INDEX(CC!C:C,MATCH(1,(CC!A:A=G272)*(CC!B:B=I272),0))</f>
        <v>1302</v>
      </c>
      <c r="I272" s="28" t="s">
        <v>25</v>
      </c>
      <c r="J272" s="31">
        <v>711.08</v>
      </c>
      <c r="K272" s="28" t="str">
        <f>IFERROR(__xludf.DUMMYFUNCTION("IFERROR(
INDEX(
FILTER(
MAP(
reglas!$B$2:$B$240,
reglas!$C$2:$C$240,
reglas!$D$2:$D$240,
reglas!$E$2:$E$240,
LAMBDA(rEmisor,rPatron,rConcepto,rTipo,
IF(
AND(
OR(
UPPER(TRIM(rEmisor))=UPPER(TRIM(C272)),
UPPER(TRIM(rEmisor))=""CUALQUIERA""
),
OR(
UPPER(TRIM"&amp;"(rTipo))=""SOLO EMISOR"",
AND(
UPPER(TRIM(rTipo))=""EXACTA"",
UPPER(TRIM(AG272))=UPPER(TRIM(rPatron))
),
AND(
OR(
UPPER(TRIM(rTipo))=""CONTIENE"",
UPPER(TRIM(rTipo))=""COINCIDENCIA""
),
ISNUMBER(SEARCH(UPPER(TRIM(rPatron)),UPPER(TRIM(D272))))
)
)
),
rConc"&amp;"epto,
""""
)
)
),
MAP(
reglas!$B$2:$B$240,
reglas!$C$2:$C$240,
reglas!$D$2:$D$240,
reglas!$E$2:$E$240,
LAMBDA(rEmisor,rPatron,rConcepto,rTipo,
IF(
AND(
OR(
UPPER(TRIM(rEmisor))=UPPER(TRIM(C272)),
UPPER(TRIM(rEmisor))=""CUALQUIERA""
),
OR(
UPPER(TRIM(rTipo"&amp;"))=""SOLO EMISOR"",
AND(
UPPER(TRIM(rTipo))=""EXACTA"",
UPPER(TRIM(D272))=UPPER(TRIM(rPatron))
),
AND(
OR(
UPPER(TRIM(rTipo))=""CONTIENE"",
UPPER(TRIM(rTipo))=""COINCIDENCIA""
),
ISNUMBER(SEARCH(UPPER(TRIM(rPatron)),UPPER(TRIM(D272))))
)
)
),
rConcepto,
"&amp;"""""
)
)
)&lt;&gt;""""
),
1
),
""""
)"),"SEGUROS Y FIANZAS")</f>
        <v>SEGUROS Y FIANZAS</v>
      </c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</row>
    <row r="273">
      <c r="A273" s="32"/>
      <c r="B273" s="28" t="s">
        <v>29</v>
      </c>
      <c r="C273" s="29" t="s">
        <v>278</v>
      </c>
      <c r="D273" s="29" t="s">
        <v>560</v>
      </c>
      <c r="E273" s="30">
        <v>3500.0</v>
      </c>
      <c r="F273" s="28">
        <v>0.0</v>
      </c>
      <c r="G273" s="28" t="s">
        <v>250</v>
      </c>
      <c r="H273" s="28">
        <f t="array" ref="H273">INDEX(CC!C:C,MATCH(1,(CC!A:A=G273)*(CC!B:B=I273),0))</f>
        <v>1402</v>
      </c>
      <c r="I273" s="28" t="s">
        <v>25</v>
      </c>
      <c r="J273" s="31">
        <v>3500.0</v>
      </c>
      <c r="K273" s="28" t="str">
        <f>IFERROR(__xludf.DUMMYFUNCTION("IFERROR(
INDEX(
FILTER(
MAP(
reglas!$B$2:$B$240,
reglas!$C$2:$C$240,
reglas!$D$2:$D$240,
reglas!$E$2:$E$240,
LAMBDA(rEmisor,rPatron,rConcepto,rTipo,
IF(
AND(
OR(
UPPER(TRIM(rEmisor))=UPPER(TRIM(C273)),
UPPER(TRIM(rEmisor))=""CUALQUIERA""
),
OR(
UPPER(TRIM"&amp;"(rTipo))=""SOLO EMISOR"",
AND(
UPPER(TRIM(rTipo))=""EXACTA"",
UPPER(TRIM(AG273))=UPPER(TRIM(rPatron))
),
AND(
OR(
UPPER(TRIM(rTipo))=""CONTIENE"",
UPPER(TRIM(rTipo))=""COINCIDENCIA""
),
ISNUMBER(SEARCH(UPPER(TRIM(rPatron)),UPPER(TRIM(D273))))
)
)
),
rConc"&amp;"epto,
""""
)
)
),
MAP(
reglas!$B$2:$B$240,
reglas!$C$2:$C$240,
reglas!$D$2:$D$240,
reglas!$E$2:$E$240,
LAMBDA(rEmisor,rPatron,rConcepto,rTipo,
IF(
AND(
OR(
UPPER(TRIM(rEmisor))=UPPER(TRIM(C273)),
UPPER(TRIM(rEmisor))=""CUALQUIERA""
),
OR(
UPPER(TRIM(rTipo"&amp;"))=""SOLO EMISOR"",
AND(
UPPER(TRIM(rTipo))=""EXACTA"",
UPPER(TRIM(D273))=UPPER(TRIM(rPatron))
),
AND(
OR(
UPPER(TRIM(rTipo))=""CONTIENE"",
UPPER(TRIM(rTipo))=""COINCIDENCIA""
),
ISNUMBER(SEARCH(UPPER(TRIM(rPatron)),UPPER(TRIM(D273))))
)
)
),
rConcepto,
"&amp;"""""
)
)
)&lt;&gt;""""
),
1
),
""""
)"),"MANIOBRAS")</f>
        <v>MANIOBRAS</v>
      </c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</row>
    <row r="274">
      <c r="A274" s="32"/>
      <c r="B274" s="28" t="s">
        <v>29</v>
      </c>
      <c r="C274" s="29" t="s">
        <v>172</v>
      </c>
      <c r="D274" s="29" t="s">
        <v>1081</v>
      </c>
      <c r="E274" s="30">
        <v>11500.0</v>
      </c>
      <c r="F274" s="28">
        <v>0.0</v>
      </c>
      <c r="G274" s="28" t="s">
        <v>250</v>
      </c>
      <c r="H274" s="28">
        <f t="array" ref="H274">INDEX(CC!C:C,MATCH(1,(CC!A:A=G274)*(CC!B:B=I274),0))</f>
        <v>1402</v>
      </c>
      <c r="I274" s="28" t="s">
        <v>25</v>
      </c>
      <c r="J274" s="31">
        <v>11500.0</v>
      </c>
      <c r="K274" s="28" t="str">
        <f>IFERROR(__xludf.DUMMYFUNCTION("IFERROR(
INDEX(
FILTER(
MAP(
reglas!$B$2:$B$240,
reglas!$C$2:$C$240,
reglas!$D$2:$D$240,
reglas!$E$2:$E$240,
LAMBDA(rEmisor,rPatron,rConcepto,rTipo,
IF(
AND(
OR(
UPPER(TRIM(rEmisor))=UPPER(TRIM(C274)),
UPPER(TRIM(rEmisor))=""CUALQUIERA""
),
OR(
UPPER(TRIM"&amp;"(rTipo))=""SOLO EMISOR"",
AND(
UPPER(TRIM(rTipo))=""EXACTA"",
UPPER(TRIM(AG274))=UPPER(TRIM(rPatron))
),
AND(
OR(
UPPER(TRIM(rTipo))=""CONTIENE"",
UPPER(TRIM(rTipo))=""COINCIDENCIA""
),
ISNUMBER(SEARCH(UPPER(TRIM(rPatron)),UPPER(TRIM(D274))))
)
)
),
rConc"&amp;"epto,
""""
)
)
),
MAP(
reglas!$B$2:$B$240,
reglas!$C$2:$C$240,
reglas!$D$2:$D$240,
reglas!$E$2:$E$240,
LAMBDA(rEmisor,rPatron,rConcepto,rTipo,
IF(
AND(
OR(
UPPER(TRIM(rEmisor))=UPPER(TRIM(C274)),
UPPER(TRIM(rEmisor))=""CUALQUIERA""
),
OR(
UPPER(TRIM(rTipo"&amp;"))=""SOLO EMISOR"",
AND(
UPPER(TRIM(rTipo))=""EXACTA"",
UPPER(TRIM(D274))=UPPER(TRIM(rPatron))
),
AND(
OR(
UPPER(TRIM(rTipo))=""CONTIENE"",
UPPER(TRIM(rTipo))=""COINCIDENCIA""
),
ISNUMBER(SEARCH(UPPER(TRIM(rPatron)),UPPER(TRIM(D274))))
)
)
),
rConcepto,
"&amp;"""""
)
)
)&lt;&gt;""""
),
1
),
""""
)"),"TRANSPORTE")</f>
        <v>TRANSPORTE</v>
      </c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</row>
    <row r="275">
      <c r="A275" s="28">
        <v>1.0</v>
      </c>
      <c r="B275" s="28" t="s">
        <v>29</v>
      </c>
      <c r="C275" s="29" t="s">
        <v>89</v>
      </c>
      <c r="D275" s="29" t="s">
        <v>91</v>
      </c>
      <c r="E275" s="30">
        <v>1283.04</v>
      </c>
      <c r="F275" s="28">
        <v>0.0</v>
      </c>
      <c r="G275" s="28" t="s">
        <v>601</v>
      </c>
      <c r="H275" s="28">
        <f t="array" ref="H275">INDEX(CC!C:C,MATCH(1,(CC!A:A=G275)*(CC!B:B=I275),0))</f>
        <v>403</v>
      </c>
      <c r="I275" s="28" t="s">
        <v>44</v>
      </c>
      <c r="J275" s="31">
        <v>1283.04</v>
      </c>
      <c r="K275" s="28" t="str">
        <f>IFERROR(__xludf.DUMMYFUNCTION("IFERROR(
INDEX(
FILTER(
MAP(
reglas!$B$2:$B$240,
reglas!$C$2:$C$240,
reglas!$D$2:$D$240,
reglas!$E$2:$E$240,
LAMBDA(rEmisor,rPatron,rConcepto,rTipo,
IF(
AND(
OR(
UPPER(TRIM(rEmisor))=UPPER(TRIM(C275)),
UPPER(TRIM(rEmisor))=""CUALQUIERA""
),
OR(
UPPER(TRIM"&amp;"(rTipo))=""SOLO EMISOR"",
AND(
UPPER(TRIM(rTipo))=""EXACTA"",
UPPER(TRIM(AG275))=UPPER(TRIM(rPatron))
),
AND(
OR(
UPPER(TRIM(rTipo))=""CONTIENE"",
UPPER(TRIM(rTipo))=""COINCIDENCIA""
),
ISNUMBER(SEARCH(UPPER(TRIM(rPatron)),UPPER(TRIM(D275))))
)
)
),
rConc"&amp;"epto,
""""
)
)
),
MAP(
reglas!$B$2:$B$240,
reglas!$C$2:$C$240,
reglas!$D$2:$D$240,
reglas!$E$2:$E$240,
LAMBDA(rEmisor,rPatron,rConcepto,rTipo,
IF(
AND(
OR(
UPPER(TRIM(rEmisor))=UPPER(TRIM(C275)),
UPPER(TRIM(rEmisor))=""CUALQUIERA""
),
OR(
UPPER(TRIM(rTipo"&amp;"))=""SOLO EMISOR"",
AND(
UPPER(TRIM(rTipo))=""EXACTA"",
UPPER(TRIM(D275))=UPPER(TRIM(rPatron))
),
AND(
OR(
UPPER(TRIM(rTipo))=""CONTIENE"",
UPPER(TRIM(rTipo))=""COINCIDENCIA""
),
ISNUMBER(SEARCH(UPPER(TRIM(rPatron)),UPPER(TRIM(D275))))
)
)
),
rConcepto,
"&amp;"""""
)
)
)&lt;&gt;""""
),
1
),
""""
)"),"MANIOBRAS")</f>
        <v>MANIOBRAS</v>
      </c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</row>
    <row r="276">
      <c r="A276" s="32"/>
      <c r="B276" s="28" t="s">
        <v>29</v>
      </c>
      <c r="C276" s="29" t="s">
        <v>172</v>
      </c>
      <c r="D276" s="29" t="s">
        <v>1065</v>
      </c>
      <c r="E276" s="30">
        <v>11500.0</v>
      </c>
      <c r="F276" s="28">
        <v>0.0</v>
      </c>
      <c r="G276" s="28" t="s">
        <v>250</v>
      </c>
      <c r="H276" s="28">
        <f t="array" ref="H276">INDEX(CC!C:C,MATCH(1,(CC!A:A=G276)*(CC!B:B=I276),0))</f>
        <v>1402</v>
      </c>
      <c r="I276" s="28" t="s">
        <v>25</v>
      </c>
      <c r="J276" s="31">
        <v>11500.0</v>
      </c>
      <c r="K276" s="28" t="str">
        <f>IFERROR(__xludf.DUMMYFUNCTION("IFERROR(
INDEX(
FILTER(
MAP(
reglas!$B$2:$B$240,
reglas!$C$2:$C$240,
reglas!$D$2:$D$240,
reglas!$E$2:$E$240,
LAMBDA(rEmisor,rPatron,rConcepto,rTipo,
IF(
AND(
OR(
UPPER(TRIM(rEmisor))=UPPER(TRIM(C276)),
UPPER(TRIM(rEmisor))=""CUALQUIERA""
),
OR(
UPPER(TRIM"&amp;"(rTipo))=""SOLO EMISOR"",
AND(
UPPER(TRIM(rTipo))=""EXACTA"",
UPPER(TRIM(AG276))=UPPER(TRIM(rPatron))
),
AND(
OR(
UPPER(TRIM(rTipo))=""CONTIENE"",
UPPER(TRIM(rTipo))=""COINCIDENCIA""
),
ISNUMBER(SEARCH(UPPER(TRIM(rPatron)),UPPER(TRIM(D276))))
)
)
),
rConc"&amp;"epto,
""""
)
)
),
MAP(
reglas!$B$2:$B$240,
reglas!$C$2:$C$240,
reglas!$D$2:$D$240,
reglas!$E$2:$E$240,
LAMBDA(rEmisor,rPatron,rConcepto,rTipo,
IF(
AND(
OR(
UPPER(TRIM(rEmisor))=UPPER(TRIM(C276)),
UPPER(TRIM(rEmisor))=""CUALQUIERA""
),
OR(
UPPER(TRIM(rTipo"&amp;"))=""SOLO EMISOR"",
AND(
UPPER(TRIM(rTipo))=""EXACTA"",
UPPER(TRIM(D276))=UPPER(TRIM(rPatron))
),
AND(
OR(
UPPER(TRIM(rTipo))=""CONTIENE"",
UPPER(TRIM(rTipo))=""COINCIDENCIA""
),
ISNUMBER(SEARCH(UPPER(TRIM(rPatron)),UPPER(TRIM(D276))))
)
)
),
rConcepto,
"&amp;"""""
)
)
)&lt;&gt;""""
),
1
),
""""
)"),"TRANSPORTE")</f>
        <v>TRANSPORTE</v>
      </c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</row>
    <row r="277">
      <c r="A277" s="28">
        <v>1.0</v>
      </c>
      <c r="B277" s="28" t="s">
        <v>29</v>
      </c>
      <c r="C277" s="29" t="s">
        <v>271</v>
      </c>
      <c r="D277" s="29" t="s">
        <v>589</v>
      </c>
      <c r="E277" s="28">
        <v>633.89</v>
      </c>
      <c r="F277" s="28">
        <v>0.0</v>
      </c>
      <c r="G277" s="28" t="s">
        <v>84</v>
      </c>
      <c r="H277" s="28">
        <f t="array" ref="H277">INDEX(CC!C:C,MATCH(1,(CC!A:A=G277)*(CC!B:B=I277),0))</f>
        <v>1002</v>
      </c>
      <c r="I277" s="28" t="s">
        <v>25</v>
      </c>
      <c r="J277" s="31">
        <v>633.89</v>
      </c>
      <c r="K277" s="28" t="str">
        <f>IFERROR(__xludf.DUMMYFUNCTION("IFERROR(
INDEX(
FILTER(
MAP(
reglas!$B$2:$B$240,
reglas!$C$2:$C$240,
reglas!$D$2:$D$240,
reglas!$E$2:$E$240,
LAMBDA(rEmisor,rPatron,rConcepto,rTipo,
IF(
AND(
OR(
UPPER(TRIM(rEmisor))=UPPER(TRIM(C277)),
UPPER(TRIM(rEmisor))=""CUALQUIERA""
),
OR(
UPPER(TRIM"&amp;"(rTipo))=""SOLO EMISOR"",
AND(
UPPER(TRIM(rTipo))=""EXACTA"",
UPPER(TRIM(AG277))=UPPER(TRIM(rPatron))
),
AND(
OR(
UPPER(TRIM(rTipo))=""CONTIENE"",
UPPER(TRIM(rTipo))=""COINCIDENCIA""
),
ISNUMBER(SEARCH(UPPER(TRIM(rPatron)),UPPER(TRIM(D277))))
)
)
),
rConc"&amp;"epto,
""""
)
)
),
MAP(
reglas!$B$2:$B$240,
reglas!$C$2:$C$240,
reglas!$D$2:$D$240,
reglas!$E$2:$E$240,
LAMBDA(rEmisor,rPatron,rConcepto,rTipo,
IF(
AND(
OR(
UPPER(TRIM(rEmisor))=UPPER(TRIM(C277)),
UPPER(TRIM(rEmisor))=""CUALQUIERA""
),
OR(
UPPER(TRIM(rTipo"&amp;"))=""SOLO EMISOR"",
AND(
UPPER(TRIM(rTipo))=""EXACTA"",
UPPER(TRIM(D277))=UPPER(TRIM(rPatron))
),
AND(
OR(
UPPER(TRIM(rTipo))=""CONTIENE"",
UPPER(TRIM(rTipo))=""COINCIDENCIA""
),
ISNUMBER(SEARCH(UPPER(TRIM(rPatron)),UPPER(TRIM(D277))))
)
)
),
rConcepto,
"&amp;"""""
)
)
)&lt;&gt;""""
),
1
),
""""
)"),"MANIOBRAS")</f>
        <v>MANIOBRAS</v>
      </c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</row>
    <row r="278">
      <c r="A278" s="32"/>
      <c r="B278" s="28" t="s">
        <v>29</v>
      </c>
      <c r="C278" s="29" t="s">
        <v>1201</v>
      </c>
      <c r="D278" s="29" t="s">
        <v>1202</v>
      </c>
      <c r="E278" s="28">
        <v>482.76</v>
      </c>
      <c r="F278" s="28">
        <v>0.0</v>
      </c>
      <c r="G278" s="28" t="s">
        <v>74</v>
      </c>
      <c r="H278" s="28">
        <f t="array" ref="H278">INDEX(CC!C:C,MATCH(1,(CC!A:A=G278)*(CC!B:B=I278),0))</f>
        <v>1502</v>
      </c>
      <c r="I278" s="28" t="s">
        <v>25</v>
      </c>
      <c r="J278" s="31">
        <v>482.76</v>
      </c>
      <c r="K278" s="28" t="str">
        <f>IFERROR(__xludf.DUMMYFUNCTION("IFERROR(
INDEX(
FILTER(
MAP(
reglas!$B$2:$B$240,
reglas!$C$2:$C$240,
reglas!$D$2:$D$240,
reglas!$E$2:$E$240,
LAMBDA(rEmisor,rPatron,rConcepto,rTipo,
IF(
AND(
OR(
UPPER(TRIM(rEmisor))=UPPER(TRIM(C278)),
UPPER(TRIM(rEmisor))=""CUALQUIERA""
),
OR(
UPPER(TRIM"&amp;"(rTipo))=""SOLO EMISOR"",
AND(
UPPER(TRIM(rTipo))=""EXACTA"",
UPPER(TRIM(AG278))=UPPER(TRIM(rPatron))
),
AND(
OR(
UPPER(TRIM(rTipo))=""CONTIENE"",
UPPER(TRIM(rTipo))=""COINCIDENCIA""
),
ISNUMBER(SEARCH(UPPER(TRIM(rPatron)),UPPER(TRIM(D278))))
)
)
),
rConc"&amp;"epto,
""""
)
)
),
MAP(
reglas!$B$2:$B$240,
reglas!$C$2:$C$240,
reglas!$D$2:$D$240,
reglas!$E$2:$E$240,
LAMBDA(rEmisor,rPatron,rConcepto,rTipo,
IF(
AND(
OR(
UPPER(TRIM(rEmisor))=UPPER(TRIM(C278)),
UPPER(TRIM(rEmisor))=""CUALQUIERA""
),
OR(
UPPER(TRIM(rTipo"&amp;"))=""SOLO EMISOR"",
AND(
UPPER(TRIM(rTipo))=""EXACTA"",
UPPER(TRIM(D278))=UPPER(TRIM(rPatron))
),
AND(
OR(
UPPER(TRIM(rTipo))=""CONTIENE"",
UPPER(TRIM(rTipo))=""COINCIDENCIA""
),
ISNUMBER(SEARCH(UPPER(TRIM(rPatron)),UPPER(TRIM(D278))))
)
)
),
rConcepto,
"&amp;"""""
)
)
)&lt;&gt;""""
),
1
),
""""
)"),"PROTECCION CIVIL")</f>
        <v>PROTECCION CIVIL</v>
      </c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</row>
    <row r="279">
      <c r="A279" s="32"/>
      <c r="B279" s="32"/>
      <c r="C279" s="29" t="s">
        <v>1201</v>
      </c>
      <c r="D279" s="29" t="s">
        <v>1204</v>
      </c>
      <c r="E279" s="28">
        <v>827.59</v>
      </c>
      <c r="F279" s="28">
        <v>0.0</v>
      </c>
      <c r="G279" s="28" t="s">
        <v>74</v>
      </c>
      <c r="H279" s="28">
        <f t="array" ref="H279">INDEX(CC!C:C,MATCH(1,(CC!A:A=G279)*(CC!B:B=I279),0))</f>
        <v>1502</v>
      </c>
      <c r="I279" s="28" t="s">
        <v>25</v>
      </c>
      <c r="J279" s="31">
        <v>827.59</v>
      </c>
      <c r="K279" s="28" t="str">
        <f>IFERROR(__xludf.DUMMYFUNCTION("IFERROR(
INDEX(
FILTER(
MAP(
reglas!$B$2:$B$240,
reglas!$C$2:$C$240,
reglas!$D$2:$D$240,
reglas!$E$2:$E$240,
LAMBDA(rEmisor,rPatron,rConcepto,rTipo,
IF(
AND(
OR(
UPPER(TRIM(rEmisor))=UPPER(TRIM(C279)),
UPPER(TRIM(rEmisor))=""CUALQUIERA""
),
OR(
UPPER(TRIM"&amp;"(rTipo))=""SOLO EMISOR"",
AND(
UPPER(TRIM(rTipo))=""EXACTA"",
UPPER(TRIM(AG279))=UPPER(TRIM(rPatron))
),
AND(
OR(
UPPER(TRIM(rTipo))=""CONTIENE"",
UPPER(TRIM(rTipo))=""COINCIDENCIA""
),
ISNUMBER(SEARCH(UPPER(TRIM(rPatron)),UPPER(TRIM(D279))))
)
)
),
rConc"&amp;"epto,
""""
)
)
),
MAP(
reglas!$B$2:$B$240,
reglas!$C$2:$C$240,
reglas!$D$2:$D$240,
reglas!$E$2:$E$240,
LAMBDA(rEmisor,rPatron,rConcepto,rTipo,
IF(
AND(
OR(
UPPER(TRIM(rEmisor))=UPPER(TRIM(C279)),
UPPER(TRIM(rEmisor))=""CUALQUIERA""
),
OR(
UPPER(TRIM(rTipo"&amp;"))=""SOLO EMISOR"",
AND(
UPPER(TRIM(rTipo))=""EXACTA"",
UPPER(TRIM(D279))=UPPER(TRIM(rPatron))
),
AND(
OR(
UPPER(TRIM(rTipo))=""CONTIENE"",
UPPER(TRIM(rTipo))=""COINCIDENCIA""
),
ISNUMBER(SEARCH(UPPER(TRIM(rPatron)),UPPER(TRIM(D279))))
)
)
),
rConcepto,
"&amp;"""""
)
)
)&lt;&gt;""""
),
1
),
""""
)"),"PROTECCION CIVIL")</f>
        <v>PROTECCION CIVIL</v>
      </c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</row>
    <row r="280">
      <c r="A280" s="32"/>
      <c r="B280" s="28" t="s">
        <v>29</v>
      </c>
      <c r="C280" s="29" t="s">
        <v>1205</v>
      </c>
      <c r="D280" s="29" t="s">
        <v>1206</v>
      </c>
      <c r="E280" s="30">
        <v>27471.0</v>
      </c>
      <c r="F280" s="28">
        <v>0.0</v>
      </c>
      <c r="G280" s="28" t="s">
        <v>225</v>
      </c>
      <c r="H280" s="28">
        <f t="array" ref="H280">INDEX(CC!C:C,MATCH(1,(CC!A:A=G280)*(CC!B:B=I280),0))</f>
        <v>102</v>
      </c>
      <c r="I280" s="28" t="s">
        <v>25</v>
      </c>
      <c r="J280" s="65">
        <v>27471.0</v>
      </c>
      <c r="K280" s="28" t="str">
        <f>IFERROR(__xludf.DUMMYFUNCTION("IFERROR(
INDEX(
FILTER(
MAP(
reglas!$B$2:$B$240,
reglas!$C$2:$C$240,
reglas!$D$2:$D$240,
reglas!$E$2:$E$240,
LAMBDA(rEmisor,rPatron,rConcepto,rTipo,
IF(
AND(
OR(
UPPER(TRIM(rEmisor))=UPPER(TRIM(C280)),
UPPER(TRIM(rEmisor))=""CUALQUIERA""
),
OR(
UPPER(TRIM"&amp;"(rTipo))=""SOLO EMISOR"",
AND(
UPPER(TRIM(rTipo))=""EXACTA"",
UPPER(TRIM(AG280))=UPPER(TRIM(rPatron))
),
AND(
OR(
UPPER(TRIM(rTipo))=""CONTIENE"",
UPPER(TRIM(rTipo))=""COINCIDENCIA""
),
ISNUMBER(SEARCH(UPPER(TRIM(rPatron)),UPPER(TRIM(D280))))
)
)
),
rConc"&amp;"epto,
""""
)
)
),
MAP(
reglas!$B$2:$B$240,
reglas!$C$2:$C$240,
reglas!$D$2:$D$240,
reglas!$E$2:$E$240,
LAMBDA(rEmisor,rPatron,rConcepto,rTipo,
IF(
AND(
OR(
UPPER(TRIM(rEmisor))=UPPER(TRIM(C280)),
UPPER(TRIM(rEmisor))=""CUALQUIERA""
),
OR(
UPPER(TRIM(rTipo"&amp;"))=""SOLO EMISOR"",
AND(
UPPER(TRIM(rTipo))=""EXACTA"",
UPPER(TRIM(D280))=UPPER(TRIM(rPatron))
),
AND(
OR(
UPPER(TRIM(rTipo))=""CONTIENE"",
UPPER(TRIM(rTipo))=""COINCIDENCIA""
),
ISNUMBER(SEARCH(UPPER(TRIM(rPatron)),UPPER(TRIM(D280))))
)
)
),
rConcepto,
"&amp;"""""
)
)
)&lt;&gt;""""
),
1
),
""""
)"),"")</f>
        <v/>
      </c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</row>
    <row r="281">
      <c r="A281" s="32"/>
      <c r="B281" s="28" t="s">
        <v>29</v>
      </c>
      <c r="C281" s="29" t="s">
        <v>278</v>
      </c>
      <c r="D281" s="29" t="s">
        <v>560</v>
      </c>
      <c r="E281" s="30">
        <v>3500.0</v>
      </c>
      <c r="F281" s="28">
        <v>0.0</v>
      </c>
      <c r="G281" s="28" t="s">
        <v>250</v>
      </c>
      <c r="H281" s="28">
        <f t="array" ref="H281">INDEX(CC!C:C,MATCH(1,(CC!A:A=G281)*(CC!B:B=I281),0))</f>
        <v>1402</v>
      </c>
      <c r="I281" s="28" t="s">
        <v>25</v>
      </c>
      <c r="J281" s="31">
        <v>3500.0</v>
      </c>
      <c r="K281" s="28" t="str">
        <f>IFERROR(__xludf.DUMMYFUNCTION("IFERROR(
INDEX(
FILTER(
MAP(
reglas!$B$2:$B$240,
reglas!$C$2:$C$240,
reglas!$D$2:$D$240,
reglas!$E$2:$E$240,
LAMBDA(rEmisor,rPatron,rConcepto,rTipo,
IF(
AND(
OR(
UPPER(TRIM(rEmisor))=UPPER(TRIM(C281)),
UPPER(TRIM(rEmisor))=""CUALQUIERA""
),
OR(
UPPER(TRIM"&amp;"(rTipo))=""SOLO EMISOR"",
AND(
UPPER(TRIM(rTipo))=""EXACTA"",
UPPER(TRIM(AG281))=UPPER(TRIM(rPatron))
),
AND(
OR(
UPPER(TRIM(rTipo))=""CONTIENE"",
UPPER(TRIM(rTipo))=""COINCIDENCIA""
),
ISNUMBER(SEARCH(UPPER(TRIM(rPatron)),UPPER(TRIM(D281))))
)
)
),
rConc"&amp;"epto,
""""
)
)
),
MAP(
reglas!$B$2:$B$240,
reglas!$C$2:$C$240,
reglas!$D$2:$D$240,
reglas!$E$2:$E$240,
LAMBDA(rEmisor,rPatron,rConcepto,rTipo,
IF(
AND(
OR(
UPPER(TRIM(rEmisor))=UPPER(TRIM(C281)),
UPPER(TRIM(rEmisor))=""CUALQUIERA""
),
OR(
UPPER(TRIM(rTipo"&amp;"))=""SOLO EMISOR"",
AND(
UPPER(TRIM(rTipo))=""EXACTA"",
UPPER(TRIM(D281))=UPPER(TRIM(rPatron))
),
AND(
OR(
UPPER(TRIM(rTipo))=""CONTIENE"",
UPPER(TRIM(rTipo))=""COINCIDENCIA""
),
ISNUMBER(SEARCH(UPPER(TRIM(rPatron)),UPPER(TRIM(D281))))
)
)
),
rConcepto,
"&amp;"""""
)
)
)&lt;&gt;""""
),
1
),
""""
)"),"MANIOBRAS")</f>
        <v>MANIOBRAS</v>
      </c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</row>
    <row r="282">
      <c r="A282" s="28">
        <v>1.0</v>
      </c>
      <c r="B282" s="28" t="s">
        <v>29</v>
      </c>
      <c r="C282" s="29" t="s">
        <v>271</v>
      </c>
      <c r="D282" s="29" t="s">
        <v>589</v>
      </c>
      <c r="E282" s="28">
        <v>633.89</v>
      </c>
      <c r="F282" s="28">
        <v>0.0</v>
      </c>
      <c r="G282" s="28" t="s">
        <v>84</v>
      </c>
      <c r="H282" s="28">
        <f t="array" ref="H282">INDEX(CC!C:C,MATCH(1,(CC!A:A=G282)*(CC!B:B=I282),0))</f>
        <v>1002</v>
      </c>
      <c r="I282" s="28" t="s">
        <v>25</v>
      </c>
      <c r="J282" s="31">
        <v>633.89</v>
      </c>
      <c r="K282" s="28" t="str">
        <f>IFERROR(__xludf.DUMMYFUNCTION("IFERROR(
INDEX(
FILTER(
MAP(
reglas!$B$2:$B$240,
reglas!$C$2:$C$240,
reglas!$D$2:$D$240,
reglas!$E$2:$E$240,
LAMBDA(rEmisor,rPatron,rConcepto,rTipo,
IF(
AND(
OR(
UPPER(TRIM(rEmisor))=UPPER(TRIM(C282)),
UPPER(TRIM(rEmisor))=""CUALQUIERA""
),
OR(
UPPER(TRIM"&amp;"(rTipo))=""SOLO EMISOR"",
AND(
UPPER(TRIM(rTipo))=""EXACTA"",
UPPER(TRIM(AG282))=UPPER(TRIM(rPatron))
),
AND(
OR(
UPPER(TRIM(rTipo))=""CONTIENE"",
UPPER(TRIM(rTipo))=""COINCIDENCIA""
),
ISNUMBER(SEARCH(UPPER(TRIM(rPatron)),UPPER(TRIM(D282))))
)
)
),
rConc"&amp;"epto,
""""
)
)
),
MAP(
reglas!$B$2:$B$240,
reglas!$C$2:$C$240,
reglas!$D$2:$D$240,
reglas!$E$2:$E$240,
LAMBDA(rEmisor,rPatron,rConcepto,rTipo,
IF(
AND(
OR(
UPPER(TRIM(rEmisor))=UPPER(TRIM(C282)),
UPPER(TRIM(rEmisor))=""CUALQUIERA""
),
OR(
UPPER(TRIM(rTipo"&amp;"))=""SOLO EMISOR"",
AND(
UPPER(TRIM(rTipo))=""EXACTA"",
UPPER(TRIM(D282))=UPPER(TRIM(rPatron))
),
AND(
OR(
UPPER(TRIM(rTipo))=""CONTIENE"",
UPPER(TRIM(rTipo))=""COINCIDENCIA""
),
ISNUMBER(SEARCH(UPPER(TRIM(rPatron)),UPPER(TRIM(D282))))
)
)
),
rConcepto,
"&amp;"""""
)
)
)&lt;&gt;""""
),
1
),
""""
)"),"MANIOBRAS")</f>
        <v>MANIOBRAS</v>
      </c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</row>
    <row r="283">
      <c r="A283" s="28">
        <v>1.0</v>
      </c>
      <c r="B283" s="28" t="s">
        <v>29</v>
      </c>
      <c r="C283" s="29" t="s">
        <v>271</v>
      </c>
      <c r="D283" s="29" t="s">
        <v>587</v>
      </c>
      <c r="E283" s="28">
        <v>579.65</v>
      </c>
      <c r="F283" s="28">
        <v>0.0</v>
      </c>
      <c r="G283" s="28" t="s">
        <v>84</v>
      </c>
      <c r="H283" s="28">
        <f t="array" ref="H283">INDEX(CC!C:C,MATCH(1,(CC!A:A=G283)*(CC!B:B=I283),0))</f>
        <v>1002</v>
      </c>
      <c r="I283" s="28" t="s">
        <v>25</v>
      </c>
      <c r="J283" s="31">
        <v>579.65</v>
      </c>
      <c r="K283" s="28" t="str">
        <f>IFERROR(__xludf.DUMMYFUNCTION("IFERROR(
INDEX(
FILTER(
MAP(
reglas!$B$2:$B$240,
reglas!$C$2:$C$240,
reglas!$D$2:$D$240,
reglas!$E$2:$E$240,
LAMBDA(rEmisor,rPatron,rConcepto,rTipo,
IF(
AND(
OR(
UPPER(TRIM(rEmisor))=UPPER(TRIM(C283)),
UPPER(TRIM(rEmisor))=""CUALQUIERA""
),
OR(
UPPER(TRIM"&amp;"(rTipo))=""SOLO EMISOR"",
AND(
UPPER(TRIM(rTipo))=""EXACTA"",
UPPER(TRIM(AG283))=UPPER(TRIM(rPatron))
),
AND(
OR(
UPPER(TRIM(rTipo))=""CONTIENE"",
UPPER(TRIM(rTipo))=""COINCIDENCIA""
),
ISNUMBER(SEARCH(UPPER(TRIM(rPatron)),UPPER(TRIM(D283))))
)
)
),
rConc"&amp;"epto,
""""
)
)
),
MAP(
reglas!$B$2:$B$240,
reglas!$C$2:$C$240,
reglas!$D$2:$D$240,
reglas!$E$2:$E$240,
LAMBDA(rEmisor,rPatron,rConcepto,rTipo,
IF(
AND(
OR(
UPPER(TRIM(rEmisor))=UPPER(TRIM(C283)),
UPPER(TRIM(rEmisor))=""CUALQUIERA""
),
OR(
UPPER(TRIM(rTipo"&amp;"))=""SOLO EMISOR"",
AND(
UPPER(TRIM(rTipo))=""EXACTA"",
UPPER(TRIM(D283))=UPPER(TRIM(rPatron))
),
AND(
OR(
UPPER(TRIM(rTipo))=""CONTIENE"",
UPPER(TRIM(rTipo))=""COINCIDENCIA""
),
ISNUMBER(SEARCH(UPPER(TRIM(rPatron)),UPPER(TRIM(D283))))
)
)
),
rConcepto,
"&amp;"""""
)
)
)&lt;&gt;""""
),
1
),
""""
)"),"MANIOBRAS")</f>
        <v>MANIOBRAS</v>
      </c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</row>
    <row r="284">
      <c r="A284" s="32"/>
      <c r="B284" s="32"/>
      <c r="C284" s="29" t="s">
        <v>271</v>
      </c>
      <c r="D284" s="29" t="s">
        <v>589</v>
      </c>
      <c r="E284" s="28">
        <v>633.89</v>
      </c>
      <c r="F284" s="28">
        <v>0.0</v>
      </c>
      <c r="G284" s="28" t="s">
        <v>84</v>
      </c>
      <c r="H284" s="28">
        <f t="array" ref="H284">INDEX(CC!C:C,MATCH(1,(CC!A:A=G284)*(CC!B:B=I284),0))</f>
        <v>1002</v>
      </c>
      <c r="I284" s="28" t="s">
        <v>25</v>
      </c>
      <c r="J284" s="31">
        <v>633.89</v>
      </c>
      <c r="K284" s="28" t="str">
        <f>IFERROR(__xludf.DUMMYFUNCTION("IFERROR(
INDEX(
FILTER(
MAP(
reglas!$B$2:$B$240,
reglas!$C$2:$C$240,
reglas!$D$2:$D$240,
reglas!$E$2:$E$240,
LAMBDA(rEmisor,rPatron,rConcepto,rTipo,
IF(
AND(
OR(
UPPER(TRIM(rEmisor))=UPPER(TRIM(C284)),
UPPER(TRIM(rEmisor))=""CUALQUIERA""
),
OR(
UPPER(TRIM"&amp;"(rTipo))=""SOLO EMISOR"",
AND(
UPPER(TRIM(rTipo))=""EXACTA"",
UPPER(TRIM(AG284))=UPPER(TRIM(rPatron))
),
AND(
OR(
UPPER(TRIM(rTipo))=""CONTIENE"",
UPPER(TRIM(rTipo))=""COINCIDENCIA""
),
ISNUMBER(SEARCH(UPPER(TRIM(rPatron)),UPPER(TRIM(D284))))
)
)
),
rConc"&amp;"epto,
""""
)
)
),
MAP(
reglas!$B$2:$B$240,
reglas!$C$2:$C$240,
reglas!$D$2:$D$240,
reglas!$E$2:$E$240,
LAMBDA(rEmisor,rPatron,rConcepto,rTipo,
IF(
AND(
OR(
UPPER(TRIM(rEmisor))=UPPER(TRIM(C284)),
UPPER(TRIM(rEmisor))=""CUALQUIERA""
),
OR(
UPPER(TRIM(rTipo"&amp;"))=""SOLO EMISOR"",
AND(
UPPER(TRIM(rTipo))=""EXACTA"",
UPPER(TRIM(D284))=UPPER(TRIM(rPatron))
),
AND(
OR(
UPPER(TRIM(rTipo))=""CONTIENE"",
UPPER(TRIM(rTipo))=""COINCIDENCIA""
),
ISNUMBER(SEARCH(UPPER(TRIM(rPatron)),UPPER(TRIM(D284))))
)
)
),
rConcepto,
"&amp;"""""
)
)
)&lt;&gt;""""
),
1
),
""""
)"),"MANIOBRAS")</f>
        <v>MANIOBRAS</v>
      </c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</row>
    <row r="285">
      <c r="A285" s="32"/>
      <c r="B285" s="32"/>
      <c r="C285" s="29" t="s">
        <v>271</v>
      </c>
      <c r="D285" s="29" t="s">
        <v>596</v>
      </c>
      <c r="E285" s="28">
        <v>665.08</v>
      </c>
      <c r="F285" s="28">
        <v>0.0</v>
      </c>
      <c r="G285" s="28" t="s">
        <v>84</v>
      </c>
      <c r="H285" s="28">
        <f t="array" ref="H285">INDEX(CC!C:C,MATCH(1,(CC!A:A=G285)*(CC!B:B=I285),0))</f>
        <v>1002</v>
      </c>
      <c r="I285" s="28" t="s">
        <v>25</v>
      </c>
      <c r="J285" s="31">
        <v>665.08</v>
      </c>
      <c r="K285" s="28" t="str">
        <f>IFERROR(__xludf.DUMMYFUNCTION("IFERROR(
INDEX(
FILTER(
MAP(
reglas!$B$2:$B$240,
reglas!$C$2:$C$240,
reglas!$D$2:$D$240,
reglas!$E$2:$E$240,
LAMBDA(rEmisor,rPatron,rConcepto,rTipo,
IF(
AND(
OR(
UPPER(TRIM(rEmisor))=UPPER(TRIM(C285)),
UPPER(TRIM(rEmisor))=""CUALQUIERA""
),
OR(
UPPER(TRIM"&amp;"(rTipo))=""SOLO EMISOR"",
AND(
UPPER(TRIM(rTipo))=""EXACTA"",
UPPER(TRIM(AG285))=UPPER(TRIM(rPatron))
),
AND(
OR(
UPPER(TRIM(rTipo))=""CONTIENE"",
UPPER(TRIM(rTipo))=""COINCIDENCIA""
),
ISNUMBER(SEARCH(UPPER(TRIM(rPatron)),UPPER(TRIM(D285))))
)
)
),
rConc"&amp;"epto,
""""
)
)
),
MAP(
reglas!$B$2:$B$240,
reglas!$C$2:$C$240,
reglas!$D$2:$D$240,
reglas!$E$2:$E$240,
LAMBDA(rEmisor,rPatron,rConcepto,rTipo,
IF(
AND(
OR(
UPPER(TRIM(rEmisor))=UPPER(TRIM(C285)),
UPPER(TRIM(rEmisor))=""CUALQUIERA""
),
OR(
UPPER(TRIM(rTipo"&amp;"))=""SOLO EMISOR"",
AND(
UPPER(TRIM(rTipo))=""EXACTA"",
UPPER(TRIM(D285))=UPPER(TRIM(rPatron))
),
AND(
OR(
UPPER(TRIM(rTipo))=""CONTIENE"",
UPPER(TRIM(rTipo))=""COINCIDENCIA""
),
ISNUMBER(SEARCH(UPPER(TRIM(rPatron)),UPPER(TRIM(D285))))
)
)
),
rConcepto,
"&amp;"""""
)
)
)&lt;&gt;""""
),
1
),
""""
)"),"MANIOBRAS")</f>
        <v>MANIOBRAS</v>
      </c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</row>
    <row r="286">
      <c r="A286" s="32"/>
      <c r="B286" s="28" t="s">
        <v>29</v>
      </c>
      <c r="C286" s="29" t="s">
        <v>476</v>
      </c>
      <c r="D286" s="29" t="s">
        <v>1209</v>
      </c>
      <c r="E286" s="30">
        <v>2640.0</v>
      </c>
      <c r="F286" s="28">
        <v>0.0</v>
      </c>
      <c r="G286" s="28" t="s">
        <v>395</v>
      </c>
      <c r="H286" s="28">
        <f t="array" ref="H286">INDEX(CC!C:C,MATCH(1,(CC!A:A=G286)*(CC!B:B=I286),0))</f>
        <v>1103</v>
      </c>
      <c r="I286" s="28" t="s">
        <v>44</v>
      </c>
      <c r="J286" s="31">
        <v>2640.0</v>
      </c>
      <c r="K286" s="28" t="str">
        <f>IFERROR(__xludf.DUMMYFUNCTION("IFERROR(
INDEX(
FILTER(
MAP(
reglas!$B$2:$B$240,
reglas!$C$2:$C$240,
reglas!$D$2:$D$240,
reglas!$E$2:$E$240,
LAMBDA(rEmisor,rPatron,rConcepto,rTipo,
IF(
AND(
OR(
UPPER(TRIM(rEmisor))=UPPER(TRIM(C286)),
UPPER(TRIM(rEmisor))=""CUALQUIERA""
),
OR(
UPPER(TRIM"&amp;"(rTipo))=""SOLO EMISOR"",
AND(
UPPER(TRIM(rTipo))=""EXACTA"",
UPPER(TRIM(AG286))=UPPER(TRIM(rPatron))
),
AND(
OR(
UPPER(TRIM(rTipo))=""CONTIENE"",
UPPER(TRIM(rTipo))=""COINCIDENCIA""
),
ISNUMBER(SEARCH(UPPER(TRIM(rPatron)),UPPER(TRIM(D286))))
)
)
),
rConc"&amp;"epto,
""""
)
)
),
MAP(
reglas!$B$2:$B$240,
reglas!$C$2:$C$240,
reglas!$D$2:$D$240,
reglas!$E$2:$E$240,
LAMBDA(rEmisor,rPatron,rConcepto,rTipo,
IF(
AND(
OR(
UPPER(TRIM(rEmisor))=UPPER(TRIM(C286)),
UPPER(TRIM(rEmisor))=""CUALQUIERA""
),
OR(
UPPER(TRIM(rTipo"&amp;"))=""SOLO EMISOR"",
AND(
UPPER(TRIM(rTipo))=""EXACTA"",
UPPER(TRIM(D286))=UPPER(TRIM(rPatron))
),
AND(
OR(
UPPER(TRIM(rTipo))=""CONTIENE"",
UPPER(TRIM(rTipo))=""COINCIDENCIA""
),
ISNUMBER(SEARCH(UPPER(TRIM(rPatron)),UPPER(TRIM(D286))))
)
)
),
rConcepto,
"&amp;"""""
)
)
)&lt;&gt;""""
),
1
),
""""
)"),"MANIOBRAS")</f>
        <v>MANIOBRAS</v>
      </c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</row>
    <row r="287">
      <c r="A287" s="28">
        <v>1.0</v>
      </c>
      <c r="B287" s="28" t="s">
        <v>29</v>
      </c>
      <c r="C287" s="29" t="s">
        <v>89</v>
      </c>
      <c r="D287" s="29" t="s">
        <v>91</v>
      </c>
      <c r="E287" s="30">
        <v>1283.04</v>
      </c>
      <c r="F287" s="28">
        <v>0.0</v>
      </c>
      <c r="G287" s="28" t="s">
        <v>601</v>
      </c>
      <c r="H287" s="28">
        <f t="array" ref="H287">INDEX(CC!C:C,MATCH(1,(CC!A:A=G287)*(CC!B:B=I287),0))</f>
        <v>403</v>
      </c>
      <c r="I287" s="28" t="s">
        <v>44</v>
      </c>
      <c r="J287" s="31">
        <v>1283.04</v>
      </c>
      <c r="K287" s="28" t="str">
        <f>IFERROR(__xludf.DUMMYFUNCTION("IFERROR(
INDEX(
FILTER(
MAP(
reglas!$B$2:$B$240,
reglas!$C$2:$C$240,
reglas!$D$2:$D$240,
reglas!$E$2:$E$240,
LAMBDA(rEmisor,rPatron,rConcepto,rTipo,
IF(
AND(
OR(
UPPER(TRIM(rEmisor))=UPPER(TRIM(C287)),
UPPER(TRIM(rEmisor))=""CUALQUIERA""
),
OR(
UPPER(TRIM"&amp;"(rTipo))=""SOLO EMISOR"",
AND(
UPPER(TRIM(rTipo))=""EXACTA"",
UPPER(TRIM(AG287))=UPPER(TRIM(rPatron))
),
AND(
OR(
UPPER(TRIM(rTipo))=""CONTIENE"",
UPPER(TRIM(rTipo))=""COINCIDENCIA""
),
ISNUMBER(SEARCH(UPPER(TRIM(rPatron)),UPPER(TRIM(D287))))
)
)
),
rConc"&amp;"epto,
""""
)
)
),
MAP(
reglas!$B$2:$B$240,
reglas!$C$2:$C$240,
reglas!$D$2:$D$240,
reglas!$E$2:$E$240,
LAMBDA(rEmisor,rPatron,rConcepto,rTipo,
IF(
AND(
OR(
UPPER(TRIM(rEmisor))=UPPER(TRIM(C287)),
UPPER(TRIM(rEmisor))=""CUALQUIERA""
),
OR(
UPPER(TRIM(rTipo"&amp;"))=""SOLO EMISOR"",
AND(
UPPER(TRIM(rTipo))=""EXACTA"",
UPPER(TRIM(D287))=UPPER(TRIM(rPatron))
),
AND(
OR(
UPPER(TRIM(rTipo))=""CONTIENE"",
UPPER(TRIM(rTipo))=""COINCIDENCIA""
),
ISNUMBER(SEARCH(UPPER(TRIM(rPatron)),UPPER(TRIM(D287))))
)
)
),
rConcepto,
"&amp;"""""
)
)
)&lt;&gt;""""
),
1
),
""""
)"),"MANIOBRAS")</f>
        <v>MANIOBRAS</v>
      </c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</row>
    <row r="288">
      <c r="A288" s="28">
        <v>1.0</v>
      </c>
      <c r="B288" s="28" t="s">
        <v>29</v>
      </c>
      <c r="C288" s="29" t="s">
        <v>120</v>
      </c>
      <c r="D288" s="29" t="s">
        <v>127</v>
      </c>
      <c r="E288" s="30">
        <v>1680.0</v>
      </c>
      <c r="F288" s="28">
        <v>0.0</v>
      </c>
      <c r="G288" s="28" t="s">
        <v>551</v>
      </c>
      <c r="H288" s="28">
        <f t="array" ref="H288">INDEX(CC!C:C,MATCH(1,(CC!A:A=G288)*(CC!B:B=I288),0))</f>
        <v>1202</v>
      </c>
      <c r="I288" s="28" t="s">
        <v>25</v>
      </c>
      <c r="J288" s="31">
        <v>1680.0</v>
      </c>
      <c r="K288" s="28" t="str">
        <f>IFERROR(__xludf.DUMMYFUNCTION("IFERROR(
INDEX(
FILTER(
MAP(
reglas!$B$2:$B$240,
reglas!$C$2:$C$240,
reglas!$D$2:$D$240,
reglas!$E$2:$E$240,
LAMBDA(rEmisor,rPatron,rConcepto,rTipo,
IF(
AND(
OR(
UPPER(TRIM(rEmisor))=UPPER(TRIM(C288)),
UPPER(TRIM(rEmisor))=""CUALQUIERA""
),
OR(
UPPER(TRIM"&amp;"(rTipo))=""SOLO EMISOR"",
AND(
UPPER(TRIM(rTipo))=""EXACTA"",
UPPER(TRIM(AG288))=UPPER(TRIM(rPatron))
),
AND(
OR(
UPPER(TRIM(rTipo))=""CONTIENE"",
UPPER(TRIM(rTipo))=""COINCIDENCIA""
),
ISNUMBER(SEARCH(UPPER(TRIM(rPatron)),UPPER(TRIM(D288))))
)
)
),
rConc"&amp;"epto,
""""
)
)
),
MAP(
reglas!$B$2:$B$240,
reglas!$C$2:$C$240,
reglas!$D$2:$D$240,
reglas!$E$2:$E$240,
LAMBDA(rEmisor,rPatron,rConcepto,rTipo,
IF(
AND(
OR(
UPPER(TRIM(rEmisor))=UPPER(TRIM(C288)),
UPPER(TRIM(rEmisor))=""CUALQUIERA""
),
OR(
UPPER(TRIM(rTipo"&amp;"))=""SOLO EMISOR"",
AND(
UPPER(TRIM(rTipo))=""EXACTA"",
UPPER(TRIM(D288))=UPPER(TRIM(rPatron))
),
AND(
OR(
UPPER(TRIM(rTipo))=""CONTIENE"",
UPPER(TRIM(rTipo))=""COINCIDENCIA""
),
ISNUMBER(SEARCH(UPPER(TRIM(rPatron)),UPPER(TRIM(D288))))
)
)
),
rConcepto,
"&amp;"""""
)
)
)&lt;&gt;""""
),
1
),
""""
)"),"VALIDACION")</f>
        <v>VALIDACION</v>
      </c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</row>
    <row r="289">
      <c r="A289" s="28">
        <v>1.0</v>
      </c>
      <c r="B289" s="28" t="s">
        <v>29</v>
      </c>
      <c r="C289" s="29" t="s">
        <v>375</v>
      </c>
      <c r="D289" s="29" t="s">
        <v>376</v>
      </c>
      <c r="E289" s="28">
        <v>599.5</v>
      </c>
      <c r="F289" s="28">
        <v>0.0</v>
      </c>
      <c r="G289" s="28" t="s">
        <v>551</v>
      </c>
      <c r="H289" s="28">
        <f t="array" ref="H289">INDEX(CC!C:C,MATCH(1,(CC!A:A=G289)*(CC!B:B=I289),0))</f>
        <v>1202</v>
      </c>
      <c r="I289" s="28" t="s">
        <v>25</v>
      </c>
      <c r="J289" s="31">
        <v>599.5</v>
      </c>
      <c r="K289" s="28" t="str">
        <f>IFERROR(__xludf.DUMMYFUNCTION("IFERROR(
INDEX(
FILTER(
MAP(
reglas!$B$2:$B$240,
reglas!$C$2:$C$240,
reglas!$D$2:$D$240,
reglas!$E$2:$E$240,
LAMBDA(rEmisor,rPatron,rConcepto,rTipo,
IF(
AND(
OR(
UPPER(TRIM(rEmisor))=UPPER(TRIM(C289)),
UPPER(TRIM(rEmisor))=""CUALQUIERA""
),
OR(
UPPER(TRIM"&amp;"(rTipo))=""SOLO EMISOR"",
AND(
UPPER(TRIM(rTipo))=""EXACTA"",
UPPER(TRIM(AG289))=UPPER(TRIM(rPatron))
),
AND(
OR(
UPPER(TRIM(rTipo))=""CONTIENE"",
UPPER(TRIM(rTipo))=""COINCIDENCIA""
),
ISNUMBER(SEARCH(UPPER(TRIM(rPatron)),UPPER(TRIM(D289))))
)
)
),
rConc"&amp;"epto,
""""
)
)
),
MAP(
reglas!$B$2:$B$240,
reglas!$C$2:$C$240,
reglas!$D$2:$D$240,
reglas!$E$2:$E$240,
LAMBDA(rEmisor,rPatron,rConcepto,rTipo,
IF(
AND(
OR(
UPPER(TRIM(rEmisor))=UPPER(TRIM(C289)),
UPPER(TRIM(rEmisor))=""CUALQUIERA""
),
OR(
UPPER(TRIM(rTipo"&amp;"))=""SOLO EMISOR"",
AND(
UPPER(TRIM(rTipo))=""EXACTA"",
UPPER(TRIM(D289))=UPPER(TRIM(rPatron))
),
AND(
OR(
UPPER(TRIM(rTipo))=""CONTIENE"",
UPPER(TRIM(rTipo))=""COINCIDENCIA""
),
ISNUMBER(SEARCH(UPPER(TRIM(rPatron)),UPPER(TRIM(D289))))
)
)
),
rConcepto,
"&amp;"""""
)
)
)&lt;&gt;""""
),
1
),
""""
)"),"MANIOBRAS")</f>
        <v>MANIOBRAS</v>
      </c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</row>
    <row r="290">
      <c r="A290" s="32"/>
      <c r="B290" s="32"/>
      <c r="C290" s="29" t="s">
        <v>375</v>
      </c>
      <c r="D290" s="29" t="s">
        <v>377</v>
      </c>
      <c r="E290" s="30">
        <v>6288.21</v>
      </c>
      <c r="F290" s="28">
        <v>0.0</v>
      </c>
      <c r="G290" s="28" t="s">
        <v>551</v>
      </c>
      <c r="H290" s="28">
        <f t="array" ref="H290">INDEX(CC!C:C,MATCH(1,(CC!A:A=G290)*(CC!B:B=I290),0))</f>
        <v>1202</v>
      </c>
      <c r="I290" s="28" t="s">
        <v>25</v>
      </c>
      <c r="J290" s="31">
        <v>6288.21</v>
      </c>
      <c r="K290" s="28" t="str">
        <f>IFERROR(__xludf.DUMMYFUNCTION("IFERROR(
INDEX(
FILTER(
MAP(
reglas!$B$2:$B$240,
reglas!$C$2:$C$240,
reglas!$D$2:$D$240,
reglas!$E$2:$E$240,
LAMBDA(rEmisor,rPatron,rConcepto,rTipo,
IF(
AND(
OR(
UPPER(TRIM(rEmisor))=UPPER(TRIM(C290)),
UPPER(TRIM(rEmisor))=""CUALQUIERA""
),
OR(
UPPER(TRIM"&amp;"(rTipo))=""SOLO EMISOR"",
AND(
UPPER(TRIM(rTipo))=""EXACTA"",
UPPER(TRIM(AG290))=UPPER(TRIM(rPatron))
),
AND(
OR(
UPPER(TRIM(rTipo))=""CONTIENE"",
UPPER(TRIM(rTipo))=""COINCIDENCIA""
),
ISNUMBER(SEARCH(UPPER(TRIM(rPatron)),UPPER(TRIM(D290))))
)
)
),
rConc"&amp;"epto,
""""
)
)
),
MAP(
reglas!$B$2:$B$240,
reglas!$C$2:$C$240,
reglas!$D$2:$D$240,
reglas!$E$2:$E$240,
LAMBDA(rEmisor,rPatron,rConcepto,rTipo,
IF(
AND(
OR(
UPPER(TRIM(rEmisor))=UPPER(TRIM(C290)),
UPPER(TRIM(rEmisor))=""CUALQUIERA""
),
OR(
UPPER(TRIM(rTipo"&amp;"))=""SOLO EMISOR"",
AND(
UPPER(TRIM(rTipo))=""EXACTA"",
UPPER(TRIM(D290))=UPPER(TRIM(rPatron))
),
AND(
OR(
UPPER(TRIM(rTipo))=""CONTIENE"",
UPPER(TRIM(rTipo))=""COINCIDENCIA""
),
ISNUMBER(SEARCH(UPPER(TRIM(rPatron)),UPPER(TRIM(D290))))
)
)
),
rConcepto,
"&amp;"""""
)
)
)&lt;&gt;""""
),
1
),
""""
)"),"MANIOBRAS")</f>
        <v>MANIOBRAS</v>
      </c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</row>
    <row r="291">
      <c r="A291" s="28">
        <v>1.0</v>
      </c>
      <c r="B291" s="28" t="s">
        <v>29</v>
      </c>
      <c r="C291" s="29" t="s">
        <v>375</v>
      </c>
      <c r="D291" s="29" t="s">
        <v>381</v>
      </c>
      <c r="E291" s="30">
        <v>1491.99</v>
      </c>
      <c r="F291" s="28">
        <v>0.0</v>
      </c>
      <c r="G291" s="28" t="s">
        <v>551</v>
      </c>
      <c r="H291" s="28">
        <f t="array" ref="H291">INDEX(CC!C:C,MATCH(1,(CC!A:A=G291)*(CC!B:B=I291),0))</f>
        <v>1202</v>
      </c>
      <c r="I291" s="28" t="s">
        <v>25</v>
      </c>
      <c r="J291" s="31">
        <v>1491.99</v>
      </c>
      <c r="K291" s="28" t="str">
        <f>IFERROR(__xludf.DUMMYFUNCTION("IFERROR(
INDEX(
FILTER(
MAP(
reglas!$B$2:$B$240,
reglas!$C$2:$C$240,
reglas!$D$2:$D$240,
reglas!$E$2:$E$240,
LAMBDA(rEmisor,rPatron,rConcepto,rTipo,
IF(
AND(
OR(
UPPER(TRIM(rEmisor))=UPPER(TRIM(C291)),
UPPER(TRIM(rEmisor))=""CUALQUIERA""
),
OR(
UPPER(TRIM"&amp;"(rTipo))=""SOLO EMISOR"",
AND(
UPPER(TRIM(rTipo))=""EXACTA"",
UPPER(TRIM(AG291))=UPPER(TRIM(rPatron))
),
AND(
OR(
UPPER(TRIM(rTipo))=""CONTIENE"",
UPPER(TRIM(rTipo))=""COINCIDENCIA""
),
ISNUMBER(SEARCH(UPPER(TRIM(rPatron)),UPPER(TRIM(D291))))
)
)
),
rConc"&amp;"epto,
""""
)
)
),
MAP(
reglas!$B$2:$B$240,
reglas!$C$2:$C$240,
reglas!$D$2:$D$240,
reglas!$E$2:$E$240,
LAMBDA(rEmisor,rPatron,rConcepto,rTipo,
IF(
AND(
OR(
UPPER(TRIM(rEmisor))=UPPER(TRIM(C291)),
UPPER(TRIM(rEmisor))=""CUALQUIERA""
),
OR(
UPPER(TRIM(rTipo"&amp;"))=""SOLO EMISOR"",
AND(
UPPER(TRIM(rTipo))=""EXACTA"",
UPPER(TRIM(D291))=UPPER(TRIM(rPatron))
),
AND(
OR(
UPPER(TRIM(rTipo))=""CONTIENE"",
UPPER(TRIM(rTipo))=""COINCIDENCIA""
),
ISNUMBER(SEARCH(UPPER(TRIM(rPatron)),UPPER(TRIM(D291))))
)
)
),
rConcepto,
"&amp;"""""
)
)
)&lt;&gt;""""
),
1
),
""""
)"),"MANIOBRAS")</f>
        <v>MANIOBRAS</v>
      </c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</row>
    <row r="292">
      <c r="A292" s="32"/>
      <c r="B292" s="32"/>
      <c r="C292" s="29" t="s">
        <v>375</v>
      </c>
      <c r="D292" s="29" t="s">
        <v>383</v>
      </c>
      <c r="E292" s="30">
        <v>6288.21</v>
      </c>
      <c r="F292" s="28">
        <v>0.0</v>
      </c>
      <c r="G292" s="28" t="s">
        <v>551</v>
      </c>
      <c r="H292" s="28">
        <f t="array" ref="H292">INDEX(CC!C:C,MATCH(1,(CC!A:A=G292)*(CC!B:B=I292),0))</f>
        <v>1202</v>
      </c>
      <c r="I292" s="28" t="s">
        <v>25</v>
      </c>
      <c r="J292" s="31">
        <v>6288.21</v>
      </c>
      <c r="K292" s="28" t="str">
        <f>IFERROR(__xludf.DUMMYFUNCTION("IFERROR(
INDEX(
FILTER(
MAP(
reglas!$B$2:$B$240,
reglas!$C$2:$C$240,
reglas!$D$2:$D$240,
reglas!$E$2:$E$240,
LAMBDA(rEmisor,rPatron,rConcepto,rTipo,
IF(
AND(
OR(
UPPER(TRIM(rEmisor))=UPPER(TRIM(C292)),
UPPER(TRIM(rEmisor))=""CUALQUIERA""
),
OR(
UPPER(TRIM"&amp;"(rTipo))=""SOLO EMISOR"",
AND(
UPPER(TRIM(rTipo))=""EXACTA"",
UPPER(TRIM(AG292))=UPPER(TRIM(rPatron))
),
AND(
OR(
UPPER(TRIM(rTipo))=""CONTIENE"",
UPPER(TRIM(rTipo))=""COINCIDENCIA""
),
ISNUMBER(SEARCH(UPPER(TRIM(rPatron)),UPPER(TRIM(D292))))
)
)
),
rConc"&amp;"epto,
""""
)
)
),
MAP(
reglas!$B$2:$B$240,
reglas!$C$2:$C$240,
reglas!$D$2:$D$240,
reglas!$E$2:$E$240,
LAMBDA(rEmisor,rPatron,rConcepto,rTipo,
IF(
AND(
OR(
UPPER(TRIM(rEmisor))=UPPER(TRIM(C292)),
UPPER(TRIM(rEmisor))=""CUALQUIERA""
),
OR(
UPPER(TRIM(rTipo"&amp;"))=""SOLO EMISOR"",
AND(
UPPER(TRIM(rTipo))=""EXACTA"",
UPPER(TRIM(D292))=UPPER(TRIM(rPatron))
),
AND(
OR(
UPPER(TRIM(rTipo))=""CONTIENE"",
UPPER(TRIM(rTipo))=""COINCIDENCIA""
),
ISNUMBER(SEARCH(UPPER(TRIM(rPatron)),UPPER(TRIM(D292))))
)
)
),
rConcepto,
"&amp;"""""
)
)
)&lt;&gt;""""
),
1
),
""""
)"),"MANIOBRAS")</f>
        <v>MANIOBRAS</v>
      </c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</row>
    <row r="293">
      <c r="A293" s="32"/>
      <c r="B293" s="28" t="s">
        <v>29</v>
      </c>
      <c r="C293" s="29" t="s">
        <v>172</v>
      </c>
      <c r="D293" s="29" t="s">
        <v>1212</v>
      </c>
      <c r="E293" s="30">
        <v>11500.0</v>
      </c>
      <c r="F293" s="28">
        <v>0.0</v>
      </c>
      <c r="G293" s="28" t="s">
        <v>250</v>
      </c>
      <c r="H293" s="28">
        <f t="array" ref="H293">INDEX(CC!C:C,MATCH(1,(CC!A:A=G293)*(CC!B:B=I293),0))</f>
        <v>1402</v>
      </c>
      <c r="I293" s="28" t="s">
        <v>25</v>
      </c>
      <c r="J293" s="31">
        <v>11500.0</v>
      </c>
      <c r="K293" s="28" t="str">
        <f>IFERROR(__xludf.DUMMYFUNCTION("IFERROR(
INDEX(
FILTER(
MAP(
reglas!$B$2:$B$240,
reglas!$C$2:$C$240,
reglas!$D$2:$D$240,
reglas!$E$2:$E$240,
LAMBDA(rEmisor,rPatron,rConcepto,rTipo,
IF(
AND(
OR(
UPPER(TRIM(rEmisor))=UPPER(TRIM(C293)),
UPPER(TRIM(rEmisor))=""CUALQUIERA""
),
OR(
UPPER(TRIM"&amp;"(rTipo))=""SOLO EMISOR"",
AND(
UPPER(TRIM(rTipo))=""EXACTA"",
UPPER(TRIM(AG293))=UPPER(TRIM(rPatron))
),
AND(
OR(
UPPER(TRIM(rTipo))=""CONTIENE"",
UPPER(TRIM(rTipo))=""COINCIDENCIA""
),
ISNUMBER(SEARCH(UPPER(TRIM(rPatron)),UPPER(TRIM(D293))))
)
)
),
rConc"&amp;"epto,
""""
)
)
),
MAP(
reglas!$B$2:$B$240,
reglas!$C$2:$C$240,
reglas!$D$2:$D$240,
reglas!$E$2:$E$240,
LAMBDA(rEmisor,rPatron,rConcepto,rTipo,
IF(
AND(
OR(
UPPER(TRIM(rEmisor))=UPPER(TRIM(C293)),
UPPER(TRIM(rEmisor))=""CUALQUIERA""
),
OR(
UPPER(TRIM(rTipo"&amp;"))=""SOLO EMISOR"",
AND(
UPPER(TRIM(rTipo))=""EXACTA"",
UPPER(TRIM(D293))=UPPER(TRIM(rPatron))
),
AND(
OR(
UPPER(TRIM(rTipo))=""CONTIENE"",
UPPER(TRIM(rTipo))=""COINCIDENCIA""
),
ISNUMBER(SEARCH(UPPER(TRIM(rPatron)),UPPER(TRIM(D293))))
)
)
),
rConcepto,
"&amp;"""""
)
)
)&lt;&gt;""""
),
1
),
""""
)"),"TRANSPORTE")</f>
        <v>TRANSPORTE</v>
      </c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</row>
    <row r="294">
      <c r="A294" s="32"/>
      <c r="B294" s="28" t="s">
        <v>29</v>
      </c>
      <c r="C294" s="29" t="s">
        <v>278</v>
      </c>
      <c r="D294" s="29" t="s">
        <v>560</v>
      </c>
      <c r="E294" s="30">
        <v>3500.0</v>
      </c>
      <c r="F294" s="28">
        <v>0.0</v>
      </c>
      <c r="G294" s="28" t="s">
        <v>250</v>
      </c>
      <c r="H294" s="28">
        <f t="array" ref="H294">INDEX(CC!C:C,MATCH(1,(CC!A:A=G294)*(CC!B:B=I294),0))</f>
        <v>1402</v>
      </c>
      <c r="I294" s="28" t="s">
        <v>25</v>
      </c>
      <c r="J294" s="31">
        <v>3500.0</v>
      </c>
      <c r="K294" s="28" t="str">
        <f>IFERROR(__xludf.DUMMYFUNCTION("IFERROR(
INDEX(
FILTER(
MAP(
reglas!$B$2:$B$240,
reglas!$C$2:$C$240,
reglas!$D$2:$D$240,
reglas!$E$2:$E$240,
LAMBDA(rEmisor,rPatron,rConcepto,rTipo,
IF(
AND(
OR(
UPPER(TRIM(rEmisor))=UPPER(TRIM(C294)),
UPPER(TRIM(rEmisor))=""CUALQUIERA""
),
OR(
UPPER(TRIM"&amp;"(rTipo))=""SOLO EMISOR"",
AND(
UPPER(TRIM(rTipo))=""EXACTA"",
UPPER(TRIM(AG294))=UPPER(TRIM(rPatron))
),
AND(
OR(
UPPER(TRIM(rTipo))=""CONTIENE"",
UPPER(TRIM(rTipo))=""COINCIDENCIA""
),
ISNUMBER(SEARCH(UPPER(TRIM(rPatron)),UPPER(TRIM(D294))))
)
)
),
rConc"&amp;"epto,
""""
)
)
),
MAP(
reglas!$B$2:$B$240,
reglas!$C$2:$C$240,
reglas!$D$2:$D$240,
reglas!$E$2:$E$240,
LAMBDA(rEmisor,rPatron,rConcepto,rTipo,
IF(
AND(
OR(
UPPER(TRIM(rEmisor))=UPPER(TRIM(C294)),
UPPER(TRIM(rEmisor))=""CUALQUIERA""
),
OR(
UPPER(TRIM(rTipo"&amp;"))=""SOLO EMISOR"",
AND(
UPPER(TRIM(rTipo))=""EXACTA"",
UPPER(TRIM(D294))=UPPER(TRIM(rPatron))
),
AND(
OR(
UPPER(TRIM(rTipo))=""CONTIENE"",
UPPER(TRIM(rTipo))=""COINCIDENCIA""
),
ISNUMBER(SEARCH(UPPER(TRIM(rPatron)),UPPER(TRIM(D294))))
)
)
),
rConcepto,
"&amp;"""""
)
)
)&lt;&gt;""""
),
1
),
""""
)"),"MANIOBRAS")</f>
        <v>MANIOBRAS</v>
      </c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</row>
    <row r="295">
      <c r="A295" s="28">
        <v>1.0</v>
      </c>
      <c r="B295" s="28" t="s">
        <v>29</v>
      </c>
      <c r="C295" s="29" t="s">
        <v>271</v>
      </c>
      <c r="D295" s="29" t="s">
        <v>589</v>
      </c>
      <c r="E295" s="28">
        <v>633.89</v>
      </c>
      <c r="F295" s="28">
        <v>0.0</v>
      </c>
      <c r="G295" s="28" t="s">
        <v>84</v>
      </c>
      <c r="H295" s="28">
        <f t="array" ref="H295">INDEX(CC!C:C,MATCH(1,(CC!A:A=G295)*(CC!B:B=I295),0))</f>
        <v>1002</v>
      </c>
      <c r="I295" s="28" t="s">
        <v>25</v>
      </c>
      <c r="J295" s="31">
        <v>633.89</v>
      </c>
      <c r="K295" s="28" t="str">
        <f>IFERROR(__xludf.DUMMYFUNCTION("IFERROR(
INDEX(
FILTER(
MAP(
reglas!$B$2:$B$240,
reglas!$C$2:$C$240,
reglas!$D$2:$D$240,
reglas!$E$2:$E$240,
LAMBDA(rEmisor,rPatron,rConcepto,rTipo,
IF(
AND(
OR(
UPPER(TRIM(rEmisor))=UPPER(TRIM(C295)),
UPPER(TRIM(rEmisor))=""CUALQUIERA""
),
OR(
UPPER(TRIM"&amp;"(rTipo))=""SOLO EMISOR"",
AND(
UPPER(TRIM(rTipo))=""EXACTA"",
UPPER(TRIM(AG295))=UPPER(TRIM(rPatron))
),
AND(
OR(
UPPER(TRIM(rTipo))=""CONTIENE"",
UPPER(TRIM(rTipo))=""COINCIDENCIA""
),
ISNUMBER(SEARCH(UPPER(TRIM(rPatron)),UPPER(TRIM(D295))))
)
)
),
rConc"&amp;"epto,
""""
)
)
),
MAP(
reglas!$B$2:$B$240,
reglas!$C$2:$C$240,
reglas!$D$2:$D$240,
reglas!$E$2:$E$240,
LAMBDA(rEmisor,rPatron,rConcepto,rTipo,
IF(
AND(
OR(
UPPER(TRIM(rEmisor))=UPPER(TRIM(C295)),
UPPER(TRIM(rEmisor))=""CUALQUIERA""
),
OR(
UPPER(TRIM(rTipo"&amp;"))=""SOLO EMISOR"",
AND(
UPPER(TRIM(rTipo))=""EXACTA"",
UPPER(TRIM(D295))=UPPER(TRIM(rPatron))
),
AND(
OR(
UPPER(TRIM(rTipo))=""CONTIENE"",
UPPER(TRIM(rTipo))=""COINCIDENCIA""
),
ISNUMBER(SEARCH(UPPER(TRIM(rPatron)),UPPER(TRIM(D295))))
)
)
),
rConcepto,
"&amp;"""""
)
)
)&lt;&gt;""""
),
1
),
""""
)"),"MANIOBRAS")</f>
        <v>MANIOBRAS</v>
      </c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</row>
    <row r="296">
      <c r="A296" s="28">
        <v>1.0</v>
      </c>
      <c r="B296" s="28" t="s">
        <v>29</v>
      </c>
      <c r="C296" s="29" t="s">
        <v>271</v>
      </c>
      <c r="D296" s="29" t="s">
        <v>587</v>
      </c>
      <c r="E296" s="28">
        <v>579.65</v>
      </c>
      <c r="F296" s="28">
        <v>0.0</v>
      </c>
      <c r="G296" s="28" t="s">
        <v>84</v>
      </c>
      <c r="H296" s="28">
        <f t="array" ref="H296">INDEX(CC!C:C,MATCH(1,(CC!A:A=G296)*(CC!B:B=I296),0))</f>
        <v>1002</v>
      </c>
      <c r="I296" s="28" t="s">
        <v>25</v>
      </c>
      <c r="J296" s="31">
        <v>579.65</v>
      </c>
      <c r="K296" s="28" t="str">
        <f>IFERROR(__xludf.DUMMYFUNCTION("IFERROR(
INDEX(
FILTER(
MAP(
reglas!$B$2:$B$240,
reglas!$C$2:$C$240,
reglas!$D$2:$D$240,
reglas!$E$2:$E$240,
LAMBDA(rEmisor,rPatron,rConcepto,rTipo,
IF(
AND(
OR(
UPPER(TRIM(rEmisor))=UPPER(TRIM(C296)),
UPPER(TRIM(rEmisor))=""CUALQUIERA""
),
OR(
UPPER(TRIM"&amp;"(rTipo))=""SOLO EMISOR"",
AND(
UPPER(TRIM(rTipo))=""EXACTA"",
UPPER(TRIM(AG296))=UPPER(TRIM(rPatron))
),
AND(
OR(
UPPER(TRIM(rTipo))=""CONTIENE"",
UPPER(TRIM(rTipo))=""COINCIDENCIA""
),
ISNUMBER(SEARCH(UPPER(TRIM(rPatron)),UPPER(TRIM(D296))))
)
)
),
rConc"&amp;"epto,
""""
)
)
),
MAP(
reglas!$B$2:$B$240,
reglas!$C$2:$C$240,
reglas!$D$2:$D$240,
reglas!$E$2:$E$240,
LAMBDA(rEmisor,rPatron,rConcepto,rTipo,
IF(
AND(
OR(
UPPER(TRIM(rEmisor))=UPPER(TRIM(C296)),
UPPER(TRIM(rEmisor))=""CUALQUIERA""
),
OR(
UPPER(TRIM(rTipo"&amp;"))=""SOLO EMISOR"",
AND(
UPPER(TRIM(rTipo))=""EXACTA"",
UPPER(TRIM(D296))=UPPER(TRIM(rPatron))
),
AND(
OR(
UPPER(TRIM(rTipo))=""CONTIENE"",
UPPER(TRIM(rTipo))=""COINCIDENCIA""
),
ISNUMBER(SEARCH(UPPER(TRIM(rPatron)),UPPER(TRIM(D296))))
)
)
),
rConcepto,
"&amp;"""""
)
)
)&lt;&gt;""""
),
1
),
""""
)"),"MANIOBRAS")</f>
        <v>MANIOBRAS</v>
      </c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</row>
    <row r="297">
      <c r="A297" s="32"/>
      <c r="B297" s="32"/>
      <c r="C297" s="29" t="s">
        <v>271</v>
      </c>
      <c r="D297" s="29" t="s">
        <v>586</v>
      </c>
      <c r="E297" s="28">
        <v>633.89</v>
      </c>
      <c r="F297" s="28">
        <v>0.0</v>
      </c>
      <c r="G297" s="28" t="s">
        <v>84</v>
      </c>
      <c r="H297" s="28">
        <f t="array" ref="H297">INDEX(CC!C:C,MATCH(1,(CC!A:A=G297)*(CC!B:B=I297),0))</f>
        <v>1002</v>
      </c>
      <c r="I297" s="28" t="s">
        <v>25</v>
      </c>
      <c r="J297" s="31">
        <v>633.89</v>
      </c>
      <c r="K297" s="28" t="str">
        <f>IFERROR(__xludf.DUMMYFUNCTION("IFERROR(
INDEX(
FILTER(
MAP(
reglas!$B$2:$B$240,
reglas!$C$2:$C$240,
reglas!$D$2:$D$240,
reglas!$E$2:$E$240,
LAMBDA(rEmisor,rPatron,rConcepto,rTipo,
IF(
AND(
OR(
UPPER(TRIM(rEmisor))=UPPER(TRIM(C297)),
UPPER(TRIM(rEmisor))=""CUALQUIERA""
),
OR(
UPPER(TRIM"&amp;"(rTipo))=""SOLO EMISOR"",
AND(
UPPER(TRIM(rTipo))=""EXACTA"",
UPPER(TRIM(AG297))=UPPER(TRIM(rPatron))
),
AND(
OR(
UPPER(TRIM(rTipo))=""CONTIENE"",
UPPER(TRIM(rTipo))=""COINCIDENCIA""
),
ISNUMBER(SEARCH(UPPER(TRIM(rPatron)),UPPER(TRIM(D297))))
)
)
),
rConc"&amp;"epto,
""""
)
)
),
MAP(
reglas!$B$2:$B$240,
reglas!$C$2:$C$240,
reglas!$D$2:$D$240,
reglas!$E$2:$E$240,
LAMBDA(rEmisor,rPatron,rConcepto,rTipo,
IF(
AND(
OR(
UPPER(TRIM(rEmisor))=UPPER(TRIM(C297)),
UPPER(TRIM(rEmisor))=""CUALQUIERA""
),
OR(
UPPER(TRIM(rTipo"&amp;"))=""SOLO EMISOR"",
AND(
UPPER(TRIM(rTipo))=""EXACTA"",
UPPER(TRIM(D297))=UPPER(TRIM(rPatron))
),
AND(
OR(
UPPER(TRIM(rTipo))=""CONTIENE"",
UPPER(TRIM(rTipo))=""COINCIDENCIA""
),
ISNUMBER(SEARCH(UPPER(TRIM(rPatron)),UPPER(TRIM(D297))))
)
)
),
rConcepto,
"&amp;"""""
)
)
)&lt;&gt;""""
),
1
),
""""
)"),"MANIOBRAS")</f>
        <v>MANIOBRAS</v>
      </c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</row>
    <row r="298">
      <c r="A298" s="32"/>
      <c r="B298" s="32"/>
      <c r="C298" s="29" t="s">
        <v>271</v>
      </c>
      <c r="D298" s="29" t="s">
        <v>589</v>
      </c>
      <c r="E298" s="28">
        <v>633.89</v>
      </c>
      <c r="F298" s="28">
        <v>0.0</v>
      </c>
      <c r="G298" s="28" t="s">
        <v>84</v>
      </c>
      <c r="H298" s="28">
        <f t="array" ref="H298">INDEX(CC!C:C,MATCH(1,(CC!A:A=G298)*(CC!B:B=I298),0))</f>
        <v>1002</v>
      </c>
      <c r="I298" s="28" t="s">
        <v>25</v>
      </c>
      <c r="J298" s="31">
        <v>633.89</v>
      </c>
      <c r="K298" s="28" t="str">
        <f>IFERROR(__xludf.DUMMYFUNCTION("IFERROR(
INDEX(
FILTER(
MAP(
reglas!$B$2:$B$240,
reglas!$C$2:$C$240,
reglas!$D$2:$D$240,
reglas!$E$2:$E$240,
LAMBDA(rEmisor,rPatron,rConcepto,rTipo,
IF(
AND(
OR(
UPPER(TRIM(rEmisor))=UPPER(TRIM(C298)),
UPPER(TRIM(rEmisor))=""CUALQUIERA""
),
OR(
UPPER(TRIM"&amp;"(rTipo))=""SOLO EMISOR"",
AND(
UPPER(TRIM(rTipo))=""EXACTA"",
UPPER(TRIM(AG298))=UPPER(TRIM(rPatron))
),
AND(
OR(
UPPER(TRIM(rTipo))=""CONTIENE"",
UPPER(TRIM(rTipo))=""COINCIDENCIA""
),
ISNUMBER(SEARCH(UPPER(TRIM(rPatron)),UPPER(TRIM(D298))))
)
)
),
rConc"&amp;"epto,
""""
)
)
),
MAP(
reglas!$B$2:$B$240,
reglas!$C$2:$C$240,
reglas!$D$2:$D$240,
reglas!$E$2:$E$240,
LAMBDA(rEmisor,rPatron,rConcepto,rTipo,
IF(
AND(
OR(
UPPER(TRIM(rEmisor))=UPPER(TRIM(C298)),
UPPER(TRIM(rEmisor))=""CUALQUIERA""
),
OR(
UPPER(TRIM(rTipo"&amp;"))=""SOLO EMISOR"",
AND(
UPPER(TRIM(rTipo))=""EXACTA"",
UPPER(TRIM(D298))=UPPER(TRIM(rPatron))
),
AND(
OR(
UPPER(TRIM(rTipo))=""CONTIENE"",
UPPER(TRIM(rTipo))=""COINCIDENCIA""
),
ISNUMBER(SEARCH(UPPER(TRIM(rPatron)),UPPER(TRIM(D298))))
)
)
),
rConcepto,
"&amp;"""""
)
)
)&lt;&gt;""""
),
1
),
""""
)"),"MANIOBRAS")</f>
        <v>MANIOBRAS</v>
      </c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</row>
    <row r="299">
      <c r="A299" s="32"/>
      <c r="B299" s="32"/>
      <c r="C299" s="29" t="s">
        <v>271</v>
      </c>
      <c r="D299" s="29" t="s">
        <v>593</v>
      </c>
      <c r="E299" s="28">
        <v>663.35</v>
      </c>
      <c r="F299" s="28">
        <v>0.0</v>
      </c>
      <c r="G299" s="28" t="s">
        <v>84</v>
      </c>
      <c r="H299" s="28">
        <f t="array" ref="H299">INDEX(CC!C:C,MATCH(1,(CC!A:A=G299)*(CC!B:B=I299),0))</f>
        <v>1002</v>
      </c>
      <c r="I299" s="28" t="s">
        <v>25</v>
      </c>
      <c r="J299" s="31">
        <v>663.35</v>
      </c>
      <c r="K299" s="28" t="str">
        <f>IFERROR(__xludf.DUMMYFUNCTION("IFERROR(
INDEX(
FILTER(
MAP(
reglas!$B$2:$B$240,
reglas!$C$2:$C$240,
reglas!$D$2:$D$240,
reglas!$E$2:$E$240,
LAMBDA(rEmisor,rPatron,rConcepto,rTipo,
IF(
AND(
OR(
UPPER(TRIM(rEmisor))=UPPER(TRIM(C299)),
UPPER(TRIM(rEmisor))=""CUALQUIERA""
),
OR(
UPPER(TRIM"&amp;"(rTipo))=""SOLO EMISOR"",
AND(
UPPER(TRIM(rTipo))=""EXACTA"",
UPPER(TRIM(AG299))=UPPER(TRIM(rPatron))
),
AND(
OR(
UPPER(TRIM(rTipo))=""CONTIENE"",
UPPER(TRIM(rTipo))=""COINCIDENCIA""
),
ISNUMBER(SEARCH(UPPER(TRIM(rPatron)),UPPER(TRIM(D299))))
)
)
),
rConc"&amp;"epto,
""""
)
)
),
MAP(
reglas!$B$2:$B$240,
reglas!$C$2:$C$240,
reglas!$D$2:$D$240,
reglas!$E$2:$E$240,
LAMBDA(rEmisor,rPatron,rConcepto,rTipo,
IF(
AND(
OR(
UPPER(TRIM(rEmisor))=UPPER(TRIM(C299)),
UPPER(TRIM(rEmisor))=""CUALQUIERA""
),
OR(
UPPER(TRIM(rTipo"&amp;"))=""SOLO EMISOR"",
AND(
UPPER(TRIM(rTipo))=""EXACTA"",
UPPER(TRIM(D299))=UPPER(TRIM(rPatron))
),
AND(
OR(
UPPER(TRIM(rTipo))=""CONTIENE"",
UPPER(TRIM(rTipo))=""COINCIDENCIA""
),
ISNUMBER(SEARCH(UPPER(TRIM(rPatron)),UPPER(TRIM(D299))))
)
)
),
rConcepto,
"&amp;"""""
)
)
)&lt;&gt;""""
),
1
),
""""
)"),"MANIOBRAS")</f>
        <v>MANIOBRAS</v>
      </c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</row>
    <row r="300">
      <c r="A300" s="32"/>
      <c r="B300" s="32"/>
      <c r="C300" s="29" t="s">
        <v>271</v>
      </c>
      <c r="D300" s="29" t="s">
        <v>596</v>
      </c>
      <c r="E300" s="28">
        <v>665.08</v>
      </c>
      <c r="F300" s="28">
        <v>0.0</v>
      </c>
      <c r="G300" s="28" t="s">
        <v>84</v>
      </c>
      <c r="H300" s="28">
        <f t="array" ref="H300">INDEX(CC!C:C,MATCH(1,(CC!A:A=G300)*(CC!B:B=I300),0))</f>
        <v>1002</v>
      </c>
      <c r="I300" s="28" t="s">
        <v>25</v>
      </c>
      <c r="J300" s="31">
        <v>665.08</v>
      </c>
      <c r="K300" s="28" t="str">
        <f>IFERROR(__xludf.DUMMYFUNCTION("IFERROR(
INDEX(
FILTER(
MAP(
reglas!$B$2:$B$240,
reglas!$C$2:$C$240,
reglas!$D$2:$D$240,
reglas!$E$2:$E$240,
LAMBDA(rEmisor,rPatron,rConcepto,rTipo,
IF(
AND(
OR(
UPPER(TRIM(rEmisor))=UPPER(TRIM(C300)),
UPPER(TRIM(rEmisor))=""CUALQUIERA""
),
OR(
UPPER(TRIM"&amp;"(rTipo))=""SOLO EMISOR"",
AND(
UPPER(TRIM(rTipo))=""EXACTA"",
UPPER(TRIM(AG300))=UPPER(TRIM(rPatron))
),
AND(
OR(
UPPER(TRIM(rTipo))=""CONTIENE"",
UPPER(TRIM(rTipo))=""COINCIDENCIA""
),
ISNUMBER(SEARCH(UPPER(TRIM(rPatron)),UPPER(TRIM(D300))))
)
)
),
rConc"&amp;"epto,
""""
)
)
),
MAP(
reglas!$B$2:$B$240,
reglas!$C$2:$C$240,
reglas!$D$2:$D$240,
reglas!$E$2:$E$240,
LAMBDA(rEmisor,rPatron,rConcepto,rTipo,
IF(
AND(
OR(
UPPER(TRIM(rEmisor))=UPPER(TRIM(C300)),
UPPER(TRIM(rEmisor))=""CUALQUIERA""
),
OR(
UPPER(TRIM(rTipo"&amp;"))=""SOLO EMISOR"",
AND(
UPPER(TRIM(rTipo))=""EXACTA"",
UPPER(TRIM(D300))=UPPER(TRIM(rPatron))
),
AND(
OR(
UPPER(TRIM(rTipo))=""CONTIENE"",
UPPER(TRIM(rTipo))=""COINCIDENCIA""
),
ISNUMBER(SEARCH(UPPER(TRIM(rPatron)),UPPER(TRIM(D300))))
)
)
),
rConcepto,
"&amp;"""""
)
)
)&lt;&gt;""""
),
1
),
""""
)"),"MANIOBRAS")</f>
        <v>MANIOBRAS</v>
      </c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</row>
    <row r="301">
      <c r="A301" s="32"/>
      <c r="B301" s="28" t="s">
        <v>29</v>
      </c>
      <c r="C301" s="29" t="s">
        <v>172</v>
      </c>
      <c r="D301" s="29" t="s">
        <v>1217</v>
      </c>
      <c r="E301" s="30">
        <v>14000.0</v>
      </c>
      <c r="F301" s="28">
        <v>0.0</v>
      </c>
      <c r="G301" s="28" t="s">
        <v>250</v>
      </c>
      <c r="H301" s="28">
        <f t="array" ref="H301">INDEX(CC!C:C,MATCH(1,(CC!A:A=G301)*(CC!B:B=I301),0))</f>
        <v>1402</v>
      </c>
      <c r="I301" s="28" t="s">
        <v>25</v>
      </c>
      <c r="J301" s="31">
        <v>14000.0</v>
      </c>
      <c r="K301" s="28" t="str">
        <f>IFERROR(__xludf.DUMMYFUNCTION("IFERROR(
INDEX(
FILTER(
MAP(
reglas!$B$2:$B$240,
reglas!$C$2:$C$240,
reglas!$D$2:$D$240,
reglas!$E$2:$E$240,
LAMBDA(rEmisor,rPatron,rConcepto,rTipo,
IF(
AND(
OR(
UPPER(TRIM(rEmisor))=UPPER(TRIM(C301)),
UPPER(TRIM(rEmisor))=""CUALQUIERA""
),
OR(
UPPER(TRIM"&amp;"(rTipo))=""SOLO EMISOR"",
AND(
UPPER(TRIM(rTipo))=""EXACTA"",
UPPER(TRIM(AG301))=UPPER(TRIM(rPatron))
),
AND(
OR(
UPPER(TRIM(rTipo))=""CONTIENE"",
UPPER(TRIM(rTipo))=""COINCIDENCIA""
),
ISNUMBER(SEARCH(UPPER(TRIM(rPatron)),UPPER(TRIM(D301))))
)
)
),
rConc"&amp;"epto,
""""
)
)
),
MAP(
reglas!$B$2:$B$240,
reglas!$C$2:$C$240,
reglas!$D$2:$D$240,
reglas!$E$2:$E$240,
LAMBDA(rEmisor,rPatron,rConcepto,rTipo,
IF(
AND(
OR(
UPPER(TRIM(rEmisor))=UPPER(TRIM(C301)),
UPPER(TRIM(rEmisor))=""CUALQUIERA""
),
OR(
UPPER(TRIM(rTipo"&amp;"))=""SOLO EMISOR"",
AND(
UPPER(TRIM(rTipo))=""EXACTA"",
UPPER(TRIM(D301))=UPPER(TRIM(rPatron))
),
AND(
OR(
UPPER(TRIM(rTipo))=""CONTIENE"",
UPPER(TRIM(rTipo))=""COINCIDENCIA""
),
ISNUMBER(SEARCH(UPPER(TRIM(rPatron)),UPPER(TRIM(D301))))
)
)
),
rConcepto,
"&amp;"""""
)
)
)&lt;&gt;""""
),
1
),
""""
)"),"TRANSPORTE")</f>
        <v>TRANSPORTE</v>
      </c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</row>
    <row r="302">
      <c r="A302" s="32"/>
      <c r="B302" s="28" t="s">
        <v>29</v>
      </c>
      <c r="C302" s="29" t="s">
        <v>172</v>
      </c>
      <c r="D302" s="29" t="s">
        <v>1065</v>
      </c>
      <c r="E302" s="30">
        <v>11500.0</v>
      </c>
      <c r="F302" s="28">
        <v>0.0</v>
      </c>
      <c r="G302" s="28" t="s">
        <v>250</v>
      </c>
      <c r="H302" s="28">
        <f t="array" ref="H302">INDEX(CC!C:C,MATCH(1,(CC!A:A=G302)*(CC!B:B=I302),0))</f>
        <v>1402</v>
      </c>
      <c r="I302" s="28" t="s">
        <v>25</v>
      </c>
      <c r="J302" s="31">
        <v>11500.0</v>
      </c>
      <c r="K302" s="28" t="str">
        <f>IFERROR(__xludf.DUMMYFUNCTION("IFERROR(
INDEX(
FILTER(
MAP(
reglas!$B$2:$B$240,
reglas!$C$2:$C$240,
reglas!$D$2:$D$240,
reglas!$E$2:$E$240,
LAMBDA(rEmisor,rPatron,rConcepto,rTipo,
IF(
AND(
OR(
UPPER(TRIM(rEmisor))=UPPER(TRIM(C302)),
UPPER(TRIM(rEmisor))=""CUALQUIERA""
),
OR(
UPPER(TRIM"&amp;"(rTipo))=""SOLO EMISOR"",
AND(
UPPER(TRIM(rTipo))=""EXACTA"",
UPPER(TRIM(AG302))=UPPER(TRIM(rPatron))
),
AND(
OR(
UPPER(TRIM(rTipo))=""CONTIENE"",
UPPER(TRIM(rTipo))=""COINCIDENCIA""
),
ISNUMBER(SEARCH(UPPER(TRIM(rPatron)),UPPER(TRIM(D302))))
)
)
),
rConc"&amp;"epto,
""""
)
)
),
MAP(
reglas!$B$2:$B$240,
reglas!$C$2:$C$240,
reglas!$D$2:$D$240,
reglas!$E$2:$E$240,
LAMBDA(rEmisor,rPatron,rConcepto,rTipo,
IF(
AND(
OR(
UPPER(TRIM(rEmisor))=UPPER(TRIM(C302)),
UPPER(TRIM(rEmisor))=""CUALQUIERA""
),
OR(
UPPER(TRIM(rTipo"&amp;"))=""SOLO EMISOR"",
AND(
UPPER(TRIM(rTipo))=""EXACTA"",
UPPER(TRIM(D302))=UPPER(TRIM(rPatron))
),
AND(
OR(
UPPER(TRIM(rTipo))=""CONTIENE"",
UPPER(TRIM(rTipo))=""COINCIDENCIA""
),
ISNUMBER(SEARCH(UPPER(TRIM(rPatron)),UPPER(TRIM(D302))))
)
)
),
rConcepto,
"&amp;"""""
)
)
)&lt;&gt;""""
),
1
),
""""
)"),"TRANSPORTE")</f>
        <v>TRANSPORTE</v>
      </c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</row>
    <row r="303">
      <c r="A303" s="28">
        <v>1.0</v>
      </c>
      <c r="B303" s="28" t="s">
        <v>29</v>
      </c>
      <c r="C303" s="29" t="s">
        <v>96</v>
      </c>
      <c r="D303" s="29" t="s">
        <v>1088</v>
      </c>
      <c r="E303" s="28">
        <v>427.55</v>
      </c>
      <c r="F303" s="28">
        <v>0.0</v>
      </c>
      <c r="G303" s="28" t="s">
        <v>74</v>
      </c>
      <c r="H303" s="28">
        <f t="array" ref="H303">INDEX(CC!C:C,MATCH(1,(CC!A:A=G303)*(CC!B:B=I303),0))</f>
        <v>1503</v>
      </c>
      <c r="I303" s="28" t="s">
        <v>44</v>
      </c>
      <c r="J303" s="31">
        <v>427.55</v>
      </c>
      <c r="K303" s="28" t="str">
        <f>IFERROR(__xludf.DUMMYFUNCTION("IFERROR(
INDEX(
FILTER(
MAP(
reglas!$B$2:$B$240,
reglas!$C$2:$C$240,
reglas!$D$2:$D$240,
reglas!$E$2:$E$240,
LAMBDA(rEmisor,rPatron,rConcepto,rTipo,
IF(
AND(
OR(
UPPER(TRIM(rEmisor))=UPPER(TRIM(C303)),
UPPER(TRIM(rEmisor))=""CUALQUIERA""
),
OR(
UPPER(TRIM"&amp;"(rTipo))=""SOLO EMISOR"",
AND(
UPPER(TRIM(rTipo))=""EXACTA"",
UPPER(TRIM(AG303))=UPPER(TRIM(rPatron))
),
AND(
OR(
UPPER(TRIM(rTipo))=""CONTIENE"",
UPPER(TRIM(rTipo))=""COINCIDENCIA""
),
ISNUMBER(SEARCH(UPPER(TRIM(rPatron)),UPPER(TRIM(D303))))
)
)
),
rConc"&amp;"epto,
""""
)
)
),
MAP(
reglas!$B$2:$B$240,
reglas!$C$2:$C$240,
reglas!$D$2:$D$240,
reglas!$E$2:$E$240,
LAMBDA(rEmisor,rPatron,rConcepto,rTipo,
IF(
AND(
OR(
UPPER(TRIM(rEmisor))=UPPER(TRIM(C303)),
UPPER(TRIM(rEmisor))=""CUALQUIERA""
),
OR(
UPPER(TRIM(rTipo"&amp;"))=""SOLO EMISOR"",
AND(
UPPER(TRIM(rTipo))=""EXACTA"",
UPPER(TRIM(D303))=UPPER(TRIM(rPatron))
),
AND(
OR(
UPPER(TRIM(rTipo))=""CONTIENE"",
UPPER(TRIM(rTipo))=""COINCIDENCIA""
),
ISNUMBER(SEARCH(UPPER(TRIM(rPatron)),UPPER(TRIM(D303))))
)
)
),
rConcepto,
"&amp;"""""
)
)
)&lt;&gt;""""
),
1
),
""""
)"),"GUIAS")</f>
        <v>GUIAS</v>
      </c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</row>
    <row r="304">
      <c r="A304" s="28">
        <v>1.0</v>
      </c>
      <c r="B304" s="28" t="s">
        <v>29</v>
      </c>
      <c r="C304" s="29" t="s">
        <v>96</v>
      </c>
      <c r="D304" s="29" t="s">
        <v>442</v>
      </c>
      <c r="E304" s="28">
        <v>593.83</v>
      </c>
      <c r="F304" s="28">
        <v>0.0</v>
      </c>
      <c r="G304" s="28" t="s">
        <v>74</v>
      </c>
      <c r="H304" s="28">
        <f t="array" ref="H304">INDEX(CC!C:C,MATCH(1,(CC!A:A=G304)*(CC!B:B=I304),0))</f>
        <v>1503</v>
      </c>
      <c r="I304" s="28" t="s">
        <v>44</v>
      </c>
      <c r="J304" s="31">
        <v>593.83</v>
      </c>
      <c r="K304" s="28" t="str">
        <f>IFERROR(__xludf.DUMMYFUNCTION("IFERROR(
INDEX(
FILTER(
MAP(
reglas!$B$2:$B$240,
reglas!$C$2:$C$240,
reglas!$D$2:$D$240,
reglas!$E$2:$E$240,
LAMBDA(rEmisor,rPatron,rConcepto,rTipo,
IF(
AND(
OR(
UPPER(TRIM(rEmisor))=UPPER(TRIM(C304)),
UPPER(TRIM(rEmisor))=""CUALQUIERA""
),
OR(
UPPER(TRIM"&amp;"(rTipo))=""SOLO EMISOR"",
AND(
UPPER(TRIM(rTipo))=""EXACTA"",
UPPER(TRIM(AG304))=UPPER(TRIM(rPatron))
),
AND(
OR(
UPPER(TRIM(rTipo))=""CONTIENE"",
UPPER(TRIM(rTipo))=""COINCIDENCIA""
),
ISNUMBER(SEARCH(UPPER(TRIM(rPatron)),UPPER(TRIM(D304))))
)
)
),
rConc"&amp;"epto,
""""
)
)
),
MAP(
reglas!$B$2:$B$240,
reglas!$C$2:$C$240,
reglas!$D$2:$D$240,
reglas!$E$2:$E$240,
LAMBDA(rEmisor,rPatron,rConcepto,rTipo,
IF(
AND(
OR(
UPPER(TRIM(rEmisor))=UPPER(TRIM(C304)),
UPPER(TRIM(rEmisor))=""CUALQUIERA""
),
OR(
UPPER(TRIM(rTipo"&amp;"))=""SOLO EMISOR"",
AND(
UPPER(TRIM(rTipo))=""EXACTA"",
UPPER(TRIM(D304))=UPPER(TRIM(rPatron))
),
AND(
OR(
UPPER(TRIM(rTipo))=""CONTIENE"",
UPPER(TRIM(rTipo))=""COINCIDENCIA""
),
ISNUMBER(SEARCH(UPPER(TRIM(rPatron)),UPPER(TRIM(D304))))
)
)
),
rConcepto,
"&amp;"""""
)
)
)&lt;&gt;""""
),
1
),
""""
)"),"GUIAS")</f>
        <v>GUIAS</v>
      </c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</row>
    <row r="305">
      <c r="A305" s="32"/>
      <c r="B305" s="28" t="s">
        <v>29</v>
      </c>
      <c r="C305" s="29" t="s">
        <v>172</v>
      </c>
      <c r="D305" s="29" t="s">
        <v>1219</v>
      </c>
      <c r="E305" s="30">
        <v>11500.0</v>
      </c>
      <c r="F305" s="28">
        <v>0.0</v>
      </c>
      <c r="G305" s="28" t="s">
        <v>250</v>
      </c>
      <c r="H305" s="28">
        <f t="array" ref="H305">INDEX(CC!C:C,MATCH(1,(CC!A:A=G305)*(CC!B:B=I305),0))</f>
        <v>1402</v>
      </c>
      <c r="I305" s="28" t="s">
        <v>25</v>
      </c>
      <c r="J305" s="31">
        <v>11500.0</v>
      </c>
      <c r="K305" s="28" t="str">
        <f>IFERROR(__xludf.DUMMYFUNCTION("IFERROR(
INDEX(
FILTER(
MAP(
reglas!$B$2:$B$240,
reglas!$C$2:$C$240,
reglas!$D$2:$D$240,
reglas!$E$2:$E$240,
LAMBDA(rEmisor,rPatron,rConcepto,rTipo,
IF(
AND(
OR(
UPPER(TRIM(rEmisor))=UPPER(TRIM(C305)),
UPPER(TRIM(rEmisor))=""CUALQUIERA""
),
OR(
UPPER(TRIM"&amp;"(rTipo))=""SOLO EMISOR"",
AND(
UPPER(TRIM(rTipo))=""EXACTA"",
UPPER(TRIM(AG305))=UPPER(TRIM(rPatron))
),
AND(
OR(
UPPER(TRIM(rTipo))=""CONTIENE"",
UPPER(TRIM(rTipo))=""COINCIDENCIA""
),
ISNUMBER(SEARCH(UPPER(TRIM(rPatron)),UPPER(TRIM(D305))))
)
)
),
rConc"&amp;"epto,
""""
)
)
),
MAP(
reglas!$B$2:$B$240,
reglas!$C$2:$C$240,
reglas!$D$2:$D$240,
reglas!$E$2:$E$240,
LAMBDA(rEmisor,rPatron,rConcepto,rTipo,
IF(
AND(
OR(
UPPER(TRIM(rEmisor))=UPPER(TRIM(C305)),
UPPER(TRIM(rEmisor))=""CUALQUIERA""
),
OR(
UPPER(TRIM(rTipo"&amp;"))=""SOLO EMISOR"",
AND(
UPPER(TRIM(rTipo))=""EXACTA"",
UPPER(TRIM(D305))=UPPER(TRIM(rPatron))
),
AND(
OR(
UPPER(TRIM(rTipo))=""CONTIENE"",
UPPER(TRIM(rTipo))=""COINCIDENCIA""
),
ISNUMBER(SEARCH(UPPER(TRIM(rPatron)),UPPER(TRIM(D305))))
)
)
),
rConcepto,
"&amp;"""""
)
)
)&lt;&gt;""""
),
1
),
""""
)"),"TRANSPORTE")</f>
        <v>TRANSPORTE</v>
      </c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</row>
    <row r="306">
      <c r="A306" s="32"/>
      <c r="B306" s="28" t="s">
        <v>29</v>
      </c>
      <c r="C306" s="29" t="s">
        <v>1220</v>
      </c>
      <c r="D306" s="29" t="s">
        <v>1052</v>
      </c>
      <c r="E306" s="28">
        <v>74.0</v>
      </c>
      <c r="F306" s="28">
        <v>0.0</v>
      </c>
      <c r="G306" s="28" t="s">
        <v>225</v>
      </c>
      <c r="H306" s="28">
        <f t="array" ref="H306">INDEX(CC!C:C,MATCH(1,(CC!A:A=G306)*(CC!B:B=I306),0))</f>
        <v>102</v>
      </c>
      <c r="I306" s="28" t="s">
        <v>25</v>
      </c>
      <c r="J306" s="31">
        <v>74.0</v>
      </c>
      <c r="K306" s="28" t="str">
        <f>IFERROR(__xludf.DUMMYFUNCTION("IFERROR(
INDEX(
FILTER(
MAP(
reglas!$B$2:$B$240,
reglas!$C$2:$C$240,
reglas!$D$2:$D$240,
reglas!$E$2:$E$240,
LAMBDA(rEmisor,rPatron,rConcepto,rTipo,
IF(
AND(
OR(
UPPER(TRIM(rEmisor))=UPPER(TRIM(C306)),
UPPER(TRIM(rEmisor))=""CUALQUIERA""
),
OR(
UPPER(TRIM"&amp;"(rTipo))=""SOLO EMISOR"",
AND(
UPPER(TRIM(rTipo))=""EXACTA"",
UPPER(TRIM(AG306))=UPPER(TRIM(rPatron))
),
AND(
OR(
UPPER(TRIM(rTipo))=""CONTIENE"",
UPPER(TRIM(rTipo))=""COINCIDENCIA""
),
ISNUMBER(SEARCH(UPPER(TRIM(rPatron)),UPPER(TRIM(D306))))
)
)
),
rConc"&amp;"epto,
""""
)
)
),
MAP(
reglas!$B$2:$B$240,
reglas!$C$2:$C$240,
reglas!$D$2:$D$240,
reglas!$E$2:$E$240,
LAMBDA(rEmisor,rPatron,rConcepto,rTipo,
IF(
AND(
OR(
UPPER(TRIM(rEmisor))=UPPER(TRIM(C306)),
UPPER(TRIM(rEmisor))=""CUALQUIERA""
),
OR(
UPPER(TRIM(rTipo"&amp;"))=""SOLO EMISOR"",
AND(
UPPER(TRIM(rTipo))=""EXACTA"",
UPPER(TRIM(D306))=UPPER(TRIM(rPatron))
),
AND(
OR(
UPPER(TRIM(rTipo))=""CONTIENE"",
UPPER(TRIM(rTipo))=""COINCIDENCIA""
),
ISNUMBER(SEARCH(UPPER(TRIM(rPatron)),UPPER(TRIM(D306))))
)
)
),
rConcepto,
"&amp;"""""
)
)
)&lt;&gt;""""
),
1
),
""""
)"),"")</f>
        <v/>
      </c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</row>
    <row r="307">
      <c r="A307" s="32"/>
      <c r="B307" s="28" t="s">
        <v>29</v>
      </c>
      <c r="C307" s="29" t="s">
        <v>278</v>
      </c>
      <c r="D307" s="29" t="s">
        <v>560</v>
      </c>
      <c r="E307" s="30">
        <v>3500.0</v>
      </c>
      <c r="F307" s="28">
        <v>0.0</v>
      </c>
      <c r="G307" s="28" t="s">
        <v>250</v>
      </c>
      <c r="H307" s="28">
        <f t="array" ref="H307">INDEX(CC!C:C,MATCH(1,(CC!A:A=G307)*(CC!B:B=I307),0))</f>
        <v>1402</v>
      </c>
      <c r="I307" s="28" t="s">
        <v>25</v>
      </c>
      <c r="J307" s="31">
        <v>3500.0</v>
      </c>
      <c r="K307" s="28" t="str">
        <f>IFERROR(__xludf.DUMMYFUNCTION("IFERROR(
INDEX(
FILTER(
MAP(
reglas!$B$2:$B$240,
reglas!$C$2:$C$240,
reglas!$D$2:$D$240,
reglas!$E$2:$E$240,
LAMBDA(rEmisor,rPatron,rConcepto,rTipo,
IF(
AND(
OR(
UPPER(TRIM(rEmisor))=UPPER(TRIM(C307)),
UPPER(TRIM(rEmisor))=""CUALQUIERA""
),
OR(
UPPER(TRIM"&amp;"(rTipo))=""SOLO EMISOR"",
AND(
UPPER(TRIM(rTipo))=""EXACTA"",
UPPER(TRIM(AG307))=UPPER(TRIM(rPatron))
),
AND(
OR(
UPPER(TRIM(rTipo))=""CONTIENE"",
UPPER(TRIM(rTipo))=""COINCIDENCIA""
),
ISNUMBER(SEARCH(UPPER(TRIM(rPatron)),UPPER(TRIM(D307))))
)
)
),
rConc"&amp;"epto,
""""
)
)
),
MAP(
reglas!$B$2:$B$240,
reglas!$C$2:$C$240,
reglas!$D$2:$D$240,
reglas!$E$2:$E$240,
LAMBDA(rEmisor,rPatron,rConcepto,rTipo,
IF(
AND(
OR(
UPPER(TRIM(rEmisor))=UPPER(TRIM(C307)),
UPPER(TRIM(rEmisor))=""CUALQUIERA""
),
OR(
UPPER(TRIM(rTipo"&amp;"))=""SOLO EMISOR"",
AND(
UPPER(TRIM(rTipo))=""EXACTA"",
UPPER(TRIM(D307))=UPPER(TRIM(rPatron))
),
AND(
OR(
UPPER(TRIM(rTipo))=""CONTIENE"",
UPPER(TRIM(rTipo))=""COINCIDENCIA""
),
ISNUMBER(SEARCH(UPPER(TRIM(rPatron)),UPPER(TRIM(D307))))
)
)
),
rConcepto,
"&amp;"""""
)
)
)&lt;&gt;""""
),
1
),
""""
)"),"MANIOBRAS")</f>
        <v>MANIOBRAS</v>
      </c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</row>
    <row r="308">
      <c r="A308" s="28">
        <v>1.0</v>
      </c>
      <c r="B308" s="28" t="s">
        <v>29</v>
      </c>
      <c r="C308" s="29" t="s">
        <v>458</v>
      </c>
      <c r="D308" s="29" t="s">
        <v>1222</v>
      </c>
      <c r="E308" s="30">
        <v>3504.0</v>
      </c>
      <c r="F308" s="28">
        <v>0.0</v>
      </c>
      <c r="G308" s="28" t="s">
        <v>554</v>
      </c>
      <c r="H308" s="28">
        <f t="array" ref="H308">INDEX(CC!C:C,MATCH(1,(CC!A:A=G308)*(CC!B:B=I308),0))</f>
        <v>1703</v>
      </c>
      <c r="I308" s="28" t="s">
        <v>44</v>
      </c>
      <c r="J308" s="31">
        <v>3504.0</v>
      </c>
      <c r="K308" s="28" t="str">
        <f>IFERROR(__xludf.DUMMYFUNCTION("IFERROR(
INDEX(
FILTER(
MAP(
reglas!$B$2:$B$240,
reglas!$C$2:$C$240,
reglas!$D$2:$D$240,
reglas!$E$2:$E$240,
LAMBDA(rEmisor,rPatron,rConcepto,rTipo,
IF(
AND(
OR(
UPPER(TRIM(rEmisor))=UPPER(TRIM(C308)),
UPPER(TRIM(rEmisor))=""CUALQUIERA""
),
OR(
UPPER(TRIM"&amp;"(rTipo))=""SOLO EMISOR"",
AND(
UPPER(TRIM(rTipo))=""EXACTA"",
UPPER(TRIM(AG308))=UPPER(TRIM(rPatron))
),
AND(
OR(
UPPER(TRIM(rTipo))=""CONTIENE"",
UPPER(TRIM(rTipo))=""COINCIDENCIA""
),
ISNUMBER(SEARCH(UPPER(TRIM(rPatron)),UPPER(TRIM(D308))))
)
)
),
rConc"&amp;"epto,
""""
)
)
),
MAP(
reglas!$B$2:$B$240,
reglas!$C$2:$C$240,
reglas!$D$2:$D$240,
reglas!$E$2:$E$240,
LAMBDA(rEmisor,rPatron,rConcepto,rTipo,
IF(
AND(
OR(
UPPER(TRIM(rEmisor))=UPPER(TRIM(C308)),
UPPER(TRIM(rEmisor))=""CUALQUIERA""
),
OR(
UPPER(TRIM(rTipo"&amp;"))=""SOLO EMISOR"",
AND(
UPPER(TRIM(rTipo))=""EXACTA"",
UPPER(TRIM(D308))=UPPER(TRIM(rPatron))
),
AND(
OR(
UPPER(TRIM(rTipo))=""CONTIENE"",
UPPER(TRIM(rTipo))=""COINCIDENCIA""
),
ISNUMBER(SEARCH(UPPER(TRIM(rPatron)),UPPER(TRIM(D308))))
)
)
),
rConcepto,
"&amp;"""""
)
)
)&lt;&gt;""""
),
1
),
""""
)"),"MANIOBRAS")</f>
        <v>MANIOBRAS</v>
      </c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</row>
    <row r="309">
      <c r="A309" s="32"/>
      <c r="B309" s="32"/>
      <c r="C309" s="29" t="s">
        <v>458</v>
      </c>
      <c r="D309" s="29" t="s">
        <v>1223</v>
      </c>
      <c r="E309" s="30">
        <v>1045.0</v>
      </c>
      <c r="F309" s="28">
        <v>0.0</v>
      </c>
      <c r="G309" s="28" t="s">
        <v>554</v>
      </c>
      <c r="H309" s="28">
        <f t="array" ref="H309">INDEX(CC!C:C,MATCH(1,(CC!A:A=G309)*(CC!B:B=I309),0))</f>
        <v>1703</v>
      </c>
      <c r="I309" s="28" t="s">
        <v>44</v>
      </c>
      <c r="J309" s="31">
        <v>1045.0</v>
      </c>
      <c r="K309" s="28" t="str">
        <f>IFERROR(__xludf.DUMMYFUNCTION("IFERROR(
INDEX(
FILTER(
MAP(
reglas!$B$2:$B$240,
reglas!$C$2:$C$240,
reglas!$D$2:$D$240,
reglas!$E$2:$E$240,
LAMBDA(rEmisor,rPatron,rConcepto,rTipo,
IF(
AND(
OR(
UPPER(TRIM(rEmisor))=UPPER(TRIM(C309)),
UPPER(TRIM(rEmisor))=""CUALQUIERA""
),
OR(
UPPER(TRIM"&amp;"(rTipo))=""SOLO EMISOR"",
AND(
UPPER(TRIM(rTipo))=""EXACTA"",
UPPER(TRIM(AG309))=UPPER(TRIM(rPatron))
),
AND(
OR(
UPPER(TRIM(rTipo))=""CONTIENE"",
UPPER(TRIM(rTipo))=""COINCIDENCIA""
),
ISNUMBER(SEARCH(UPPER(TRIM(rPatron)),UPPER(TRIM(D309))))
)
)
),
rConc"&amp;"epto,
""""
)
)
),
MAP(
reglas!$B$2:$B$240,
reglas!$C$2:$C$240,
reglas!$D$2:$D$240,
reglas!$E$2:$E$240,
LAMBDA(rEmisor,rPatron,rConcepto,rTipo,
IF(
AND(
OR(
UPPER(TRIM(rEmisor))=UPPER(TRIM(C309)),
UPPER(TRIM(rEmisor))=""CUALQUIERA""
),
OR(
UPPER(TRIM(rTipo"&amp;"))=""SOLO EMISOR"",
AND(
UPPER(TRIM(rTipo))=""EXACTA"",
UPPER(TRIM(D309))=UPPER(TRIM(rPatron))
),
AND(
OR(
UPPER(TRIM(rTipo))=""CONTIENE"",
UPPER(TRIM(rTipo))=""COINCIDENCIA""
),
ISNUMBER(SEARCH(UPPER(TRIM(rPatron)),UPPER(TRIM(D309))))
)
)
),
rConcepto,
"&amp;"""""
)
)
)&lt;&gt;""""
),
1
),
""""
)"),"MANIOBRAS")</f>
        <v>MANIOBRAS</v>
      </c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</row>
    <row r="310">
      <c r="A310" s="32"/>
      <c r="B310" s="32"/>
      <c r="C310" s="29" t="s">
        <v>458</v>
      </c>
      <c r="D310" s="29" t="s">
        <v>1226</v>
      </c>
      <c r="E310" s="28">
        <v>60.0</v>
      </c>
      <c r="F310" s="28">
        <v>0.0</v>
      </c>
      <c r="G310" s="28" t="s">
        <v>554</v>
      </c>
      <c r="H310" s="28">
        <f t="array" ref="H310">INDEX(CC!C:C,MATCH(1,(CC!A:A=G310)*(CC!B:B=I310),0))</f>
        <v>1703</v>
      </c>
      <c r="I310" s="28" t="s">
        <v>44</v>
      </c>
      <c r="J310" s="31">
        <v>60.0</v>
      </c>
      <c r="K310" s="28" t="str">
        <f>IFERROR(__xludf.DUMMYFUNCTION("IFERROR(
INDEX(
FILTER(
MAP(
reglas!$B$2:$B$240,
reglas!$C$2:$C$240,
reglas!$D$2:$D$240,
reglas!$E$2:$E$240,
LAMBDA(rEmisor,rPatron,rConcepto,rTipo,
IF(
AND(
OR(
UPPER(TRIM(rEmisor))=UPPER(TRIM(C310)),
UPPER(TRIM(rEmisor))=""CUALQUIERA""
),
OR(
UPPER(TRIM"&amp;"(rTipo))=""SOLO EMISOR"",
AND(
UPPER(TRIM(rTipo))=""EXACTA"",
UPPER(TRIM(AG310))=UPPER(TRIM(rPatron))
),
AND(
OR(
UPPER(TRIM(rTipo))=""CONTIENE"",
UPPER(TRIM(rTipo))=""COINCIDENCIA""
),
ISNUMBER(SEARCH(UPPER(TRIM(rPatron)),UPPER(TRIM(D310))))
)
)
),
rConc"&amp;"epto,
""""
)
)
),
MAP(
reglas!$B$2:$B$240,
reglas!$C$2:$C$240,
reglas!$D$2:$D$240,
reglas!$E$2:$E$240,
LAMBDA(rEmisor,rPatron,rConcepto,rTipo,
IF(
AND(
OR(
UPPER(TRIM(rEmisor))=UPPER(TRIM(C310)),
UPPER(TRIM(rEmisor))=""CUALQUIERA""
),
OR(
UPPER(TRIM(rTipo"&amp;"))=""SOLO EMISOR"",
AND(
UPPER(TRIM(rTipo))=""EXACTA"",
UPPER(TRIM(D310))=UPPER(TRIM(rPatron))
),
AND(
OR(
UPPER(TRIM(rTipo))=""CONTIENE"",
UPPER(TRIM(rTipo))=""COINCIDENCIA""
),
ISNUMBER(SEARCH(UPPER(TRIM(rPatron)),UPPER(TRIM(D310))))
)
)
),
rConcepto,
"&amp;"""""
)
)
)&lt;&gt;""""
),
1
),
""""
)"),"MANIOBRAS")</f>
        <v>MANIOBRAS</v>
      </c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</row>
    <row r="311">
      <c r="A311" s="32"/>
      <c r="B311" s="32"/>
      <c r="C311" s="29" t="s">
        <v>458</v>
      </c>
      <c r="D311" s="29" t="s">
        <v>1246</v>
      </c>
      <c r="E311" s="30">
        <v>1000.0</v>
      </c>
      <c r="F311" s="28">
        <v>0.0</v>
      </c>
      <c r="G311" s="28" t="s">
        <v>554</v>
      </c>
      <c r="H311" s="28">
        <f t="array" ref="H311">INDEX(CC!C:C,MATCH(1,(CC!A:A=G311)*(CC!B:B=I311),0))</f>
        <v>1703</v>
      </c>
      <c r="I311" s="28" t="s">
        <v>44</v>
      </c>
      <c r="J311" s="31">
        <v>1000.0</v>
      </c>
      <c r="K311" s="28" t="str">
        <f>IFERROR(__xludf.DUMMYFUNCTION("IFERROR(
INDEX(
FILTER(
MAP(
reglas!$B$2:$B$240,
reglas!$C$2:$C$240,
reglas!$D$2:$D$240,
reglas!$E$2:$E$240,
LAMBDA(rEmisor,rPatron,rConcepto,rTipo,
IF(
AND(
OR(
UPPER(TRIM(rEmisor))=UPPER(TRIM(C311)),
UPPER(TRIM(rEmisor))=""CUALQUIERA""
),
OR(
UPPER(TRIM"&amp;"(rTipo))=""SOLO EMISOR"",
AND(
UPPER(TRIM(rTipo))=""EXACTA"",
UPPER(TRIM(AG311))=UPPER(TRIM(rPatron))
),
AND(
OR(
UPPER(TRIM(rTipo))=""CONTIENE"",
UPPER(TRIM(rTipo))=""COINCIDENCIA""
),
ISNUMBER(SEARCH(UPPER(TRIM(rPatron)),UPPER(TRIM(D311))))
)
)
),
rConc"&amp;"epto,
""""
)
)
),
MAP(
reglas!$B$2:$B$240,
reglas!$C$2:$C$240,
reglas!$D$2:$D$240,
reglas!$E$2:$E$240,
LAMBDA(rEmisor,rPatron,rConcepto,rTipo,
IF(
AND(
OR(
UPPER(TRIM(rEmisor))=UPPER(TRIM(C311)),
UPPER(TRIM(rEmisor))=""CUALQUIERA""
),
OR(
UPPER(TRIM(rTipo"&amp;"))=""SOLO EMISOR"",
AND(
UPPER(TRIM(rTipo))=""EXACTA"",
UPPER(TRIM(D311))=UPPER(TRIM(rPatron))
),
AND(
OR(
UPPER(TRIM(rTipo))=""CONTIENE"",
UPPER(TRIM(rTipo))=""COINCIDENCIA""
),
ISNUMBER(SEARCH(UPPER(TRIM(rPatron)),UPPER(TRIM(D311))))
)
)
),
rConcepto,
"&amp;"""""
)
)
)&lt;&gt;""""
),
1
),
""""
)"),"MANIOBRAS")</f>
        <v>MANIOBRAS</v>
      </c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</row>
    <row r="312">
      <c r="A312" s="32"/>
      <c r="B312" s="32"/>
      <c r="C312" s="29" t="s">
        <v>458</v>
      </c>
      <c r="D312" s="29" t="s">
        <v>1255</v>
      </c>
      <c r="E312" s="30">
        <v>1700.0</v>
      </c>
      <c r="F312" s="28">
        <v>0.0</v>
      </c>
      <c r="G312" s="28" t="s">
        <v>554</v>
      </c>
      <c r="H312" s="28">
        <f t="array" ref="H312">INDEX(CC!C:C,MATCH(1,(CC!A:A=G312)*(CC!B:B=I312),0))</f>
        <v>1703</v>
      </c>
      <c r="I312" s="28" t="s">
        <v>44</v>
      </c>
      <c r="J312" s="31">
        <v>1700.0</v>
      </c>
      <c r="K312" s="28" t="str">
        <f>IFERROR(__xludf.DUMMYFUNCTION("IFERROR(
INDEX(
FILTER(
MAP(
reglas!$B$2:$B$240,
reglas!$C$2:$C$240,
reglas!$D$2:$D$240,
reglas!$E$2:$E$240,
LAMBDA(rEmisor,rPatron,rConcepto,rTipo,
IF(
AND(
OR(
UPPER(TRIM(rEmisor))=UPPER(TRIM(C312)),
UPPER(TRIM(rEmisor))=""CUALQUIERA""
),
OR(
UPPER(TRIM"&amp;"(rTipo))=""SOLO EMISOR"",
AND(
UPPER(TRIM(rTipo))=""EXACTA"",
UPPER(TRIM(AG312))=UPPER(TRIM(rPatron))
),
AND(
OR(
UPPER(TRIM(rTipo))=""CONTIENE"",
UPPER(TRIM(rTipo))=""COINCIDENCIA""
),
ISNUMBER(SEARCH(UPPER(TRIM(rPatron)),UPPER(TRIM(D312))))
)
)
),
rConc"&amp;"epto,
""""
)
)
),
MAP(
reglas!$B$2:$B$240,
reglas!$C$2:$C$240,
reglas!$D$2:$D$240,
reglas!$E$2:$E$240,
LAMBDA(rEmisor,rPatron,rConcepto,rTipo,
IF(
AND(
OR(
UPPER(TRIM(rEmisor))=UPPER(TRIM(C312)),
UPPER(TRIM(rEmisor))=""CUALQUIERA""
),
OR(
UPPER(TRIM(rTipo"&amp;"))=""SOLO EMISOR"",
AND(
UPPER(TRIM(rTipo))=""EXACTA"",
UPPER(TRIM(D312))=UPPER(TRIM(rPatron))
),
AND(
OR(
UPPER(TRIM(rTipo))=""CONTIENE"",
UPPER(TRIM(rTipo))=""COINCIDENCIA""
),
ISNUMBER(SEARCH(UPPER(TRIM(rPatron)),UPPER(TRIM(D312))))
)
)
),
rConcepto,
"&amp;"""""
)
)
)&lt;&gt;""""
),
1
),
""""
)"),"MANIOBRAS")</f>
        <v>MANIOBRAS</v>
      </c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</row>
    <row r="313">
      <c r="A313" s="32"/>
      <c r="B313" s="32"/>
      <c r="C313" s="29" t="s">
        <v>458</v>
      </c>
      <c r="D313" s="29" t="s">
        <v>1264</v>
      </c>
      <c r="E313" s="30">
        <v>1346.0</v>
      </c>
      <c r="F313" s="28">
        <v>0.0</v>
      </c>
      <c r="G313" s="28" t="s">
        <v>554</v>
      </c>
      <c r="H313" s="28">
        <f t="array" ref="H313">INDEX(CC!C:C,MATCH(1,(CC!A:A=G313)*(CC!B:B=I313),0))</f>
        <v>1703</v>
      </c>
      <c r="I313" s="28" t="s">
        <v>44</v>
      </c>
      <c r="J313" s="31">
        <v>1346.0</v>
      </c>
      <c r="K313" s="28" t="str">
        <f>IFERROR(__xludf.DUMMYFUNCTION("IFERROR(
INDEX(
FILTER(
MAP(
reglas!$B$2:$B$240,
reglas!$C$2:$C$240,
reglas!$D$2:$D$240,
reglas!$E$2:$E$240,
LAMBDA(rEmisor,rPatron,rConcepto,rTipo,
IF(
AND(
OR(
UPPER(TRIM(rEmisor))=UPPER(TRIM(C313)),
UPPER(TRIM(rEmisor))=""CUALQUIERA""
),
OR(
UPPER(TRIM"&amp;"(rTipo))=""SOLO EMISOR"",
AND(
UPPER(TRIM(rTipo))=""EXACTA"",
UPPER(TRIM(AG313))=UPPER(TRIM(rPatron))
),
AND(
OR(
UPPER(TRIM(rTipo))=""CONTIENE"",
UPPER(TRIM(rTipo))=""COINCIDENCIA""
),
ISNUMBER(SEARCH(UPPER(TRIM(rPatron)),UPPER(TRIM(D313))))
)
)
),
rConc"&amp;"epto,
""""
)
)
),
MAP(
reglas!$B$2:$B$240,
reglas!$C$2:$C$240,
reglas!$D$2:$D$240,
reglas!$E$2:$E$240,
LAMBDA(rEmisor,rPatron,rConcepto,rTipo,
IF(
AND(
OR(
UPPER(TRIM(rEmisor))=UPPER(TRIM(C313)),
UPPER(TRIM(rEmisor))=""CUALQUIERA""
),
OR(
UPPER(TRIM(rTipo"&amp;"))=""SOLO EMISOR"",
AND(
UPPER(TRIM(rTipo))=""EXACTA"",
UPPER(TRIM(D313))=UPPER(TRIM(rPatron))
),
AND(
OR(
UPPER(TRIM(rTipo))=""CONTIENE"",
UPPER(TRIM(rTipo))=""COINCIDENCIA""
),
ISNUMBER(SEARCH(UPPER(TRIM(rPatron)),UPPER(TRIM(D313))))
)
)
),
rConcepto,
"&amp;"""""
)
)
)&lt;&gt;""""
),
1
),
""""
)"),"MANIOBRAS")</f>
        <v>MANIOBRAS</v>
      </c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</row>
    <row r="314">
      <c r="A314" s="32"/>
      <c r="B314" s="32"/>
      <c r="C314" s="29" t="s">
        <v>458</v>
      </c>
      <c r="D314" s="29" t="s">
        <v>1266</v>
      </c>
      <c r="E314" s="30">
        <v>2826.0</v>
      </c>
      <c r="F314" s="28">
        <v>0.0</v>
      </c>
      <c r="G314" s="28" t="s">
        <v>554</v>
      </c>
      <c r="H314" s="28">
        <f t="array" ref="H314">INDEX(CC!C:C,MATCH(1,(CC!A:A=G314)*(CC!B:B=I314),0))</f>
        <v>1703</v>
      </c>
      <c r="I314" s="28" t="s">
        <v>44</v>
      </c>
      <c r="J314" s="31">
        <v>2826.0</v>
      </c>
      <c r="K314" s="28" t="str">
        <f>IFERROR(__xludf.DUMMYFUNCTION("IFERROR(
INDEX(
FILTER(
MAP(
reglas!$B$2:$B$240,
reglas!$C$2:$C$240,
reglas!$D$2:$D$240,
reglas!$E$2:$E$240,
LAMBDA(rEmisor,rPatron,rConcepto,rTipo,
IF(
AND(
OR(
UPPER(TRIM(rEmisor))=UPPER(TRIM(C314)),
UPPER(TRIM(rEmisor))=""CUALQUIERA""
),
OR(
UPPER(TRIM"&amp;"(rTipo))=""SOLO EMISOR"",
AND(
UPPER(TRIM(rTipo))=""EXACTA"",
UPPER(TRIM(AG314))=UPPER(TRIM(rPatron))
),
AND(
OR(
UPPER(TRIM(rTipo))=""CONTIENE"",
UPPER(TRIM(rTipo))=""COINCIDENCIA""
),
ISNUMBER(SEARCH(UPPER(TRIM(rPatron)),UPPER(TRIM(D314))))
)
)
),
rConc"&amp;"epto,
""""
)
)
),
MAP(
reglas!$B$2:$B$240,
reglas!$C$2:$C$240,
reglas!$D$2:$D$240,
reglas!$E$2:$E$240,
LAMBDA(rEmisor,rPatron,rConcepto,rTipo,
IF(
AND(
OR(
UPPER(TRIM(rEmisor))=UPPER(TRIM(C314)),
UPPER(TRIM(rEmisor))=""CUALQUIERA""
),
OR(
UPPER(TRIM(rTipo"&amp;"))=""SOLO EMISOR"",
AND(
UPPER(TRIM(rTipo))=""EXACTA"",
UPPER(TRIM(D314))=UPPER(TRIM(rPatron))
),
AND(
OR(
UPPER(TRIM(rTipo))=""CONTIENE"",
UPPER(TRIM(rTipo))=""COINCIDENCIA""
),
ISNUMBER(SEARCH(UPPER(TRIM(rPatron)),UPPER(TRIM(D314))))
)
)
),
rConcepto,
"&amp;"""""
)
)
)&lt;&gt;""""
),
1
),
""""
)"),"MANIOBRAS")</f>
        <v>MANIOBRAS</v>
      </c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</row>
    <row r="315">
      <c r="A315" s="32"/>
      <c r="B315" s="32"/>
      <c r="C315" s="29" t="s">
        <v>458</v>
      </c>
      <c r="D315" s="29" t="s">
        <v>1270</v>
      </c>
      <c r="E315" s="28">
        <v>354.0</v>
      </c>
      <c r="F315" s="28">
        <v>0.0</v>
      </c>
      <c r="G315" s="28" t="s">
        <v>554</v>
      </c>
      <c r="H315" s="28">
        <f t="array" ref="H315">INDEX(CC!C:C,MATCH(1,(CC!A:A=G315)*(CC!B:B=I315),0))</f>
        <v>1703</v>
      </c>
      <c r="I315" s="28" t="s">
        <v>44</v>
      </c>
      <c r="J315" s="31">
        <v>354.0</v>
      </c>
      <c r="K315" s="28" t="str">
        <f>IFERROR(__xludf.DUMMYFUNCTION("IFERROR(
INDEX(
FILTER(
MAP(
reglas!$B$2:$B$240,
reglas!$C$2:$C$240,
reglas!$D$2:$D$240,
reglas!$E$2:$E$240,
LAMBDA(rEmisor,rPatron,rConcepto,rTipo,
IF(
AND(
OR(
UPPER(TRIM(rEmisor))=UPPER(TRIM(C315)),
UPPER(TRIM(rEmisor))=""CUALQUIERA""
),
OR(
UPPER(TRIM"&amp;"(rTipo))=""SOLO EMISOR"",
AND(
UPPER(TRIM(rTipo))=""EXACTA"",
UPPER(TRIM(AG315))=UPPER(TRIM(rPatron))
),
AND(
OR(
UPPER(TRIM(rTipo))=""CONTIENE"",
UPPER(TRIM(rTipo))=""COINCIDENCIA""
),
ISNUMBER(SEARCH(UPPER(TRIM(rPatron)),UPPER(TRIM(D315))))
)
)
),
rConc"&amp;"epto,
""""
)
)
),
MAP(
reglas!$B$2:$B$240,
reglas!$C$2:$C$240,
reglas!$D$2:$D$240,
reglas!$E$2:$E$240,
LAMBDA(rEmisor,rPatron,rConcepto,rTipo,
IF(
AND(
OR(
UPPER(TRIM(rEmisor))=UPPER(TRIM(C315)),
UPPER(TRIM(rEmisor))=""CUALQUIERA""
),
OR(
UPPER(TRIM(rTipo"&amp;"))=""SOLO EMISOR"",
AND(
UPPER(TRIM(rTipo))=""EXACTA"",
UPPER(TRIM(D315))=UPPER(TRIM(rPatron))
),
AND(
OR(
UPPER(TRIM(rTipo))=""CONTIENE"",
UPPER(TRIM(rTipo))=""COINCIDENCIA""
),
ISNUMBER(SEARCH(UPPER(TRIM(rPatron)),UPPER(TRIM(D315))))
)
)
),
rConcepto,
"&amp;"""""
)
)
)&lt;&gt;""""
),
1
),
""""
)"),"MANIOBRAS")</f>
        <v>MANIOBRAS</v>
      </c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</row>
    <row r="316">
      <c r="A316" s="32"/>
      <c r="B316" s="32"/>
      <c r="C316" s="29" t="s">
        <v>458</v>
      </c>
      <c r="D316" s="29" t="s">
        <v>1274</v>
      </c>
      <c r="E316" s="30">
        <v>4242.0</v>
      </c>
      <c r="F316" s="28">
        <v>0.0</v>
      </c>
      <c r="G316" s="28" t="s">
        <v>554</v>
      </c>
      <c r="H316" s="28">
        <f t="array" ref="H316">INDEX(CC!C:C,MATCH(1,(CC!A:A=G316)*(CC!B:B=I316),0))</f>
        <v>1703</v>
      </c>
      <c r="I316" s="28" t="s">
        <v>44</v>
      </c>
      <c r="J316" s="31">
        <v>4242.0</v>
      </c>
      <c r="K316" s="28" t="str">
        <f>IFERROR(__xludf.DUMMYFUNCTION("IFERROR(
INDEX(
FILTER(
MAP(
reglas!$B$2:$B$240,
reglas!$C$2:$C$240,
reglas!$D$2:$D$240,
reglas!$E$2:$E$240,
LAMBDA(rEmisor,rPatron,rConcepto,rTipo,
IF(
AND(
OR(
UPPER(TRIM(rEmisor))=UPPER(TRIM(C316)),
UPPER(TRIM(rEmisor))=""CUALQUIERA""
),
OR(
UPPER(TRIM"&amp;"(rTipo))=""SOLO EMISOR"",
AND(
UPPER(TRIM(rTipo))=""EXACTA"",
UPPER(TRIM(AG316))=UPPER(TRIM(rPatron))
),
AND(
OR(
UPPER(TRIM(rTipo))=""CONTIENE"",
UPPER(TRIM(rTipo))=""COINCIDENCIA""
),
ISNUMBER(SEARCH(UPPER(TRIM(rPatron)),UPPER(TRIM(D316))))
)
)
),
rConc"&amp;"epto,
""""
)
)
),
MAP(
reglas!$B$2:$B$240,
reglas!$C$2:$C$240,
reglas!$D$2:$D$240,
reglas!$E$2:$E$240,
LAMBDA(rEmisor,rPatron,rConcepto,rTipo,
IF(
AND(
OR(
UPPER(TRIM(rEmisor))=UPPER(TRIM(C316)),
UPPER(TRIM(rEmisor))=""CUALQUIERA""
),
OR(
UPPER(TRIM(rTipo"&amp;"))=""SOLO EMISOR"",
AND(
UPPER(TRIM(rTipo))=""EXACTA"",
UPPER(TRIM(D316))=UPPER(TRIM(rPatron))
),
AND(
OR(
UPPER(TRIM(rTipo))=""CONTIENE"",
UPPER(TRIM(rTipo))=""COINCIDENCIA""
),
ISNUMBER(SEARCH(UPPER(TRIM(rPatron)),UPPER(TRIM(D316))))
)
)
),
rConcepto,
"&amp;"""""
)
)
)&lt;&gt;""""
),
1
),
""""
)"),"MANIOBRAS")</f>
        <v>MANIOBRAS</v>
      </c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</row>
    <row r="317">
      <c r="A317" s="32"/>
      <c r="B317" s="32"/>
      <c r="C317" s="29" t="s">
        <v>458</v>
      </c>
      <c r="D317" s="29" t="s">
        <v>1278</v>
      </c>
      <c r="E317" s="28">
        <v>427.0</v>
      </c>
      <c r="F317" s="28">
        <v>0.0</v>
      </c>
      <c r="G317" s="28" t="s">
        <v>554</v>
      </c>
      <c r="H317" s="28">
        <f t="array" ref="H317">INDEX(CC!C:C,MATCH(1,(CC!A:A=G317)*(CC!B:B=I317),0))</f>
        <v>1703</v>
      </c>
      <c r="I317" s="28" t="s">
        <v>44</v>
      </c>
      <c r="J317" s="31">
        <v>427.0</v>
      </c>
      <c r="K317" s="28" t="str">
        <f>IFERROR(__xludf.DUMMYFUNCTION("IFERROR(
INDEX(
FILTER(
MAP(
reglas!$B$2:$B$240,
reglas!$C$2:$C$240,
reglas!$D$2:$D$240,
reglas!$E$2:$E$240,
LAMBDA(rEmisor,rPatron,rConcepto,rTipo,
IF(
AND(
OR(
UPPER(TRIM(rEmisor))=UPPER(TRIM(C317)),
UPPER(TRIM(rEmisor))=""CUALQUIERA""
),
OR(
UPPER(TRIM"&amp;"(rTipo))=""SOLO EMISOR"",
AND(
UPPER(TRIM(rTipo))=""EXACTA"",
UPPER(TRIM(AG317))=UPPER(TRIM(rPatron))
),
AND(
OR(
UPPER(TRIM(rTipo))=""CONTIENE"",
UPPER(TRIM(rTipo))=""COINCIDENCIA""
),
ISNUMBER(SEARCH(UPPER(TRIM(rPatron)),UPPER(TRIM(D317))))
)
)
),
rConc"&amp;"epto,
""""
)
)
),
MAP(
reglas!$B$2:$B$240,
reglas!$C$2:$C$240,
reglas!$D$2:$D$240,
reglas!$E$2:$E$240,
LAMBDA(rEmisor,rPatron,rConcepto,rTipo,
IF(
AND(
OR(
UPPER(TRIM(rEmisor))=UPPER(TRIM(C317)),
UPPER(TRIM(rEmisor))=""CUALQUIERA""
),
OR(
UPPER(TRIM(rTipo"&amp;"))=""SOLO EMISOR"",
AND(
UPPER(TRIM(rTipo))=""EXACTA"",
UPPER(TRIM(D317))=UPPER(TRIM(rPatron))
),
AND(
OR(
UPPER(TRIM(rTipo))=""CONTIENE"",
UPPER(TRIM(rTipo))=""COINCIDENCIA""
),
ISNUMBER(SEARCH(UPPER(TRIM(rPatron)),UPPER(TRIM(D317))))
)
)
),
rConcepto,
"&amp;"""""
)
)
)&lt;&gt;""""
),
1
),
""""
)"),"MANIOBRAS")</f>
        <v>MANIOBRAS</v>
      </c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</row>
    <row r="318">
      <c r="A318" s="32"/>
      <c r="B318" s="32"/>
      <c r="C318" s="29" t="s">
        <v>458</v>
      </c>
      <c r="D318" s="29" t="s">
        <v>1283</v>
      </c>
      <c r="E318" s="28">
        <v>930.0</v>
      </c>
      <c r="F318" s="28">
        <v>0.0</v>
      </c>
      <c r="G318" s="28" t="s">
        <v>554</v>
      </c>
      <c r="H318" s="28">
        <f t="array" ref="H318">INDEX(CC!C:C,MATCH(1,(CC!A:A=G318)*(CC!B:B=I318),0))</f>
        <v>1703</v>
      </c>
      <c r="I318" s="28" t="s">
        <v>44</v>
      </c>
      <c r="J318" s="31">
        <v>930.0</v>
      </c>
      <c r="K318" s="28" t="str">
        <f>IFERROR(__xludf.DUMMYFUNCTION("IFERROR(
INDEX(
FILTER(
MAP(
reglas!$B$2:$B$240,
reglas!$C$2:$C$240,
reglas!$D$2:$D$240,
reglas!$E$2:$E$240,
LAMBDA(rEmisor,rPatron,rConcepto,rTipo,
IF(
AND(
OR(
UPPER(TRIM(rEmisor))=UPPER(TRIM(C318)),
UPPER(TRIM(rEmisor))=""CUALQUIERA""
),
OR(
UPPER(TRIM"&amp;"(rTipo))=""SOLO EMISOR"",
AND(
UPPER(TRIM(rTipo))=""EXACTA"",
UPPER(TRIM(AG318))=UPPER(TRIM(rPatron))
),
AND(
OR(
UPPER(TRIM(rTipo))=""CONTIENE"",
UPPER(TRIM(rTipo))=""COINCIDENCIA""
),
ISNUMBER(SEARCH(UPPER(TRIM(rPatron)),UPPER(TRIM(D318))))
)
)
),
rConc"&amp;"epto,
""""
)
)
),
MAP(
reglas!$B$2:$B$240,
reglas!$C$2:$C$240,
reglas!$D$2:$D$240,
reglas!$E$2:$E$240,
LAMBDA(rEmisor,rPatron,rConcepto,rTipo,
IF(
AND(
OR(
UPPER(TRIM(rEmisor))=UPPER(TRIM(C318)),
UPPER(TRIM(rEmisor))=""CUALQUIERA""
),
OR(
UPPER(TRIM(rTipo"&amp;"))=""SOLO EMISOR"",
AND(
UPPER(TRIM(rTipo))=""EXACTA"",
UPPER(TRIM(D318))=UPPER(TRIM(rPatron))
),
AND(
OR(
UPPER(TRIM(rTipo))=""CONTIENE"",
UPPER(TRIM(rTipo))=""COINCIDENCIA""
),
ISNUMBER(SEARCH(UPPER(TRIM(rPatron)),UPPER(TRIM(D318))))
)
)
),
rConcepto,
"&amp;"""""
)
)
)&lt;&gt;""""
),
1
),
""""
)"),"MANIOBRAS")</f>
        <v>MANIOBRAS</v>
      </c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</row>
    <row r="319">
      <c r="A319" s="32"/>
      <c r="B319" s="32"/>
      <c r="C319" s="29" t="s">
        <v>458</v>
      </c>
      <c r="D319" s="29" t="s">
        <v>1289</v>
      </c>
      <c r="E319" s="28">
        <v>700.0</v>
      </c>
      <c r="F319" s="28">
        <v>0.0</v>
      </c>
      <c r="G319" s="28" t="s">
        <v>554</v>
      </c>
      <c r="H319" s="28">
        <f t="array" ref="H319">INDEX(CC!C:C,MATCH(1,(CC!A:A=G319)*(CC!B:B=I319),0))</f>
        <v>1703</v>
      </c>
      <c r="I319" s="28" t="s">
        <v>44</v>
      </c>
      <c r="J319" s="31">
        <v>700.0</v>
      </c>
      <c r="K319" s="28" t="str">
        <f>IFERROR(__xludf.DUMMYFUNCTION("IFERROR(
INDEX(
FILTER(
MAP(
reglas!$B$2:$B$240,
reglas!$C$2:$C$240,
reglas!$D$2:$D$240,
reglas!$E$2:$E$240,
LAMBDA(rEmisor,rPatron,rConcepto,rTipo,
IF(
AND(
OR(
UPPER(TRIM(rEmisor))=UPPER(TRIM(C319)),
UPPER(TRIM(rEmisor))=""CUALQUIERA""
),
OR(
UPPER(TRIM"&amp;"(rTipo))=""SOLO EMISOR"",
AND(
UPPER(TRIM(rTipo))=""EXACTA"",
UPPER(TRIM(AG319))=UPPER(TRIM(rPatron))
),
AND(
OR(
UPPER(TRIM(rTipo))=""CONTIENE"",
UPPER(TRIM(rTipo))=""COINCIDENCIA""
),
ISNUMBER(SEARCH(UPPER(TRIM(rPatron)),UPPER(TRIM(D319))))
)
)
),
rConc"&amp;"epto,
""""
)
)
),
MAP(
reglas!$B$2:$B$240,
reglas!$C$2:$C$240,
reglas!$D$2:$D$240,
reglas!$E$2:$E$240,
LAMBDA(rEmisor,rPatron,rConcepto,rTipo,
IF(
AND(
OR(
UPPER(TRIM(rEmisor))=UPPER(TRIM(C319)),
UPPER(TRIM(rEmisor))=""CUALQUIERA""
),
OR(
UPPER(TRIM(rTipo"&amp;"))=""SOLO EMISOR"",
AND(
UPPER(TRIM(rTipo))=""EXACTA"",
UPPER(TRIM(D319))=UPPER(TRIM(rPatron))
),
AND(
OR(
UPPER(TRIM(rTipo))=""CONTIENE"",
UPPER(TRIM(rTipo))=""COINCIDENCIA""
),
ISNUMBER(SEARCH(UPPER(TRIM(rPatron)),UPPER(TRIM(D319))))
)
)
),
rConcepto,
"&amp;"""""
)
)
)&lt;&gt;""""
),
1
),
""""
)"),"MANIOBRAS")</f>
        <v>MANIOBRAS</v>
      </c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</row>
    <row r="320">
      <c r="A320" s="32"/>
      <c r="B320" s="32"/>
      <c r="C320" s="29" t="s">
        <v>458</v>
      </c>
      <c r="D320" s="29" t="s">
        <v>1295</v>
      </c>
      <c r="E320" s="30">
        <v>2352.0</v>
      </c>
      <c r="F320" s="28">
        <v>0.0</v>
      </c>
      <c r="G320" s="28" t="s">
        <v>554</v>
      </c>
      <c r="H320" s="28">
        <f t="array" ref="H320">INDEX(CC!C:C,MATCH(1,(CC!A:A=G320)*(CC!B:B=I320),0))</f>
        <v>1703</v>
      </c>
      <c r="I320" s="28" t="s">
        <v>44</v>
      </c>
      <c r="J320" s="31">
        <v>2352.0</v>
      </c>
      <c r="K320" s="28" t="str">
        <f>IFERROR(__xludf.DUMMYFUNCTION("IFERROR(
INDEX(
FILTER(
MAP(
reglas!$B$2:$B$240,
reglas!$C$2:$C$240,
reglas!$D$2:$D$240,
reglas!$E$2:$E$240,
LAMBDA(rEmisor,rPatron,rConcepto,rTipo,
IF(
AND(
OR(
UPPER(TRIM(rEmisor))=UPPER(TRIM(C320)),
UPPER(TRIM(rEmisor))=""CUALQUIERA""
),
OR(
UPPER(TRIM"&amp;"(rTipo))=""SOLO EMISOR"",
AND(
UPPER(TRIM(rTipo))=""EXACTA"",
UPPER(TRIM(AG320))=UPPER(TRIM(rPatron))
),
AND(
OR(
UPPER(TRIM(rTipo))=""CONTIENE"",
UPPER(TRIM(rTipo))=""COINCIDENCIA""
),
ISNUMBER(SEARCH(UPPER(TRIM(rPatron)),UPPER(TRIM(D320))))
)
)
),
rConc"&amp;"epto,
""""
)
)
),
MAP(
reglas!$B$2:$B$240,
reglas!$C$2:$C$240,
reglas!$D$2:$D$240,
reglas!$E$2:$E$240,
LAMBDA(rEmisor,rPatron,rConcepto,rTipo,
IF(
AND(
OR(
UPPER(TRIM(rEmisor))=UPPER(TRIM(C320)),
UPPER(TRIM(rEmisor))=""CUALQUIERA""
),
OR(
UPPER(TRIM(rTipo"&amp;"))=""SOLO EMISOR"",
AND(
UPPER(TRIM(rTipo))=""EXACTA"",
UPPER(TRIM(D320))=UPPER(TRIM(rPatron))
),
AND(
OR(
UPPER(TRIM(rTipo))=""CONTIENE"",
UPPER(TRIM(rTipo))=""COINCIDENCIA""
),
ISNUMBER(SEARCH(UPPER(TRIM(rPatron)),UPPER(TRIM(D320))))
)
)
),
rConcepto,
"&amp;"""""
)
)
)&lt;&gt;""""
),
1
),
""""
)"),"MANIOBRAS")</f>
        <v>MANIOBRAS</v>
      </c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</row>
    <row r="321">
      <c r="A321" s="28">
        <v>1.0</v>
      </c>
      <c r="B321" s="28" t="s">
        <v>29</v>
      </c>
      <c r="C321" s="29" t="s">
        <v>271</v>
      </c>
      <c r="D321" s="29" t="s">
        <v>589</v>
      </c>
      <c r="E321" s="28">
        <v>633.99</v>
      </c>
      <c r="F321" s="28">
        <v>0.0</v>
      </c>
      <c r="G321" s="28" t="s">
        <v>84</v>
      </c>
      <c r="H321" s="28">
        <f t="array" ref="H321">INDEX(CC!C:C,MATCH(1,(CC!A:A=G321)*(CC!B:B=I321),0))</f>
        <v>1002</v>
      </c>
      <c r="I321" s="28" t="s">
        <v>25</v>
      </c>
      <c r="J321" s="31">
        <v>633.99</v>
      </c>
      <c r="K321" s="28" t="str">
        <f>IFERROR(__xludf.DUMMYFUNCTION("IFERROR(
INDEX(
FILTER(
MAP(
reglas!$B$2:$B$240,
reglas!$C$2:$C$240,
reglas!$D$2:$D$240,
reglas!$E$2:$E$240,
LAMBDA(rEmisor,rPatron,rConcepto,rTipo,
IF(
AND(
OR(
UPPER(TRIM(rEmisor))=UPPER(TRIM(C321)),
UPPER(TRIM(rEmisor))=""CUALQUIERA""
),
OR(
UPPER(TRIM"&amp;"(rTipo))=""SOLO EMISOR"",
AND(
UPPER(TRIM(rTipo))=""EXACTA"",
UPPER(TRIM(AG321))=UPPER(TRIM(rPatron))
),
AND(
OR(
UPPER(TRIM(rTipo))=""CONTIENE"",
UPPER(TRIM(rTipo))=""COINCIDENCIA""
),
ISNUMBER(SEARCH(UPPER(TRIM(rPatron)),UPPER(TRIM(D321))))
)
)
),
rConc"&amp;"epto,
""""
)
)
),
MAP(
reglas!$B$2:$B$240,
reglas!$C$2:$C$240,
reglas!$D$2:$D$240,
reglas!$E$2:$E$240,
LAMBDA(rEmisor,rPatron,rConcepto,rTipo,
IF(
AND(
OR(
UPPER(TRIM(rEmisor))=UPPER(TRIM(C321)),
UPPER(TRIM(rEmisor))=""CUALQUIERA""
),
OR(
UPPER(TRIM(rTipo"&amp;"))=""SOLO EMISOR"",
AND(
UPPER(TRIM(rTipo))=""EXACTA"",
UPPER(TRIM(D321))=UPPER(TRIM(rPatron))
),
AND(
OR(
UPPER(TRIM(rTipo))=""CONTIENE"",
UPPER(TRIM(rTipo))=""COINCIDENCIA""
),
ISNUMBER(SEARCH(UPPER(TRIM(rPatron)),UPPER(TRIM(D321))))
)
)
),
rConcepto,
"&amp;"""""
)
)
)&lt;&gt;""""
),
1
),
""""
)"),"MANIOBRAS")</f>
        <v>MANIOBRAS</v>
      </c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</row>
    <row r="322">
      <c r="A322" s="32"/>
      <c r="B322" s="28" t="s">
        <v>29</v>
      </c>
      <c r="C322" s="29" t="s">
        <v>1307</v>
      </c>
      <c r="D322" s="29" t="s">
        <v>1052</v>
      </c>
      <c r="E322" s="28">
        <v>310.32</v>
      </c>
      <c r="F322" s="28">
        <v>0.0</v>
      </c>
      <c r="G322" s="28" t="s">
        <v>225</v>
      </c>
      <c r="H322" s="28">
        <f t="array" ref="H322">INDEX(CC!C:C,MATCH(1,(CC!A:A=G322)*(CC!B:B=I322),0))</f>
        <v>102</v>
      </c>
      <c r="I322" s="28" t="s">
        <v>25</v>
      </c>
      <c r="J322" s="31">
        <v>310.32</v>
      </c>
      <c r="K322" s="28" t="str">
        <f>IFERROR(__xludf.DUMMYFUNCTION("IFERROR(
INDEX(
FILTER(
MAP(
reglas!$B$2:$B$240,
reglas!$C$2:$C$240,
reglas!$D$2:$D$240,
reglas!$E$2:$E$240,
LAMBDA(rEmisor,rPatron,rConcepto,rTipo,
IF(
AND(
OR(
UPPER(TRIM(rEmisor))=UPPER(TRIM(C322)),
UPPER(TRIM(rEmisor))=""CUALQUIERA""
),
OR(
UPPER(TRIM"&amp;"(rTipo))=""SOLO EMISOR"",
AND(
UPPER(TRIM(rTipo))=""EXACTA"",
UPPER(TRIM(AG322))=UPPER(TRIM(rPatron))
),
AND(
OR(
UPPER(TRIM(rTipo))=""CONTIENE"",
UPPER(TRIM(rTipo))=""COINCIDENCIA""
),
ISNUMBER(SEARCH(UPPER(TRIM(rPatron)),UPPER(TRIM(D322))))
)
)
),
rConc"&amp;"epto,
""""
)
)
),
MAP(
reglas!$B$2:$B$240,
reglas!$C$2:$C$240,
reglas!$D$2:$D$240,
reglas!$E$2:$E$240,
LAMBDA(rEmisor,rPatron,rConcepto,rTipo,
IF(
AND(
OR(
UPPER(TRIM(rEmisor))=UPPER(TRIM(C322)),
UPPER(TRIM(rEmisor))=""CUALQUIERA""
),
OR(
UPPER(TRIM(rTipo"&amp;"))=""SOLO EMISOR"",
AND(
UPPER(TRIM(rTipo))=""EXACTA"",
UPPER(TRIM(D322))=UPPER(TRIM(rPatron))
),
AND(
OR(
UPPER(TRIM(rTipo))=""CONTIENE"",
UPPER(TRIM(rTipo))=""COINCIDENCIA""
),
ISNUMBER(SEARCH(UPPER(TRIM(rPatron)),UPPER(TRIM(D322))))
)
)
),
rConcepto,
"&amp;"""""
)
)
)&lt;&gt;""""
),
1
),
""""
)"),"")</f>
        <v/>
      </c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</row>
    <row r="323">
      <c r="A323" s="32"/>
      <c r="B323" s="28" t="s">
        <v>29</v>
      </c>
      <c r="C323" s="29" t="s">
        <v>432</v>
      </c>
      <c r="D323" s="29" t="s">
        <v>433</v>
      </c>
      <c r="E323" s="30">
        <v>9000.0</v>
      </c>
      <c r="F323" s="28">
        <v>0.0</v>
      </c>
      <c r="G323" s="28" t="s">
        <v>225</v>
      </c>
      <c r="H323" s="28">
        <f t="array" ref="H323">INDEX(CC!C:C,MATCH(1,(CC!A:A=G323)*(CC!B:B=I323),0))</f>
        <v>102</v>
      </c>
      <c r="I323" s="28" t="s">
        <v>25</v>
      </c>
      <c r="J323" s="31">
        <v>9000.0</v>
      </c>
      <c r="K323" s="28" t="str">
        <f>IFERROR(__xludf.DUMMYFUNCTION("IFERROR(
INDEX(
FILTER(
MAP(
reglas!$B$2:$B$240,
reglas!$C$2:$C$240,
reglas!$D$2:$D$240,
reglas!$E$2:$E$240,
LAMBDA(rEmisor,rPatron,rConcepto,rTipo,
IF(
AND(
OR(
UPPER(TRIM(rEmisor))=UPPER(TRIM(C323)),
UPPER(TRIM(rEmisor))=""CUALQUIERA""
),
OR(
UPPER(TRIM"&amp;"(rTipo))=""SOLO EMISOR"",
AND(
UPPER(TRIM(rTipo))=""EXACTA"",
UPPER(TRIM(AG323))=UPPER(TRIM(rPatron))
),
AND(
OR(
UPPER(TRIM(rTipo))=""CONTIENE"",
UPPER(TRIM(rTipo))=""COINCIDENCIA""
),
ISNUMBER(SEARCH(UPPER(TRIM(rPatron)),UPPER(TRIM(D323))))
)
)
),
rConc"&amp;"epto,
""""
)
)
),
MAP(
reglas!$B$2:$B$240,
reglas!$C$2:$C$240,
reglas!$D$2:$D$240,
reglas!$E$2:$E$240,
LAMBDA(rEmisor,rPatron,rConcepto,rTipo,
IF(
AND(
OR(
UPPER(TRIM(rEmisor))=UPPER(TRIM(C323)),
UPPER(TRIM(rEmisor))=""CUALQUIERA""
),
OR(
UPPER(TRIM(rTipo"&amp;"))=""SOLO EMISOR"",
AND(
UPPER(TRIM(rTipo))=""EXACTA"",
UPPER(TRIM(D323))=UPPER(TRIM(rPatron))
),
AND(
OR(
UPPER(TRIM(rTipo))=""CONTIENE"",
UPPER(TRIM(rTipo))=""COINCIDENCIA""
),
ISNUMBER(SEARCH(UPPER(TRIM(rPatron)),UPPER(TRIM(D323))))
)
)
),
rConcepto,
"&amp;"""""
)
)
)&lt;&gt;""""
),
1
),
""""
)"),"PUBLICIDAD Y PATROCINIOS")</f>
        <v>PUBLICIDAD Y PATROCINIOS</v>
      </c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</row>
    <row r="324">
      <c r="A324" s="28">
        <v>1.0</v>
      </c>
      <c r="B324" s="28" t="s">
        <v>29</v>
      </c>
      <c r="C324" s="29" t="s">
        <v>271</v>
      </c>
      <c r="D324" s="29" t="s">
        <v>587</v>
      </c>
      <c r="E324" s="28">
        <v>579.65</v>
      </c>
      <c r="F324" s="28">
        <v>0.0</v>
      </c>
      <c r="G324" s="28" t="s">
        <v>84</v>
      </c>
      <c r="H324" s="28">
        <f t="array" ref="H324">INDEX(CC!C:C,MATCH(1,(CC!A:A=G324)*(CC!B:B=I324),0))</f>
        <v>1002</v>
      </c>
      <c r="I324" s="28" t="s">
        <v>25</v>
      </c>
      <c r="J324" s="31">
        <v>579.65</v>
      </c>
      <c r="K324" s="28" t="str">
        <f>IFERROR(__xludf.DUMMYFUNCTION("IFERROR(
INDEX(
FILTER(
MAP(
reglas!$B$2:$B$240,
reglas!$C$2:$C$240,
reglas!$D$2:$D$240,
reglas!$E$2:$E$240,
LAMBDA(rEmisor,rPatron,rConcepto,rTipo,
IF(
AND(
OR(
UPPER(TRIM(rEmisor))=UPPER(TRIM(C324)),
UPPER(TRIM(rEmisor))=""CUALQUIERA""
),
OR(
UPPER(TRIM"&amp;"(rTipo))=""SOLO EMISOR"",
AND(
UPPER(TRIM(rTipo))=""EXACTA"",
UPPER(TRIM(AG324))=UPPER(TRIM(rPatron))
),
AND(
OR(
UPPER(TRIM(rTipo))=""CONTIENE"",
UPPER(TRIM(rTipo))=""COINCIDENCIA""
),
ISNUMBER(SEARCH(UPPER(TRIM(rPatron)),UPPER(TRIM(D324))))
)
)
),
rConc"&amp;"epto,
""""
)
)
),
MAP(
reglas!$B$2:$B$240,
reglas!$C$2:$C$240,
reglas!$D$2:$D$240,
reglas!$E$2:$E$240,
LAMBDA(rEmisor,rPatron,rConcepto,rTipo,
IF(
AND(
OR(
UPPER(TRIM(rEmisor))=UPPER(TRIM(C324)),
UPPER(TRIM(rEmisor))=""CUALQUIERA""
),
OR(
UPPER(TRIM(rTipo"&amp;"))=""SOLO EMISOR"",
AND(
UPPER(TRIM(rTipo))=""EXACTA"",
UPPER(TRIM(D324))=UPPER(TRIM(rPatron))
),
AND(
OR(
UPPER(TRIM(rTipo))=""CONTIENE"",
UPPER(TRIM(rTipo))=""COINCIDENCIA""
),
ISNUMBER(SEARCH(UPPER(TRIM(rPatron)),UPPER(TRIM(D324))))
)
)
),
rConcepto,
"&amp;"""""
)
)
)&lt;&gt;""""
),
1
),
""""
)"),"MANIOBRAS")</f>
        <v>MANIOBRAS</v>
      </c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</row>
    <row r="325">
      <c r="A325" s="32"/>
      <c r="B325" s="32"/>
      <c r="C325" s="29" t="s">
        <v>271</v>
      </c>
      <c r="D325" s="29" t="s">
        <v>589</v>
      </c>
      <c r="E325" s="28">
        <v>633.89</v>
      </c>
      <c r="F325" s="28">
        <v>0.0</v>
      </c>
      <c r="G325" s="28" t="s">
        <v>84</v>
      </c>
      <c r="H325" s="28">
        <f t="array" ref="H325">INDEX(CC!C:C,MATCH(1,(CC!A:A=G325)*(CC!B:B=I325),0))</f>
        <v>1002</v>
      </c>
      <c r="I325" s="28" t="s">
        <v>25</v>
      </c>
      <c r="J325" s="31">
        <v>633.89</v>
      </c>
      <c r="K325" s="28" t="str">
        <f>IFERROR(__xludf.DUMMYFUNCTION("IFERROR(
INDEX(
FILTER(
MAP(
reglas!$B$2:$B$240,
reglas!$C$2:$C$240,
reglas!$D$2:$D$240,
reglas!$E$2:$E$240,
LAMBDA(rEmisor,rPatron,rConcepto,rTipo,
IF(
AND(
OR(
UPPER(TRIM(rEmisor))=UPPER(TRIM(C325)),
UPPER(TRIM(rEmisor))=""CUALQUIERA""
),
OR(
UPPER(TRIM"&amp;"(rTipo))=""SOLO EMISOR"",
AND(
UPPER(TRIM(rTipo))=""EXACTA"",
UPPER(TRIM(AG325))=UPPER(TRIM(rPatron))
),
AND(
OR(
UPPER(TRIM(rTipo))=""CONTIENE"",
UPPER(TRIM(rTipo))=""COINCIDENCIA""
),
ISNUMBER(SEARCH(UPPER(TRIM(rPatron)),UPPER(TRIM(D325))))
)
)
),
rConc"&amp;"epto,
""""
)
)
),
MAP(
reglas!$B$2:$B$240,
reglas!$C$2:$C$240,
reglas!$D$2:$D$240,
reglas!$E$2:$E$240,
LAMBDA(rEmisor,rPatron,rConcepto,rTipo,
IF(
AND(
OR(
UPPER(TRIM(rEmisor))=UPPER(TRIM(C325)),
UPPER(TRIM(rEmisor))=""CUALQUIERA""
),
OR(
UPPER(TRIM(rTipo"&amp;"))=""SOLO EMISOR"",
AND(
UPPER(TRIM(rTipo))=""EXACTA"",
UPPER(TRIM(D325))=UPPER(TRIM(rPatron))
),
AND(
OR(
UPPER(TRIM(rTipo))=""CONTIENE"",
UPPER(TRIM(rTipo))=""COINCIDENCIA""
),
ISNUMBER(SEARCH(UPPER(TRIM(rPatron)),UPPER(TRIM(D325))))
)
)
),
rConcepto,
"&amp;"""""
)
)
)&lt;&gt;""""
),
1
),
""""
)"),"MANIOBRAS")</f>
        <v>MANIOBRAS</v>
      </c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</row>
    <row r="326">
      <c r="A326" s="32"/>
      <c r="B326" s="32"/>
      <c r="C326" s="29" t="s">
        <v>271</v>
      </c>
      <c r="D326" s="29" t="s">
        <v>596</v>
      </c>
      <c r="E326" s="28">
        <v>665.08</v>
      </c>
      <c r="F326" s="28">
        <v>0.0</v>
      </c>
      <c r="G326" s="28" t="s">
        <v>84</v>
      </c>
      <c r="H326" s="28">
        <f t="array" ref="H326">INDEX(CC!C:C,MATCH(1,(CC!A:A=G326)*(CC!B:B=I326),0))</f>
        <v>1002</v>
      </c>
      <c r="I326" s="28" t="s">
        <v>25</v>
      </c>
      <c r="J326" s="31">
        <v>665.08</v>
      </c>
      <c r="K326" s="28" t="str">
        <f>IFERROR(__xludf.DUMMYFUNCTION("IFERROR(
INDEX(
FILTER(
MAP(
reglas!$B$2:$B$240,
reglas!$C$2:$C$240,
reglas!$D$2:$D$240,
reglas!$E$2:$E$240,
LAMBDA(rEmisor,rPatron,rConcepto,rTipo,
IF(
AND(
OR(
UPPER(TRIM(rEmisor))=UPPER(TRIM(C326)),
UPPER(TRIM(rEmisor))=""CUALQUIERA""
),
OR(
UPPER(TRIM"&amp;"(rTipo))=""SOLO EMISOR"",
AND(
UPPER(TRIM(rTipo))=""EXACTA"",
UPPER(TRIM(AG326))=UPPER(TRIM(rPatron))
),
AND(
OR(
UPPER(TRIM(rTipo))=""CONTIENE"",
UPPER(TRIM(rTipo))=""COINCIDENCIA""
),
ISNUMBER(SEARCH(UPPER(TRIM(rPatron)),UPPER(TRIM(D326))))
)
)
),
rConc"&amp;"epto,
""""
)
)
),
MAP(
reglas!$B$2:$B$240,
reglas!$C$2:$C$240,
reglas!$D$2:$D$240,
reglas!$E$2:$E$240,
LAMBDA(rEmisor,rPatron,rConcepto,rTipo,
IF(
AND(
OR(
UPPER(TRIM(rEmisor))=UPPER(TRIM(C326)),
UPPER(TRIM(rEmisor))=""CUALQUIERA""
),
OR(
UPPER(TRIM(rTipo"&amp;"))=""SOLO EMISOR"",
AND(
UPPER(TRIM(rTipo))=""EXACTA"",
UPPER(TRIM(D326))=UPPER(TRIM(rPatron))
),
AND(
OR(
UPPER(TRIM(rTipo))=""CONTIENE"",
UPPER(TRIM(rTipo))=""COINCIDENCIA""
),
ISNUMBER(SEARCH(UPPER(TRIM(rPatron)),UPPER(TRIM(D326))))
)
)
),
rConcepto,
"&amp;"""""
)
)
)&lt;&gt;""""
),
1
),
""""
)"),"MANIOBRAS")</f>
        <v>MANIOBRAS</v>
      </c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</row>
    <row r="327">
      <c r="A327" s="28">
        <v>1.0</v>
      </c>
      <c r="B327" s="28" t="s">
        <v>29</v>
      </c>
      <c r="C327" s="29" t="s">
        <v>271</v>
      </c>
      <c r="D327" s="29" t="s">
        <v>589</v>
      </c>
      <c r="E327" s="28">
        <v>633.99</v>
      </c>
      <c r="F327" s="28">
        <v>0.0</v>
      </c>
      <c r="G327" s="28" t="s">
        <v>84</v>
      </c>
      <c r="H327" s="28">
        <f t="array" ref="H327">INDEX(CC!C:C,MATCH(1,(CC!A:A=G327)*(CC!B:B=I327),0))</f>
        <v>1002</v>
      </c>
      <c r="I327" s="28" t="s">
        <v>25</v>
      </c>
      <c r="J327" s="31">
        <v>633.99</v>
      </c>
      <c r="K327" s="28" t="str">
        <f>IFERROR(__xludf.DUMMYFUNCTION("IFERROR(
INDEX(
FILTER(
MAP(
reglas!$B$2:$B$240,
reglas!$C$2:$C$240,
reglas!$D$2:$D$240,
reglas!$E$2:$E$240,
LAMBDA(rEmisor,rPatron,rConcepto,rTipo,
IF(
AND(
OR(
UPPER(TRIM(rEmisor))=UPPER(TRIM(C327)),
UPPER(TRIM(rEmisor))=""CUALQUIERA""
),
OR(
UPPER(TRIM"&amp;"(rTipo))=""SOLO EMISOR"",
AND(
UPPER(TRIM(rTipo))=""EXACTA"",
UPPER(TRIM(AG327))=UPPER(TRIM(rPatron))
),
AND(
OR(
UPPER(TRIM(rTipo))=""CONTIENE"",
UPPER(TRIM(rTipo))=""COINCIDENCIA""
),
ISNUMBER(SEARCH(UPPER(TRIM(rPatron)),UPPER(TRIM(D327))))
)
)
),
rConc"&amp;"epto,
""""
)
)
),
MAP(
reglas!$B$2:$B$240,
reglas!$C$2:$C$240,
reglas!$D$2:$D$240,
reglas!$E$2:$E$240,
LAMBDA(rEmisor,rPatron,rConcepto,rTipo,
IF(
AND(
OR(
UPPER(TRIM(rEmisor))=UPPER(TRIM(C327)),
UPPER(TRIM(rEmisor))=""CUALQUIERA""
),
OR(
UPPER(TRIM(rTipo"&amp;"))=""SOLO EMISOR"",
AND(
UPPER(TRIM(rTipo))=""EXACTA"",
UPPER(TRIM(D327))=UPPER(TRIM(rPatron))
),
AND(
OR(
UPPER(TRIM(rTipo))=""CONTIENE"",
UPPER(TRIM(rTipo))=""COINCIDENCIA""
),
ISNUMBER(SEARCH(UPPER(TRIM(rPatron)),UPPER(TRIM(D327))))
)
)
),
rConcepto,
"&amp;"""""
)
)
)&lt;&gt;""""
),
1
),
""""
)"),"MANIOBRAS")</f>
        <v>MANIOBRAS</v>
      </c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</row>
    <row r="328">
      <c r="A328" s="32"/>
      <c r="B328" s="28" t="s">
        <v>29</v>
      </c>
      <c r="C328" s="29" t="s">
        <v>172</v>
      </c>
      <c r="D328" s="29" t="s">
        <v>1065</v>
      </c>
      <c r="E328" s="30">
        <v>11500.0</v>
      </c>
      <c r="F328" s="28">
        <v>0.0</v>
      </c>
      <c r="G328" s="28" t="s">
        <v>250</v>
      </c>
      <c r="H328" s="28">
        <f t="array" ref="H328">INDEX(CC!C:C,MATCH(1,(CC!A:A=G328)*(CC!B:B=I328),0))</f>
        <v>1402</v>
      </c>
      <c r="I328" s="28" t="s">
        <v>25</v>
      </c>
      <c r="J328" s="31">
        <v>11500.0</v>
      </c>
      <c r="K328" s="28" t="str">
        <f>IFERROR(__xludf.DUMMYFUNCTION("IFERROR(
INDEX(
FILTER(
MAP(
reglas!$B$2:$B$240,
reglas!$C$2:$C$240,
reglas!$D$2:$D$240,
reglas!$E$2:$E$240,
LAMBDA(rEmisor,rPatron,rConcepto,rTipo,
IF(
AND(
OR(
UPPER(TRIM(rEmisor))=UPPER(TRIM(C328)),
UPPER(TRIM(rEmisor))=""CUALQUIERA""
),
OR(
UPPER(TRIM"&amp;"(rTipo))=""SOLO EMISOR"",
AND(
UPPER(TRIM(rTipo))=""EXACTA"",
UPPER(TRIM(AG328))=UPPER(TRIM(rPatron))
),
AND(
OR(
UPPER(TRIM(rTipo))=""CONTIENE"",
UPPER(TRIM(rTipo))=""COINCIDENCIA""
),
ISNUMBER(SEARCH(UPPER(TRIM(rPatron)),UPPER(TRIM(D328))))
)
)
),
rConc"&amp;"epto,
""""
)
)
),
MAP(
reglas!$B$2:$B$240,
reglas!$C$2:$C$240,
reglas!$D$2:$D$240,
reglas!$E$2:$E$240,
LAMBDA(rEmisor,rPatron,rConcepto,rTipo,
IF(
AND(
OR(
UPPER(TRIM(rEmisor))=UPPER(TRIM(C328)),
UPPER(TRIM(rEmisor))=""CUALQUIERA""
),
OR(
UPPER(TRIM(rTipo"&amp;"))=""SOLO EMISOR"",
AND(
UPPER(TRIM(rTipo))=""EXACTA"",
UPPER(TRIM(D328))=UPPER(TRIM(rPatron))
),
AND(
OR(
UPPER(TRIM(rTipo))=""CONTIENE"",
UPPER(TRIM(rTipo))=""COINCIDENCIA""
),
ISNUMBER(SEARCH(UPPER(TRIM(rPatron)),UPPER(TRIM(D328))))
)
)
),
rConcepto,
"&amp;"""""
)
)
)&lt;&gt;""""
),
1
),
""""
)"),"TRANSPORTE")</f>
        <v>TRANSPORTE</v>
      </c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</row>
    <row r="329">
      <c r="A329" s="32"/>
      <c r="B329" s="28" t="s">
        <v>29</v>
      </c>
      <c r="C329" s="29" t="s">
        <v>188</v>
      </c>
      <c r="D329" s="29" t="s">
        <v>965</v>
      </c>
      <c r="E329" s="30">
        <v>1464.65</v>
      </c>
      <c r="F329" s="28">
        <v>0.0</v>
      </c>
      <c r="G329" s="28" t="s">
        <v>55</v>
      </c>
      <c r="H329" s="28">
        <f t="array" ref="H329">INDEX(CC!C:C,MATCH(1,(CC!A:A=G329)*(CC!B:B=I329),0))</f>
        <v>902</v>
      </c>
      <c r="I329" s="28" t="s">
        <v>25</v>
      </c>
      <c r="J329" s="31">
        <v>1464.65</v>
      </c>
      <c r="K329" s="28" t="str">
        <f>IFERROR(__xludf.DUMMYFUNCTION("IFERROR(
INDEX(
FILTER(
MAP(
reglas!$B$2:$B$240,
reglas!$C$2:$C$240,
reglas!$D$2:$D$240,
reglas!$E$2:$E$240,
LAMBDA(rEmisor,rPatron,rConcepto,rTipo,
IF(
AND(
OR(
UPPER(TRIM(rEmisor))=UPPER(TRIM(C329)),
UPPER(TRIM(rEmisor))=""CUALQUIERA""
),
OR(
UPPER(TRIM"&amp;"(rTipo))=""SOLO EMISOR"",
AND(
UPPER(TRIM(rTipo))=""EXACTA"",
UPPER(TRIM(AG329))=UPPER(TRIM(rPatron))
),
AND(
OR(
UPPER(TRIM(rTipo))=""CONTIENE"",
UPPER(TRIM(rTipo))=""COINCIDENCIA""
),
ISNUMBER(SEARCH(UPPER(TRIM(rPatron)),UPPER(TRIM(D329))))
)
)
),
rConc"&amp;"epto,
""""
)
)
),
MAP(
reglas!$B$2:$B$240,
reglas!$C$2:$C$240,
reglas!$D$2:$D$240,
reglas!$E$2:$E$240,
LAMBDA(rEmisor,rPatron,rConcepto,rTipo,
IF(
AND(
OR(
UPPER(TRIM(rEmisor))=UPPER(TRIM(C329)),
UPPER(TRIM(rEmisor))=""CUALQUIERA""
),
OR(
UPPER(TRIM(rTipo"&amp;"))=""SOLO EMISOR"",
AND(
UPPER(TRIM(rTipo))=""EXACTA"",
UPPER(TRIM(D329))=UPPER(TRIM(rPatron))
),
AND(
OR(
UPPER(TRIM(rTipo))=""CONTIENE"",
UPPER(TRIM(rTipo))=""COINCIDENCIA""
),
ISNUMBER(SEARCH(UPPER(TRIM(rPatron)),UPPER(TRIM(D329))))
)
)
),
rConcepto,
"&amp;"""""
)
)
)&lt;&gt;""""
),
1
),
""""
)"),"INTERNET")</f>
        <v>INTERNET</v>
      </c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</row>
    <row r="330">
      <c r="A330" s="28">
        <v>1.0</v>
      </c>
      <c r="B330" s="28" t="s">
        <v>29</v>
      </c>
      <c r="C330" s="29" t="s">
        <v>89</v>
      </c>
      <c r="D330" s="29" t="s">
        <v>91</v>
      </c>
      <c r="E330" s="30">
        <v>1283.04</v>
      </c>
      <c r="F330" s="28">
        <v>0.0</v>
      </c>
      <c r="G330" s="28" t="s">
        <v>601</v>
      </c>
      <c r="H330" s="28">
        <f t="array" ref="H330">INDEX(CC!C:C,MATCH(1,(CC!A:A=G330)*(CC!B:B=I330),0))</f>
        <v>403</v>
      </c>
      <c r="I330" s="28" t="s">
        <v>44</v>
      </c>
      <c r="J330" s="31">
        <v>1283.04</v>
      </c>
      <c r="K330" s="28" t="str">
        <f>IFERROR(__xludf.DUMMYFUNCTION("IFERROR(
INDEX(
FILTER(
MAP(
reglas!$B$2:$B$240,
reglas!$C$2:$C$240,
reglas!$D$2:$D$240,
reglas!$E$2:$E$240,
LAMBDA(rEmisor,rPatron,rConcepto,rTipo,
IF(
AND(
OR(
UPPER(TRIM(rEmisor))=UPPER(TRIM(C330)),
UPPER(TRIM(rEmisor))=""CUALQUIERA""
),
OR(
UPPER(TRIM"&amp;"(rTipo))=""SOLO EMISOR"",
AND(
UPPER(TRIM(rTipo))=""EXACTA"",
UPPER(TRIM(AG330))=UPPER(TRIM(rPatron))
),
AND(
OR(
UPPER(TRIM(rTipo))=""CONTIENE"",
UPPER(TRIM(rTipo))=""COINCIDENCIA""
),
ISNUMBER(SEARCH(UPPER(TRIM(rPatron)),UPPER(TRIM(D330))))
)
)
),
rConc"&amp;"epto,
""""
)
)
),
MAP(
reglas!$B$2:$B$240,
reglas!$C$2:$C$240,
reglas!$D$2:$D$240,
reglas!$E$2:$E$240,
LAMBDA(rEmisor,rPatron,rConcepto,rTipo,
IF(
AND(
OR(
UPPER(TRIM(rEmisor))=UPPER(TRIM(C330)),
UPPER(TRIM(rEmisor))=""CUALQUIERA""
),
OR(
UPPER(TRIM(rTipo"&amp;"))=""SOLO EMISOR"",
AND(
UPPER(TRIM(rTipo))=""EXACTA"",
UPPER(TRIM(D330))=UPPER(TRIM(rPatron))
),
AND(
OR(
UPPER(TRIM(rTipo))=""CONTIENE"",
UPPER(TRIM(rTipo))=""COINCIDENCIA""
),
ISNUMBER(SEARCH(UPPER(TRIM(rPatron)),UPPER(TRIM(D330))))
)
)
),
rConcepto,
"&amp;"""""
)
)
)&lt;&gt;""""
),
1
),
""""
)"),"MANIOBRAS")</f>
        <v>MANIOBRAS</v>
      </c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</row>
    <row r="331">
      <c r="A331" s="32"/>
      <c r="B331" s="28" t="s">
        <v>29</v>
      </c>
      <c r="C331" s="29" t="s">
        <v>278</v>
      </c>
      <c r="D331" s="29" t="s">
        <v>560</v>
      </c>
      <c r="E331" s="30">
        <v>3500.0</v>
      </c>
      <c r="F331" s="28">
        <v>0.0</v>
      </c>
      <c r="G331" s="28" t="s">
        <v>250</v>
      </c>
      <c r="H331" s="28">
        <f t="array" ref="H331">INDEX(CC!C:C,MATCH(1,(CC!A:A=G331)*(CC!B:B=I331),0))</f>
        <v>1402</v>
      </c>
      <c r="I331" s="28" t="s">
        <v>25</v>
      </c>
      <c r="J331" s="31">
        <v>3500.0</v>
      </c>
      <c r="K331" s="28" t="str">
        <f>IFERROR(__xludf.DUMMYFUNCTION("IFERROR(
INDEX(
FILTER(
MAP(
reglas!$B$2:$B$240,
reglas!$C$2:$C$240,
reglas!$D$2:$D$240,
reglas!$E$2:$E$240,
LAMBDA(rEmisor,rPatron,rConcepto,rTipo,
IF(
AND(
OR(
UPPER(TRIM(rEmisor))=UPPER(TRIM(C331)),
UPPER(TRIM(rEmisor))=""CUALQUIERA""
),
OR(
UPPER(TRIM"&amp;"(rTipo))=""SOLO EMISOR"",
AND(
UPPER(TRIM(rTipo))=""EXACTA"",
UPPER(TRIM(AG331))=UPPER(TRIM(rPatron))
),
AND(
OR(
UPPER(TRIM(rTipo))=""CONTIENE"",
UPPER(TRIM(rTipo))=""COINCIDENCIA""
),
ISNUMBER(SEARCH(UPPER(TRIM(rPatron)),UPPER(TRIM(D331))))
)
)
),
rConc"&amp;"epto,
""""
)
)
),
MAP(
reglas!$B$2:$B$240,
reglas!$C$2:$C$240,
reglas!$D$2:$D$240,
reglas!$E$2:$E$240,
LAMBDA(rEmisor,rPatron,rConcepto,rTipo,
IF(
AND(
OR(
UPPER(TRIM(rEmisor))=UPPER(TRIM(C331)),
UPPER(TRIM(rEmisor))=""CUALQUIERA""
),
OR(
UPPER(TRIM(rTipo"&amp;"))=""SOLO EMISOR"",
AND(
UPPER(TRIM(rTipo))=""EXACTA"",
UPPER(TRIM(D331))=UPPER(TRIM(rPatron))
),
AND(
OR(
UPPER(TRIM(rTipo))=""CONTIENE"",
UPPER(TRIM(rTipo))=""COINCIDENCIA""
),
ISNUMBER(SEARCH(UPPER(TRIM(rPatron)),UPPER(TRIM(D331))))
)
)
),
rConcepto,
"&amp;"""""
)
)
)&lt;&gt;""""
),
1
),
""""
)"),"MANIOBRAS")</f>
        <v>MANIOBRAS</v>
      </c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</row>
    <row r="332">
      <c r="A332" s="32"/>
      <c r="B332" s="28" t="s">
        <v>29</v>
      </c>
      <c r="C332" s="29" t="s">
        <v>172</v>
      </c>
      <c r="D332" s="29" t="s">
        <v>1081</v>
      </c>
      <c r="E332" s="30">
        <v>11500.0</v>
      </c>
      <c r="F332" s="28">
        <v>0.0</v>
      </c>
      <c r="G332" s="28" t="s">
        <v>250</v>
      </c>
      <c r="H332" s="28">
        <f t="array" ref="H332">INDEX(CC!C:C,MATCH(1,(CC!A:A=G332)*(CC!B:B=I332),0))</f>
        <v>1402</v>
      </c>
      <c r="I332" s="28" t="s">
        <v>25</v>
      </c>
      <c r="J332" s="31">
        <v>11500.0</v>
      </c>
      <c r="K332" s="28" t="str">
        <f>IFERROR(__xludf.DUMMYFUNCTION("IFERROR(
INDEX(
FILTER(
MAP(
reglas!$B$2:$B$240,
reglas!$C$2:$C$240,
reglas!$D$2:$D$240,
reglas!$E$2:$E$240,
LAMBDA(rEmisor,rPatron,rConcepto,rTipo,
IF(
AND(
OR(
UPPER(TRIM(rEmisor))=UPPER(TRIM(C332)),
UPPER(TRIM(rEmisor))=""CUALQUIERA""
),
OR(
UPPER(TRIM"&amp;"(rTipo))=""SOLO EMISOR"",
AND(
UPPER(TRIM(rTipo))=""EXACTA"",
UPPER(TRIM(AG332))=UPPER(TRIM(rPatron))
),
AND(
OR(
UPPER(TRIM(rTipo))=""CONTIENE"",
UPPER(TRIM(rTipo))=""COINCIDENCIA""
),
ISNUMBER(SEARCH(UPPER(TRIM(rPatron)),UPPER(TRIM(D332))))
)
)
),
rConc"&amp;"epto,
""""
)
)
),
MAP(
reglas!$B$2:$B$240,
reglas!$C$2:$C$240,
reglas!$D$2:$D$240,
reglas!$E$2:$E$240,
LAMBDA(rEmisor,rPatron,rConcepto,rTipo,
IF(
AND(
OR(
UPPER(TRIM(rEmisor))=UPPER(TRIM(C332)),
UPPER(TRIM(rEmisor))=""CUALQUIERA""
),
OR(
UPPER(TRIM(rTipo"&amp;"))=""SOLO EMISOR"",
AND(
UPPER(TRIM(rTipo))=""EXACTA"",
UPPER(TRIM(D332))=UPPER(TRIM(rPatron))
),
AND(
OR(
UPPER(TRIM(rTipo))=""CONTIENE"",
UPPER(TRIM(rTipo))=""COINCIDENCIA""
),
ISNUMBER(SEARCH(UPPER(TRIM(rPatron)),UPPER(TRIM(D332))))
)
)
),
rConcepto,
"&amp;"""""
)
)
)&lt;&gt;""""
),
1
),
""""
)"),"TRANSPORTE")</f>
        <v>TRANSPORTE</v>
      </c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</row>
    <row r="333">
      <c r="A333" s="32"/>
      <c r="B333" s="28" t="s">
        <v>29</v>
      </c>
      <c r="C333" s="29" t="s">
        <v>1307</v>
      </c>
      <c r="D333" s="29" t="s">
        <v>1342</v>
      </c>
      <c r="E333" s="28">
        <v>15.52</v>
      </c>
      <c r="F333" s="28">
        <v>0.0</v>
      </c>
      <c r="G333" s="28" t="s">
        <v>225</v>
      </c>
      <c r="H333" s="28">
        <f t="array" ref="H333">INDEX(CC!C:C,MATCH(1,(CC!A:A=G333)*(CC!B:B=I333),0))</f>
        <v>102</v>
      </c>
      <c r="I333" s="28" t="s">
        <v>25</v>
      </c>
      <c r="J333" s="31">
        <v>15.52</v>
      </c>
      <c r="K333" s="28" t="str">
        <f>IFERROR(__xludf.DUMMYFUNCTION("IFERROR(
INDEX(
FILTER(
MAP(
reglas!$B$2:$B$240,
reglas!$C$2:$C$240,
reglas!$D$2:$D$240,
reglas!$E$2:$E$240,
LAMBDA(rEmisor,rPatron,rConcepto,rTipo,
IF(
AND(
OR(
UPPER(TRIM(rEmisor))=UPPER(TRIM(C333)),
UPPER(TRIM(rEmisor))=""CUALQUIERA""
),
OR(
UPPER(TRIM"&amp;"(rTipo))=""SOLO EMISOR"",
AND(
UPPER(TRIM(rTipo))=""EXACTA"",
UPPER(TRIM(AG333))=UPPER(TRIM(rPatron))
),
AND(
OR(
UPPER(TRIM(rTipo))=""CONTIENE"",
UPPER(TRIM(rTipo))=""COINCIDENCIA""
),
ISNUMBER(SEARCH(UPPER(TRIM(rPatron)),UPPER(TRIM(D333))))
)
)
),
rConc"&amp;"epto,
""""
)
)
),
MAP(
reglas!$B$2:$B$240,
reglas!$C$2:$C$240,
reglas!$D$2:$D$240,
reglas!$E$2:$E$240,
LAMBDA(rEmisor,rPatron,rConcepto,rTipo,
IF(
AND(
OR(
UPPER(TRIM(rEmisor))=UPPER(TRIM(C333)),
UPPER(TRIM(rEmisor))=""CUALQUIERA""
),
OR(
UPPER(TRIM(rTipo"&amp;"))=""SOLO EMISOR"",
AND(
UPPER(TRIM(rTipo))=""EXACTA"",
UPPER(TRIM(D333))=UPPER(TRIM(rPatron))
),
AND(
OR(
UPPER(TRIM(rTipo))=""CONTIENE"",
UPPER(TRIM(rTipo))=""COINCIDENCIA""
),
ISNUMBER(SEARCH(UPPER(TRIM(rPatron)),UPPER(TRIM(D333))))
)
)
),
rConcepto,
"&amp;"""""
)
)
)&lt;&gt;""""
),
1
),
""""
)"),"")</f>
        <v/>
      </c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</row>
    <row r="334">
      <c r="A334" s="32"/>
      <c r="B334" s="28" t="s">
        <v>29</v>
      </c>
      <c r="C334" s="29" t="s">
        <v>278</v>
      </c>
      <c r="D334" s="29" t="s">
        <v>560</v>
      </c>
      <c r="E334" s="30">
        <v>3500.0</v>
      </c>
      <c r="F334" s="28">
        <v>0.0</v>
      </c>
      <c r="G334" s="28" t="s">
        <v>250</v>
      </c>
      <c r="H334" s="28">
        <f t="array" ref="H334">INDEX(CC!C:C,MATCH(1,(CC!A:A=G334)*(CC!B:B=I334),0))</f>
        <v>1402</v>
      </c>
      <c r="I334" s="28" t="s">
        <v>25</v>
      </c>
      <c r="J334" s="31">
        <v>3500.0</v>
      </c>
      <c r="K334" s="28" t="str">
        <f>IFERROR(__xludf.DUMMYFUNCTION("IFERROR(
INDEX(
FILTER(
MAP(
reglas!$B$2:$B$240,
reglas!$C$2:$C$240,
reglas!$D$2:$D$240,
reglas!$E$2:$E$240,
LAMBDA(rEmisor,rPatron,rConcepto,rTipo,
IF(
AND(
OR(
UPPER(TRIM(rEmisor))=UPPER(TRIM(C334)),
UPPER(TRIM(rEmisor))=""CUALQUIERA""
),
OR(
UPPER(TRIM"&amp;"(rTipo))=""SOLO EMISOR"",
AND(
UPPER(TRIM(rTipo))=""EXACTA"",
UPPER(TRIM(AG334))=UPPER(TRIM(rPatron))
),
AND(
OR(
UPPER(TRIM(rTipo))=""CONTIENE"",
UPPER(TRIM(rTipo))=""COINCIDENCIA""
),
ISNUMBER(SEARCH(UPPER(TRIM(rPatron)),UPPER(TRIM(D334))))
)
)
),
rConc"&amp;"epto,
""""
)
)
),
MAP(
reglas!$B$2:$B$240,
reglas!$C$2:$C$240,
reglas!$D$2:$D$240,
reglas!$E$2:$E$240,
LAMBDA(rEmisor,rPatron,rConcepto,rTipo,
IF(
AND(
OR(
UPPER(TRIM(rEmisor))=UPPER(TRIM(C334)),
UPPER(TRIM(rEmisor))=""CUALQUIERA""
),
OR(
UPPER(TRIM(rTipo"&amp;"))=""SOLO EMISOR"",
AND(
UPPER(TRIM(rTipo))=""EXACTA"",
UPPER(TRIM(D334))=UPPER(TRIM(rPatron))
),
AND(
OR(
UPPER(TRIM(rTipo))=""CONTIENE"",
UPPER(TRIM(rTipo))=""COINCIDENCIA""
),
ISNUMBER(SEARCH(UPPER(TRIM(rPatron)),UPPER(TRIM(D334))))
)
)
),
rConcepto,
"&amp;"""""
)
)
)&lt;&gt;""""
),
1
),
""""
)"),"MANIOBRAS")</f>
        <v>MANIOBRAS</v>
      </c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</row>
    <row r="335">
      <c r="A335" s="32"/>
      <c r="B335" s="28" t="s">
        <v>29</v>
      </c>
      <c r="C335" s="29" t="s">
        <v>172</v>
      </c>
      <c r="D335" s="29" t="s">
        <v>1065</v>
      </c>
      <c r="E335" s="30">
        <v>11500.0</v>
      </c>
      <c r="F335" s="28">
        <v>0.0</v>
      </c>
      <c r="G335" s="28" t="s">
        <v>250</v>
      </c>
      <c r="H335" s="28">
        <f t="array" ref="H335">INDEX(CC!C:C,MATCH(1,(CC!A:A=G335)*(CC!B:B=I335),0))</f>
        <v>1402</v>
      </c>
      <c r="I335" s="28" t="s">
        <v>25</v>
      </c>
      <c r="J335" s="31">
        <v>11500.0</v>
      </c>
      <c r="K335" s="28" t="str">
        <f>IFERROR(__xludf.DUMMYFUNCTION("IFERROR(
INDEX(
FILTER(
MAP(
reglas!$B$2:$B$240,
reglas!$C$2:$C$240,
reglas!$D$2:$D$240,
reglas!$E$2:$E$240,
LAMBDA(rEmisor,rPatron,rConcepto,rTipo,
IF(
AND(
OR(
UPPER(TRIM(rEmisor))=UPPER(TRIM(C335)),
UPPER(TRIM(rEmisor))=""CUALQUIERA""
),
OR(
UPPER(TRIM"&amp;"(rTipo))=""SOLO EMISOR"",
AND(
UPPER(TRIM(rTipo))=""EXACTA"",
UPPER(TRIM(AG335))=UPPER(TRIM(rPatron))
),
AND(
OR(
UPPER(TRIM(rTipo))=""CONTIENE"",
UPPER(TRIM(rTipo))=""COINCIDENCIA""
),
ISNUMBER(SEARCH(UPPER(TRIM(rPatron)),UPPER(TRIM(D335))))
)
)
),
rConc"&amp;"epto,
""""
)
)
),
MAP(
reglas!$B$2:$B$240,
reglas!$C$2:$C$240,
reglas!$D$2:$D$240,
reglas!$E$2:$E$240,
LAMBDA(rEmisor,rPatron,rConcepto,rTipo,
IF(
AND(
OR(
UPPER(TRIM(rEmisor))=UPPER(TRIM(C335)),
UPPER(TRIM(rEmisor))=""CUALQUIERA""
),
OR(
UPPER(TRIM(rTipo"&amp;"))=""SOLO EMISOR"",
AND(
UPPER(TRIM(rTipo))=""EXACTA"",
UPPER(TRIM(D335))=UPPER(TRIM(rPatron))
),
AND(
OR(
UPPER(TRIM(rTipo))=""CONTIENE"",
UPPER(TRIM(rTipo))=""COINCIDENCIA""
),
ISNUMBER(SEARCH(UPPER(TRIM(rPatron)),UPPER(TRIM(D335))))
)
)
),
rConcepto,
"&amp;"""""
)
)
)&lt;&gt;""""
),
1
),
""""
)"),"TRANSPORTE")</f>
        <v>TRANSPORTE</v>
      </c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</row>
    <row r="336">
      <c r="A336" s="28">
        <v>1.0</v>
      </c>
      <c r="B336" s="28" t="s">
        <v>29</v>
      </c>
      <c r="C336" s="29" t="s">
        <v>271</v>
      </c>
      <c r="D336" s="29" t="s">
        <v>585</v>
      </c>
      <c r="E336" s="28">
        <v>633.54</v>
      </c>
      <c r="F336" s="28">
        <v>0.0</v>
      </c>
      <c r="G336" s="28" t="s">
        <v>84</v>
      </c>
      <c r="H336" s="28">
        <f t="array" ref="H336">INDEX(CC!C:C,MATCH(1,(CC!A:A=G336)*(CC!B:B=I336),0))</f>
        <v>1002</v>
      </c>
      <c r="I336" s="28" t="s">
        <v>25</v>
      </c>
      <c r="J336" s="31">
        <v>633.54</v>
      </c>
      <c r="K336" s="28" t="str">
        <f>IFERROR(__xludf.DUMMYFUNCTION("IFERROR(
INDEX(
FILTER(
MAP(
reglas!$B$2:$B$240,
reglas!$C$2:$C$240,
reglas!$D$2:$D$240,
reglas!$E$2:$E$240,
LAMBDA(rEmisor,rPatron,rConcepto,rTipo,
IF(
AND(
OR(
UPPER(TRIM(rEmisor))=UPPER(TRIM(C336)),
UPPER(TRIM(rEmisor))=""CUALQUIERA""
),
OR(
UPPER(TRIM"&amp;"(rTipo))=""SOLO EMISOR"",
AND(
UPPER(TRIM(rTipo))=""EXACTA"",
UPPER(TRIM(AG336))=UPPER(TRIM(rPatron))
),
AND(
OR(
UPPER(TRIM(rTipo))=""CONTIENE"",
UPPER(TRIM(rTipo))=""COINCIDENCIA""
),
ISNUMBER(SEARCH(UPPER(TRIM(rPatron)),UPPER(TRIM(D336))))
)
)
),
rConc"&amp;"epto,
""""
)
)
),
MAP(
reglas!$B$2:$B$240,
reglas!$C$2:$C$240,
reglas!$D$2:$D$240,
reglas!$E$2:$E$240,
LAMBDA(rEmisor,rPatron,rConcepto,rTipo,
IF(
AND(
OR(
UPPER(TRIM(rEmisor))=UPPER(TRIM(C336)),
UPPER(TRIM(rEmisor))=""CUALQUIERA""
),
OR(
UPPER(TRIM(rTipo"&amp;"))=""SOLO EMISOR"",
AND(
UPPER(TRIM(rTipo))=""EXACTA"",
UPPER(TRIM(D336))=UPPER(TRIM(rPatron))
),
AND(
OR(
UPPER(TRIM(rTipo))=""CONTIENE"",
UPPER(TRIM(rTipo))=""COINCIDENCIA""
),
ISNUMBER(SEARCH(UPPER(TRIM(rPatron)),UPPER(TRIM(D336))))
)
)
),
rConcepto,
"&amp;"""""
)
)
)&lt;&gt;""""
),
1
),
""""
)"),"MANIOBRAS")</f>
        <v>MANIOBRAS</v>
      </c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</row>
    <row r="337">
      <c r="A337" s="32"/>
      <c r="B337" s="32"/>
      <c r="C337" s="29" t="s">
        <v>271</v>
      </c>
      <c r="D337" s="29" t="s">
        <v>587</v>
      </c>
      <c r="E337" s="28">
        <v>579.65</v>
      </c>
      <c r="F337" s="28">
        <v>0.0</v>
      </c>
      <c r="G337" s="28" t="s">
        <v>84</v>
      </c>
      <c r="H337" s="28">
        <f t="array" ref="H337">INDEX(CC!C:C,MATCH(1,(CC!A:A=G337)*(CC!B:B=I337),0))</f>
        <v>1002</v>
      </c>
      <c r="I337" s="28" t="s">
        <v>25</v>
      </c>
      <c r="J337" s="31">
        <v>579.65</v>
      </c>
      <c r="K337" s="28" t="str">
        <f>IFERROR(__xludf.DUMMYFUNCTION("IFERROR(
INDEX(
FILTER(
MAP(
reglas!$B$2:$B$240,
reglas!$C$2:$C$240,
reglas!$D$2:$D$240,
reglas!$E$2:$E$240,
LAMBDA(rEmisor,rPatron,rConcepto,rTipo,
IF(
AND(
OR(
UPPER(TRIM(rEmisor))=UPPER(TRIM(C337)),
UPPER(TRIM(rEmisor))=""CUALQUIERA""
),
OR(
UPPER(TRIM"&amp;"(rTipo))=""SOLO EMISOR"",
AND(
UPPER(TRIM(rTipo))=""EXACTA"",
UPPER(TRIM(AG337))=UPPER(TRIM(rPatron))
),
AND(
OR(
UPPER(TRIM(rTipo))=""CONTIENE"",
UPPER(TRIM(rTipo))=""COINCIDENCIA""
),
ISNUMBER(SEARCH(UPPER(TRIM(rPatron)),UPPER(TRIM(D337))))
)
)
),
rConc"&amp;"epto,
""""
)
)
),
MAP(
reglas!$B$2:$B$240,
reglas!$C$2:$C$240,
reglas!$D$2:$D$240,
reglas!$E$2:$E$240,
LAMBDA(rEmisor,rPatron,rConcepto,rTipo,
IF(
AND(
OR(
UPPER(TRIM(rEmisor))=UPPER(TRIM(C337)),
UPPER(TRIM(rEmisor))=""CUALQUIERA""
),
OR(
UPPER(TRIM(rTipo"&amp;"))=""SOLO EMISOR"",
AND(
UPPER(TRIM(rTipo))=""EXACTA"",
UPPER(TRIM(D337))=UPPER(TRIM(rPatron))
),
AND(
OR(
UPPER(TRIM(rTipo))=""CONTIENE"",
UPPER(TRIM(rTipo))=""COINCIDENCIA""
),
ISNUMBER(SEARCH(UPPER(TRIM(rPatron)),UPPER(TRIM(D337))))
)
)
),
rConcepto,
"&amp;"""""
)
)
)&lt;&gt;""""
),
1
),
""""
)"),"MANIOBRAS")</f>
        <v>MANIOBRAS</v>
      </c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</row>
    <row r="338">
      <c r="A338" s="32"/>
      <c r="B338" s="32"/>
      <c r="C338" s="29" t="s">
        <v>271</v>
      </c>
      <c r="D338" s="29" t="s">
        <v>586</v>
      </c>
      <c r="E338" s="28">
        <v>633.89</v>
      </c>
      <c r="F338" s="28">
        <v>0.0</v>
      </c>
      <c r="G338" s="28" t="s">
        <v>84</v>
      </c>
      <c r="H338" s="28">
        <f t="array" ref="H338">INDEX(CC!C:C,MATCH(1,(CC!A:A=G338)*(CC!B:B=I338),0))</f>
        <v>1002</v>
      </c>
      <c r="I338" s="28" t="s">
        <v>25</v>
      </c>
      <c r="J338" s="31">
        <v>633.89</v>
      </c>
      <c r="K338" s="28" t="str">
        <f>IFERROR(__xludf.DUMMYFUNCTION("IFERROR(
INDEX(
FILTER(
MAP(
reglas!$B$2:$B$240,
reglas!$C$2:$C$240,
reglas!$D$2:$D$240,
reglas!$E$2:$E$240,
LAMBDA(rEmisor,rPatron,rConcepto,rTipo,
IF(
AND(
OR(
UPPER(TRIM(rEmisor))=UPPER(TRIM(C338)),
UPPER(TRIM(rEmisor))=""CUALQUIERA""
),
OR(
UPPER(TRIM"&amp;"(rTipo))=""SOLO EMISOR"",
AND(
UPPER(TRIM(rTipo))=""EXACTA"",
UPPER(TRIM(AG338))=UPPER(TRIM(rPatron))
),
AND(
OR(
UPPER(TRIM(rTipo))=""CONTIENE"",
UPPER(TRIM(rTipo))=""COINCIDENCIA""
),
ISNUMBER(SEARCH(UPPER(TRIM(rPatron)),UPPER(TRIM(D338))))
)
)
),
rConc"&amp;"epto,
""""
)
)
),
MAP(
reglas!$B$2:$B$240,
reglas!$C$2:$C$240,
reglas!$D$2:$D$240,
reglas!$E$2:$E$240,
LAMBDA(rEmisor,rPatron,rConcepto,rTipo,
IF(
AND(
OR(
UPPER(TRIM(rEmisor))=UPPER(TRIM(C338)),
UPPER(TRIM(rEmisor))=""CUALQUIERA""
),
OR(
UPPER(TRIM(rTipo"&amp;"))=""SOLO EMISOR"",
AND(
UPPER(TRIM(rTipo))=""EXACTA"",
UPPER(TRIM(D338))=UPPER(TRIM(rPatron))
),
AND(
OR(
UPPER(TRIM(rTipo))=""CONTIENE"",
UPPER(TRIM(rTipo))=""COINCIDENCIA""
),
ISNUMBER(SEARCH(UPPER(TRIM(rPatron)),UPPER(TRIM(D338))))
)
)
),
rConcepto,
"&amp;"""""
)
)
)&lt;&gt;""""
),
1
),
""""
)"),"MANIOBRAS")</f>
        <v>MANIOBRAS</v>
      </c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</row>
    <row r="339">
      <c r="A339" s="32"/>
      <c r="B339" s="32"/>
      <c r="C339" s="29" t="s">
        <v>271</v>
      </c>
      <c r="D339" s="29" t="s">
        <v>589</v>
      </c>
      <c r="E339" s="28">
        <v>633.89</v>
      </c>
      <c r="F339" s="28">
        <v>0.0</v>
      </c>
      <c r="G339" s="28" t="s">
        <v>84</v>
      </c>
      <c r="H339" s="28">
        <f t="array" ref="H339">INDEX(CC!C:C,MATCH(1,(CC!A:A=G339)*(CC!B:B=I339),0))</f>
        <v>1002</v>
      </c>
      <c r="I339" s="28" t="s">
        <v>25</v>
      </c>
      <c r="J339" s="31">
        <v>633.89</v>
      </c>
      <c r="K339" s="28" t="str">
        <f>IFERROR(__xludf.DUMMYFUNCTION("IFERROR(
INDEX(
FILTER(
MAP(
reglas!$B$2:$B$240,
reglas!$C$2:$C$240,
reglas!$D$2:$D$240,
reglas!$E$2:$E$240,
LAMBDA(rEmisor,rPatron,rConcepto,rTipo,
IF(
AND(
OR(
UPPER(TRIM(rEmisor))=UPPER(TRIM(C339)),
UPPER(TRIM(rEmisor))=""CUALQUIERA""
),
OR(
UPPER(TRIM"&amp;"(rTipo))=""SOLO EMISOR"",
AND(
UPPER(TRIM(rTipo))=""EXACTA"",
UPPER(TRIM(AG339))=UPPER(TRIM(rPatron))
),
AND(
OR(
UPPER(TRIM(rTipo))=""CONTIENE"",
UPPER(TRIM(rTipo))=""COINCIDENCIA""
),
ISNUMBER(SEARCH(UPPER(TRIM(rPatron)),UPPER(TRIM(D339))))
)
)
),
rConc"&amp;"epto,
""""
)
)
),
MAP(
reglas!$B$2:$B$240,
reglas!$C$2:$C$240,
reglas!$D$2:$D$240,
reglas!$E$2:$E$240,
LAMBDA(rEmisor,rPatron,rConcepto,rTipo,
IF(
AND(
OR(
UPPER(TRIM(rEmisor))=UPPER(TRIM(C339)),
UPPER(TRIM(rEmisor))=""CUALQUIERA""
),
OR(
UPPER(TRIM(rTipo"&amp;"))=""SOLO EMISOR"",
AND(
UPPER(TRIM(rTipo))=""EXACTA"",
UPPER(TRIM(D339))=UPPER(TRIM(rPatron))
),
AND(
OR(
UPPER(TRIM(rTipo))=""CONTIENE"",
UPPER(TRIM(rTipo))=""COINCIDENCIA""
),
ISNUMBER(SEARCH(UPPER(TRIM(rPatron)),UPPER(TRIM(D339))))
)
)
),
rConcepto,
"&amp;"""""
)
)
)&lt;&gt;""""
),
1
),
""""
)"),"MANIOBRAS")</f>
        <v>MANIOBRAS</v>
      </c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</row>
    <row r="340">
      <c r="A340" s="32"/>
      <c r="B340" s="32"/>
      <c r="C340" s="29" t="s">
        <v>271</v>
      </c>
      <c r="D340" s="29" t="s">
        <v>593</v>
      </c>
      <c r="E340" s="28">
        <v>454.88</v>
      </c>
      <c r="F340" s="28">
        <v>0.0</v>
      </c>
      <c r="G340" s="28" t="s">
        <v>84</v>
      </c>
      <c r="H340" s="28">
        <f t="array" ref="H340">INDEX(CC!C:C,MATCH(1,(CC!A:A=G340)*(CC!B:B=I340),0))</f>
        <v>1002</v>
      </c>
      <c r="I340" s="28" t="s">
        <v>25</v>
      </c>
      <c r="J340" s="31">
        <v>454.88</v>
      </c>
      <c r="K340" s="28" t="str">
        <f>IFERROR(__xludf.DUMMYFUNCTION("IFERROR(
INDEX(
FILTER(
MAP(
reglas!$B$2:$B$240,
reglas!$C$2:$C$240,
reglas!$D$2:$D$240,
reglas!$E$2:$E$240,
LAMBDA(rEmisor,rPatron,rConcepto,rTipo,
IF(
AND(
OR(
UPPER(TRIM(rEmisor))=UPPER(TRIM(C340)),
UPPER(TRIM(rEmisor))=""CUALQUIERA""
),
OR(
UPPER(TRIM"&amp;"(rTipo))=""SOLO EMISOR"",
AND(
UPPER(TRIM(rTipo))=""EXACTA"",
UPPER(TRIM(AG340))=UPPER(TRIM(rPatron))
),
AND(
OR(
UPPER(TRIM(rTipo))=""CONTIENE"",
UPPER(TRIM(rTipo))=""COINCIDENCIA""
),
ISNUMBER(SEARCH(UPPER(TRIM(rPatron)),UPPER(TRIM(D340))))
)
)
),
rConc"&amp;"epto,
""""
)
)
),
MAP(
reglas!$B$2:$B$240,
reglas!$C$2:$C$240,
reglas!$D$2:$D$240,
reglas!$E$2:$E$240,
LAMBDA(rEmisor,rPatron,rConcepto,rTipo,
IF(
AND(
OR(
UPPER(TRIM(rEmisor))=UPPER(TRIM(C340)),
UPPER(TRIM(rEmisor))=""CUALQUIERA""
),
OR(
UPPER(TRIM(rTipo"&amp;"))=""SOLO EMISOR"",
AND(
UPPER(TRIM(rTipo))=""EXACTA"",
UPPER(TRIM(D340))=UPPER(TRIM(rPatron))
),
AND(
OR(
UPPER(TRIM(rTipo))=""CONTIENE"",
UPPER(TRIM(rTipo))=""COINCIDENCIA""
),
ISNUMBER(SEARCH(UPPER(TRIM(rPatron)),UPPER(TRIM(D340))))
)
)
),
rConcepto,
"&amp;"""""
)
)
)&lt;&gt;""""
),
1
),
""""
)"),"MANIOBRAS")</f>
        <v>MANIOBRAS</v>
      </c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</row>
    <row r="341">
      <c r="A341" s="32"/>
      <c r="B341" s="32"/>
      <c r="C341" s="29" t="s">
        <v>271</v>
      </c>
      <c r="D341" s="29" t="s">
        <v>596</v>
      </c>
      <c r="E341" s="28">
        <v>665.08</v>
      </c>
      <c r="F341" s="28">
        <v>0.0</v>
      </c>
      <c r="G341" s="28" t="s">
        <v>84</v>
      </c>
      <c r="H341" s="28">
        <f t="array" ref="H341">INDEX(CC!C:C,MATCH(1,(CC!A:A=G341)*(CC!B:B=I341),0))</f>
        <v>1002</v>
      </c>
      <c r="I341" s="28" t="s">
        <v>25</v>
      </c>
      <c r="J341" s="31">
        <v>665.08</v>
      </c>
      <c r="K341" s="28" t="str">
        <f>IFERROR(__xludf.DUMMYFUNCTION("IFERROR(
INDEX(
FILTER(
MAP(
reglas!$B$2:$B$240,
reglas!$C$2:$C$240,
reglas!$D$2:$D$240,
reglas!$E$2:$E$240,
LAMBDA(rEmisor,rPatron,rConcepto,rTipo,
IF(
AND(
OR(
UPPER(TRIM(rEmisor))=UPPER(TRIM(C341)),
UPPER(TRIM(rEmisor))=""CUALQUIERA""
),
OR(
UPPER(TRIM"&amp;"(rTipo))=""SOLO EMISOR"",
AND(
UPPER(TRIM(rTipo))=""EXACTA"",
UPPER(TRIM(AG341))=UPPER(TRIM(rPatron))
),
AND(
OR(
UPPER(TRIM(rTipo))=""CONTIENE"",
UPPER(TRIM(rTipo))=""COINCIDENCIA""
),
ISNUMBER(SEARCH(UPPER(TRIM(rPatron)),UPPER(TRIM(D341))))
)
)
),
rConc"&amp;"epto,
""""
)
)
),
MAP(
reglas!$B$2:$B$240,
reglas!$C$2:$C$240,
reglas!$D$2:$D$240,
reglas!$E$2:$E$240,
LAMBDA(rEmisor,rPatron,rConcepto,rTipo,
IF(
AND(
OR(
UPPER(TRIM(rEmisor))=UPPER(TRIM(C341)),
UPPER(TRIM(rEmisor))=""CUALQUIERA""
),
OR(
UPPER(TRIM(rTipo"&amp;"))=""SOLO EMISOR"",
AND(
UPPER(TRIM(rTipo))=""EXACTA"",
UPPER(TRIM(D341))=UPPER(TRIM(rPatron))
),
AND(
OR(
UPPER(TRIM(rTipo))=""CONTIENE"",
UPPER(TRIM(rTipo))=""COINCIDENCIA""
),
ISNUMBER(SEARCH(UPPER(TRIM(rPatron)),UPPER(TRIM(D341))))
)
)
),
rConcepto,
"&amp;"""""
)
)
)&lt;&gt;""""
),
1
),
""""
)"),"MANIOBRAS")</f>
        <v>MANIOBRAS</v>
      </c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</row>
    <row r="342">
      <c r="A342" s="32"/>
      <c r="B342" s="28" t="s">
        <v>29</v>
      </c>
      <c r="C342" s="29" t="s">
        <v>175</v>
      </c>
      <c r="D342" s="29" t="s">
        <v>1366</v>
      </c>
      <c r="E342" s="30">
        <v>50000.0</v>
      </c>
      <c r="F342" s="28">
        <v>0.0</v>
      </c>
      <c r="G342" s="28" t="s">
        <v>225</v>
      </c>
      <c r="H342" s="28">
        <f t="array" ref="H342">INDEX(CC!C:C,MATCH(1,(CC!A:A=G342)*(CC!B:B=I342),0))</f>
        <v>102</v>
      </c>
      <c r="I342" s="28" t="s">
        <v>25</v>
      </c>
      <c r="J342" s="31">
        <v>50000.0</v>
      </c>
      <c r="K342" s="28" t="str">
        <f>IFERROR(__xludf.DUMMYFUNCTION("IFERROR(
INDEX(
FILTER(
MAP(
reglas!$B$2:$B$240,
reglas!$C$2:$C$240,
reglas!$D$2:$D$240,
reglas!$E$2:$E$240,
LAMBDA(rEmisor,rPatron,rConcepto,rTipo,
IF(
AND(
OR(
UPPER(TRIM(rEmisor))=UPPER(TRIM(C342)),
UPPER(TRIM(rEmisor))=""CUALQUIERA""
),
OR(
UPPER(TRIM"&amp;"(rTipo))=""SOLO EMISOR"",
AND(
UPPER(TRIM(rTipo))=""EXACTA"",
UPPER(TRIM(AG342))=UPPER(TRIM(rPatron))
),
AND(
OR(
UPPER(TRIM(rTipo))=""CONTIENE"",
UPPER(TRIM(rTipo))=""COINCIDENCIA""
),
ISNUMBER(SEARCH(UPPER(TRIM(rPatron)),UPPER(TRIM(D342))))
)
)
),
rConc"&amp;"epto,
""""
)
)
),
MAP(
reglas!$B$2:$B$240,
reglas!$C$2:$C$240,
reglas!$D$2:$D$240,
reglas!$E$2:$E$240,
LAMBDA(rEmisor,rPatron,rConcepto,rTipo,
IF(
AND(
OR(
UPPER(TRIM(rEmisor))=UPPER(TRIM(C342)),
UPPER(TRIM(rEmisor))=""CUALQUIERA""
),
OR(
UPPER(TRIM(rTipo"&amp;"))=""SOLO EMISOR"",
AND(
UPPER(TRIM(rTipo))=""EXACTA"",
UPPER(TRIM(D342))=UPPER(TRIM(rPatron))
),
AND(
OR(
UPPER(TRIM(rTipo))=""CONTIENE"",
UPPER(TRIM(rTipo))=""COINCIDENCIA""
),
ISNUMBER(SEARCH(UPPER(TRIM(rPatron)),UPPER(TRIM(D342))))
)
)
),
rConcepto,
"&amp;"""""
)
)
)&lt;&gt;""""
),
1
),
""""
)"),"ASESORIA FINANCIERA")</f>
        <v>ASESORIA FINANCIERA</v>
      </c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</row>
    <row r="343">
      <c r="A343" s="28">
        <v>1.0</v>
      </c>
      <c r="B343" s="28" t="s">
        <v>29</v>
      </c>
      <c r="C343" s="29" t="s">
        <v>271</v>
      </c>
      <c r="D343" s="29" t="s">
        <v>589</v>
      </c>
      <c r="E343" s="28">
        <v>633.99</v>
      </c>
      <c r="F343" s="28">
        <v>0.0</v>
      </c>
      <c r="G343" s="28" t="s">
        <v>84</v>
      </c>
      <c r="H343" s="28">
        <f t="array" ref="H343">INDEX(CC!C:C,MATCH(1,(CC!A:A=G343)*(CC!B:B=I343),0))</f>
        <v>1002</v>
      </c>
      <c r="I343" s="28" t="s">
        <v>25</v>
      </c>
      <c r="J343" s="31">
        <v>633.99</v>
      </c>
      <c r="K343" s="28" t="str">
        <f>IFERROR(__xludf.DUMMYFUNCTION("IFERROR(
INDEX(
FILTER(
MAP(
reglas!$B$2:$B$240,
reglas!$C$2:$C$240,
reglas!$D$2:$D$240,
reglas!$E$2:$E$240,
LAMBDA(rEmisor,rPatron,rConcepto,rTipo,
IF(
AND(
OR(
UPPER(TRIM(rEmisor))=UPPER(TRIM(C343)),
UPPER(TRIM(rEmisor))=""CUALQUIERA""
),
OR(
UPPER(TRIM"&amp;"(rTipo))=""SOLO EMISOR"",
AND(
UPPER(TRIM(rTipo))=""EXACTA"",
UPPER(TRIM(AG343))=UPPER(TRIM(rPatron))
),
AND(
OR(
UPPER(TRIM(rTipo))=""CONTIENE"",
UPPER(TRIM(rTipo))=""COINCIDENCIA""
),
ISNUMBER(SEARCH(UPPER(TRIM(rPatron)),UPPER(TRIM(D343))))
)
)
),
rConc"&amp;"epto,
""""
)
)
),
MAP(
reglas!$B$2:$B$240,
reglas!$C$2:$C$240,
reglas!$D$2:$D$240,
reglas!$E$2:$E$240,
LAMBDA(rEmisor,rPatron,rConcepto,rTipo,
IF(
AND(
OR(
UPPER(TRIM(rEmisor))=UPPER(TRIM(C343)),
UPPER(TRIM(rEmisor))=""CUALQUIERA""
),
OR(
UPPER(TRIM(rTipo"&amp;"))=""SOLO EMISOR"",
AND(
UPPER(TRIM(rTipo))=""EXACTA"",
UPPER(TRIM(D343))=UPPER(TRIM(rPatron))
),
AND(
OR(
UPPER(TRIM(rTipo))=""CONTIENE"",
UPPER(TRIM(rTipo))=""COINCIDENCIA""
),
ISNUMBER(SEARCH(UPPER(TRIM(rPatron)),UPPER(TRIM(D343))))
)
)
),
rConcepto,
"&amp;"""""
)
)
)&lt;&gt;""""
),
1
),
""""
)"),"MANIOBRAS")</f>
        <v>MANIOBRAS</v>
      </c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</row>
    <row r="344">
      <c r="A344" s="28">
        <v>1.0</v>
      </c>
      <c r="B344" s="28" t="s">
        <v>29</v>
      </c>
      <c r="C344" s="29" t="s">
        <v>458</v>
      </c>
      <c r="D344" s="29" t="s">
        <v>1274</v>
      </c>
      <c r="E344" s="28">
        <v>707.0</v>
      </c>
      <c r="F344" s="28">
        <v>0.0</v>
      </c>
      <c r="G344" s="28" t="s">
        <v>554</v>
      </c>
      <c r="H344" s="28">
        <f t="array" ref="H344">INDEX(CC!C:C,MATCH(1,(CC!A:A=G344)*(CC!B:B=I344),0))</f>
        <v>1703</v>
      </c>
      <c r="I344" s="28" t="s">
        <v>44</v>
      </c>
      <c r="J344" s="31">
        <v>707.0</v>
      </c>
      <c r="K344" s="28" t="str">
        <f>IFERROR(__xludf.DUMMYFUNCTION("IFERROR(
INDEX(
FILTER(
MAP(
reglas!$B$2:$B$240,
reglas!$C$2:$C$240,
reglas!$D$2:$D$240,
reglas!$E$2:$E$240,
LAMBDA(rEmisor,rPatron,rConcepto,rTipo,
IF(
AND(
OR(
UPPER(TRIM(rEmisor))=UPPER(TRIM(C344)),
UPPER(TRIM(rEmisor))=""CUALQUIERA""
),
OR(
UPPER(TRIM"&amp;"(rTipo))=""SOLO EMISOR"",
AND(
UPPER(TRIM(rTipo))=""EXACTA"",
UPPER(TRIM(AG344))=UPPER(TRIM(rPatron))
),
AND(
OR(
UPPER(TRIM(rTipo))=""CONTIENE"",
UPPER(TRIM(rTipo))=""COINCIDENCIA""
),
ISNUMBER(SEARCH(UPPER(TRIM(rPatron)),UPPER(TRIM(D344))))
)
)
),
rConc"&amp;"epto,
""""
)
)
),
MAP(
reglas!$B$2:$B$240,
reglas!$C$2:$C$240,
reglas!$D$2:$D$240,
reglas!$E$2:$E$240,
LAMBDA(rEmisor,rPatron,rConcepto,rTipo,
IF(
AND(
OR(
UPPER(TRIM(rEmisor))=UPPER(TRIM(C344)),
UPPER(TRIM(rEmisor))=""CUALQUIERA""
),
OR(
UPPER(TRIM(rTipo"&amp;"))=""SOLO EMISOR"",
AND(
UPPER(TRIM(rTipo))=""EXACTA"",
UPPER(TRIM(D344))=UPPER(TRIM(rPatron))
),
AND(
OR(
UPPER(TRIM(rTipo))=""CONTIENE"",
UPPER(TRIM(rTipo))=""COINCIDENCIA""
),
ISNUMBER(SEARCH(UPPER(TRIM(rPatron)),UPPER(TRIM(D344))))
)
)
),
rConcepto,
"&amp;"""""
)
)
)&lt;&gt;""""
),
1
),
""""
)"),"MANIOBRAS")</f>
        <v>MANIOBRAS</v>
      </c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</row>
    <row r="345">
      <c r="A345" s="28">
        <v>1.0</v>
      </c>
      <c r="B345" s="28" t="s">
        <v>29</v>
      </c>
      <c r="C345" s="29" t="s">
        <v>271</v>
      </c>
      <c r="D345" s="29" t="s">
        <v>587</v>
      </c>
      <c r="E345" s="28">
        <v>577.74</v>
      </c>
      <c r="F345" s="28">
        <v>0.0</v>
      </c>
      <c r="G345" s="28" t="s">
        <v>84</v>
      </c>
      <c r="H345" s="28">
        <f t="array" ref="H345">INDEX(CC!C:C,MATCH(1,(CC!A:A=G345)*(CC!B:B=I345),0))</f>
        <v>1002</v>
      </c>
      <c r="I345" s="28" t="s">
        <v>25</v>
      </c>
      <c r="J345" s="31">
        <v>577.74</v>
      </c>
      <c r="K345" s="28" t="str">
        <f>IFERROR(__xludf.DUMMYFUNCTION("IFERROR(
INDEX(
FILTER(
MAP(
reglas!$B$2:$B$240,
reglas!$C$2:$C$240,
reglas!$D$2:$D$240,
reglas!$E$2:$E$240,
LAMBDA(rEmisor,rPatron,rConcepto,rTipo,
IF(
AND(
OR(
UPPER(TRIM(rEmisor))=UPPER(TRIM(C345)),
UPPER(TRIM(rEmisor))=""CUALQUIERA""
),
OR(
UPPER(TRIM"&amp;"(rTipo))=""SOLO EMISOR"",
AND(
UPPER(TRIM(rTipo))=""EXACTA"",
UPPER(TRIM(AG345))=UPPER(TRIM(rPatron))
),
AND(
OR(
UPPER(TRIM(rTipo))=""CONTIENE"",
UPPER(TRIM(rTipo))=""COINCIDENCIA""
),
ISNUMBER(SEARCH(UPPER(TRIM(rPatron)),UPPER(TRIM(D345))))
)
)
),
rConc"&amp;"epto,
""""
)
)
),
MAP(
reglas!$B$2:$B$240,
reglas!$C$2:$C$240,
reglas!$D$2:$D$240,
reglas!$E$2:$E$240,
LAMBDA(rEmisor,rPatron,rConcepto,rTipo,
IF(
AND(
OR(
UPPER(TRIM(rEmisor))=UPPER(TRIM(C345)),
UPPER(TRIM(rEmisor))=""CUALQUIERA""
),
OR(
UPPER(TRIM(rTipo"&amp;"))=""SOLO EMISOR"",
AND(
UPPER(TRIM(rTipo))=""EXACTA"",
UPPER(TRIM(D345))=UPPER(TRIM(rPatron))
),
AND(
OR(
UPPER(TRIM(rTipo))=""CONTIENE"",
UPPER(TRIM(rTipo))=""COINCIDENCIA""
),
ISNUMBER(SEARCH(UPPER(TRIM(rPatron)),UPPER(TRIM(D345))))
)
)
),
rConcepto,
"&amp;"""""
)
)
)&lt;&gt;""""
),
1
),
""""
)"),"MANIOBRAS")</f>
        <v>MANIOBRAS</v>
      </c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</row>
    <row r="346">
      <c r="A346" s="32"/>
      <c r="B346" s="32"/>
      <c r="C346" s="29" t="s">
        <v>271</v>
      </c>
      <c r="D346" s="29" t="s">
        <v>586</v>
      </c>
      <c r="E346" s="28">
        <v>631.8</v>
      </c>
      <c r="F346" s="28">
        <v>0.0</v>
      </c>
      <c r="G346" s="28" t="s">
        <v>84</v>
      </c>
      <c r="H346" s="28">
        <f t="array" ref="H346">INDEX(CC!C:C,MATCH(1,(CC!A:A=G346)*(CC!B:B=I346),0))</f>
        <v>1002</v>
      </c>
      <c r="I346" s="28" t="s">
        <v>25</v>
      </c>
      <c r="J346" s="31">
        <v>631.8</v>
      </c>
      <c r="K346" s="28" t="str">
        <f>IFERROR(__xludf.DUMMYFUNCTION("IFERROR(
INDEX(
FILTER(
MAP(
reglas!$B$2:$B$240,
reglas!$C$2:$C$240,
reglas!$D$2:$D$240,
reglas!$E$2:$E$240,
LAMBDA(rEmisor,rPatron,rConcepto,rTipo,
IF(
AND(
OR(
UPPER(TRIM(rEmisor))=UPPER(TRIM(C346)),
UPPER(TRIM(rEmisor))=""CUALQUIERA""
),
OR(
UPPER(TRIM"&amp;"(rTipo))=""SOLO EMISOR"",
AND(
UPPER(TRIM(rTipo))=""EXACTA"",
UPPER(TRIM(AG346))=UPPER(TRIM(rPatron))
),
AND(
OR(
UPPER(TRIM(rTipo))=""CONTIENE"",
UPPER(TRIM(rTipo))=""COINCIDENCIA""
),
ISNUMBER(SEARCH(UPPER(TRIM(rPatron)),UPPER(TRIM(D346))))
)
)
),
rConc"&amp;"epto,
""""
)
)
),
MAP(
reglas!$B$2:$B$240,
reglas!$C$2:$C$240,
reglas!$D$2:$D$240,
reglas!$E$2:$E$240,
LAMBDA(rEmisor,rPatron,rConcepto,rTipo,
IF(
AND(
OR(
UPPER(TRIM(rEmisor))=UPPER(TRIM(C346)),
UPPER(TRIM(rEmisor))=""CUALQUIERA""
),
OR(
UPPER(TRIM(rTipo"&amp;"))=""SOLO EMISOR"",
AND(
UPPER(TRIM(rTipo))=""EXACTA"",
UPPER(TRIM(D346))=UPPER(TRIM(rPatron))
),
AND(
OR(
UPPER(TRIM(rTipo))=""CONTIENE"",
UPPER(TRIM(rTipo))=""COINCIDENCIA""
),
ISNUMBER(SEARCH(UPPER(TRIM(rPatron)),UPPER(TRIM(D346))))
)
)
),
rConcepto,
"&amp;"""""
)
)
)&lt;&gt;""""
),
1
),
""""
)"),"MANIOBRAS")</f>
        <v>MANIOBRAS</v>
      </c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</row>
    <row r="347">
      <c r="A347" s="32"/>
      <c r="B347" s="32"/>
      <c r="C347" s="29" t="s">
        <v>271</v>
      </c>
      <c r="D347" s="29" t="s">
        <v>589</v>
      </c>
      <c r="E347" s="28">
        <v>631.8</v>
      </c>
      <c r="F347" s="28">
        <v>0.0</v>
      </c>
      <c r="G347" s="28" t="s">
        <v>84</v>
      </c>
      <c r="H347" s="28">
        <f t="array" ref="H347">INDEX(CC!C:C,MATCH(1,(CC!A:A=G347)*(CC!B:B=I347),0))</f>
        <v>1002</v>
      </c>
      <c r="I347" s="28" t="s">
        <v>25</v>
      </c>
      <c r="J347" s="31">
        <v>631.8</v>
      </c>
      <c r="K347" s="28" t="str">
        <f>IFERROR(__xludf.DUMMYFUNCTION("IFERROR(
INDEX(
FILTER(
MAP(
reglas!$B$2:$B$240,
reglas!$C$2:$C$240,
reglas!$D$2:$D$240,
reglas!$E$2:$E$240,
LAMBDA(rEmisor,rPatron,rConcepto,rTipo,
IF(
AND(
OR(
UPPER(TRIM(rEmisor))=UPPER(TRIM(C347)),
UPPER(TRIM(rEmisor))=""CUALQUIERA""
),
OR(
UPPER(TRIM"&amp;"(rTipo))=""SOLO EMISOR"",
AND(
UPPER(TRIM(rTipo))=""EXACTA"",
UPPER(TRIM(AG347))=UPPER(TRIM(rPatron))
),
AND(
OR(
UPPER(TRIM(rTipo))=""CONTIENE"",
UPPER(TRIM(rTipo))=""COINCIDENCIA""
),
ISNUMBER(SEARCH(UPPER(TRIM(rPatron)),UPPER(TRIM(D347))))
)
)
),
rConc"&amp;"epto,
""""
)
)
),
MAP(
reglas!$B$2:$B$240,
reglas!$C$2:$C$240,
reglas!$D$2:$D$240,
reglas!$E$2:$E$240,
LAMBDA(rEmisor,rPatron,rConcepto,rTipo,
IF(
AND(
OR(
UPPER(TRIM(rEmisor))=UPPER(TRIM(C347)),
UPPER(TRIM(rEmisor))=""CUALQUIERA""
),
OR(
UPPER(TRIM(rTipo"&amp;"))=""SOLO EMISOR"",
AND(
UPPER(TRIM(rTipo))=""EXACTA"",
UPPER(TRIM(D347))=UPPER(TRIM(rPatron))
),
AND(
OR(
UPPER(TRIM(rTipo))=""CONTIENE"",
UPPER(TRIM(rTipo))=""COINCIDENCIA""
),
ISNUMBER(SEARCH(UPPER(TRIM(rPatron)),UPPER(TRIM(D347))))
)
)
),
rConcepto,
"&amp;"""""
)
)
)&lt;&gt;""""
),
1
),
""""
)"),"MANIOBRAS")</f>
        <v>MANIOBRAS</v>
      </c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</row>
    <row r="348">
      <c r="A348" s="32"/>
      <c r="B348" s="32"/>
      <c r="C348" s="29" t="s">
        <v>271</v>
      </c>
      <c r="D348" s="29" t="s">
        <v>593</v>
      </c>
      <c r="E348" s="28">
        <v>453.38</v>
      </c>
      <c r="F348" s="28">
        <v>0.0</v>
      </c>
      <c r="G348" s="28" t="s">
        <v>84</v>
      </c>
      <c r="H348" s="28">
        <f t="array" ref="H348">INDEX(CC!C:C,MATCH(1,(CC!A:A=G348)*(CC!B:B=I348),0))</f>
        <v>1002</v>
      </c>
      <c r="I348" s="28" t="s">
        <v>25</v>
      </c>
      <c r="J348" s="31">
        <v>453.38</v>
      </c>
      <c r="K348" s="28" t="str">
        <f>IFERROR(__xludf.DUMMYFUNCTION("IFERROR(
INDEX(
FILTER(
MAP(
reglas!$B$2:$B$240,
reglas!$C$2:$C$240,
reglas!$D$2:$D$240,
reglas!$E$2:$E$240,
LAMBDA(rEmisor,rPatron,rConcepto,rTipo,
IF(
AND(
OR(
UPPER(TRIM(rEmisor))=UPPER(TRIM(C348)),
UPPER(TRIM(rEmisor))=""CUALQUIERA""
),
OR(
UPPER(TRIM"&amp;"(rTipo))=""SOLO EMISOR"",
AND(
UPPER(TRIM(rTipo))=""EXACTA"",
UPPER(TRIM(AG348))=UPPER(TRIM(rPatron))
),
AND(
OR(
UPPER(TRIM(rTipo))=""CONTIENE"",
UPPER(TRIM(rTipo))=""COINCIDENCIA""
),
ISNUMBER(SEARCH(UPPER(TRIM(rPatron)),UPPER(TRIM(D348))))
)
)
),
rConc"&amp;"epto,
""""
)
)
),
MAP(
reglas!$B$2:$B$240,
reglas!$C$2:$C$240,
reglas!$D$2:$D$240,
reglas!$E$2:$E$240,
LAMBDA(rEmisor,rPatron,rConcepto,rTipo,
IF(
AND(
OR(
UPPER(TRIM(rEmisor))=UPPER(TRIM(C348)),
UPPER(TRIM(rEmisor))=""CUALQUIERA""
),
OR(
UPPER(TRIM(rTipo"&amp;"))=""SOLO EMISOR"",
AND(
UPPER(TRIM(rTipo))=""EXACTA"",
UPPER(TRIM(D348))=UPPER(TRIM(rPatron))
),
AND(
OR(
UPPER(TRIM(rTipo))=""CONTIENE"",
UPPER(TRIM(rTipo))=""COINCIDENCIA""
),
ISNUMBER(SEARCH(UPPER(TRIM(rPatron)),UPPER(TRIM(D348))))
)
)
),
rConcepto,
"&amp;"""""
)
)
)&lt;&gt;""""
),
1
),
""""
)"),"MANIOBRAS")</f>
        <v>MANIOBRAS</v>
      </c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</row>
    <row r="349">
      <c r="A349" s="32"/>
      <c r="B349" s="32"/>
      <c r="C349" s="29" t="s">
        <v>271</v>
      </c>
      <c r="D349" s="29" t="s">
        <v>596</v>
      </c>
      <c r="E349" s="28">
        <v>662.89</v>
      </c>
      <c r="F349" s="28">
        <v>0.0</v>
      </c>
      <c r="G349" s="28" t="s">
        <v>84</v>
      </c>
      <c r="H349" s="28">
        <f t="array" ref="H349">INDEX(CC!C:C,MATCH(1,(CC!A:A=G349)*(CC!B:B=I349),0))</f>
        <v>1002</v>
      </c>
      <c r="I349" s="28" t="s">
        <v>25</v>
      </c>
      <c r="J349" s="31">
        <v>662.89</v>
      </c>
      <c r="K349" s="28" t="str">
        <f>IFERROR(__xludf.DUMMYFUNCTION("IFERROR(
INDEX(
FILTER(
MAP(
reglas!$B$2:$B$240,
reglas!$C$2:$C$240,
reglas!$D$2:$D$240,
reglas!$E$2:$E$240,
LAMBDA(rEmisor,rPatron,rConcepto,rTipo,
IF(
AND(
OR(
UPPER(TRIM(rEmisor))=UPPER(TRIM(C349)),
UPPER(TRIM(rEmisor))=""CUALQUIERA""
),
OR(
UPPER(TRIM"&amp;"(rTipo))=""SOLO EMISOR"",
AND(
UPPER(TRIM(rTipo))=""EXACTA"",
UPPER(TRIM(AG349))=UPPER(TRIM(rPatron))
),
AND(
OR(
UPPER(TRIM(rTipo))=""CONTIENE"",
UPPER(TRIM(rTipo))=""COINCIDENCIA""
),
ISNUMBER(SEARCH(UPPER(TRIM(rPatron)),UPPER(TRIM(D349))))
)
)
),
rConc"&amp;"epto,
""""
)
)
),
MAP(
reglas!$B$2:$B$240,
reglas!$C$2:$C$240,
reglas!$D$2:$D$240,
reglas!$E$2:$E$240,
LAMBDA(rEmisor,rPatron,rConcepto,rTipo,
IF(
AND(
OR(
UPPER(TRIM(rEmisor))=UPPER(TRIM(C349)),
UPPER(TRIM(rEmisor))=""CUALQUIERA""
),
OR(
UPPER(TRIM(rTipo"&amp;"))=""SOLO EMISOR"",
AND(
UPPER(TRIM(rTipo))=""EXACTA"",
UPPER(TRIM(D349))=UPPER(TRIM(rPatron))
),
AND(
OR(
UPPER(TRIM(rTipo))=""CONTIENE"",
UPPER(TRIM(rTipo))=""COINCIDENCIA""
),
ISNUMBER(SEARCH(UPPER(TRIM(rPatron)),UPPER(TRIM(D349))))
)
)
),
rConcepto,
"&amp;"""""
)
)
)&lt;&gt;""""
),
1
),
""""
)"),"MANIOBRAS")</f>
        <v>MANIOBRAS</v>
      </c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</row>
    <row r="350">
      <c r="A350" s="32"/>
      <c r="B350" s="28" t="s">
        <v>29</v>
      </c>
      <c r="C350" s="29" t="s">
        <v>278</v>
      </c>
      <c r="D350" s="29" t="s">
        <v>560</v>
      </c>
      <c r="E350" s="30">
        <v>3500.0</v>
      </c>
      <c r="F350" s="28">
        <v>0.0</v>
      </c>
      <c r="G350" s="28" t="s">
        <v>250</v>
      </c>
      <c r="H350" s="28">
        <f t="array" ref="H350">INDEX(CC!C:C,MATCH(1,(CC!A:A=G350)*(CC!B:B=I350),0))</f>
        <v>1402</v>
      </c>
      <c r="I350" s="28" t="s">
        <v>25</v>
      </c>
      <c r="J350" s="31">
        <v>3500.0</v>
      </c>
      <c r="K350" s="28" t="str">
        <f>IFERROR(__xludf.DUMMYFUNCTION("IFERROR(
INDEX(
FILTER(
MAP(
reglas!$B$2:$B$240,
reglas!$C$2:$C$240,
reglas!$D$2:$D$240,
reglas!$E$2:$E$240,
LAMBDA(rEmisor,rPatron,rConcepto,rTipo,
IF(
AND(
OR(
UPPER(TRIM(rEmisor))=UPPER(TRIM(C350)),
UPPER(TRIM(rEmisor))=""CUALQUIERA""
),
OR(
UPPER(TRIM"&amp;"(rTipo))=""SOLO EMISOR"",
AND(
UPPER(TRIM(rTipo))=""EXACTA"",
UPPER(TRIM(AG350))=UPPER(TRIM(rPatron))
),
AND(
OR(
UPPER(TRIM(rTipo))=""CONTIENE"",
UPPER(TRIM(rTipo))=""COINCIDENCIA""
),
ISNUMBER(SEARCH(UPPER(TRIM(rPatron)),UPPER(TRIM(D350))))
)
)
),
rConc"&amp;"epto,
""""
)
)
),
MAP(
reglas!$B$2:$B$240,
reglas!$C$2:$C$240,
reglas!$D$2:$D$240,
reglas!$E$2:$E$240,
LAMBDA(rEmisor,rPatron,rConcepto,rTipo,
IF(
AND(
OR(
UPPER(TRIM(rEmisor))=UPPER(TRIM(C350)),
UPPER(TRIM(rEmisor))=""CUALQUIERA""
),
OR(
UPPER(TRIM(rTipo"&amp;"))=""SOLO EMISOR"",
AND(
UPPER(TRIM(rTipo))=""EXACTA"",
UPPER(TRIM(D350))=UPPER(TRIM(rPatron))
),
AND(
OR(
UPPER(TRIM(rTipo))=""CONTIENE"",
UPPER(TRIM(rTipo))=""COINCIDENCIA""
),
ISNUMBER(SEARCH(UPPER(TRIM(rPatron)),UPPER(TRIM(D350))))
)
)
),
rConcepto,
"&amp;"""""
)
)
)&lt;&gt;""""
),
1
),
""""
)"),"MANIOBRAS")</f>
        <v>MANIOBRAS</v>
      </c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</row>
    <row r="351">
      <c r="A351" s="32"/>
      <c r="B351" s="28" t="s">
        <v>29</v>
      </c>
      <c r="C351" s="29" t="s">
        <v>278</v>
      </c>
      <c r="D351" s="29" t="s">
        <v>560</v>
      </c>
      <c r="E351" s="30">
        <v>3500.0</v>
      </c>
      <c r="F351" s="28">
        <v>0.0</v>
      </c>
      <c r="G351" s="28" t="s">
        <v>250</v>
      </c>
      <c r="H351" s="28">
        <f t="array" ref="H351">INDEX(CC!C:C,MATCH(1,(CC!A:A=G351)*(CC!B:B=I351),0))</f>
        <v>1402</v>
      </c>
      <c r="I351" s="28" t="s">
        <v>25</v>
      </c>
      <c r="J351" s="31">
        <v>3500.0</v>
      </c>
      <c r="K351" s="28" t="str">
        <f>IFERROR(__xludf.DUMMYFUNCTION("IFERROR(
INDEX(
FILTER(
MAP(
reglas!$B$2:$B$240,
reglas!$C$2:$C$240,
reglas!$D$2:$D$240,
reglas!$E$2:$E$240,
LAMBDA(rEmisor,rPatron,rConcepto,rTipo,
IF(
AND(
OR(
UPPER(TRIM(rEmisor))=UPPER(TRIM(C351)),
UPPER(TRIM(rEmisor))=""CUALQUIERA""
),
OR(
UPPER(TRIM"&amp;"(rTipo))=""SOLO EMISOR"",
AND(
UPPER(TRIM(rTipo))=""EXACTA"",
UPPER(TRIM(AG351))=UPPER(TRIM(rPatron))
),
AND(
OR(
UPPER(TRIM(rTipo))=""CONTIENE"",
UPPER(TRIM(rTipo))=""COINCIDENCIA""
),
ISNUMBER(SEARCH(UPPER(TRIM(rPatron)),UPPER(TRIM(D351))))
)
)
),
rConc"&amp;"epto,
""""
)
)
),
MAP(
reglas!$B$2:$B$240,
reglas!$C$2:$C$240,
reglas!$D$2:$D$240,
reglas!$E$2:$E$240,
LAMBDA(rEmisor,rPatron,rConcepto,rTipo,
IF(
AND(
OR(
UPPER(TRIM(rEmisor))=UPPER(TRIM(C351)),
UPPER(TRIM(rEmisor))=""CUALQUIERA""
),
OR(
UPPER(TRIM(rTipo"&amp;"))=""SOLO EMISOR"",
AND(
UPPER(TRIM(rTipo))=""EXACTA"",
UPPER(TRIM(D351))=UPPER(TRIM(rPatron))
),
AND(
OR(
UPPER(TRIM(rTipo))=""CONTIENE"",
UPPER(TRIM(rTipo))=""COINCIDENCIA""
),
ISNUMBER(SEARCH(UPPER(TRIM(rPatron)),UPPER(TRIM(D351))))
)
)
),
rConcepto,
"&amp;"""""
)
)
)&lt;&gt;""""
),
1
),
""""
)"),"MANIOBRAS")</f>
        <v>MANIOBRAS</v>
      </c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</row>
    <row r="352">
      <c r="A352" s="32"/>
      <c r="B352" s="28" t="s">
        <v>29</v>
      </c>
      <c r="C352" s="29" t="s">
        <v>459</v>
      </c>
      <c r="D352" s="29" t="s">
        <v>1381</v>
      </c>
      <c r="E352" s="30">
        <v>1292.24</v>
      </c>
      <c r="F352" s="28">
        <v>0.0</v>
      </c>
      <c r="G352" s="28" t="s">
        <v>225</v>
      </c>
      <c r="H352" s="28">
        <f t="array" ref="H352">INDEX(CC!C:C,MATCH(1,(CC!A:A=G352)*(CC!B:B=I352),0))</f>
        <v>102</v>
      </c>
      <c r="I352" s="28" t="s">
        <v>25</v>
      </c>
      <c r="J352" s="31">
        <v>1292.24</v>
      </c>
      <c r="K352" s="28" t="str">
        <f>IFERROR(__xludf.DUMMYFUNCTION("IFERROR(
INDEX(
FILTER(
MAP(
reglas!$B$2:$B$240,
reglas!$C$2:$C$240,
reglas!$D$2:$D$240,
reglas!$E$2:$E$240,
LAMBDA(rEmisor,rPatron,rConcepto,rTipo,
IF(
AND(
OR(
UPPER(TRIM(rEmisor))=UPPER(TRIM(C352)),
UPPER(TRIM(rEmisor))=""CUALQUIERA""
),
OR(
UPPER(TRIM"&amp;"(rTipo))=""SOLO EMISOR"",
AND(
UPPER(TRIM(rTipo))=""EXACTA"",
UPPER(TRIM(AG352))=UPPER(TRIM(rPatron))
),
AND(
OR(
UPPER(TRIM(rTipo))=""CONTIENE"",
UPPER(TRIM(rTipo))=""COINCIDENCIA""
),
ISNUMBER(SEARCH(UPPER(TRIM(rPatron)),UPPER(TRIM(D352))))
)
)
),
rConc"&amp;"epto,
""""
)
)
),
MAP(
reglas!$B$2:$B$240,
reglas!$C$2:$C$240,
reglas!$D$2:$D$240,
reglas!$E$2:$E$240,
LAMBDA(rEmisor,rPatron,rConcepto,rTipo,
IF(
AND(
OR(
UPPER(TRIM(rEmisor))=UPPER(TRIM(C352)),
UPPER(TRIM(rEmisor))=""CUALQUIERA""
),
OR(
UPPER(TRIM(rTipo"&amp;"))=""SOLO EMISOR"",
AND(
UPPER(TRIM(rTipo))=""EXACTA"",
UPPER(TRIM(D352))=UPPER(TRIM(rPatron))
),
AND(
OR(
UPPER(TRIM(rTipo))=""CONTIENE"",
UPPER(TRIM(rTipo))=""COINCIDENCIA""
),
ISNUMBER(SEARCH(UPPER(TRIM(rPatron)),UPPER(TRIM(D352))))
)
)
),
rConcepto,
"&amp;"""""
)
)
)&lt;&gt;""""
),
1
),
""""
)"),"PERIFERICOS")</f>
        <v>PERIFERICOS</v>
      </c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</row>
    <row r="353">
      <c r="A353" s="32"/>
      <c r="B353" s="28" t="s">
        <v>29</v>
      </c>
      <c r="C353" s="29" t="s">
        <v>1389</v>
      </c>
      <c r="D353" s="29" t="s">
        <v>1052</v>
      </c>
      <c r="E353" s="28">
        <v>155.16</v>
      </c>
      <c r="F353" s="28">
        <v>0.0</v>
      </c>
      <c r="G353" s="28" t="s">
        <v>225</v>
      </c>
      <c r="H353" s="28">
        <f t="array" ref="H353">INDEX(CC!C:C,MATCH(1,(CC!A:A=G353)*(CC!B:B=I353),0))</f>
        <v>102</v>
      </c>
      <c r="I353" s="28" t="s">
        <v>25</v>
      </c>
      <c r="J353" s="31">
        <v>155.16</v>
      </c>
      <c r="K353" s="28" t="str">
        <f>IFERROR(__xludf.DUMMYFUNCTION("IFERROR(
INDEX(
FILTER(
MAP(
reglas!$B$2:$B$240,
reglas!$C$2:$C$240,
reglas!$D$2:$D$240,
reglas!$E$2:$E$240,
LAMBDA(rEmisor,rPatron,rConcepto,rTipo,
IF(
AND(
OR(
UPPER(TRIM(rEmisor))=UPPER(TRIM(C353)),
UPPER(TRIM(rEmisor))=""CUALQUIERA""
),
OR(
UPPER(TRIM"&amp;"(rTipo))=""SOLO EMISOR"",
AND(
UPPER(TRIM(rTipo))=""EXACTA"",
UPPER(TRIM(AG353))=UPPER(TRIM(rPatron))
),
AND(
OR(
UPPER(TRIM(rTipo))=""CONTIENE"",
UPPER(TRIM(rTipo))=""COINCIDENCIA""
),
ISNUMBER(SEARCH(UPPER(TRIM(rPatron)),UPPER(TRIM(D353))))
)
)
),
rConc"&amp;"epto,
""""
)
)
),
MAP(
reglas!$B$2:$B$240,
reglas!$C$2:$C$240,
reglas!$D$2:$D$240,
reglas!$E$2:$E$240,
LAMBDA(rEmisor,rPatron,rConcepto,rTipo,
IF(
AND(
OR(
UPPER(TRIM(rEmisor))=UPPER(TRIM(C353)),
UPPER(TRIM(rEmisor))=""CUALQUIERA""
),
OR(
UPPER(TRIM(rTipo"&amp;"))=""SOLO EMISOR"",
AND(
UPPER(TRIM(rTipo))=""EXACTA"",
UPPER(TRIM(D353))=UPPER(TRIM(rPatron))
),
AND(
OR(
UPPER(TRIM(rTipo))=""CONTIENE"",
UPPER(TRIM(rTipo))=""COINCIDENCIA""
),
ISNUMBER(SEARCH(UPPER(TRIM(rPatron)),UPPER(TRIM(D353))))
)
)
),
rConcepto,
"&amp;"""""
)
)
)&lt;&gt;""""
),
1
),
""""
)"),"")</f>
        <v/>
      </c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</row>
    <row r="354">
      <c r="A354" s="28">
        <v>1.0</v>
      </c>
      <c r="B354" s="28" t="s">
        <v>29</v>
      </c>
      <c r="C354" s="29" t="s">
        <v>271</v>
      </c>
      <c r="D354" s="29" t="s">
        <v>585</v>
      </c>
      <c r="E354" s="28">
        <v>631.45</v>
      </c>
      <c r="F354" s="28">
        <v>0.0</v>
      </c>
      <c r="G354" s="28" t="s">
        <v>84</v>
      </c>
      <c r="H354" s="28">
        <f t="array" ref="H354">INDEX(CC!C:C,MATCH(1,(CC!A:A=G354)*(CC!B:B=I354),0))</f>
        <v>1002</v>
      </c>
      <c r="I354" s="28" t="s">
        <v>25</v>
      </c>
      <c r="J354" s="31">
        <v>631.45</v>
      </c>
      <c r="K354" s="28" t="str">
        <f>IFERROR(__xludf.DUMMYFUNCTION("IFERROR(
INDEX(
FILTER(
MAP(
reglas!$B$2:$B$240,
reglas!$C$2:$C$240,
reglas!$D$2:$D$240,
reglas!$E$2:$E$240,
LAMBDA(rEmisor,rPatron,rConcepto,rTipo,
IF(
AND(
OR(
UPPER(TRIM(rEmisor))=UPPER(TRIM(C354)),
UPPER(TRIM(rEmisor))=""CUALQUIERA""
),
OR(
UPPER(TRIM"&amp;"(rTipo))=""SOLO EMISOR"",
AND(
UPPER(TRIM(rTipo))=""EXACTA"",
UPPER(TRIM(AG354))=UPPER(TRIM(rPatron))
),
AND(
OR(
UPPER(TRIM(rTipo))=""CONTIENE"",
UPPER(TRIM(rTipo))=""COINCIDENCIA""
),
ISNUMBER(SEARCH(UPPER(TRIM(rPatron)),UPPER(TRIM(D354))))
)
)
),
rConc"&amp;"epto,
""""
)
)
),
MAP(
reglas!$B$2:$B$240,
reglas!$C$2:$C$240,
reglas!$D$2:$D$240,
reglas!$E$2:$E$240,
LAMBDA(rEmisor,rPatron,rConcepto,rTipo,
IF(
AND(
OR(
UPPER(TRIM(rEmisor))=UPPER(TRIM(C354)),
UPPER(TRIM(rEmisor))=""CUALQUIERA""
),
OR(
UPPER(TRIM(rTipo"&amp;"))=""SOLO EMISOR"",
AND(
UPPER(TRIM(rTipo))=""EXACTA"",
UPPER(TRIM(D354))=UPPER(TRIM(rPatron))
),
AND(
OR(
UPPER(TRIM(rTipo))=""CONTIENE"",
UPPER(TRIM(rTipo))=""COINCIDENCIA""
),
ISNUMBER(SEARCH(UPPER(TRIM(rPatron)),UPPER(TRIM(D354))))
)
)
),
rConcepto,
"&amp;"""""
)
)
)&lt;&gt;""""
),
1
),
""""
)"),"MANIOBRAS")</f>
        <v>MANIOBRAS</v>
      </c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</row>
    <row r="355">
      <c r="A355" s="32"/>
      <c r="B355" s="32"/>
      <c r="C355" s="29" t="s">
        <v>271</v>
      </c>
      <c r="D355" s="29" t="s">
        <v>587</v>
      </c>
      <c r="E355" s="28">
        <v>577.74</v>
      </c>
      <c r="F355" s="28">
        <v>0.0</v>
      </c>
      <c r="G355" s="28" t="s">
        <v>84</v>
      </c>
      <c r="H355" s="28">
        <f t="array" ref="H355">INDEX(CC!C:C,MATCH(1,(CC!A:A=G355)*(CC!B:B=I355),0))</f>
        <v>1002</v>
      </c>
      <c r="I355" s="28" t="s">
        <v>25</v>
      </c>
      <c r="J355" s="31">
        <v>577.74</v>
      </c>
      <c r="K355" s="28" t="str">
        <f>IFERROR(__xludf.DUMMYFUNCTION("IFERROR(
INDEX(
FILTER(
MAP(
reglas!$B$2:$B$240,
reglas!$C$2:$C$240,
reglas!$D$2:$D$240,
reglas!$E$2:$E$240,
LAMBDA(rEmisor,rPatron,rConcepto,rTipo,
IF(
AND(
OR(
UPPER(TRIM(rEmisor))=UPPER(TRIM(C355)),
UPPER(TRIM(rEmisor))=""CUALQUIERA""
),
OR(
UPPER(TRIM"&amp;"(rTipo))=""SOLO EMISOR"",
AND(
UPPER(TRIM(rTipo))=""EXACTA"",
UPPER(TRIM(AG355))=UPPER(TRIM(rPatron))
),
AND(
OR(
UPPER(TRIM(rTipo))=""CONTIENE"",
UPPER(TRIM(rTipo))=""COINCIDENCIA""
),
ISNUMBER(SEARCH(UPPER(TRIM(rPatron)),UPPER(TRIM(D355))))
)
)
),
rConc"&amp;"epto,
""""
)
)
),
MAP(
reglas!$B$2:$B$240,
reglas!$C$2:$C$240,
reglas!$D$2:$D$240,
reglas!$E$2:$E$240,
LAMBDA(rEmisor,rPatron,rConcepto,rTipo,
IF(
AND(
OR(
UPPER(TRIM(rEmisor))=UPPER(TRIM(C355)),
UPPER(TRIM(rEmisor))=""CUALQUIERA""
),
OR(
UPPER(TRIM(rTipo"&amp;"))=""SOLO EMISOR"",
AND(
UPPER(TRIM(rTipo))=""EXACTA"",
UPPER(TRIM(D355))=UPPER(TRIM(rPatron))
),
AND(
OR(
UPPER(TRIM(rTipo))=""CONTIENE"",
UPPER(TRIM(rTipo))=""COINCIDENCIA""
),
ISNUMBER(SEARCH(UPPER(TRIM(rPatron)),UPPER(TRIM(D355))))
)
)
),
rConcepto,
"&amp;"""""
)
)
)&lt;&gt;""""
),
1
),
""""
)"),"MANIOBRAS")</f>
        <v>MANIOBRAS</v>
      </c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</row>
    <row r="356">
      <c r="A356" s="32"/>
      <c r="B356" s="32"/>
      <c r="C356" s="29" t="s">
        <v>271</v>
      </c>
      <c r="D356" s="29" t="s">
        <v>589</v>
      </c>
      <c r="E356" s="28">
        <v>631.8</v>
      </c>
      <c r="F356" s="28">
        <v>0.0</v>
      </c>
      <c r="G356" s="28" t="s">
        <v>84</v>
      </c>
      <c r="H356" s="28">
        <f t="array" ref="H356">INDEX(CC!C:C,MATCH(1,(CC!A:A=G356)*(CC!B:B=I356),0))</f>
        <v>1002</v>
      </c>
      <c r="I356" s="28" t="s">
        <v>25</v>
      </c>
      <c r="J356" s="31">
        <v>631.8</v>
      </c>
      <c r="K356" s="28" t="str">
        <f>IFERROR(__xludf.DUMMYFUNCTION("IFERROR(
INDEX(
FILTER(
MAP(
reglas!$B$2:$B$240,
reglas!$C$2:$C$240,
reglas!$D$2:$D$240,
reglas!$E$2:$E$240,
LAMBDA(rEmisor,rPatron,rConcepto,rTipo,
IF(
AND(
OR(
UPPER(TRIM(rEmisor))=UPPER(TRIM(C356)),
UPPER(TRIM(rEmisor))=""CUALQUIERA""
),
OR(
UPPER(TRIM"&amp;"(rTipo))=""SOLO EMISOR"",
AND(
UPPER(TRIM(rTipo))=""EXACTA"",
UPPER(TRIM(AG356))=UPPER(TRIM(rPatron))
),
AND(
OR(
UPPER(TRIM(rTipo))=""CONTIENE"",
UPPER(TRIM(rTipo))=""COINCIDENCIA""
),
ISNUMBER(SEARCH(UPPER(TRIM(rPatron)),UPPER(TRIM(D356))))
)
)
),
rConc"&amp;"epto,
""""
)
)
),
MAP(
reglas!$B$2:$B$240,
reglas!$C$2:$C$240,
reglas!$D$2:$D$240,
reglas!$E$2:$E$240,
LAMBDA(rEmisor,rPatron,rConcepto,rTipo,
IF(
AND(
OR(
UPPER(TRIM(rEmisor))=UPPER(TRIM(C356)),
UPPER(TRIM(rEmisor))=""CUALQUIERA""
),
OR(
UPPER(TRIM(rTipo"&amp;"))=""SOLO EMISOR"",
AND(
UPPER(TRIM(rTipo))=""EXACTA"",
UPPER(TRIM(D356))=UPPER(TRIM(rPatron))
),
AND(
OR(
UPPER(TRIM(rTipo))=""CONTIENE"",
UPPER(TRIM(rTipo))=""COINCIDENCIA""
),
ISNUMBER(SEARCH(UPPER(TRIM(rPatron)),UPPER(TRIM(D356))))
)
)
),
rConcepto,
"&amp;"""""
)
)
)&lt;&gt;""""
),
1
),
""""
)"),"MANIOBRAS")</f>
        <v>MANIOBRAS</v>
      </c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</row>
    <row r="357">
      <c r="A357" s="32"/>
      <c r="B357" s="32"/>
      <c r="C357" s="29" t="s">
        <v>271</v>
      </c>
      <c r="D357" s="29" t="s">
        <v>596</v>
      </c>
      <c r="E357" s="28">
        <v>662.89</v>
      </c>
      <c r="F357" s="28">
        <v>0.0</v>
      </c>
      <c r="G357" s="28" t="s">
        <v>84</v>
      </c>
      <c r="H357" s="28">
        <f t="array" ref="H357">INDEX(CC!C:C,MATCH(1,(CC!A:A=G357)*(CC!B:B=I357),0))</f>
        <v>1002</v>
      </c>
      <c r="I357" s="28" t="s">
        <v>25</v>
      </c>
      <c r="J357" s="31">
        <v>662.89</v>
      </c>
      <c r="K357" s="28" t="str">
        <f>IFERROR(__xludf.DUMMYFUNCTION("IFERROR(
INDEX(
FILTER(
MAP(
reglas!$B$2:$B$240,
reglas!$C$2:$C$240,
reglas!$D$2:$D$240,
reglas!$E$2:$E$240,
LAMBDA(rEmisor,rPatron,rConcepto,rTipo,
IF(
AND(
OR(
UPPER(TRIM(rEmisor))=UPPER(TRIM(C357)),
UPPER(TRIM(rEmisor))=""CUALQUIERA""
),
OR(
UPPER(TRIM"&amp;"(rTipo))=""SOLO EMISOR"",
AND(
UPPER(TRIM(rTipo))=""EXACTA"",
UPPER(TRIM(AG357))=UPPER(TRIM(rPatron))
),
AND(
OR(
UPPER(TRIM(rTipo))=""CONTIENE"",
UPPER(TRIM(rTipo))=""COINCIDENCIA""
),
ISNUMBER(SEARCH(UPPER(TRIM(rPatron)),UPPER(TRIM(D357))))
)
)
),
rConc"&amp;"epto,
""""
)
)
),
MAP(
reglas!$B$2:$B$240,
reglas!$C$2:$C$240,
reglas!$D$2:$D$240,
reglas!$E$2:$E$240,
LAMBDA(rEmisor,rPatron,rConcepto,rTipo,
IF(
AND(
OR(
UPPER(TRIM(rEmisor))=UPPER(TRIM(C357)),
UPPER(TRIM(rEmisor))=""CUALQUIERA""
),
OR(
UPPER(TRIM(rTipo"&amp;"))=""SOLO EMISOR"",
AND(
UPPER(TRIM(rTipo))=""EXACTA"",
UPPER(TRIM(D357))=UPPER(TRIM(rPatron))
),
AND(
OR(
UPPER(TRIM(rTipo))=""CONTIENE"",
UPPER(TRIM(rTipo))=""COINCIDENCIA""
),
ISNUMBER(SEARCH(UPPER(TRIM(rPatron)),UPPER(TRIM(D357))))
)
)
),
rConcepto,
"&amp;"""""
)
)
)&lt;&gt;""""
),
1
),
""""
)"),"MANIOBRAS")</f>
        <v>MANIOBRAS</v>
      </c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</row>
    <row r="358">
      <c r="A358" s="32"/>
      <c r="B358" s="28" t="s">
        <v>29</v>
      </c>
      <c r="C358" s="29" t="s">
        <v>172</v>
      </c>
      <c r="D358" s="29" t="s">
        <v>1081</v>
      </c>
      <c r="E358" s="30">
        <v>11500.0</v>
      </c>
      <c r="F358" s="28">
        <v>0.0</v>
      </c>
      <c r="G358" s="28" t="s">
        <v>250</v>
      </c>
      <c r="H358" s="28">
        <f t="array" ref="H358">INDEX(CC!C:C,MATCH(1,(CC!A:A=G358)*(CC!B:B=I358),0))</f>
        <v>1402</v>
      </c>
      <c r="I358" s="28" t="s">
        <v>25</v>
      </c>
      <c r="J358" s="31">
        <v>11500.0</v>
      </c>
      <c r="K358" s="28" t="str">
        <f>IFERROR(__xludf.DUMMYFUNCTION("IFERROR(
INDEX(
FILTER(
MAP(
reglas!$B$2:$B$240,
reglas!$C$2:$C$240,
reglas!$D$2:$D$240,
reglas!$E$2:$E$240,
LAMBDA(rEmisor,rPatron,rConcepto,rTipo,
IF(
AND(
OR(
UPPER(TRIM(rEmisor))=UPPER(TRIM(C358)),
UPPER(TRIM(rEmisor))=""CUALQUIERA""
),
OR(
UPPER(TRIM"&amp;"(rTipo))=""SOLO EMISOR"",
AND(
UPPER(TRIM(rTipo))=""EXACTA"",
UPPER(TRIM(AG358))=UPPER(TRIM(rPatron))
),
AND(
OR(
UPPER(TRIM(rTipo))=""CONTIENE"",
UPPER(TRIM(rTipo))=""COINCIDENCIA""
),
ISNUMBER(SEARCH(UPPER(TRIM(rPatron)),UPPER(TRIM(D358))))
)
)
),
rConc"&amp;"epto,
""""
)
)
),
MAP(
reglas!$B$2:$B$240,
reglas!$C$2:$C$240,
reglas!$D$2:$D$240,
reglas!$E$2:$E$240,
LAMBDA(rEmisor,rPatron,rConcepto,rTipo,
IF(
AND(
OR(
UPPER(TRIM(rEmisor))=UPPER(TRIM(C358)),
UPPER(TRIM(rEmisor))=""CUALQUIERA""
),
OR(
UPPER(TRIM(rTipo"&amp;"))=""SOLO EMISOR"",
AND(
UPPER(TRIM(rTipo))=""EXACTA"",
UPPER(TRIM(D358))=UPPER(TRIM(rPatron))
),
AND(
OR(
UPPER(TRIM(rTipo))=""CONTIENE"",
UPPER(TRIM(rTipo))=""COINCIDENCIA""
),
ISNUMBER(SEARCH(UPPER(TRIM(rPatron)),UPPER(TRIM(D358))))
)
)
),
rConcepto,
"&amp;"""""
)
)
)&lt;&gt;""""
),
1
),
""""
)"),"TRANSPORTE")</f>
        <v>TRANSPORTE</v>
      </c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</row>
    <row r="359">
      <c r="A359" s="28">
        <v>1.0</v>
      </c>
      <c r="B359" s="28" t="s">
        <v>29</v>
      </c>
      <c r="C359" s="29" t="s">
        <v>222</v>
      </c>
      <c r="D359" s="29" t="s">
        <v>1399</v>
      </c>
      <c r="E359" s="28">
        <v>100.86</v>
      </c>
      <c r="F359" s="28">
        <v>0.0</v>
      </c>
      <c r="G359" s="28" t="s">
        <v>385</v>
      </c>
      <c r="H359" s="28">
        <f t="array" ref="H359">INDEX(CC!C:C,MATCH(1,(CC!A:A=G359)*(CC!B:B=I359),0))</f>
        <v>502</v>
      </c>
      <c r="I359" s="28" t="s">
        <v>25</v>
      </c>
      <c r="J359" s="31">
        <v>239.43</v>
      </c>
      <c r="K359" s="28" t="str">
        <f>IFERROR(__xludf.DUMMYFUNCTION("IFERROR(
INDEX(
FILTER(
MAP(
reglas!$B$2:$B$240,
reglas!$C$2:$C$240,
reglas!$D$2:$D$240,
reglas!$E$2:$E$240,
LAMBDA(rEmisor,rPatron,rConcepto,rTipo,
IF(
AND(
OR(
UPPER(TRIM(rEmisor))=UPPER(TRIM(C359)),
UPPER(TRIM(rEmisor))=""CUALQUIERA""
),
OR(
UPPER(TRIM"&amp;"(rTipo))=""SOLO EMISOR"",
AND(
UPPER(TRIM(rTipo))=""EXACTA"",
UPPER(TRIM(AG359))=UPPER(TRIM(rPatron))
),
AND(
OR(
UPPER(TRIM(rTipo))=""CONTIENE"",
UPPER(TRIM(rTipo))=""COINCIDENCIA""
),
ISNUMBER(SEARCH(UPPER(TRIM(rPatron)),UPPER(TRIM(D359))))
)
)
),
rConc"&amp;"epto,
""""
)
)
),
MAP(
reglas!$B$2:$B$240,
reglas!$C$2:$C$240,
reglas!$D$2:$D$240,
reglas!$E$2:$E$240,
LAMBDA(rEmisor,rPatron,rConcepto,rTipo,
IF(
AND(
OR(
UPPER(TRIM(rEmisor))=UPPER(TRIM(C359)),
UPPER(TRIM(rEmisor))=""CUALQUIERA""
),
OR(
UPPER(TRIM(rTipo"&amp;"))=""SOLO EMISOR"",
AND(
UPPER(TRIM(rTipo))=""EXACTA"",
UPPER(TRIM(D359))=UPPER(TRIM(rPatron))
),
AND(
OR(
UPPER(TRIM(rTipo))=""CONTIENE"",
UPPER(TRIM(rTipo))=""COINCIDENCIA""
),
ISNUMBER(SEARCH(UPPER(TRIM(rPatron)),UPPER(TRIM(D359))))
)
)
),
rConcepto,
"&amp;"""""
)
)
)&lt;&gt;""""
),
1
),
""""
)"),"CASETAS")</f>
        <v>CASETAS</v>
      </c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</row>
    <row r="360">
      <c r="A360" s="32"/>
      <c r="B360" s="32"/>
      <c r="C360" s="29" t="s">
        <v>222</v>
      </c>
      <c r="D360" s="29" t="s">
        <v>1400</v>
      </c>
      <c r="E360" s="28">
        <v>54.31</v>
      </c>
      <c r="F360" s="28">
        <v>0.0</v>
      </c>
      <c r="G360" s="28" t="s">
        <v>225</v>
      </c>
      <c r="H360" s="28">
        <f t="array" ref="H360">INDEX(CC!C:C,MATCH(1,(CC!A:A=G360)*(CC!B:B=I360),0))</f>
        <v>102</v>
      </c>
      <c r="I360" s="28" t="s">
        <v>25</v>
      </c>
      <c r="J360" s="31">
        <v>155.17</v>
      </c>
      <c r="K360" s="28" t="str">
        <f>IFERROR(__xludf.DUMMYFUNCTION("IFERROR(
INDEX(
FILTER(
MAP(
reglas!$B$2:$B$240,
reglas!$C$2:$C$240,
reglas!$D$2:$D$240,
reglas!$E$2:$E$240,
LAMBDA(rEmisor,rPatron,rConcepto,rTipo,
IF(
AND(
OR(
UPPER(TRIM(rEmisor))=UPPER(TRIM(C360)),
UPPER(TRIM(rEmisor))=""CUALQUIERA""
),
OR(
UPPER(TRIM"&amp;"(rTipo))=""SOLO EMISOR"",
AND(
UPPER(TRIM(rTipo))=""EXACTA"",
UPPER(TRIM(AG360))=UPPER(TRIM(rPatron))
),
AND(
OR(
UPPER(TRIM(rTipo))=""CONTIENE"",
UPPER(TRIM(rTipo))=""COINCIDENCIA""
),
ISNUMBER(SEARCH(UPPER(TRIM(rPatron)),UPPER(TRIM(D360))))
)
)
),
rConc"&amp;"epto,
""""
)
)
),
MAP(
reglas!$B$2:$B$240,
reglas!$C$2:$C$240,
reglas!$D$2:$D$240,
reglas!$E$2:$E$240,
LAMBDA(rEmisor,rPatron,rConcepto,rTipo,
IF(
AND(
OR(
UPPER(TRIM(rEmisor))=UPPER(TRIM(C360)),
UPPER(TRIM(rEmisor))=""CUALQUIERA""
),
OR(
UPPER(TRIM(rTipo"&amp;"))=""SOLO EMISOR"",
AND(
UPPER(TRIM(rTipo))=""EXACTA"",
UPPER(TRIM(D360))=UPPER(TRIM(rPatron))
),
AND(
OR(
UPPER(TRIM(rTipo))=""CONTIENE"",
UPPER(TRIM(rTipo))=""COINCIDENCIA""
),
ISNUMBER(SEARCH(UPPER(TRIM(rPatron)),UPPER(TRIM(D360))))
)
)
),
rConcepto,
"&amp;"""""
)
)
)&lt;&gt;""""
),
1
),
""""
)"),"CASETAS")</f>
        <v>CASETAS</v>
      </c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</row>
    <row r="361">
      <c r="A361" s="32"/>
      <c r="B361" s="32"/>
      <c r="C361" s="29" t="s">
        <v>222</v>
      </c>
      <c r="D361" s="29" t="s">
        <v>1401</v>
      </c>
      <c r="E361" s="28">
        <v>10.34</v>
      </c>
      <c r="F361" s="28">
        <v>0.0</v>
      </c>
      <c r="G361" s="32"/>
      <c r="H361" s="28" t="str">
        <f t="array" ref="H361">INDEX(CC!C:C,MATCH(1,(CC!A:A=G361)*(CC!B:B=I361),0))</f>
        <v/>
      </c>
      <c r="I361" s="32"/>
      <c r="J361" s="33"/>
      <c r="K361" s="28" t="str">
        <f>IFERROR(__xludf.DUMMYFUNCTION("IFERROR(
INDEX(
FILTER(
MAP(
reglas!$B$2:$B$240,
reglas!$C$2:$C$240,
reglas!$D$2:$D$240,
reglas!$E$2:$E$240,
LAMBDA(rEmisor,rPatron,rConcepto,rTipo,
IF(
AND(
OR(
UPPER(TRIM(rEmisor))=UPPER(TRIM(C361)),
UPPER(TRIM(rEmisor))=""CUALQUIERA""
),
OR(
UPPER(TRIM"&amp;"(rTipo))=""SOLO EMISOR"",
AND(
UPPER(TRIM(rTipo))=""EXACTA"",
UPPER(TRIM(AG361))=UPPER(TRIM(rPatron))
),
AND(
OR(
UPPER(TRIM(rTipo))=""CONTIENE"",
UPPER(TRIM(rTipo))=""COINCIDENCIA""
),
ISNUMBER(SEARCH(UPPER(TRIM(rPatron)),UPPER(TRIM(D361))))
)
)
),
rConc"&amp;"epto,
""""
)
)
),
MAP(
reglas!$B$2:$B$240,
reglas!$C$2:$C$240,
reglas!$D$2:$D$240,
reglas!$E$2:$E$240,
LAMBDA(rEmisor,rPatron,rConcepto,rTipo,
IF(
AND(
OR(
UPPER(TRIM(rEmisor))=UPPER(TRIM(C361)),
UPPER(TRIM(rEmisor))=""CUALQUIERA""
),
OR(
UPPER(TRIM(rTipo"&amp;"))=""SOLO EMISOR"",
AND(
UPPER(TRIM(rTipo))=""EXACTA"",
UPPER(TRIM(D361))=UPPER(TRIM(rPatron))
),
AND(
OR(
UPPER(TRIM(rTipo))=""CONTIENE"",
UPPER(TRIM(rTipo))=""COINCIDENCIA""
),
ISNUMBER(SEARCH(UPPER(TRIM(rPatron)),UPPER(TRIM(D361))))
)
)
),
rConcepto,
"&amp;"""""
)
)
)&lt;&gt;""""
),
1
),
""""
)"),"CASETAS")</f>
        <v>CASETAS</v>
      </c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</row>
    <row r="362">
      <c r="A362" s="32"/>
      <c r="B362" s="32"/>
      <c r="C362" s="29" t="s">
        <v>222</v>
      </c>
      <c r="D362" s="29" t="s">
        <v>1403</v>
      </c>
      <c r="E362" s="28">
        <v>31.36</v>
      </c>
      <c r="F362" s="28">
        <v>0.0</v>
      </c>
      <c r="G362" s="32"/>
      <c r="H362" s="28" t="str">
        <f t="array" ref="H362">INDEX(CC!C:C,MATCH(1,(CC!A:A=G362)*(CC!B:B=I362),0))</f>
        <v/>
      </c>
      <c r="I362" s="32"/>
      <c r="J362" s="33"/>
      <c r="K362" s="28" t="str">
        <f>IFERROR(__xludf.DUMMYFUNCTION("IFERROR(
INDEX(
FILTER(
MAP(
reglas!$B$2:$B$240,
reglas!$C$2:$C$240,
reglas!$D$2:$D$240,
reglas!$E$2:$E$240,
LAMBDA(rEmisor,rPatron,rConcepto,rTipo,
IF(
AND(
OR(
UPPER(TRIM(rEmisor))=UPPER(TRIM(C362)),
UPPER(TRIM(rEmisor))=""CUALQUIERA""
),
OR(
UPPER(TRIM"&amp;"(rTipo))=""SOLO EMISOR"",
AND(
UPPER(TRIM(rTipo))=""EXACTA"",
UPPER(TRIM(AG362))=UPPER(TRIM(rPatron))
),
AND(
OR(
UPPER(TRIM(rTipo))=""CONTIENE"",
UPPER(TRIM(rTipo))=""COINCIDENCIA""
),
ISNUMBER(SEARCH(UPPER(TRIM(rPatron)),UPPER(TRIM(D362))))
)
)
),
rConc"&amp;"epto,
""""
)
)
),
MAP(
reglas!$B$2:$B$240,
reglas!$C$2:$C$240,
reglas!$D$2:$D$240,
reglas!$E$2:$E$240,
LAMBDA(rEmisor,rPatron,rConcepto,rTipo,
IF(
AND(
OR(
UPPER(TRIM(rEmisor))=UPPER(TRIM(C362)),
UPPER(TRIM(rEmisor))=""CUALQUIERA""
),
OR(
UPPER(TRIM(rTipo"&amp;"))=""SOLO EMISOR"",
AND(
UPPER(TRIM(rTipo))=""EXACTA"",
UPPER(TRIM(D362))=UPPER(TRIM(rPatron))
),
AND(
OR(
UPPER(TRIM(rTipo))=""CONTIENE"",
UPPER(TRIM(rTipo))=""COINCIDENCIA""
),
ISNUMBER(SEARCH(UPPER(TRIM(rPatron)),UPPER(TRIM(D362))))
)
)
),
rConcepto,
"&amp;"""""
)
)
)&lt;&gt;""""
),
1
),
""""
)"),"CASETAS")</f>
        <v>CASETAS</v>
      </c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</row>
    <row r="363">
      <c r="A363" s="32"/>
      <c r="B363" s="32"/>
      <c r="C363" s="29" t="s">
        <v>222</v>
      </c>
      <c r="D363" s="29" t="s">
        <v>1418</v>
      </c>
      <c r="E363" s="28">
        <v>28.76</v>
      </c>
      <c r="F363" s="28">
        <v>0.0</v>
      </c>
      <c r="G363" s="32"/>
      <c r="H363" s="28" t="str">
        <f t="array" ref="H363">INDEX(CC!C:C,MATCH(1,(CC!A:A=G363)*(CC!B:B=I363),0))</f>
        <v/>
      </c>
      <c r="I363" s="32"/>
      <c r="J363" s="33"/>
      <c r="K363" s="28" t="str">
        <f>IFERROR(__xludf.DUMMYFUNCTION("IFERROR(
INDEX(
FILTER(
MAP(
reglas!$B$2:$B$240,
reglas!$C$2:$C$240,
reglas!$D$2:$D$240,
reglas!$E$2:$E$240,
LAMBDA(rEmisor,rPatron,rConcepto,rTipo,
IF(
AND(
OR(
UPPER(TRIM(rEmisor))=UPPER(TRIM(C363)),
UPPER(TRIM(rEmisor))=""CUALQUIERA""
),
OR(
UPPER(TRIM"&amp;"(rTipo))=""SOLO EMISOR"",
AND(
UPPER(TRIM(rTipo))=""EXACTA"",
UPPER(TRIM(AG363))=UPPER(TRIM(rPatron))
),
AND(
OR(
UPPER(TRIM(rTipo))=""CONTIENE"",
UPPER(TRIM(rTipo))=""COINCIDENCIA""
),
ISNUMBER(SEARCH(UPPER(TRIM(rPatron)),UPPER(TRIM(D363))))
)
)
),
rConc"&amp;"epto,
""""
)
)
),
MAP(
reglas!$B$2:$B$240,
reglas!$C$2:$C$240,
reglas!$D$2:$D$240,
reglas!$E$2:$E$240,
LAMBDA(rEmisor,rPatron,rConcepto,rTipo,
IF(
AND(
OR(
UPPER(TRIM(rEmisor))=UPPER(TRIM(C363)),
UPPER(TRIM(rEmisor))=""CUALQUIERA""
),
OR(
UPPER(TRIM(rTipo"&amp;"))=""SOLO EMISOR"",
AND(
UPPER(TRIM(rTipo))=""EXACTA"",
UPPER(TRIM(D363))=UPPER(TRIM(rPatron))
),
AND(
OR(
UPPER(TRIM(rTipo))=""CONTIENE"",
UPPER(TRIM(rTipo))=""COINCIDENCIA""
),
ISNUMBER(SEARCH(UPPER(TRIM(rPatron)),UPPER(TRIM(D363))))
)
)
),
rConcepto,
"&amp;"""""
)
)
)&lt;&gt;""""
),
1
),
""""
)"),"CASETAS")</f>
        <v>CASETAS</v>
      </c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</row>
    <row r="364">
      <c r="A364" s="32"/>
      <c r="B364" s="32"/>
      <c r="C364" s="29" t="s">
        <v>222</v>
      </c>
      <c r="D364" s="29" t="s">
        <v>1420</v>
      </c>
      <c r="E364" s="28">
        <v>63.79</v>
      </c>
      <c r="F364" s="28">
        <v>0.0</v>
      </c>
      <c r="G364" s="32"/>
      <c r="H364" s="28" t="str">
        <f t="array" ref="H364">INDEX(CC!C:C,MATCH(1,(CC!A:A=G364)*(CC!B:B=I364),0))</f>
        <v/>
      </c>
      <c r="I364" s="32"/>
      <c r="J364" s="33"/>
      <c r="K364" s="28" t="str">
        <f>IFERROR(__xludf.DUMMYFUNCTION("IFERROR(
INDEX(
FILTER(
MAP(
reglas!$B$2:$B$240,
reglas!$C$2:$C$240,
reglas!$D$2:$D$240,
reglas!$E$2:$E$240,
LAMBDA(rEmisor,rPatron,rConcepto,rTipo,
IF(
AND(
OR(
UPPER(TRIM(rEmisor))=UPPER(TRIM(C364)),
UPPER(TRIM(rEmisor))=""CUALQUIERA""
),
OR(
UPPER(TRIM"&amp;"(rTipo))=""SOLO EMISOR"",
AND(
UPPER(TRIM(rTipo))=""EXACTA"",
UPPER(TRIM(AG364))=UPPER(TRIM(rPatron))
),
AND(
OR(
UPPER(TRIM(rTipo))=""CONTIENE"",
UPPER(TRIM(rTipo))=""COINCIDENCIA""
),
ISNUMBER(SEARCH(UPPER(TRIM(rPatron)),UPPER(TRIM(D364))))
)
)
),
rConc"&amp;"epto,
""""
)
)
),
MAP(
reglas!$B$2:$B$240,
reglas!$C$2:$C$240,
reglas!$D$2:$D$240,
reglas!$E$2:$E$240,
LAMBDA(rEmisor,rPatron,rConcepto,rTipo,
IF(
AND(
OR(
UPPER(TRIM(rEmisor))=UPPER(TRIM(C364)),
UPPER(TRIM(rEmisor))=""CUALQUIERA""
),
OR(
UPPER(TRIM(rTipo"&amp;"))=""SOLO EMISOR"",
AND(
UPPER(TRIM(rTipo))=""EXACTA"",
UPPER(TRIM(D364))=UPPER(TRIM(rPatron))
),
AND(
OR(
UPPER(TRIM(rTipo))=""CONTIENE"",
UPPER(TRIM(rTipo))=""COINCIDENCIA""
),
ISNUMBER(SEARCH(UPPER(TRIM(rPatron)),UPPER(TRIM(D364))))
)
)
),
rConcepto,
"&amp;"""""
)
)
)&lt;&gt;""""
),
1
),
""""
)"),"CASETAS")</f>
        <v>CASETAS</v>
      </c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</row>
    <row r="365">
      <c r="A365" s="32"/>
      <c r="B365" s="32"/>
      <c r="C365" s="29" t="s">
        <v>222</v>
      </c>
      <c r="D365" s="29" t="s">
        <v>1420</v>
      </c>
      <c r="E365" s="28">
        <v>85.34</v>
      </c>
      <c r="F365" s="28">
        <v>0.0</v>
      </c>
      <c r="G365" s="32"/>
      <c r="H365" s="28" t="str">
        <f t="array" ref="H365">INDEX(CC!C:C,MATCH(1,(CC!A:A=G365)*(CC!B:B=I365),0))</f>
        <v/>
      </c>
      <c r="I365" s="32"/>
      <c r="J365" s="33"/>
      <c r="K365" s="28" t="str">
        <f>IFERROR(__xludf.DUMMYFUNCTION("IFERROR(
INDEX(
FILTER(
MAP(
reglas!$B$2:$B$240,
reglas!$C$2:$C$240,
reglas!$D$2:$D$240,
reglas!$E$2:$E$240,
LAMBDA(rEmisor,rPatron,rConcepto,rTipo,
IF(
AND(
OR(
UPPER(TRIM(rEmisor))=UPPER(TRIM(C365)),
UPPER(TRIM(rEmisor))=""CUALQUIERA""
),
OR(
UPPER(TRIM"&amp;"(rTipo))=""SOLO EMISOR"",
AND(
UPPER(TRIM(rTipo))=""EXACTA"",
UPPER(TRIM(AG365))=UPPER(TRIM(rPatron))
),
AND(
OR(
UPPER(TRIM(rTipo))=""CONTIENE"",
UPPER(TRIM(rTipo))=""COINCIDENCIA""
),
ISNUMBER(SEARCH(UPPER(TRIM(rPatron)),UPPER(TRIM(D365))))
)
)
),
rConc"&amp;"epto,
""""
)
)
),
MAP(
reglas!$B$2:$B$240,
reglas!$C$2:$C$240,
reglas!$D$2:$D$240,
reglas!$E$2:$E$240,
LAMBDA(rEmisor,rPatron,rConcepto,rTipo,
IF(
AND(
OR(
UPPER(TRIM(rEmisor))=UPPER(TRIM(C365)),
UPPER(TRIM(rEmisor))=""CUALQUIERA""
),
OR(
UPPER(TRIM(rTipo"&amp;"))=""SOLO EMISOR"",
AND(
UPPER(TRIM(rTipo))=""EXACTA"",
UPPER(TRIM(D365))=UPPER(TRIM(rPatron))
),
AND(
OR(
UPPER(TRIM(rTipo))=""CONTIENE"",
UPPER(TRIM(rTipo))=""COINCIDENCIA""
),
ISNUMBER(SEARCH(UPPER(TRIM(rPatron)),UPPER(TRIM(D365))))
)
)
),
rConcepto,
"&amp;"""""
)
)
)&lt;&gt;""""
),
1
),
""""
)"),"CASETAS")</f>
        <v>CASETAS</v>
      </c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</row>
    <row r="366">
      <c r="A366" s="32"/>
      <c r="B366" s="32"/>
      <c r="C366" s="29" t="s">
        <v>222</v>
      </c>
      <c r="D366" s="29" t="s">
        <v>1424</v>
      </c>
      <c r="E366" s="28">
        <v>19.83</v>
      </c>
      <c r="F366" s="28">
        <v>0.0</v>
      </c>
      <c r="G366" s="32"/>
      <c r="H366" s="28" t="str">
        <f t="array" ref="H366">INDEX(CC!C:C,MATCH(1,(CC!A:A=G366)*(CC!B:B=I366),0))</f>
        <v/>
      </c>
      <c r="I366" s="32"/>
      <c r="J366" s="33"/>
      <c r="K366" s="28" t="str">
        <f>IFERROR(__xludf.DUMMYFUNCTION("IFERROR(
INDEX(
FILTER(
MAP(
reglas!$B$2:$B$240,
reglas!$C$2:$C$240,
reglas!$D$2:$D$240,
reglas!$E$2:$E$240,
LAMBDA(rEmisor,rPatron,rConcepto,rTipo,
IF(
AND(
OR(
UPPER(TRIM(rEmisor))=UPPER(TRIM(C366)),
UPPER(TRIM(rEmisor))=""CUALQUIERA""
),
OR(
UPPER(TRIM"&amp;"(rTipo))=""SOLO EMISOR"",
AND(
UPPER(TRIM(rTipo))=""EXACTA"",
UPPER(TRIM(AG366))=UPPER(TRIM(rPatron))
),
AND(
OR(
UPPER(TRIM(rTipo))=""CONTIENE"",
UPPER(TRIM(rTipo))=""COINCIDENCIA""
),
ISNUMBER(SEARCH(UPPER(TRIM(rPatron)),UPPER(TRIM(D366))))
)
)
),
rConc"&amp;"epto,
""""
)
)
),
MAP(
reglas!$B$2:$B$240,
reglas!$C$2:$C$240,
reglas!$D$2:$D$240,
reglas!$E$2:$E$240,
LAMBDA(rEmisor,rPatron,rConcepto,rTipo,
IF(
AND(
OR(
UPPER(TRIM(rEmisor))=UPPER(TRIM(C366)),
UPPER(TRIM(rEmisor))=""CUALQUIERA""
),
OR(
UPPER(TRIM(rTipo"&amp;"))=""SOLO EMISOR"",
AND(
UPPER(TRIM(rTipo))=""EXACTA"",
UPPER(TRIM(D366))=UPPER(TRIM(rPatron))
),
AND(
OR(
UPPER(TRIM(rTipo))=""CONTIENE"",
UPPER(TRIM(rTipo))=""COINCIDENCIA""
),
ISNUMBER(SEARCH(UPPER(TRIM(rPatron)),UPPER(TRIM(D366))))
)
)
),
rConcepto,
"&amp;"""""
)
)
)&lt;&gt;""""
),
1
),
""""
)"),"CASETAS")</f>
        <v>CASETAS</v>
      </c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</row>
    <row r="367">
      <c r="A367" s="32"/>
      <c r="B367" s="28" t="s">
        <v>29</v>
      </c>
      <c r="C367" s="29" t="s">
        <v>1428</v>
      </c>
      <c r="D367" s="29" t="s">
        <v>1052</v>
      </c>
      <c r="E367" s="28">
        <v>74.0</v>
      </c>
      <c r="F367" s="28">
        <v>0.0</v>
      </c>
      <c r="G367" s="28" t="s">
        <v>225</v>
      </c>
      <c r="H367" s="28">
        <f t="array" ref="H367">INDEX(CC!C:C,MATCH(1,(CC!A:A=G367)*(CC!B:B=I367),0))</f>
        <v>102</v>
      </c>
      <c r="I367" s="28" t="s">
        <v>25</v>
      </c>
      <c r="J367" s="31">
        <v>74.0</v>
      </c>
      <c r="K367" s="28" t="str">
        <f>IFERROR(__xludf.DUMMYFUNCTION("IFERROR(
INDEX(
FILTER(
MAP(
reglas!$B$2:$B$240,
reglas!$C$2:$C$240,
reglas!$D$2:$D$240,
reglas!$E$2:$E$240,
LAMBDA(rEmisor,rPatron,rConcepto,rTipo,
IF(
AND(
OR(
UPPER(TRIM(rEmisor))=UPPER(TRIM(C367)),
UPPER(TRIM(rEmisor))=""CUALQUIERA""
),
OR(
UPPER(TRIM"&amp;"(rTipo))=""SOLO EMISOR"",
AND(
UPPER(TRIM(rTipo))=""EXACTA"",
UPPER(TRIM(AG367))=UPPER(TRIM(rPatron))
),
AND(
OR(
UPPER(TRIM(rTipo))=""CONTIENE"",
UPPER(TRIM(rTipo))=""COINCIDENCIA""
),
ISNUMBER(SEARCH(UPPER(TRIM(rPatron)),UPPER(TRIM(D367))))
)
)
),
rConc"&amp;"epto,
""""
)
)
),
MAP(
reglas!$B$2:$B$240,
reglas!$C$2:$C$240,
reglas!$D$2:$D$240,
reglas!$E$2:$E$240,
LAMBDA(rEmisor,rPatron,rConcepto,rTipo,
IF(
AND(
OR(
UPPER(TRIM(rEmisor))=UPPER(TRIM(C367)),
UPPER(TRIM(rEmisor))=""CUALQUIERA""
),
OR(
UPPER(TRIM(rTipo"&amp;"))=""SOLO EMISOR"",
AND(
UPPER(TRIM(rTipo))=""EXACTA"",
UPPER(TRIM(D367))=UPPER(TRIM(rPatron))
),
AND(
OR(
UPPER(TRIM(rTipo))=""CONTIENE"",
UPPER(TRIM(rTipo))=""COINCIDENCIA""
),
ISNUMBER(SEARCH(UPPER(TRIM(rPatron)),UPPER(TRIM(D367))))
)
)
),
rConcepto,
"&amp;"""""
)
)
)&lt;&gt;""""
),
1
),
""""
)"),"")</f>
        <v/>
      </c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</row>
    <row r="368">
      <c r="A368" s="32"/>
      <c r="B368" s="28" t="s">
        <v>29</v>
      </c>
      <c r="C368" s="29" t="s">
        <v>445</v>
      </c>
      <c r="D368" s="29" t="s">
        <v>1430</v>
      </c>
      <c r="E368" s="30">
        <v>5982.76</v>
      </c>
      <c r="F368" s="28">
        <v>0.0</v>
      </c>
      <c r="G368" s="28" t="s">
        <v>554</v>
      </c>
      <c r="H368" s="28">
        <f t="array" ref="H368">INDEX(CC!C:C,MATCH(1,(CC!A:A=G368)*(CC!B:B=I368),0))</f>
        <v>1702</v>
      </c>
      <c r="I368" s="28" t="s">
        <v>25</v>
      </c>
      <c r="J368" s="31">
        <v>5982.76</v>
      </c>
      <c r="K368" s="28" t="str">
        <f>IFERROR(__xludf.DUMMYFUNCTION("IFERROR(
INDEX(
FILTER(
MAP(
reglas!$B$2:$B$240,
reglas!$C$2:$C$240,
reglas!$D$2:$D$240,
reglas!$E$2:$E$240,
LAMBDA(rEmisor,rPatron,rConcepto,rTipo,
IF(
AND(
OR(
UPPER(TRIM(rEmisor))=UPPER(TRIM(C368)),
UPPER(TRIM(rEmisor))=""CUALQUIERA""
),
OR(
UPPER(TRIM"&amp;"(rTipo))=""SOLO EMISOR"",
AND(
UPPER(TRIM(rTipo))=""EXACTA"",
UPPER(TRIM(AG368))=UPPER(TRIM(rPatron))
),
AND(
OR(
UPPER(TRIM(rTipo))=""CONTIENE"",
UPPER(TRIM(rTipo))=""COINCIDENCIA""
),
ISNUMBER(SEARCH(UPPER(TRIM(rPatron)),UPPER(TRIM(D368))))
)
)
),
rConc"&amp;"epto,
""""
)
)
),
MAP(
reglas!$B$2:$B$240,
reglas!$C$2:$C$240,
reglas!$D$2:$D$240,
reglas!$E$2:$E$240,
LAMBDA(rEmisor,rPatron,rConcepto,rTipo,
IF(
AND(
OR(
UPPER(TRIM(rEmisor))=UPPER(TRIM(C368)),
UPPER(TRIM(rEmisor))=""CUALQUIERA""
),
OR(
UPPER(TRIM(rTipo"&amp;"))=""SOLO EMISOR"",
AND(
UPPER(TRIM(rTipo))=""EXACTA"",
UPPER(TRIM(D368))=UPPER(TRIM(rPatron))
),
AND(
OR(
UPPER(TRIM(rTipo))=""CONTIENE"",
UPPER(TRIM(rTipo))=""COINCIDENCIA""
),
ISNUMBER(SEARCH(UPPER(TRIM(rPatron)),UPPER(TRIM(D368))))
)
)
),
rConcepto,
"&amp;"""""
)
)
)&lt;&gt;""""
),
1
),
""""
)"),"CUOTAS Y SUSCRIPCIONES")</f>
        <v>CUOTAS Y SUSCRIPCIONES</v>
      </c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</row>
    <row r="369">
      <c r="A369" s="32"/>
      <c r="B369" s="28" t="s">
        <v>29</v>
      </c>
      <c r="C369" s="29" t="s">
        <v>459</v>
      </c>
      <c r="D369" s="29" t="s">
        <v>1381</v>
      </c>
      <c r="E369" s="30">
        <v>1292.24</v>
      </c>
      <c r="F369" s="28">
        <v>0.0</v>
      </c>
      <c r="G369" s="28" t="s">
        <v>225</v>
      </c>
      <c r="H369" s="28">
        <f t="array" ref="H369">INDEX(CC!C:C,MATCH(1,(CC!A:A=G369)*(CC!B:B=I369),0))</f>
        <v>102</v>
      </c>
      <c r="I369" s="28" t="s">
        <v>25</v>
      </c>
      <c r="J369" s="31">
        <v>1292.24</v>
      </c>
      <c r="K369" s="28" t="str">
        <f>IFERROR(__xludf.DUMMYFUNCTION("IFERROR(
INDEX(
FILTER(
MAP(
reglas!$B$2:$B$240,
reglas!$C$2:$C$240,
reglas!$D$2:$D$240,
reglas!$E$2:$E$240,
LAMBDA(rEmisor,rPatron,rConcepto,rTipo,
IF(
AND(
OR(
UPPER(TRIM(rEmisor))=UPPER(TRIM(C369)),
UPPER(TRIM(rEmisor))=""CUALQUIERA""
),
OR(
UPPER(TRIM"&amp;"(rTipo))=""SOLO EMISOR"",
AND(
UPPER(TRIM(rTipo))=""EXACTA"",
UPPER(TRIM(AG369))=UPPER(TRIM(rPatron))
),
AND(
OR(
UPPER(TRIM(rTipo))=""CONTIENE"",
UPPER(TRIM(rTipo))=""COINCIDENCIA""
),
ISNUMBER(SEARCH(UPPER(TRIM(rPatron)),UPPER(TRIM(D369))))
)
)
),
rConc"&amp;"epto,
""""
)
)
),
MAP(
reglas!$B$2:$B$240,
reglas!$C$2:$C$240,
reglas!$D$2:$D$240,
reglas!$E$2:$E$240,
LAMBDA(rEmisor,rPatron,rConcepto,rTipo,
IF(
AND(
OR(
UPPER(TRIM(rEmisor))=UPPER(TRIM(C369)),
UPPER(TRIM(rEmisor))=""CUALQUIERA""
),
OR(
UPPER(TRIM(rTipo"&amp;"))=""SOLO EMISOR"",
AND(
UPPER(TRIM(rTipo))=""EXACTA"",
UPPER(TRIM(D369))=UPPER(TRIM(rPatron))
),
AND(
OR(
UPPER(TRIM(rTipo))=""CONTIENE"",
UPPER(TRIM(rTipo))=""COINCIDENCIA""
),
ISNUMBER(SEARCH(UPPER(TRIM(rPatron)),UPPER(TRIM(D369))))
)
)
),
rConcepto,
"&amp;"""""
)
)
)&lt;&gt;""""
),
1
),
""""
)"),"PERIFERICOS")</f>
        <v>PERIFERICOS</v>
      </c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</row>
    <row r="370">
      <c r="A370" s="32"/>
      <c r="B370" s="28" t="s">
        <v>29</v>
      </c>
      <c r="C370" s="29" t="s">
        <v>207</v>
      </c>
      <c r="D370" s="29" t="s">
        <v>316</v>
      </c>
      <c r="E370" s="30">
        <v>55942.04</v>
      </c>
      <c r="F370" s="28">
        <v>0.0</v>
      </c>
      <c r="G370" s="28" t="s">
        <v>225</v>
      </c>
      <c r="H370" s="28">
        <f t="array" ref="H370">INDEX(CC!C:C,MATCH(1,(CC!A:A=G370)*(CC!B:B=I370),0))</f>
        <v>102</v>
      </c>
      <c r="I370" s="28" t="s">
        <v>25</v>
      </c>
      <c r="J370" s="31">
        <v>55942.04</v>
      </c>
      <c r="K370" s="28" t="str">
        <f>IFERROR(__xludf.DUMMYFUNCTION("IFERROR(
INDEX(
FILTER(
MAP(
reglas!$B$2:$B$240,
reglas!$C$2:$C$240,
reglas!$D$2:$D$240,
reglas!$E$2:$E$240,
LAMBDA(rEmisor,rPatron,rConcepto,rTipo,
IF(
AND(
OR(
UPPER(TRIM(rEmisor))=UPPER(TRIM(C370)),
UPPER(TRIM(rEmisor))=""CUALQUIERA""
),
OR(
UPPER(TRIM"&amp;"(rTipo))=""SOLO EMISOR"",
AND(
UPPER(TRIM(rTipo))=""EXACTA"",
UPPER(TRIM(AG370))=UPPER(TRIM(rPatron))
),
AND(
OR(
UPPER(TRIM(rTipo))=""CONTIENE"",
UPPER(TRIM(rTipo))=""COINCIDENCIA""
),
ISNUMBER(SEARCH(UPPER(TRIM(rPatron)),UPPER(TRIM(D370))))
)
)
),
rConc"&amp;"epto,
""""
)
)
),
MAP(
reglas!$B$2:$B$240,
reglas!$C$2:$C$240,
reglas!$D$2:$D$240,
reglas!$E$2:$E$240,
LAMBDA(rEmisor,rPatron,rConcepto,rTipo,
IF(
AND(
OR(
UPPER(TRIM(rEmisor))=UPPER(TRIM(C370)),
UPPER(TRIM(rEmisor))=""CUALQUIERA""
),
OR(
UPPER(TRIM(rTipo"&amp;"))=""SOLO EMISOR"",
AND(
UPPER(TRIM(rTipo))=""EXACTA"",
UPPER(TRIM(D370))=UPPER(TRIM(rPatron))
),
AND(
OR(
UPPER(TRIM(rTipo))=""CONTIENE"",
UPPER(TRIM(rTipo))=""COINCIDENCIA""
),
ISNUMBER(SEARCH(UPPER(TRIM(rPatron)),UPPER(TRIM(D370))))
)
)
),
rConcepto,
"&amp;"""""
)
)
)&lt;&gt;""""
),
1
),
""""
)"),"ASESORIA LEGAL")</f>
        <v>ASESORIA LEGAL</v>
      </c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</row>
    <row r="371">
      <c r="A371" s="32"/>
      <c r="B371" s="28" t="s">
        <v>29</v>
      </c>
      <c r="C371" s="29" t="s">
        <v>278</v>
      </c>
      <c r="D371" s="29" t="s">
        <v>560</v>
      </c>
      <c r="E371" s="30">
        <v>3500.0</v>
      </c>
      <c r="F371" s="28">
        <v>0.0</v>
      </c>
      <c r="G371" s="28" t="s">
        <v>250</v>
      </c>
      <c r="H371" s="28">
        <f t="array" ref="H371">INDEX(CC!C:C,MATCH(1,(CC!A:A=G371)*(CC!B:B=I371),0))</f>
        <v>1402</v>
      </c>
      <c r="I371" s="28" t="s">
        <v>25</v>
      </c>
      <c r="J371" s="31">
        <v>3500.0</v>
      </c>
      <c r="K371" s="28" t="str">
        <f>IFERROR(__xludf.DUMMYFUNCTION("IFERROR(
INDEX(
FILTER(
MAP(
reglas!$B$2:$B$240,
reglas!$C$2:$C$240,
reglas!$D$2:$D$240,
reglas!$E$2:$E$240,
LAMBDA(rEmisor,rPatron,rConcepto,rTipo,
IF(
AND(
OR(
UPPER(TRIM(rEmisor))=UPPER(TRIM(C371)),
UPPER(TRIM(rEmisor))=""CUALQUIERA""
),
OR(
UPPER(TRIM"&amp;"(rTipo))=""SOLO EMISOR"",
AND(
UPPER(TRIM(rTipo))=""EXACTA"",
UPPER(TRIM(AG371))=UPPER(TRIM(rPatron))
),
AND(
OR(
UPPER(TRIM(rTipo))=""CONTIENE"",
UPPER(TRIM(rTipo))=""COINCIDENCIA""
),
ISNUMBER(SEARCH(UPPER(TRIM(rPatron)),UPPER(TRIM(D371))))
)
)
),
rConc"&amp;"epto,
""""
)
)
),
MAP(
reglas!$B$2:$B$240,
reglas!$C$2:$C$240,
reglas!$D$2:$D$240,
reglas!$E$2:$E$240,
LAMBDA(rEmisor,rPatron,rConcepto,rTipo,
IF(
AND(
OR(
UPPER(TRIM(rEmisor))=UPPER(TRIM(C371)),
UPPER(TRIM(rEmisor))=""CUALQUIERA""
),
OR(
UPPER(TRIM(rTipo"&amp;"))=""SOLO EMISOR"",
AND(
UPPER(TRIM(rTipo))=""EXACTA"",
UPPER(TRIM(D371))=UPPER(TRIM(rPatron))
),
AND(
OR(
UPPER(TRIM(rTipo))=""CONTIENE"",
UPPER(TRIM(rTipo))=""COINCIDENCIA""
),
ISNUMBER(SEARCH(UPPER(TRIM(rPatron)),UPPER(TRIM(D371))))
)
)
),
rConcepto,
"&amp;"""""
)
)
)&lt;&gt;""""
),
1
),
""""
)"),"MANIOBRAS")</f>
        <v>MANIOBRAS</v>
      </c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</row>
    <row r="372">
      <c r="A372" s="32"/>
      <c r="B372" s="28" t="s">
        <v>29</v>
      </c>
      <c r="C372" s="29" t="s">
        <v>172</v>
      </c>
      <c r="D372" s="29" t="s">
        <v>1065</v>
      </c>
      <c r="E372" s="30">
        <v>11500.0</v>
      </c>
      <c r="F372" s="28">
        <v>0.0</v>
      </c>
      <c r="G372" s="28" t="s">
        <v>250</v>
      </c>
      <c r="H372" s="28">
        <f t="array" ref="H372">INDEX(CC!C:C,MATCH(1,(CC!A:A=G372)*(CC!B:B=I372),0))</f>
        <v>1402</v>
      </c>
      <c r="I372" s="28" t="s">
        <v>25</v>
      </c>
      <c r="J372" s="31">
        <v>11500.0</v>
      </c>
      <c r="K372" s="28" t="str">
        <f>IFERROR(__xludf.DUMMYFUNCTION("IFERROR(
INDEX(
FILTER(
MAP(
reglas!$B$2:$B$240,
reglas!$C$2:$C$240,
reglas!$D$2:$D$240,
reglas!$E$2:$E$240,
LAMBDA(rEmisor,rPatron,rConcepto,rTipo,
IF(
AND(
OR(
UPPER(TRIM(rEmisor))=UPPER(TRIM(C372)),
UPPER(TRIM(rEmisor))=""CUALQUIERA""
),
OR(
UPPER(TRIM"&amp;"(rTipo))=""SOLO EMISOR"",
AND(
UPPER(TRIM(rTipo))=""EXACTA"",
UPPER(TRIM(AG372))=UPPER(TRIM(rPatron))
),
AND(
OR(
UPPER(TRIM(rTipo))=""CONTIENE"",
UPPER(TRIM(rTipo))=""COINCIDENCIA""
),
ISNUMBER(SEARCH(UPPER(TRIM(rPatron)),UPPER(TRIM(D372))))
)
)
),
rConc"&amp;"epto,
""""
)
)
),
MAP(
reglas!$B$2:$B$240,
reglas!$C$2:$C$240,
reglas!$D$2:$D$240,
reglas!$E$2:$E$240,
LAMBDA(rEmisor,rPatron,rConcepto,rTipo,
IF(
AND(
OR(
UPPER(TRIM(rEmisor))=UPPER(TRIM(C372)),
UPPER(TRIM(rEmisor))=""CUALQUIERA""
),
OR(
UPPER(TRIM(rTipo"&amp;"))=""SOLO EMISOR"",
AND(
UPPER(TRIM(rTipo))=""EXACTA"",
UPPER(TRIM(D372))=UPPER(TRIM(rPatron))
),
AND(
OR(
UPPER(TRIM(rTipo))=""CONTIENE"",
UPPER(TRIM(rTipo))=""COINCIDENCIA""
),
ISNUMBER(SEARCH(UPPER(TRIM(rPatron)),UPPER(TRIM(D372))))
)
)
),
rConcepto,
"&amp;"""""
)
)
)&lt;&gt;""""
),
1
),
""""
)"),"TRANSPORTE")</f>
        <v>TRANSPORTE</v>
      </c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</row>
    <row r="373">
      <c r="A373" s="32"/>
      <c r="B373" s="28" t="s">
        <v>29</v>
      </c>
      <c r="C373" s="29" t="s">
        <v>172</v>
      </c>
      <c r="D373" s="29" t="s">
        <v>1445</v>
      </c>
      <c r="E373" s="30">
        <v>11500.0</v>
      </c>
      <c r="F373" s="28">
        <v>0.0</v>
      </c>
      <c r="G373" s="28" t="s">
        <v>250</v>
      </c>
      <c r="H373" s="28">
        <f t="array" ref="H373">INDEX(CC!C:C,MATCH(1,(CC!A:A=G373)*(CC!B:B=I373),0))</f>
        <v>1402</v>
      </c>
      <c r="I373" s="28" t="s">
        <v>25</v>
      </c>
      <c r="J373" s="31">
        <v>11500.0</v>
      </c>
      <c r="K373" s="28" t="str">
        <f>IFERROR(__xludf.DUMMYFUNCTION("IFERROR(
INDEX(
FILTER(
MAP(
reglas!$B$2:$B$240,
reglas!$C$2:$C$240,
reglas!$D$2:$D$240,
reglas!$E$2:$E$240,
LAMBDA(rEmisor,rPatron,rConcepto,rTipo,
IF(
AND(
OR(
UPPER(TRIM(rEmisor))=UPPER(TRIM(C373)),
UPPER(TRIM(rEmisor))=""CUALQUIERA""
),
OR(
UPPER(TRIM"&amp;"(rTipo))=""SOLO EMISOR"",
AND(
UPPER(TRIM(rTipo))=""EXACTA"",
UPPER(TRIM(AG373))=UPPER(TRIM(rPatron))
),
AND(
OR(
UPPER(TRIM(rTipo))=""CONTIENE"",
UPPER(TRIM(rTipo))=""COINCIDENCIA""
),
ISNUMBER(SEARCH(UPPER(TRIM(rPatron)),UPPER(TRIM(D373))))
)
)
),
rConc"&amp;"epto,
""""
)
)
),
MAP(
reglas!$B$2:$B$240,
reglas!$C$2:$C$240,
reglas!$D$2:$D$240,
reglas!$E$2:$E$240,
LAMBDA(rEmisor,rPatron,rConcepto,rTipo,
IF(
AND(
OR(
UPPER(TRIM(rEmisor))=UPPER(TRIM(C373)),
UPPER(TRIM(rEmisor))=""CUALQUIERA""
),
OR(
UPPER(TRIM(rTipo"&amp;"))=""SOLO EMISOR"",
AND(
UPPER(TRIM(rTipo))=""EXACTA"",
UPPER(TRIM(D373))=UPPER(TRIM(rPatron))
),
AND(
OR(
UPPER(TRIM(rTipo))=""CONTIENE"",
UPPER(TRIM(rTipo))=""COINCIDENCIA""
),
ISNUMBER(SEARCH(UPPER(TRIM(rPatron)),UPPER(TRIM(D373))))
)
)
),
rConcepto,
"&amp;"""""
)
)
)&lt;&gt;""""
),
1
),
""""
)"),"TRANSPORTE")</f>
        <v>TRANSPORTE</v>
      </c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</row>
    <row r="374">
      <c r="A374" s="32"/>
      <c r="B374" s="28" t="s">
        <v>29</v>
      </c>
      <c r="C374" s="29" t="s">
        <v>172</v>
      </c>
      <c r="D374" s="29" t="s">
        <v>1448</v>
      </c>
      <c r="E374" s="30">
        <v>14000.0</v>
      </c>
      <c r="F374" s="28">
        <v>0.0</v>
      </c>
      <c r="G374" s="28" t="s">
        <v>250</v>
      </c>
      <c r="H374" s="28">
        <f t="array" ref="H374">INDEX(CC!C:C,MATCH(1,(CC!A:A=G374)*(CC!B:B=I374),0))</f>
        <v>1402</v>
      </c>
      <c r="I374" s="28" t="s">
        <v>25</v>
      </c>
      <c r="J374" s="31">
        <v>14000.0</v>
      </c>
      <c r="K374" s="28" t="str">
        <f>IFERROR(__xludf.DUMMYFUNCTION("IFERROR(
INDEX(
FILTER(
MAP(
reglas!$B$2:$B$240,
reglas!$C$2:$C$240,
reglas!$D$2:$D$240,
reglas!$E$2:$E$240,
LAMBDA(rEmisor,rPatron,rConcepto,rTipo,
IF(
AND(
OR(
UPPER(TRIM(rEmisor))=UPPER(TRIM(C374)),
UPPER(TRIM(rEmisor))=""CUALQUIERA""
),
OR(
UPPER(TRIM"&amp;"(rTipo))=""SOLO EMISOR"",
AND(
UPPER(TRIM(rTipo))=""EXACTA"",
UPPER(TRIM(AG374))=UPPER(TRIM(rPatron))
),
AND(
OR(
UPPER(TRIM(rTipo))=""CONTIENE"",
UPPER(TRIM(rTipo))=""COINCIDENCIA""
),
ISNUMBER(SEARCH(UPPER(TRIM(rPatron)),UPPER(TRIM(D374))))
)
)
),
rConc"&amp;"epto,
""""
)
)
),
MAP(
reglas!$B$2:$B$240,
reglas!$C$2:$C$240,
reglas!$D$2:$D$240,
reglas!$E$2:$E$240,
LAMBDA(rEmisor,rPatron,rConcepto,rTipo,
IF(
AND(
OR(
UPPER(TRIM(rEmisor))=UPPER(TRIM(C374)),
UPPER(TRIM(rEmisor))=""CUALQUIERA""
),
OR(
UPPER(TRIM(rTipo"&amp;"))=""SOLO EMISOR"",
AND(
UPPER(TRIM(rTipo))=""EXACTA"",
UPPER(TRIM(D374))=UPPER(TRIM(rPatron))
),
AND(
OR(
UPPER(TRIM(rTipo))=""CONTIENE"",
UPPER(TRIM(rTipo))=""COINCIDENCIA""
),
ISNUMBER(SEARCH(UPPER(TRIM(rPatron)),UPPER(TRIM(D374))))
)
)
),
rConcepto,
"&amp;"""""
)
)
)&lt;&gt;""""
),
1
),
""""
)"),"TRANSPORTE")</f>
        <v>TRANSPORTE</v>
      </c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</row>
    <row r="375">
      <c r="A375" s="28">
        <v>1.0</v>
      </c>
      <c r="B375" s="28" t="s">
        <v>29</v>
      </c>
      <c r="C375" s="29" t="s">
        <v>271</v>
      </c>
      <c r="D375" s="29" t="s">
        <v>589</v>
      </c>
      <c r="E375" s="28">
        <v>630.34</v>
      </c>
      <c r="F375" s="28">
        <v>0.0</v>
      </c>
      <c r="G375" s="28" t="s">
        <v>84</v>
      </c>
      <c r="H375" s="28">
        <f t="array" ref="H375">INDEX(CC!C:C,MATCH(1,(CC!A:A=G375)*(CC!B:B=I375),0))</f>
        <v>1002</v>
      </c>
      <c r="I375" s="28" t="s">
        <v>25</v>
      </c>
      <c r="J375" s="31">
        <v>630.34</v>
      </c>
      <c r="K375" s="28" t="str">
        <f>IFERROR(__xludf.DUMMYFUNCTION("IFERROR(
INDEX(
FILTER(
MAP(
reglas!$B$2:$B$240,
reglas!$C$2:$C$240,
reglas!$D$2:$D$240,
reglas!$E$2:$E$240,
LAMBDA(rEmisor,rPatron,rConcepto,rTipo,
IF(
AND(
OR(
UPPER(TRIM(rEmisor))=UPPER(TRIM(C375)),
UPPER(TRIM(rEmisor))=""CUALQUIERA""
),
OR(
UPPER(TRIM"&amp;"(rTipo))=""SOLO EMISOR"",
AND(
UPPER(TRIM(rTipo))=""EXACTA"",
UPPER(TRIM(AG375))=UPPER(TRIM(rPatron))
),
AND(
OR(
UPPER(TRIM(rTipo))=""CONTIENE"",
UPPER(TRIM(rTipo))=""COINCIDENCIA""
),
ISNUMBER(SEARCH(UPPER(TRIM(rPatron)),UPPER(TRIM(D375))))
)
)
),
rConc"&amp;"epto,
""""
)
)
),
MAP(
reglas!$B$2:$B$240,
reglas!$C$2:$C$240,
reglas!$D$2:$D$240,
reglas!$E$2:$E$240,
LAMBDA(rEmisor,rPatron,rConcepto,rTipo,
IF(
AND(
OR(
UPPER(TRIM(rEmisor))=UPPER(TRIM(C375)),
UPPER(TRIM(rEmisor))=""CUALQUIERA""
),
OR(
UPPER(TRIM(rTipo"&amp;"))=""SOLO EMISOR"",
AND(
UPPER(TRIM(rTipo))=""EXACTA"",
UPPER(TRIM(D375))=UPPER(TRIM(rPatron))
),
AND(
OR(
UPPER(TRIM(rTipo))=""CONTIENE"",
UPPER(TRIM(rTipo))=""COINCIDENCIA""
),
ISNUMBER(SEARCH(UPPER(TRIM(rPatron)),UPPER(TRIM(D375))))
)
)
),
rConcepto,
"&amp;"""""
)
)
)&lt;&gt;""""
),
1
),
""""
)"),"MANIOBRAS")</f>
        <v>MANIOBRAS</v>
      </c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</row>
    <row r="376">
      <c r="A376" s="32"/>
      <c r="B376" s="28" t="s">
        <v>29</v>
      </c>
      <c r="C376" s="29" t="s">
        <v>172</v>
      </c>
      <c r="D376" s="29" t="s">
        <v>1457</v>
      </c>
      <c r="E376" s="30">
        <v>14000.0</v>
      </c>
      <c r="F376" s="28">
        <v>0.0</v>
      </c>
      <c r="G376" s="28" t="s">
        <v>250</v>
      </c>
      <c r="H376" s="28">
        <f t="array" ref="H376">INDEX(CC!C:C,MATCH(1,(CC!A:A=G376)*(CC!B:B=I376),0))</f>
        <v>1402</v>
      </c>
      <c r="I376" s="28" t="s">
        <v>25</v>
      </c>
      <c r="J376" s="31">
        <v>14000.0</v>
      </c>
      <c r="K376" s="28" t="str">
        <f>IFERROR(__xludf.DUMMYFUNCTION("IFERROR(
INDEX(
FILTER(
MAP(
reglas!$B$2:$B$240,
reglas!$C$2:$C$240,
reglas!$D$2:$D$240,
reglas!$E$2:$E$240,
LAMBDA(rEmisor,rPatron,rConcepto,rTipo,
IF(
AND(
OR(
UPPER(TRIM(rEmisor))=UPPER(TRIM(C376)),
UPPER(TRIM(rEmisor))=""CUALQUIERA""
),
OR(
UPPER(TRIM"&amp;"(rTipo))=""SOLO EMISOR"",
AND(
UPPER(TRIM(rTipo))=""EXACTA"",
UPPER(TRIM(AG376))=UPPER(TRIM(rPatron))
),
AND(
OR(
UPPER(TRIM(rTipo))=""CONTIENE"",
UPPER(TRIM(rTipo))=""COINCIDENCIA""
),
ISNUMBER(SEARCH(UPPER(TRIM(rPatron)),UPPER(TRIM(D376))))
)
)
),
rConc"&amp;"epto,
""""
)
)
),
MAP(
reglas!$B$2:$B$240,
reglas!$C$2:$C$240,
reglas!$D$2:$D$240,
reglas!$E$2:$E$240,
LAMBDA(rEmisor,rPatron,rConcepto,rTipo,
IF(
AND(
OR(
UPPER(TRIM(rEmisor))=UPPER(TRIM(C376)),
UPPER(TRIM(rEmisor))=""CUALQUIERA""
),
OR(
UPPER(TRIM(rTipo"&amp;"))=""SOLO EMISOR"",
AND(
UPPER(TRIM(rTipo))=""EXACTA"",
UPPER(TRIM(D376))=UPPER(TRIM(rPatron))
),
AND(
OR(
UPPER(TRIM(rTipo))=""CONTIENE"",
UPPER(TRIM(rTipo))=""COINCIDENCIA""
),
ISNUMBER(SEARCH(UPPER(TRIM(rPatron)),UPPER(TRIM(D376))))
)
)
),
rConcepto,
"&amp;"""""
)
)
)&lt;&gt;""""
),
1
),
""""
)"),"TRANSPORTE")</f>
        <v>TRANSPORTE</v>
      </c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</row>
    <row r="377">
      <c r="A377" s="32"/>
      <c r="B377" s="28" t="s">
        <v>29</v>
      </c>
      <c r="C377" s="29" t="s">
        <v>172</v>
      </c>
      <c r="D377" s="29" t="s">
        <v>1463</v>
      </c>
      <c r="E377" s="30">
        <v>11500.0</v>
      </c>
      <c r="F377" s="28">
        <v>0.0</v>
      </c>
      <c r="G377" s="28" t="s">
        <v>250</v>
      </c>
      <c r="H377" s="28">
        <f t="array" ref="H377">INDEX(CC!C:C,MATCH(1,(CC!A:A=G377)*(CC!B:B=I377),0))</f>
        <v>1402</v>
      </c>
      <c r="I377" s="28" t="s">
        <v>25</v>
      </c>
      <c r="J377" s="31">
        <v>11500.0</v>
      </c>
      <c r="K377" s="28" t="str">
        <f>IFERROR(__xludf.DUMMYFUNCTION("IFERROR(
INDEX(
FILTER(
MAP(
reglas!$B$2:$B$240,
reglas!$C$2:$C$240,
reglas!$D$2:$D$240,
reglas!$E$2:$E$240,
LAMBDA(rEmisor,rPatron,rConcepto,rTipo,
IF(
AND(
OR(
UPPER(TRIM(rEmisor))=UPPER(TRIM(C377)),
UPPER(TRIM(rEmisor))=""CUALQUIERA""
),
OR(
UPPER(TRIM"&amp;"(rTipo))=""SOLO EMISOR"",
AND(
UPPER(TRIM(rTipo))=""EXACTA"",
UPPER(TRIM(AG377))=UPPER(TRIM(rPatron))
),
AND(
OR(
UPPER(TRIM(rTipo))=""CONTIENE"",
UPPER(TRIM(rTipo))=""COINCIDENCIA""
),
ISNUMBER(SEARCH(UPPER(TRIM(rPatron)),UPPER(TRIM(D377))))
)
)
),
rConc"&amp;"epto,
""""
)
)
),
MAP(
reglas!$B$2:$B$240,
reglas!$C$2:$C$240,
reglas!$D$2:$D$240,
reglas!$E$2:$E$240,
LAMBDA(rEmisor,rPatron,rConcepto,rTipo,
IF(
AND(
OR(
UPPER(TRIM(rEmisor))=UPPER(TRIM(C377)),
UPPER(TRIM(rEmisor))=""CUALQUIERA""
),
OR(
UPPER(TRIM(rTipo"&amp;"))=""SOLO EMISOR"",
AND(
UPPER(TRIM(rTipo))=""EXACTA"",
UPPER(TRIM(D377))=UPPER(TRIM(rPatron))
),
AND(
OR(
UPPER(TRIM(rTipo))=""CONTIENE"",
UPPER(TRIM(rTipo))=""COINCIDENCIA""
),
ISNUMBER(SEARCH(UPPER(TRIM(rPatron)),UPPER(TRIM(D377))))
)
)
),
rConcepto,
"&amp;"""""
)
)
)&lt;&gt;""""
),
1
),
""""
)"),"TRANSPORTE")</f>
        <v>TRANSPORTE</v>
      </c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</row>
    <row r="378">
      <c r="A378" s="28">
        <v>1.0</v>
      </c>
      <c r="B378" s="28" t="s">
        <v>29</v>
      </c>
      <c r="C378" s="29" t="s">
        <v>466</v>
      </c>
      <c r="D378" s="29" t="s">
        <v>1465</v>
      </c>
      <c r="E378" s="28">
        <v>169.0</v>
      </c>
      <c r="F378" s="28">
        <v>0.0</v>
      </c>
      <c r="G378" s="28" t="s">
        <v>551</v>
      </c>
      <c r="H378" s="28">
        <f t="array" ref="H378">INDEX(CC!C:C,MATCH(1,(CC!A:A=G378)*(CC!B:B=I378),0))</f>
        <v>1203</v>
      </c>
      <c r="I378" s="28" t="s">
        <v>44</v>
      </c>
      <c r="J378" s="31">
        <v>169.0</v>
      </c>
      <c r="K378" s="28" t="str">
        <f>IFERROR(__xludf.DUMMYFUNCTION("IFERROR(
INDEX(
FILTER(
MAP(
reglas!$B$2:$B$240,
reglas!$C$2:$C$240,
reglas!$D$2:$D$240,
reglas!$E$2:$E$240,
LAMBDA(rEmisor,rPatron,rConcepto,rTipo,
IF(
AND(
OR(
UPPER(TRIM(rEmisor))=UPPER(TRIM(C378)),
UPPER(TRIM(rEmisor))=""CUALQUIERA""
),
OR(
UPPER(TRIM"&amp;"(rTipo))=""SOLO EMISOR"",
AND(
UPPER(TRIM(rTipo))=""EXACTA"",
UPPER(TRIM(AG378))=UPPER(TRIM(rPatron))
),
AND(
OR(
UPPER(TRIM(rTipo))=""CONTIENE"",
UPPER(TRIM(rTipo))=""COINCIDENCIA""
),
ISNUMBER(SEARCH(UPPER(TRIM(rPatron)),UPPER(TRIM(D378))))
)
)
),
rConc"&amp;"epto,
""""
)
)
),
MAP(
reglas!$B$2:$B$240,
reglas!$C$2:$C$240,
reglas!$D$2:$D$240,
reglas!$E$2:$E$240,
LAMBDA(rEmisor,rPatron,rConcepto,rTipo,
IF(
AND(
OR(
UPPER(TRIM(rEmisor))=UPPER(TRIM(C378)),
UPPER(TRIM(rEmisor))=""CUALQUIERA""
),
OR(
UPPER(TRIM(rTipo"&amp;"))=""SOLO EMISOR"",
AND(
UPPER(TRIM(rTipo))=""EXACTA"",
UPPER(TRIM(D378))=UPPER(TRIM(rPatron))
),
AND(
OR(
UPPER(TRIM(rTipo))=""CONTIENE"",
UPPER(TRIM(rTipo))=""COINCIDENCIA""
),
ISNUMBER(SEARCH(UPPER(TRIM(rPatron)),UPPER(TRIM(D378))))
)
)
),
rConcepto,
"&amp;"""""
)
)
)&lt;&gt;""""
),
1
),
""""
)"),"MANIOBRAS")</f>
        <v>MANIOBRAS</v>
      </c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</row>
    <row r="379">
      <c r="A379" s="32"/>
      <c r="B379" s="32"/>
      <c r="C379" s="29" t="s">
        <v>466</v>
      </c>
      <c r="D379" s="29" t="s">
        <v>1053</v>
      </c>
      <c r="E379" s="30">
        <v>3000.0</v>
      </c>
      <c r="F379" s="28">
        <v>0.0</v>
      </c>
      <c r="G379" s="28" t="s">
        <v>551</v>
      </c>
      <c r="H379" s="28">
        <f t="array" ref="H379">INDEX(CC!C:C,MATCH(1,(CC!A:A=G379)*(CC!B:B=I379),0))</f>
        <v>1203</v>
      </c>
      <c r="I379" s="28" t="s">
        <v>44</v>
      </c>
      <c r="J379" s="31">
        <v>3000.0</v>
      </c>
      <c r="K379" s="28" t="str">
        <f>IFERROR(__xludf.DUMMYFUNCTION("IFERROR(
INDEX(
FILTER(
MAP(
reglas!$B$2:$B$240,
reglas!$C$2:$C$240,
reglas!$D$2:$D$240,
reglas!$E$2:$E$240,
LAMBDA(rEmisor,rPatron,rConcepto,rTipo,
IF(
AND(
OR(
UPPER(TRIM(rEmisor))=UPPER(TRIM(C379)),
UPPER(TRIM(rEmisor))=""CUALQUIERA""
),
OR(
UPPER(TRIM"&amp;"(rTipo))=""SOLO EMISOR"",
AND(
UPPER(TRIM(rTipo))=""EXACTA"",
UPPER(TRIM(AG379))=UPPER(TRIM(rPatron))
),
AND(
OR(
UPPER(TRIM(rTipo))=""CONTIENE"",
UPPER(TRIM(rTipo))=""COINCIDENCIA""
),
ISNUMBER(SEARCH(UPPER(TRIM(rPatron)),UPPER(TRIM(D379))))
)
)
),
rConc"&amp;"epto,
""""
)
)
),
MAP(
reglas!$B$2:$B$240,
reglas!$C$2:$C$240,
reglas!$D$2:$D$240,
reglas!$E$2:$E$240,
LAMBDA(rEmisor,rPatron,rConcepto,rTipo,
IF(
AND(
OR(
UPPER(TRIM(rEmisor))=UPPER(TRIM(C379)),
UPPER(TRIM(rEmisor))=""CUALQUIERA""
),
OR(
UPPER(TRIM(rTipo"&amp;"))=""SOLO EMISOR"",
AND(
UPPER(TRIM(rTipo))=""EXACTA"",
UPPER(TRIM(D379))=UPPER(TRIM(rPatron))
),
AND(
OR(
UPPER(TRIM(rTipo))=""CONTIENE"",
UPPER(TRIM(rTipo))=""COINCIDENCIA""
),
ISNUMBER(SEARCH(UPPER(TRIM(rPatron)),UPPER(TRIM(D379))))
)
)
),
rConcepto,
"&amp;"""""
)
)
)&lt;&gt;""""
),
1
),
""""
)"),"MANIOBRAS")</f>
        <v>MANIOBRAS</v>
      </c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</row>
    <row r="380">
      <c r="A380" s="32"/>
      <c r="B380" s="28" t="s">
        <v>29</v>
      </c>
      <c r="C380" s="29" t="s">
        <v>414</v>
      </c>
      <c r="D380" s="29" t="s">
        <v>415</v>
      </c>
      <c r="E380" s="30">
        <v>39645.71</v>
      </c>
      <c r="F380" s="28">
        <v>0.0</v>
      </c>
      <c r="G380" s="28" t="s">
        <v>225</v>
      </c>
      <c r="H380" s="28">
        <f t="array" ref="H380">INDEX(CC!C:C,MATCH(1,(CC!A:A=G380)*(CC!B:B=I380),0))</f>
        <v>102</v>
      </c>
      <c r="I380" s="28" t="s">
        <v>25</v>
      </c>
      <c r="J380" s="33"/>
      <c r="K380" s="28" t="str">
        <f>IFERROR(__xludf.DUMMYFUNCTION("IFERROR(
INDEX(
FILTER(
MAP(
reglas!$B$2:$B$240,
reglas!$C$2:$C$240,
reglas!$D$2:$D$240,
reglas!$E$2:$E$240,
LAMBDA(rEmisor,rPatron,rConcepto,rTipo,
IF(
AND(
OR(
UPPER(TRIM(rEmisor))=UPPER(TRIM(C380)),
UPPER(TRIM(rEmisor))=""CUALQUIERA""
),
OR(
UPPER(TRIM"&amp;"(rTipo))=""SOLO EMISOR"",
AND(
UPPER(TRIM(rTipo))=""EXACTA"",
UPPER(TRIM(AG380))=UPPER(TRIM(rPatron))
),
AND(
OR(
UPPER(TRIM(rTipo))=""CONTIENE"",
UPPER(TRIM(rTipo))=""COINCIDENCIA""
),
ISNUMBER(SEARCH(UPPER(TRIM(rPatron)),UPPER(TRIM(D380))))
)
)
),
rConc"&amp;"epto,
""""
)
)
),
MAP(
reglas!$B$2:$B$240,
reglas!$C$2:$C$240,
reglas!$D$2:$D$240,
reglas!$E$2:$E$240,
LAMBDA(rEmisor,rPatron,rConcepto,rTipo,
IF(
AND(
OR(
UPPER(TRIM(rEmisor))=UPPER(TRIM(C380)),
UPPER(TRIM(rEmisor))=""CUALQUIERA""
),
OR(
UPPER(TRIM(rTipo"&amp;"))=""SOLO EMISOR"",
AND(
UPPER(TRIM(rTipo))=""EXACTA"",
UPPER(TRIM(D380))=UPPER(TRIM(rPatron))
),
AND(
OR(
UPPER(TRIM(rTipo))=""CONTIENE"",
UPPER(TRIM(rTipo))=""COINCIDENCIA""
),
ISNUMBER(SEARCH(UPPER(TRIM(rPatron)),UPPER(TRIM(D380))))
)
)
),
rConcepto,
"&amp;"""""
)
)
)&lt;&gt;""""
),
1
),
""""
)"),"N/A")</f>
        <v>N/A</v>
      </c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</row>
    <row r="381">
      <c r="A381" s="32"/>
      <c r="B381" s="32"/>
      <c r="C381" s="29" t="s">
        <v>414</v>
      </c>
      <c r="D381" s="29" t="s">
        <v>416</v>
      </c>
      <c r="E381" s="30">
        <v>2395.08</v>
      </c>
      <c r="F381" s="28">
        <v>0.0</v>
      </c>
      <c r="G381" s="28" t="s">
        <v>225</v>
      </c>
      <c r="H381" s="28">
        <f t="array" ref="H381">INDEX(CC!C:C,MATCH(1,(CC!A:A=G381)*(CC!B:B=I381),0))</f>
        <v>102</v>
      </c>
      <c r="I381" s="28" t="s">
        <v>25</v>
      </c>
      <c r="J381" s="33"/>
      <c r="K381" s="28" t="str">
        <f>IFERROR(__xludf.DUMMYFUNCTION("IFERROR(
INDEX(
FILTER(
MAP(
reglas!$B$2:$B$240,
reglas!$C$2:$C$240,
reglas!$D$2:$D$240,
reglas!$E$2:$E$240,
LAMBDA(rEmisor,rPatron,rConcepto,rTipo,
IF(
AND(
OR(
UPPER(TRIM(rEmisor))=UPPER(TRIM(C381)),
UPPER(TRIM(rEmisor))=""CUALQUIERA""
),
OR(
UPPER(TRIM"&amp;"(rTipo))=""SOLO EMISOR"",
AND(
UPPER(TRIM(rTipo))=""EXACTA"",
UPPER(TRIM(AG381))=UPPER(TRIM(rPatron))
),
AND(
OR(
UPPER(TRIM(rTipo))=""CONTIENE"",
UPPER(TRIM(rTipo))=""COINCIDENCIA""
),
ISNUMBER(SEARCH(UPPER(TRIM(rPatron)),UPPER(TRIM(D381))))
)
)
),
rConc"&amp;"epto,
""""
)
)
),
MAP(
reglas!$B$2:$B$240,
reglas!$C$2:$C$240,
reglas!$D$2:$D$240,
reglas!$E$2:$E$240,
LAMBDA(rEmisor,rPatron,rConcepto,rTipo,
IF(
AND(
OR(
UPPER(TRIM(rEmisor))=UPPER(TRIM(C381)),
UPPER(TRIM(rEmisor))=""CUALQUIERA""
),
OR(
UPPER(TRIM(rTipo"&amp;"))=""SOLO EMISOR"",
AND(
UPPER(TRIM(rTipo))=""EXACTA"",
UPPER(TRIM(D381))=UPPER(TRIM(rPatron))
),
AND(
OR(
UPPER(TRIM(rTipo))=""CONTIENE"",
UPPER(TRIM(rTipo))=""COINCIDENCIA""
),
ISNUMBER(SEARCH(UPPER(TRIM(rPatron)),UPPER(TRIM(D381))))
)
)
),
rConcepto,
"&amp;"""""
)
)
)&lt;&gt;""""
),
1
),
""""
)"),"N/A")</f>
        <v>N/A</v>
      </c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</row>
    <row r="382">
      <c r="A382" s="32"/>
      <c r="B382" s="32"/>
      <c r="C382" s="29" t="s">
        <v>414</v>
      </c>
      <c r="D382" s="29" t="s">
        <v>417</v>
      </c>
      <c r="E382" s="30">
        <v>15024.8</v>
      </c>
      <c r="F382" s="28">
        <v>0.0</v>
      </c>
      <c r="G382" s="28" t="s">
        <v>225</v>
      </c>
      <c r="H382" s="28">
        <f t="array" ref="H382">INDEX(CC!C:C,MATCH(1,(CC!A:A=G382)*(CC!B:B=I382),0))</f>
        <v>102</v>
      </c>
      <c r="I382" s="28" t="s">
        <v>25</v>
      </c>
      <c r="J382" s="33"/>
      <c r="K382" s="28" t="str">
        <f>IFERROR(__xludf.DUMMYFUNCTION("IFERROR(
INDEX(
FILTER(
MAP(
reglas!$B$2:$B$240,
reglas!$C$2:$C$240,
reglas!$D$2:$D$240,
reglas!$E$2:$E$240,
LAMBDA(rEmisor,rPatron,rConcepto,rTipo,
IF(
AND(
OR(
UPPER(TRIM(rEmisor))=UPPER(TRIM(C382)),
UPPER(TRIM(rEmisor))=""CUALQUIERA""
),
OR(
UPPER(TRIM"&amp;"(rTipo))=""SOLO EMISOR"",
AND(
UPPER(TRIM(rTipo))=""EXACTA"",
UPPER(TRIM(AG382))=UPPER(TRIM(rPatron))
),
AND(
OR(
UPPER(TRIM(rTipo))=""CONTIENE"",
UPPER(TRIM(rTipo))=""COINCIDENCIA""
),
ISNUMBER(SEARCH(UPPER(TRIM(rPatron)),UPPER(TRIM(D382))))
)
)
),
rConc"&amp;"epto,
""""
)
)
),
MAP(
reglas!$B$2:$B$240,
reglas!$C$2:$C$240,
reglas!$D$2:$D$240,
reglas!$E$2:$E$240,
LAMBDA(rEmisor,rPatron,rConcepto,rTipo,
IF(
AND(
OR(
UPPER(TRIM(rEmisor))=UPPER(TRIM(C382)),
UPPER(TRIM(rEmisor))=""CUALQUIERA""
),
OR(
UPPER(TRIM(rTipo"&amp;"))=""SOLO EMISOR"",
AND(
UPPER(TRIM(rTipo))=""EXACTA"",
UPPER(TRIM(D382))=UPPER(TRIM(rPatron))
),
AND(
OR(
UPPER(TRIM(rTipo))=""CONTIENE"",
UPPER(TRIM(rTipo))=""COINCIDENCIA""
),
ISNUMBER(SEARCH(UPPER(TRIM(rPatron)),UPPER(TRIM(D382))))
)
)
),
rConcepto,
"&amp;"""""
)
)
)&lt;&gt;""""
),
1
),
""""
)"),"N/A")</f>
        <v>N/A</v>
      </c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</row>
    <row r="383">
      <c r="A383" s="28">
        <v>1.0</v>
      </c>
      <c r="B383" s="28" t="s">
        <v>29</v>
      </c>
      <c r="C383" s="29" t="s">
        <v>518</v>
      </c>
      <c r="D383" s="29" t="s">
        <v>1473</v>
      </c>
      <c r="E383" s="28">
        <v>700.0</v>
      </c>
      <c r="F383" s="28">
        <v>0.0</v>
      </c>
      <c r="G383" s="28" t="s">
        <v>1032</v>
      </c>
      <c r="H383" s="28">
        <f t="array" ref="H383">INDEX(CC!C:C,MATCH(1,(CC!A:A=G383)*(CC!B:B=I383),0))</f>
        <v>302</v>
      </c>
      <c r="I383" s="28" t="s">
        <v>25</v>
      </c>
      <c r="J383" s="31">
        <v>700.0</v>
      </c>
      <c r="K383" s="28" t="str">
        <f>IFERROR(__xludf.DUMMYFUNCTION("IFERROR(
INDEX(
FILTER(
MAP(
reglas!$B$2:$B$240,
reglas!$C$2:$C$240,
reglas!$D$2:$D$240,
reglas!$E$2:$E$240,
LAMBDA(rEmisor,rPatron,rConcepto,rTipo,
IF(
AND(
OR(
UPPER(TRIM(rEmisor))=UPPER(TRIM(C383)),
UPPER(TRIM(rEmisor))=""CUALQUIERA""
),
OR(
UPPER(TRIM"&amp;"(rTipo))=""SOLO EMISOR"",
AND(
UPPER(TRIM(rTipo))=""EXACTA"",
UPPER(TRIM(AG383))=UPPER(TRIM(rPatron))
),
AND(
OR(
UPPER(TRIM(rTipo))=""CONTIENE"",
UPPER(TRIM(rTipo))=""COINCIDENCIA""
),
ISNUMBER(SEARCH(UPPER(TRIM(rPatron)),UPPER(TRIM(D383))))
)
)
),
rConc"&amp;"epto,
""""
)
)
),
MAP(
reglas!$B$2:$B$240,
reglas!$C$2:$C$240,
reglas!$D$2:$D$240,
reglas!$E$2:$E$240,
LAMBDA(rEmisor,rPatron,rConcepto,rTipo,
IF(
AND(
OR(
UPPER(TRIM(rEmisor))=UPPER(TRIM(C383)),
UPPER(TRIM(rEmisor))=""CUALQUIERA""
),
OR(
UPPER(TRIM(rTipo"&amp;"))=""SOLO EMISOR"",
AND(
UPPER(TRIM(rTipo))=""EXACTA"",
UPPER(TRIM(D383))=UPPER(TRIM(rPatron))
),
AND(
OR(
UPPER(TRIM(rTipo))=""CONTIENE"",
UPPER(TRIM(rTipo))=""COINCIDENCIA""
),
ISNUMBER(SEARCH(UPPER(TRIM(rPatron)),UPPER(TRIM(D383))))
)
)
),
rConcepto,
"&amp;"""""
)
)
)&lt;&gt;""""
),
1
),
""""
)"),"SEGUROS Y FIANZAS")</f>
        <v>SEGUROS Y FIANZAS</v>
      </c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</row>
    <row r="384">
      <c r="A384" s="32"/>
      <c r="B384" s="32"/>
      <c r="C384" s="29" t="s">
        <v>518</v>
      </c>
      <c r="D384" s="29" t="s">
        <v>1476</v>
      </c>
      <c r="E384" s="30">
        <v>12419.18</v>
      </c>
      <c r="F384" s="28">
        <v>0.0</v>
      </c>
      <c r="G384" s="28" t="s">
        <v>1032</v>
      </c>
      <c r="H384" s="28">
        <f t="array" ref="H384">INDEX(CC!C:C,MATCH(1,(CC!A:A=G384)*(CC!B:B=I384),0))</f>
        <v>302</v>
      </c>
      <c r="I384" s="28" t="s">
        <v>25</v>
      </c>
      <c r="J384" s="31">
        <v>12419.18</v>
      </c>
      <c r="K384" s="28" t="str">
        <f>IFERROR(__xludf.DUMMYFUNCTION("IFERROR(
INDEX(
FILTER(
MAP(
reglas!$B$2:$B$240,
reglas!$C$2:$C$240,
reglas!$D$2:$D$240,
reglas!$E$2:$E$240,
LAMBDA(rEmisor,rPatron,rConcepto,rTipo,
IF(
AND(
OR(
UPPER(TRIM(rEmisor))=UPPER(TRIM(C384)),
UPPER(TRIM(rEmisor))=""CUALQUIERA""
),
OR(
UPPER(TRIM"&amp;"(rTipo))=""SOLO EMISOR"",
AND(
UPPER(TRIM(rTipo))=""EXACTA"",
UPPER(TRIM(AG384))=UPPER(TRIM(rPatron))
),
AND(
OR(
UPPER(TRIM(rTipo))=""CONTIENE"",
UPPER(TRIM(rTipo))=""COINCIDENCIA""
),
ISNUMBER(SEARCH(UPPER(TRIM(rPatron)),UPPER(TRIM(D384))))
)
)
),
rConc"&amp;"epto,
""""
)
)
),
MAP(
reglas!$B$2:$B$240,
reglas!$C$2:$C$240,
reglas!$D$2:$D$240,
reglas!$E$2:$E$240,
LAMBDA(rEmisor,rPatron,rConcepto,rTipo,
IF(
AND(
OR(
UPPER(TRIM(rEmisor))=UPPER(TRIM(C384)),
UPPER(TRIM(rEmisor))=""CUALQUIERA""
),
OR(
UPPER(TRIM(rTipo"&amp;"))=""SOLO EMISOR"",
AND(
UPPER(TRIM(rTipo))=""EXACTA"",
UPPER(TRIM(D384))=UPPER(TRIM(rPatron))
),
AND(
OR(
UPPER(TRIM(rTipo))=""CONTIENE"",
UPPER(TRIM(rTipo))=""COINCIDENCIA""
),
ISNUMBER(SEARCH(UPPER(TRIM(rPatron)),UPPER(TRIM(D384))))
)
)
),
rConcepto,
"&amp;"""""
)
)
)&lt;&gt;""""
),
1
),
""""
)"),"SEGUROS Y FIANZAS")</f>
        <v>SEGUROS Y FIANZAS</v>
      </c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</row>
    <row r="385">
      <c r="A385" s="32"/>
      <c r="B385" s="28" t="s">
        <v>29</v>
      </c>
      <c r="C385" s="29" t="s">
        <v>414</v>
      </c>
      <c r="D385" s="29" t="s">
        <v>421</v>
      </c>
      <c r="E385" s="28">
        <v>16.53</v>
      </c>
      <c r="F385" s="28">
        <v>0.0</v>
      </c>
      <c r="G385" s="28" t="s">
        <v>225</v>
      </c>
      <c r="H385" s="28">
        <f t="array" ref="H385">INDEX(CC!C:C,MATCH(1,(CC!A:A=G385)*(CC!B:B=I385),0))</f>
        <v>102</v>
      </c>
      <c r="I385" s="28" t="s">
        <v>25</v>
      </c>
      <c r="J385" s="33"/>
      <c r="K385" s="28" t="str">
        <f>IFERROR(__xludf.DUMMYFUNCTION("IFERROR(
INDEX(
FILTER(
MAP(
reglas!$B$2:$B$240,
reglas!$C$2:$C$240,
reglas!$D$2:$D$240,
reglas!$E$2:$E$240,
LAMBDA(rEmisor,rPatron,rConcepto,rTipo,
IF(
AND(
OR(
UPPER(TRIM(rEmisor))=UPPER(TRIM(C385)),
UPPER(TRIM(rEmisor))=""CUALQUIERA""
),
OR(
UPPER(TRIM"&amp;"(rTipo))=""SOLO EMISOR"",
AND(
UPPER(TRIM(rTipo))=""EXACTA"",
UPPER(TRIM(AG385))=UPPER(TRIM(rPatron))
),
AND(
OR(
UPPER(TRIM(rTipo))=""CONTIENE"",
UPPER(TRIM(rTipo))=""COINCIDENCIA""
),
ISNUMBER(SEARCH(UPPER(TRIM(rPatron)),UPPER(TRIM(D385))))
)
)
),
rConc"&amp;"epto,
""""
)
)
),
MAP(
reglas!$B$2:$B$240,
reglas!$C$2:$C$240,
reglas!$D$2:$D$240,
reglas!$E$2:$E$240,
LAMBDA(rEmisor,rPatron,rConcepto,rTipo,
IF(
AND(
OR(
UPPER(TRIM(rEmisor))=UPPER(TRIM(C385)),
UPPER(TRIM(rEmisor))=""CUALQUIERA""
),
OR(
UPPER(TRIM(rTipo"&amp;"))=""SOLO EMISOR"",
AND(
UPPER(TRIM(rTipo))=""EXACTA"",
UPPER(TRIM(D385))=UPPER(TRIM(rPatron))
),
AND(
OR(
UPPER(TRIM(rTipo))=""CONTIENE"",
UPPER(TRIM(rTipo))=""COINCIDENCIA""
),
ISNUMBER(SEARCH(UPPER(TRIM(rPatron)),UPPER(TRIM(D385))))
)
)
),
rConcepto,
"&amp;"""""
)
)
)&lt;&gt;""""
),
1
),
""""
)"),"N/A")</f>
        <v>N/A</v>
      </c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</row>
    <row r="386">
      <c r="A386" s="32"/>
      <c r="B386" s="32"/>
      <c r="C386" s="29" t="s">
        <v>414</v>
      </c>
      <c r="D386" s="29" t="s">
        <v>422</v>
      </c>
      <c r="E386" s="30">
        <v>16155.7</v>
      </c>
      <c r="F386" s="28">
        <v>0.0</v>
      </c>
      <c r="G386" s="28" t="s">
        <v>225</v>
      </c>
      <c r="H386" s="28">
        <f t="array" ref="H386">INDEX(CC!C:C,MATCH(1,(CC!A:A=G386)*(CC!B:B=I386),0))</f>
        <v>102</v>
      </c>
      <c r="I386" s="28" t="s">
        <v>25</v>
      </c>
      <c r="J386" s="33"/>
      <c r="K386" s="28" t="str">
        <f>IFERROR(__xludf.DUMMYFUNCTION("IFERROR(
INDEX(
FILTER(
MAP(
reglas!$B$2:$B$240,
reglas!$C$2:$C$240,
reglas!$D$2:$D$240,
reglas!$E$2:$E$240,
LAMBDA(rEmisor,rPatron,rConcepto,rTipo,
IF(
AND(
OR(
UPPER(TRIM(rEmisor))=UPPER(TRIM(C386)),
UPPER(TRIM(rEmisor))=""CUALQUIERA""
),
OR(
UPPER(TRIM"&amp;"(rTipo))=""SOLO EMISOR"",
AND(
UPPER(TRIM(rTipo))=""EXACTA"",
UPPER(TRIM(AG386))=UPPER(TRIM(rPatron))
),
AND(
OR(
UPPER(TRIM(rTipo))=""CONTIENE"",
UPPER(TRIM(rTipo))=""COINCIDENCIA""
),
ISNUMBER(SEARCH(UPPER(TRIM(rPatron)),UPPER(TRIM(D386))))
)
)
),
rConc"&amp;"epto,
""""
)
)
),
MAP(
reglas!$B$2:$B$240,
reglas!$C$2:$C$240,
reglas!$D$2:$D$240,
reglas!$E$2:$E$240,
LAMBDA(rEmisor,rPatron,rConcepto,rTipo,
IF(
AND(
OR(
UPPER(TRIM(rEmisor))=UPPER(TRIM(C386)),
UPPER(TRIM(rEmisor))=""CUALQUIERA""
),
OR(
UPPER(TRIM(rTipo"&amp;"))=""SOLO EMISOR"",
AND(
UPPER(TRIM(rTipo))=""EXACTA"",
UPPER(TRIM(D386))=UPPER(TRIM(rPatron))
),
AND(
OR(
UPPER(TRIM(rTipo))=""CONTIENE"",
UPPER(TRIM(rTipo))=""COINCIDENCIA""
),
ISNUMBER(SEARCH(UPPER(TRIM(rPatron)),UPPER(TRIM(D386))))
)
)
),
rConcepto,
"&amp;"""""
)
)
)&lt;&gt;""""
),
1
),
""""
)"),"N/A")</f>
        <v>N/A</v>
      </c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</row>
    <row r="387">
      <c r="A387" s="32"/>
      <c r="B387" s="32"/>
      <c r="C387" s="29" t="s">
        <v>414</v>
      </c>
      <c r="D387" s="29" t="s">
        <v>424</v>
      </c>
      <c r="E387" s="28">
        <v>137.46</v>
      </c>
      <c r="F387" s="28">
        <v>0.0</v>
      </c>
      <c r="G387" s="28" t="s">
        <v>225</v>
      </c>
      <c r="H387" s="28">
        <f t="array" ref="H387">INDEX(CC!C:C,MATCH(1,(CC!A:A=G387)*(CC!B:B=I387),0))</f>
        <v>102</v>
      </c>
      <c r="I387" s="28" t="s">
        <v>25</v>
      </c>
      <c r="J387" s="33"/>
      <c r="K387" s="28" t="str">
        <f>IFERROR(__xludf.DUMMYFUNCTION("IFERROR(
INDEX(
FILTER(
MAP(
reglas!$B$2:$B$240,
reglas!$C$2:$C$240,
reglas!$D$2:$D$240,
reglas!$E$2:$E$240,
LAMBDA(rEmisor,rPatron,rConcepto,rTipo,
IF(
AND(
OR(
UPPER(TRIM(rEmisor))=UPPER(TRIM(C387)),
UPPER(TRIM(rEmisor))=""CUALQUIERA""
),
OR(
UPPER(TRIM"&amp;"(rTipo))=""SOLO EMISOR"",
AND(
UPPER(TRIM(rTipo))=""EXACTA"",
UPPER(TRIM(AG387))=UPPER(TRIM(rPatron))
),
AND(
OR(
UPPER(TRIM(rTipo))=""CONTIENE"",
UPPER(TRIM(rTipo))=""COINCIDENCIA""
),
ISNUMBER(SEARCH(UPPER(TRIM(rPatron)),UPPER(TRIM(D387))))
)
)
),
rConc"&amp;"epto,
""""
)
)
),
MAP(
reglas!$B$2:$B$240,
reglas!$C$2:$C$240,
reglas!$D$2:$D$240,
reglas!$E$2:$E$240,
LAMBDA(rEmisor,rPatron,rConcepto,rTipo,
IF(
AND(
OR(
UPPER(TRIM(rEmisor))=UPPER(TRIM(C387)),
UPPER(TRIM(rEmisor))=""CUALQUIERA""
),
OR(
UPPER(TRIM(rTipo"&amp;"))=""SOLO EMISOR"",
AND(
UPPER(TRIM(rTipo))=""EXACTA"",
UPPER(TRIM(D387))=UPPER(TRIM(rPatron))
),
AND(
OR(
UPPER(TRIM(rTipo))=""CONTIENE"",
UPPER(TRIM(rTipo))=""COINCIDENCIA""
),
ISNUMBER(SEARCH(UPPER(TRIM(rPatron)),UPPER(TRIM(D387))))
)
)
),
rConcepto,
"&amp;"""""
)
)
)&lt;&gt;""""
),
1
),
""""
)"),"N/A")</f>
        <v>N/A</v>
      </c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</row>
    <row r="388">
      <c r="A388" s="32"/>
      <c r="B388" s="32"/>
      <c r="C388" s="29" t="s">
        <v>414</v>
      </c>
      <c r="D388" s="29" t="s">
        <v>425</v>
      </c>
      <c r="E388" s="28">
        <v>675.22</v>
      </c>
      <c r="F388" s="28">
        <v>0.0</v>
      </c>
      <c r="G388" s="28" t="s">
        <v>225</v>
      </c>
      <c r="H388" s="28">
        <f t="array" ref="H388">INDEX(CC!C:C,MATCH(1,(CC!A:A=G388)*(CC!B:B=I388),0))</f>
        <v>102</v>
      </c>
      <c r="I388" s="28" t="s">
        <v>25</v>
      </c>
      <c r="J388" s="33"/>
      <c r="K388" s="28" t="str">
        <f>IFERROR(__xludf.DUMMYFUNCTION("IFERROR(
INDEX(
FILTER(
MAP(
reglas!$B$2:$B$240,
reglas!$C$2:$C$240,
reglas!$D$2:$D$240,
reglas!$E$2:$E$240,
LAMBDA(rEmisor,rPatron,rConcepto,rTipo,
IF(
AND(
OR(
UPPER(TRIM(rEmisor))=UPPER(TRIM(C388)),
UPPER(TRIM(rEmisor))=""CUALQUIERA""
),
OR(
UPPER(TRIM"&amp;"(rTipo))=""SOLO EMISOR"",
AND(
UPPER(TRIM(rTipo))=""EXACTA"",
UPPER(TRIM(AG388))=UPPER(TRIM(rPatron))
),
AND(
OR(
UPPER(TRIM(rTipo))=""CONTIENE"",
UPPER(TRIM(rTipo))=""COINCIDENCIA""
),
ISNUMBER(SEARCH(UPPER(TRIM(rPatron)),UPPER(TRIM(D388))))
)
)
),
rConc"&amp;"epto,
""""
)
)
),
MAP(
reglas!$B$2:$B$240,
reglas!$C$2:$C$240,
reglas!$D$2:$D$240,
reglas!$E$2:$E$240,
LAMBDA(rEmisor,rPatron,rConcepto,rTipo,
IF(
AND(
OR(
UPPER(TRIM(rEmisor))=UPPER(TRIM(C388)),
UPPER(TRIM(rEmisor))=""CUALQUIERA""
),
OR(
UPPER(TRIM(rTipo"&amp;"))=""SOLO EMISOR"",
AND(
UPPER(TRIM(rTipo))=""EXACTA"",
UPPER(TRIM(D388))=UPPER(TRIM(rPatron))
),
AND(
OR(
UPPER(TRIM(rTipo))=""CONTIENE"",
UPPER(TRIM(rTipo))=""COINCIDENCIA""
),
ISNUMBER(SEARCH(UPPER(TRIM(rPatron)),UPPER(TRIM(D388))))
)
)
),
rConcepto,
"&amp;"""""
)
)
)&lt;&gt;""""
),
1
),
""""
)"),"N/A")</f>
        <v>N/A</v>
      </c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</row>
    <row r="389">
      <c r="A389" s="32"/>
      <c r="B389" s="28" t="s">
        <v>29</v>
      </c>
      <c r="C389" s="29" t="s">
        <v>439</v>
      </c>
      <c r="D389" s="29" t="s">
        <v>1487</v>
      </c>
      <c r="E389" s="30">
        <v>3500.3</v>
      </c>
      <c r="F389" s="28">
        <v>0.0</v>
      </c>
      <c r="G389" s="28" t="s">
        <v>554</v>
      </c>
      <c r="H389" s="28">
        <f t="array" ref="H389">INDEX(CC!C:C,MATCH(1,(CC!A:A=G389)*(CC!B:B=I389),0))</f>
        <v>1702</v>
      </c>
      <c r="I389" s="28" t="s">
        <v>25</v>
      </c>
      <c r="J389" s="31">
        <v>3500.3</v>
      </c>
      <c r="K389" s="28" t="str">
        <f>IFERROR(__xludf.DUMMYFUNCTION("IFERROR(
INDEX(
FILTER(
MAP(
reglas!$B$2:$B$240,
reglas!$C$2:$C$240,
reglas!$D$2:$D$240,
reglas!$E$2:$E$240,
LAMBDA(rEmisor,rPatron,rConcepto,rTipo,
IF(
AND(
OR(
UPPER(TRIM(rEmisor))=UPPER(TRIM(C389)),
UPPER(TRIM(rEmisor))=""CUALQUIERA""
),
OR(
UPPER(TRIM"&amp;"(rTipo))=""SOLO EMISOR"",
AND(
UPPER(TRIM(rTipo))=""EXACTA"",
UPPER(TRIM(AG389))=UPPER(TRIM(rPatron))
),
AND(
OR(
UPPER(TRIM(rTipo))=""CONTIENE"",
UPPER(TRIM(rTipo))=""COINCIDENCIA""
),
ISNUMBER(SEARCH(UPPER(TRIM(rPatron)),UPPER(TRIM(D389))))
)
)
),
rConc"&amp;"epto,
""""
)
)
),
MAP(
reglas!$B$2:$B$240,
reglas!$C$2:$C$240,
reglas!$D$2:$D$240,
reglas!$E$2:$E$240,
LAMBDA(rEmisor,rPatron,rConcepto,rTipo,
IF(
AND(
OR(
UPPER(TRIM(rEmisor))=UPPER(TRIM(C389)),
UPPER(TRIM(rEmisor))=""CUALQUIERA""
),
OR(
UPPER(TRIM(rTipo"&amp;"))=""SOLO EMISOR"",
AND(
UPPER(TRIM(rTipo))=""EXACTA"",
UPPER(TRIM(D389))=UPPER(TRIM(rPatron))
),
AND(
OR(
UPPER(TRIM(rTipo))=""CONTIENE"",
UPPER(TRIM(rTipo))=""COINCIDENCIA""
),
ISNUMBER(SEARCH(UPPER(TRIM(rPatron)),UPPER(TRIM(D389))))
)
)
),
rConcepto,
"&amp;"""""
)
)
)&lt;&gt;""""
),
1
),
""""
)"),"REVALIDACION")</f>
        <v>REVALIDACION</v>
      </c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</row>
    <row r="390">
      <c r="A390" s="32"/>
      <c r="B390" s="28" t="s">
        <v>29</v>
      </c>
      <c r="C390" s="29" t="s">
        <v>172</v>
      </c>
      <c r="D390" s="29" t="s">
        <v>1488</v>
      </c>
      <c r="E390" s="30">
        <v>14000.0</v>
      </c>
      <c r="F390" s="28">
        <v>0.0</v>
      </c>
      <c r="G390" s="28" t="s">
        <v>250</v>
      </c>
      <c r="H390" s="28">
        <f t="array" ref="H390">INDEX(CC!C:C,MATCH(1,(CC!A:A=G390)*(CC!B:B=I390),0))</f>
        <v>1402</v>
      </c>
      <c r="I390" s="28" t="s">
        <v>25</v>
      </c>
      <c r="J390" s="31">
        <v>14000.0</v>
      </c>
      <c r="K390" s="28" t="str">
        <f>IFERROR(__xludf.DUMMYFUNCTION("IFERROR(
INDEX(
FILTER(
MAP(
reglas!$B$2:$B$240,
reglas!$C$2:$C$240,
reglas!$D$2:$D$240,
reglas!$E$2:$E$240,
LAMBDA(rEmisor,rPatron,rConcepto,rTipo,
IF(
AND(
OR(
UPPER(TRIM(rEmisor))=UPPER(TRIM(C390)),
UPPER(TRIM(rEmisor))=""CUALQUIERA""
),
OR(
UPPER(TRIM"&amp;"(rTipo))=""SOLO EMISOR"",
AND(
UPPER(TRIM(rTipo))=""EXACTA"",
UPPER(TRIM(AG390))=UPPER(TRIM(rPatron))
),
AND(
OR(
UPPER(TRIM(rTipo))=""CONTIENE"",
UPPER(TRIM(rTipo))=""COINCIDENCIA""
),
ISNUMBER(SEARCH(UPPER(TRIM(rPatron)),UPPER(TRIM(D390))))
)
)
),
rConc"&amp;"epto,
""""
)
)
),
MAP(
reglas!$B$2:$B$240,
reglas!$C$2:$C$240,
reglas!$D$2:$D$240,
reglas!$E$2:$E$240,
LAMBDA(rEmisor,rPatron,rConcepto,rTipo,
IF(
AND(
OR(
UPPER(TRIM(rEmisor))=UPPER(TRIM(C390)),
UPPER(TRIM(rEmisor))=""CUALQUIERA""
),
OR(
UPPER(TRIM(rTipo"&amp;"))=""SOLO EMISOR"",
AND(
UPPER(TRIM(rTipo))=""EXACTA"",
UPPER(TRIM(D390))=UPPER(TRIM(rPatron))
),
AND(
OR(
UPPER(TRIM(rTipo))=""CONTIENE"",
UPPER(TRIM(rTipo))=""COINCIDENCIA""
),
ISNUMBER(SEARCH(UPPER(TRIM(rPatron)),UPPER(TRIM(D390))))
)
)
),
rConcepto,
"&amp;"""""
)
)
)&lt;&gt;""""
),
1
),
""""
)"),"TRANSPORTE")</f>
        <v>TRANSPORTE</v>
      </c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</row>
    <row r="391">
      <c r="A391" s="32"/>
      <c r="B391" s="28" t="s">
        <v>29</v>
      </c>
      <c r="C391" s="29" t="s">
        <v>172</v>
      </c>
      <c r="D391" s="29" t="s">
        <v>1491</v>
      </c>
      <c r="E391" s="30">
        <v>11500.0</v>
      </c>
      <c r="F391" s="28">
        <v>0.0</v>
      </c>
      <c r="G391" s="28" t="s">
        <v>250</v>
      </c>
      <c r="H391" s="28">
        <f t="array" ref="H391">INDEX(CC!C:C,MATCH(1,(CC!A:A=G391)*(CC!B:B=I391),0))</f>
        <v>1402</v>
      </c>
      <c r="I391" s="28" t="s">
        <v>25</v>
      </c>
      <c r="J391" s="31">
        <v>11500.0</v>
      </c>
      <c r="K391" s="28" t="str">
        <f>IFERROR(__xludf.DUMMYFUNCTION("IFERROR(
INDEX(
FILTER(
MAP(
reglas!$B$2:$B$240,
reglas!$C$2:$C$240,
reglas!$D$2:$D$240,
reglas!$E$2:$E$240,
LAMBDA(rEmisor,rPatron,rConcepto,rTipo,
IF(
AND(
OR(
UPPER(TRIM(rEmisor))=UPPER(TRIM(C391)),
UPPER(TRIM(rEmisor))=""CUALQUIERA""
),
OR(
UPPER(TRIM"&amp;"(rTipo))=""SOLO EMISOR"",
AND(
UPPER(TRIM(rTipo))=""EXACTA"",
UPPER(TRIM(AG391))=UPPER(TRIM(rPatron))
),
AND(
OR(
UPPER(TRIM(rTipo))=""CONTIENE"",
UPPER(TRIM(rTipo))=""COINCIDENCIA""
),
ISNUMBER(SEARCH(UPPER(TRIM(rPatron)),UPPER(TRIM(D391))))
)
)
),
rConc"&amp;"epto,
""""
)
)
),
MAP(
reglas!$B$2:$B$240,
reglas!$C$2:$C$240,
reglas!$D$2:$D$240,
reglas!$E$2:$E$240,
LAMBDA(rEmisor,rPatron,rConcepto,rTipo,
IF(
AND(
OR(
UPPER(TRIM(rEmisor))=UPPER(TRIM(C391)),
UPPER(TRIM(rEmisor))=""CUALQUIERA""
),
OR(
UPPER(TRIM(rTipo"&amp;"))=""SOLO EMISOR"",
AND(
UPPER(TRIM(rTipo))=""EXACTA"",
UPPER(TRIM(D391))=UPPER(TRIM(rPatron))
),
AND(
OR(
UPPER(TRIM(rTipo))=""CONTIENE"",
UPPER(TRIM(rTipo))=""COINCIDENCIA""
),
ISNUMBER(SEARCH(UPPER(TRIM(rPatron)),UPPER(TRIM(D391))))
)
)
),
rConcepto,
"&amp;"""""
)
)
)&lt;&gt;""""
),
1
),
""""
)"),"TRANSPORTE")</f>
        <v>TRANSPORTE</v>
      </c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</row>
    <row r="392">
      <c r="A392" s="32"/>
      <c r="B392" s="28" t="s">
        <v>29</v>
      </c>
      <c r="C392" s="29" t="s">
        <v>172</v>
      </c>
      <c r="D392" s="29" t="s">
        <v>1491</v>
      </c>
      <c r="E392" s="30">
        <v>11500.0</v>
      </c>
      <c r="F392" s="28">
        <v>0.0</v>
      </c>
      <c r="G392" s="28" t="s">
        <v>250</v>
      </c>
      <c r="H392" s="28">
        <f t="array" ref="H392">INDEX(CC!C:C,MATCH(1,(CC!A:A=G392)*(CC!B:B=I392),0))</f>
        <v>1402</v>
      </c>
      <c r="I392" s="28" t="s">
        <v>25</v>
      </c>
      <c r="J392" s="31">
        <v>11500.0</v>
      </c>
      <c r="K392" s="28" t="str">
        <f>IFERROR(__xludf.DUMMYFUNCTION("IFERROR(
INDEX(
FILTER(
MAP(
reglas!$B$2:$B$240,
reglas!$C$2:$C$240,
reglas!$D$2:$D$240,
reglas!$E$2:$E$240,
LAMBDA(rEmisor,rPatron,rConcepto,rTipo,
IF(
AND(
OR(
UPPER(TRIM(rEmisor))=UPPER(TRIM(C392)),
UPPER(TRIM(rEmisor))=""CUALQUIERA""
),
OR(
UPPER(TRIM"&amp;"(rTipo))=""SOLO EMISOR"",
AND(
UPPER(TRIM(rTipo))=""EXACTA"",
UPPER(TRIM(AG392))=UPPER(TRIM(rPatron))
),
AND(
OR(
UPPER(TRIM(rTipo))=""CONTIENE"",
UPPER(TRIM(rTipo))=""COINCIDENCIA""
),
ISNUMBER(SEARCH(UPPER(TRIM(rPatron)),UPPER(TRIM(D392))))
)
)
),
rConc"&amp;"epto,
""""
)
)
),
MAP(
reglas!$B$2:$B$240,
reglas!$C$2:$C$240,
reglas!$D$2:$D$240,
reglas!$E$2:$E$240,
LAMBDA(rEmisor,rPatron,rConcepto,rTipo,
IF(
AND(
OR(
UPPER(TRIM(rEmisor))=UPPER(TRIM(C392)),
UPPER(TRIM(rEmisor))=""CUALQUIERA""
),
OR(
UPPER(TRIM(rTipo"&amp;"))=""SOLO EMISOR"",
AND(
UPPER(TRIM(rTipo))=""EXACTA"",
UPPER(TRIM(D392))=UPPER(TRIM(rPatron))
),
AND(
OR(
UPPER(TRIM(rTipo))=""CONTIENE"",
UPPER(TRIM(rTipo))=""COINCIDENCIA""
),
ISNUMBER(SEARCH(UPPER(TRIM(rPatron)),UPPER(TRIM(D392))))
)
)
),
rConcepto,
"&amp;"""""
)
)
)&lt;&gt;""""
),
1
),
""""
)"),"TRANSPORTE")</f>
        <v>TRANSPORTE</v>
      </c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</row>
    <row r="393">
      <c r="A393" s="32"/>
      <c r="B393" s="28" t="s">
        <v>29</v>
      </c>
      <c r="C393" s="29" t="s">
        <v>188</v>
      </c>
      <c r="D393" s="29" t="s">
        <v>965</v>
      </c>
      <c r="E393" s="30">
        <v>1834.47</v>
      </c>
      <c r="F393" s="28">
        <v>0.0</v>
      </c>
      <c r="G393" s="28" t="s">
        <v>55</v>
      </c>
      <c r="H393" s="28">
        <f t="array" ref="H393">INDEX(CC!C:C,MATCH(1,(CC!A:A=G393)*(CC!B:B=I393),0))</f>
        <v>902</v>
      </c>
      <c r="I393" s="28" t="s">
        <v>25</v>
      </c>
      <c r="J393" s="31">
        <v>1834.47</v>
      </c>
      <c r="K393" s="28" t="str">
        <f>IFERROR(__xludf.DUMMYFUNCTION("IFERROR(
INDEX(
FILTER(
MAP(
reglas!$B$2:$B$240,
reglas!$C$2:$C$240,
reglas!$D$2:$D$240,
reglas!$E$2:$E$240,
LAMBDA(rEmisor,rPatron,rConcepto,rTipo,
IF(
AND(
OR(
UPPER(TRIM(rEmisor))=UPPER(TRIM(C393)),
UPPER(TRIM(rEmisor))=""CUALQUIERA""
),
OR(
UPPER(TRIM"&amp;"(rTipo))=""SOLO EMISOR"",
AND(
UPPER(TRIM(rTipo))=""EXACTA"",
UPPER(TRIM(AG393))=UPPER(TRIM(rPatron))
),
AND(
OR(
UPPER(TRIM(rTipo))=""CONTIENE"",
UPPER(TRIM(rTipo))=""COINCIDENCIA""
),
ISNUMBER(SEARCH(UPPER(TRIM(rPatron)),UPPER(TRIM(D393))))
)
)
),
rConc"&amp;"epto,
""""
)
)
),
MAP(
reglas!$B$2:$B$240,
reglas!$C$2:$C$240,
reglas!$D$2:$D$240,
reglas!$E$2:$E$240,
LAMBDA(rEmisor,rPatron,rConcepto,rTipo,
IF(
AND(
OR(
UPPER(TRIM(rEmisor))=UPPER(TRIM(C393)),
UPPER(TRIM(rEmisor))=""CUALQUIERA""
),
OR(
UPPER(TRIM(rTipo"&amp;"))=""SOLO EMISOR"",
AND(
UPPER(TRIM(rTipo))=""EXACTA"",
UPPER(TRIM(D393))=UPPER(TRIM(rPatron))
),
AND(
OR(
UPPER(TRIM(rTipo))=""CONTIENE"",
UPPER(TRIM(rTipo))=""COINCIDENCIA""
),
ISNUMBER(SEARCH(UPPER(TRIM(rPatron)),UPPER(TRIM(D393))))
)
)
),
rConcepto,
"&amp;"""""
)
)
)&lt;&gt;""""
),
1
),
""""
)"),"INTERNET")</f>
        <v>INTERNET</v>
      </c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</row>
    <row r="394">
      <c r="A394" s="32"/>
      <c r="B394" s="28" t="s">
        <v>29</v>
      </c>
      <c r="C394" s="29" t="s">
        <v>172</v>
      </c>
      <c r="D394" s="29" t="s">
        <v>1499</v>
      </c>
      <c r="E394" s="30">
        <v>11500.0</v>
      </c>
      <c r="F394" s="28">
        <v>0.0</v>
      </c>
      <c r="G394" s="28" t="s">
        <v>250</v>
      </c>
      <c r="H394" s="28">
        <f t="array" ref="H394">INDEX(CC!C:C,MATCH(1,(CC!A:A=G394)*(CC!B:B=I394),0))</f>
        <v>1402</v>
      </c>
      <c r="I394" s="28" t="s">
        <v>25</v>
      </c>
      <c r="J394" s="31">
        <v>11500.0</v>
      </c>
      <c r="K394" s="28" t="str">
        <f>IFERROR(__xludf.DUMMYFUNCTION("IFERROR(
INDEX(
FILTER(
MAP(
reglas!$B$2:$B$240,
reglas!$C$2:$C$240,
reglas!$D$2:$D$240,
reglas!$E$2:$E$240,
LAMBDA(rEmisor,rPatron,rConcepto,rTipo,
IF(
AND(
OR(
UPPER(TRIM(rEmisor))=UPPER(TRIM(C394)),
UPPER(TRIM(rEmisor))=""CUALQUIERA""
),
OR(
UPPER(TRIM"&amp;"(rTipo))=""SOLO EMISOR"",
AND(
UPPER(TRIM(rTipo))=""EXACTA"",
UPPER(TRIM(AG394))=UPPER(TRIM(rPatron))
),
AND(
OR(
UPPER(TRIM(rTipo))=""CONTIENE"",
UPPER(TRIM(rTipo))=""COINCIDENCIA""
),
ISNUMBER(SEARCH(UPPER(TRIM(rPatron)),UPPER(TRIM(D394))))
)
)
),
rConc"&amp;"epto,
""""
)
)
),
MAP(
reglas!$B$2:$B$240,
reglas!$C$2:$C$240,
reglas!$D$2:$D$240,
reglas!$E$2:$E$240,
LAMBDA(rEmisor,rPatron,rConcepto,rTipo,
IF(
AND(
OR(
UPPER(TRIM(rEmisor))=UPPER(TRIM(C394)),
UPPER(TRIM(rEmisor))=""CUALQUIERA""
),
OR(
UPPER(TRIM(rTipo"&amp;"))=""SOLO EMISOR"",
AND(
UPPER(TRIM(rTipo))=""EXACTA"",
UPPER(TRIM(D394))=UPPER(TRIM(rPatron))
),
AND(
OR(
UPPER(TRIM(rTipo))=""CONTIENE"",
UPPER(TRIM(rTipo))=""COINCIDENCIA""
),
ISNUMBER(SEARCH(UPPER(TRIM(rPatron)),UPPER(TRIM(D394))))
)
)
),
rConcepto,
"&amp;"""""
)
)
)&lt;&gt;""""
),
1
),
""""
)"),"TRANSPORTE")</f>
        <v>TRANSPORTE</v>
      </c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</row>
    <row r="395">
      <c r="A395" s="32"/>
      <c r="B395" s="28" t="s">
        <v>29</v>
      </c>
      <c r="C395" s="29" t="s">
        <v>414</v>
      </c>
      <c r="D395" s="29" t="s">
        <v>421</v>
      </c>
      <c r="E395" s="28">
        <v>87.83</v>
      </c>
      <c r="F395" s="28">
        <v>0.0</v>
      </c>
      <c r="G395" s="28" t="s">
        <v>225</v>
      </c>
      <c r="H395" s="28">
        <f t="array" ref="H395">INDEX(CC!C:C,MATCH(1,(CC!A:A=G395)*(CC!B:B=I395),0))</f>
        <v>102</v>
      </c>
      <c r="I395" s="28" t="s">
        <v>25</v>
      </c>
      <c r="J395" s="33"/>
      <c r="K395" s="28" t="str">
        <f>IFERROR(__xludf.DUMMYFUNCTION("IFERROR(
INDEX(
FILTER(
MAP(
reglas!$B$2:$B$240,
reglas!$C$2:$C$240,
reglas!$D$2:$D$240,
reglas!$E$2:$E$240,
LAMBDA(rEmisor,rPatron,rConcepto,rTipo,
IF(
AND(
OR(
UPPER(TRIM(rEmisor))=UPPER(TRIM(C395)),
UPPER(TRIM(rEmisor))=""CUALQUIERA""
),
OR(
UPPER(TRIM"&amp;"(rTipo))=""SOLO EMISOR"",
AND(
UPPER(TRIM(rTipo))=""EXACTA"",
UPPER(TRIM(AG395))=UPPER(TRIM(rPatron))
),
AND(
OR(
UPPER(TRIM(rTipo))=""CONTIENE"",
UPPER(TRIM(rTipo))=""COINCIDENCIA""
),
ISNUMBER(SEARCH(UPPER(TRIM(rPatron)),UPPER(TRIM(D395))))
)
)
),
rConc"&amp;"epto,
""""
)
)
),
MAP(
reglas!$B$2:$B$240,
reglas!$C$2:$C$240,
reglas!$D$2:$D$240,
reglas!$E$2:$E$240,
LAMBDA(rEmisor,rPatron,rConcepto,rTipo,
IF(
AND(
OR(
UPPER(TRIM(rEmisor))=UPPER(TRIM(C395)),
UPPER(TRIM(rEmisor))=""CUALQUIERA""
),
OR(
UPPER(TRIM(rTipo"&amp;"))=""SOLO EMISOR"",
AND(
UPPER(TRIM(rTipo))=""EXACTA"",
UPPER(TRIM(D395))=UPPER(TRIM(rPatron))
),
AND(
OR(
UPPER(TRIM(rTipo))=""CONTIENE"",
UPPER(TRIM(rTipo))=""COINCIDENCIA""
),
ISNUMBER(SEARCH(UPPER(TRIM(rPatron)),UPPER(TRIM(D395))))
)
)
),
rConcepto,
"&amp;"""""
)
)
)&lt;&gt;""""
),
1
),
""""
)"),"N/A")</f>
        <v>N/A</v>
      </c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</row>
    <row r="396">
      <c r="A396" s="32"/>
      <c r="B396" s="32"/>
      <c r="C396" s="29" t="s">
        <v>414</v>
      </c>
      <c r="D396" s="29" t="s">
        <v>424</v>
      </c>
      <c r="E396" s="28">
        <v>0.75</v>
      </c>
      <c r="F396" s="28">
        <v>0.0</v>
      </c>
      <c r="G396" s="28" t="s">
        <v>225</v>
      </c>
      <c r="H396" s="28">
        <f t="array" ref="H396">INDEX(CC!C:C,MATCH(1,(CC!A:A=G396)*(CC!B:B=I396),0))</f>
        <v>102</v>
      </c>
      <c r="I396" s="28" t="s">
        <v>25</v>
      </c>
      <c r="J396" s="33"/>
      <c r="K396" s="28" t="str">
        <f>IFERROR(__xludf.DUMMYFUNCTION("IFERROR(
INDEX(
FILTER(
MAP(
reglas!$B$2:$B$240,
reglas!$C$2:$C$240,
reglas!$D$2:$D$240,
reglas!$E$2:$E$240,
LAMBDA(rEmisor,rPatron,rConcepto,rTipo,
IF(
AND(
OR(
UPPER(TRIM(rEmisor))=UPPER(TRIM(C396)),
UPPER(TRIM(rEmisor))=""CUALQUIERA""
),
OR(
UPPER(TRIM"&amp;"(rTipo))=""SOLO EMISOR"",
AND(
UPPER(TRIM(rTipo))=""EXACTA"",
UPPER(TRIM(AG396))=UPPER(TRIM(rPatron))
),
AND(
OR(
UPPER(TRIM(rTipo))=""CONTIENE"",
UPPER(TRIM(rTipo))=""COINCIDENCIA""
),
ISNUMBER(SEARCH(UPPER(TRIM(rPatron)),UPPER(TRIM(D396))))
)
)
),
rConc"&amp;"epto,
""""
)
)
),
MAP(
reglas!$B$2:$B$240,
reglas!$C$2:$C$240,
reglas!$D$2:$D$240,
reglas!$E$2:$E$240,
LAMBDA(rEmisor,rPatron,rConcepto,rTipo,
IF(
AND(
OR(
UPPER(TRIM(rEmisor))=UPPER(TRIM(C396)),
UPPER(TRIM(rEmisor))=""CUALQUIERA""
),
OR(
UPPER(TRIM(rTipo"&amp;"))=""SOLO EMISOR"",
AND(
UPPER(TRIM(rTipo))=""EXACTA"",
UPPER(TRIM(D396))=UPPER(TRIM(rPatron))
),
AND(
OR(
UPPER(TRIM(rTipo))=""CONTIENE"",
UPPER(TRIM(rTipo))=""COINCIDENCIA""
),
ISNUMBER(SEARCH(UPPER(TRIM(rPatron)),UPPER(TRIM(D396))))
)
)
),
rConcepto,
"&amp;"""""
)
)
)&lt;&gt;""""
),
1
),
""""
)"),"N/A")</f>
        <v>N/A</v>
      </c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</row>
    <row r="397">
      <c r="A397" s="32"/>
      <c r="B397" s="32"/>
      <c r="C397" s="29" t="s">
        <v>414</v>
      </c>
      <c r="D397" s="29" t="s">
        <v>425</v>
      </c>
      <c r="E397" s="28">
        <v>3.67</v>
      </c>
      <c r="F397" s="28">
        <v>0.0</v>
      </c>
      <c r="G397" s="28" t="s">
        <v>225</v>
      </c>
      <c r="H397" s="28">
        <f t="array" ref="H397">INDEX(CC!C:C,MATCH(1,(CC!A:A=G397)*(CC!B:B=I397),0))</f>
        <v>102</v>
      </c>
      <c r="I397" s="28" t="s">
        <v>25</v>
      </c>
      <c r="J397" s="33"/>
      <c r="K397" s="28" t="str">
        <f>IFERROR(__xludf.DUMMYFUNCTION("IFERROR(
INDEX(
FILTER(
MAP(
reglas!$B$2:$B$240,
reglas!$C$2:$C$240,
reglas!$D$2:$D$240,
reglas!$E$2:$E$240,
LAMBDA(rEmisor,rPatron,rConcepto,rTipo,
IF(
AND(
OR(
UPPER(TRIM(rEmisor))=UPPER(TRIM(C397)),
UPPER(TRIM(rEmisor))=""CUALQUIERA""
),
OR(
UPPER(TRIM"&amp;"(rTipo))=""SOLO EMISOR"",
AND(
UPPER(TRIM(rTipo))=""EXACTA"",
UPPER(TRIM(AG397))=UPPER(TRIM(rPatron))
),
AND(
OR(
UPPER(TRIM(rTipo))=""CONTIENE"",
UPPER(TRIM(rTipo))=""COINCIDENCIA""
),
ISNUMBER(SEARCH(UPPER(TRIM(rPatron)),UPPER(TRIM(D397))))
)
)
),
rConc"&amp;"epto,
""""
)
)
),
MAP(
reglas!$B$2:$B$240,
reglas!$C$2:$C$240,
reglas!$D$2:$D$240,
reglas!$E$2:$E$240,
LAMBDA(rEmisor,rPatron,rConcepto,rTipo,
IF(
AND(
OR(
UPPER(TRIM(rEmisor))=UPPER(TRIM(C397)),
UPPER(TRIM(rEmisor))=""CUALQUIERA""
),
OR(
UPPER(TRIM(rTipo"&amp;"))=""SOLO EMISOR"",
AND(
UPPER(TRIM(rTipo))=""EXACTA"",
UPPER(TRIM(D397))=UPPER(TRIM(rPatron))
),
AND(
OR(
UPPER(TRIM(rTipo))=""CONTIENE"",
UPPER(TRIM(rTipo))=""COINCIDENCIA""
),
ISNUMBER(SEARCH(UPPER(TRIM(rPatron)),UPPER(TRIM(D397))))
)
)
),
rConcepto,
"&amp;"""""
)
)
)&lt;&gt;""""
),
1
),
""""
)"),"N/A")</f>
        <v>N/A</v>
      </c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</row>
    <row r="398">
      <c r="A398" s="32"/>
      <c r="B398" s="28" t="s">
        <v>29</v>
      </c>
      <c r="C398" s="29" t="s">
        <v>177</v>
      </c>
      <c r="D398" s="29" t="s">
        <v>1506</v>
      </c>
      <c r="E398" s="28">
        <v>674.62</v>
      </c>
      <c r="F398" s="28">
        <v>0.0</v>
      </c>
      <c r="G398" s="28" t="s">
        <v>84</v>
      </c>
      <c r="H398" s="28">
        <f t="array" ref="H398">INDEX(CC!C:C,MATCH(1,(CC!A:A=G398)*(CC!B:B=I398),0))</f>
        <v>1002</v>
      </c>
      <c r="I398" s="28" t="s">
        <v>25</v>
      </c>
      <c r="J398" s="31">
        <v>674.62</v>
      </c>
      <c r="K398" s="28" t="str">
        <f>IFERROR(__xludf.DUMMYFUNCTION("IFERROR(
INDEX(
FILTER(
MAP(
reglas!$B$2:$B$240,
reglas!$C$2:$C$240,
reglas!$D$2:$D$240,
reglas!$E$2:$E$240,
LAMBDA(rEmisor,rPatron,rConcepto,rTipo,
IF(
AND(
OR(
UPPER(TRIM(rEmisor))=UPPER(TRIM(C398)),
UPPER(TRIM(rEmisor))=""CUALQUIERA""
),
OR(
UPPER(TRIM"&amp;"(rTipo))=""SOLO EMISOR"",
AND(
UPPER(TRIM(rTipo))=""EXACTA"",
UPPER(TRIM(AG398))=UPPER(TRIM(rPatron))
),
AND(
OR(
UPPER(TRIM(rTipo))=""CONTIENE"",
UPPER(TRIM(rTipo))=""COINCIDENCIA""
),
ISNUMBER(SEARCH(UPPER(TRIM(rPatron)),UPPER(TRIM(D398))))
)
)
),
rConc"&amp;"epto,
""""
)
)
),
MAP(
reglas!$B$2:$B$240,
reglas!$C$2:$C$240,
reglas!$D$2:$D$240,
reglas!$E$2:$E$240,
LAMBDA(rEmisor,rPatron,rConcepto,rTipo,
IF(
AND(
OR(
UPPER(TRIM(rEmisor))=UPPER(TRIM(C398)),
UPPER(TRIM(rEmisor))=""CUALQUIERA""
),
OR(
UPPER(TRIM(rTipo"&amp;"))=""SOLO EMISOR"",
AND(
UPPER(TRIM(rTipo))=""EXACTA"",
UPPER(TRIM(D398))=UPPER(TRIM(rPatron))
),
AND(
OR(
UPPER(TRIM(rTipo))=""CONTIENE"",
UPPER(TRIM(rTipo))=""COINCIDENCIA""
),
ISNUMBER(SEARCH(UPPER(TRIM(rPatron)),UPPER(TRIM(D398))))
)
)
),
rConcepto,
"&amp;"""""
)
)
)&lt;&gt;""""
),
1
),
""""
)"),"TELEFONIA FIJA")</f>
        <v>TELEFONIA FIJA</v>
      </c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</row>
    <row r="399">
      <c r="A399" s="32"/>
      <c r="B399" s="28" t="s">
        <v>29</v>
      </c>
      <c r="C399" s="29" t="s">
        <v>242</v>
      </c>
      <c r="D399" s="29" t="s">
        <v>1509</v>
      </c>
      <c r="E399" s="30">
        <v>13578.32</v>
      </c>
      <c r="F399" s="28">
        <v>0.0</v>
      </c>
      <c r="G399" s="28" t="s">
        <v>40</v>
      </c>
      <c r="H399" s="28">
        <f t="array" ref="H399">INDEX(CC!C:C,MATCH(1,(CC!A:A=G399)*(CC!B:B=I399),0))</f>
        <v>602</v>
      </c>
      <c r="I399" s="28" t="s">
        <v>25</v>
      </c>
      <c r="J399" s="31">
        <v>6789.16</v>
      </c>
      <c r="K399" s="28" t="str">
        <f>IFERROR(__xludf.DUMMYFUNCTION("IFERROR(
INDEX(
FILTER(
MAP(
reglas!$B$2:$B$240,
reglas!$C$2:$C$240,
reglas!$D$2:$D$240,
reglas!$E$2:$E$240,
LAMBDA(rEmisor,rPatron,rConcepto,rTipo,
IF(
AND(
OR(
UPPER(TRIM(rEmisor))=UPPER(TRIM(C399)),
UPPER(TRIM(rEmisor))=""CUALQUIERA""
),
OR(
UPPER(TRIM"&amp;"(rTipo))=""SOLO EMISOR"",
AND(
UPPER(TRIM(rTipo))=""EXACTA"",
UPPER(TRIM(AG399))=UPPER(TRIM(rPatron))
),
AND(
OR(
UPPER(TRIM(rTipo))=""CONTIENE"",
UPPER(TRIM(rTipo))=""COINCIDENCIA""
),
ISNUMBER(SEARCH(UPPER(TRIM(rPatron)),UPPER(TRIM(D399))))
)
)
),
rConc"&amp;"epto,
""""
)
)
),
MAP(
reglas!$B$2:$B$240,
reglas!$C$2:$C$240,
reglas!$D$2:$D$240,
reglas!$E$2:$E$240,
LAMBDA(rEmisor,rPatron,rConcepto,rTipo,
IF(
AND(
OR(
UPPER(TRIM(rEmisor))=UPPER(TRIM(C399)),
UPPER(TRIM(rEmisor))=""CUALQUIERA""
),
OR(
UPPER(TRIM(rTipo"&amp;"))=""SOLO EMISOR"",
AND(
UPPER(TRIM(rTipo))=""EXACTA"",
UPPER(TRIM(D399))=UPPER(TRIM(rPatron))
),
AND(
OR(
UPPER(TRIM(rTipo))=""CONTIENE"",
UPPER(TRIM(rTipo))=""COINCIDENCIA""
),
ISNUMBER(SEARCH(UPPER(TRIM(rPatron)),UPPER(TRIM(D399))))
)
)
),
rConcepto,
"&amp;"""""
)
)
)&lt;&gt;""""
),
1
),
""""
)"),"ESTACIONAMIENTO")</f>
        <v>ESTACIONAMIENTO</v>
      </c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</row>
    <row r="400">
      <c r="A400" s="32"/>
      <c r="B400" s="32"/>
      <c r="C400" s="29" t="s">
        <v>242</v>
      </c>
      <c r="D400" s="29" t="s">
        <v>1509</v>
      </c>
      <c r="E400" s="32"/>
      <c r="F400" s="32"/>
      <c r="G400" s="28" t="s">
        <v>385</v>
      </c>
      <c r="H400" s="28">
        <f t="array" ref="H400">INDEX(CC!C:C,MATCH(1,(CC!A:A=G400)*(CC!B:B=I400),0))</f>
        <v>502</v>
      </c>
      <c r="I400" s="28" t="s">
        <v>25</v>
      </c>
      <c r="J400" s="31">
        <v>3394.58</v>
      </c>
      <c r="K400" s="28" t="str">
        <f>IFERROR(__xludf.DUMMYFUNCTION("IFERROR(
INDEX(
FILTER(
MAP(
reglas!$B$2:$B$240,
reglas!$C$2:$C$240,
reglas!$D$2:$D$240,
reglas!$E$2:$E$240,
LAMBDA(rEmisor,rPatron,rConcepto,rTipo,
IF(
AND(
OR(
UPPER(TRIM(rEmisor))=UPPER(TRIM(C400)),
UPPER(TRIM(rEmisor))=""CUALQUIERA""
),
OR(
UPPER(TRIM"&amp;"(rTipo))=""SOLO EMISOR"",
AND(
UPPER(TRIM(rTipo))=""EXACTA"",
UPPER(TRIM(AG400))=UPPER(TRIM(rPatron))
),
AND(
OR(
UPPER(TRIM(rTipo))=""CONTIENE"",
UPPER(TRIM(rTipo))=""COINCIDENCIA""
),
ISNUMBER(SEARCH(UPPER(TRIM(rPatron)),UPPER(TRIM(D400))))
)
)
),
rConc"&amp;"epto,
""""
)
)
),
MAP(
reglas!$B$2:$B$240,
reglas!$C$2:$C$240,
reglas!$D$2:$D$240,
reglas!$E$2:$E$240,
LAMBDA(rEmisor,rPatron,rConcepto,rTipo,
IF(
AND(
OR(
UPPER(TRIM(rEmisor))=UPPER(TRIM(C400)),
UPPER(TRIM(rEmisor))=""CUALQUIERA""
),
OR(
UPPER(TRIM(rTipo"&amp;"))=""SOLO EMISOR"",
AND(
UPPER(TRIM(rTipo))=""EXACTA"",
UPPER(TRIM(D400))=UPPER(TRIM(rPatron))
),
AND(
OR(
UPPER(TRIM(rTipo))=""CONTIENE"",
UPPER(TRIM(rTipo))=""COINCIDENCIA""
),
ISNUMBER(SEARCH(UPPER(TRIM(rPatron)),UPPER(TRIM(D400))))
)
)
),
rConcepto,
"&amp;"""""
)
)
)&lt;&gt;""""
),
1
),
""""
)"),"ESTACIONAMIENTO")</f>
        <v>ESTACIONAMIENTO</v>
      </c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</row>
    <row r="401">
      <c r="A401" s="32"/>
      <c r="B401" s="32"/>
      <c r="C401" s="29" t="s">
        <v>242</v>
      </c>
      <c r="D401" s="29" t="s">
        <v>1509</v>
      </c>
      <c r="E401" s="32"/>
      <c r="F401" s="32"/>
      <c r="G401" s="28" t="s">
        <v>225</v>
      </c>
      <c r="H401" s="28">
        <f t="array" ref="H401">INDEX(CC!C:C,MATCH(1,(CC!A:A=G401)*(CC!B:B=I401),0))</f>
        <v>102</v>
      </c>
      <c r="I401" s="28" t="s">
        <v>25</v>
      </c>
      <c r="J401" s="31">
        <v>3394.58</v>
      </c>
      <c r="K401" s="28" t="str">
        <f>IFERROR(__xludf.DUMMYFUNCTION("IFERROR(
INDEX(
FILTER(
MAP(
reglas!$B$2:$B$240,
reglas!$C$2:$C$240,
reglas!$D$2:$D$240,
reglas!$E$2:$E$240,
LAMBDA(rEmisor,rPatron,rConcepto,rTipo,
IF(
AND(
OR(
UPPER(TRIM(rEmisor))=UPPER(TRIM(C401)),
UPPER(TRIM(rEmisor))=""CUALQUIERA""
),
OR(
UPPER(TRIM"&amp;"(rTipo))=""SOLO EMISOR"",
AND(
UPPER(TRIM(rTipo))=""EXACTA"",
UPPER(TRIM(AG401))=UPPER(TRIM(rPatron))
),
AND(
OR(
UPPER(TRIM(rTipo))=""CONTIENE"",
UPPER(TRIM(rTipo))=""COINCIDENCIA""
),
ISNUMBER(SEARCH(UPPER(TRIM(rPatron)),UPPER(TRIM(D401))))
)
)
),
rConc"&amp;"epto,
""""
)
)
),
MAP(
reglas!$B$2:$B$240,
reglas!$C$2:$C$240,
reglas!$D$2:$D$240,
reglas!$E$2:$E$240,
LAMBDA(rEmisor,rPatron,rConcepto,rTipo,
IF(
AND(
OR(
UPPER(TRIM(rEmisor))=UPPER(TRIM(C401)),
UPPER(TRIM(rEmisor))=""CUALQUIERA""
),
OR(
UPPER(TRIM(rTipo"&amp;"))=""SOLO EMISOR"",
AND(
UPPER(TRIM(rTipo))=""EXACTA"",
UPPER(TRIM(D401))=UPPER(TRIM(rPatron))
),
AND(
OR(
UPPER(TRIM(rTipo))=""CONTIENE"",
UPPER(TRIM(rTipo))=""COINCIDENCIA""
),
ISNUMBER(SEARCH(UPPER(TRIM(rPatron)),UPPER(TRIM(D401))))
)
)
),
rConcepto,
"&amp;"""""
)
)
)&lt;&gt;""""
),
1
),
""""
)"),"ESTACIONAMIENTO")</f>
        <v>ESTACIONAMIENTO</v>
      </c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</row>
    <row r="402">
      <c r="A402" s="32"/>
      <c r="B402" s="28" t="s">
        <v>29</v>
      </c>
      <c r="C402" s="29" t="s">
        <v>131</v>
      </c>
      <c r="D402" s="29" t="s">
        <v>138</v>
      </c>
      <c r="E402" s="28">
        <v>312.07</v>
      </c>
      <c r="F402" s="28">
        <v>0.0</v>
      </c>
      <c r="G402" s="28" t="s">
        <v>74</v>
      </c>
      <c r="H402" s="28">
        <f t="array" ref="H402">INDEX(CC!C:C,MATCH(1,(CC!A:A=G402)*(CC!B:B=I402),0))</f>
        <v>1502</v>
      </c>
      <c r="I402" s="28" t="s">
        <v>25</v>
      </c>
      <c r="J402" s="31">
        <v>312.07</v>
      </c>
      <c r="K402" s="28" t="str">
        <f>IFERROR(__xludf.DUMMYFUNCTION("IFERROR(
INDEX(
FILTER(
MAP(
reglas!$B$2:$B$240,
reglas!$C$2:$C$240,
reglas!$D$2:$D$240,
reglas!$E$2:$E$240,
LAMBDA(rEmisor,rPatron,rConcepto,rTipo,
IF(
AND(
OR(
UPPER(TRIM(rEmisor))=UPPER(TRIM(C402)),
UPPER(TRIM(rEmisor))=""CUALQUIERA""
),
OR(
UPPER(TRIM"&amp;"(rTipo))=""SOLO EMISOR"",
AND(
UPPER(TRIM(rTipo))=""EXACTA"",
UPPER(TRIM(AG402))=UPPER(TRIM(rPatron))
),
AND(
OR(
UPPER(TRIM(rTipo))=""CONTIENE"",
UPPER(TRIM(rTipo))=""COINCIDENCIA""
),
ISNUMBER(SEARCH(UPPER(TRIM(rPatron)),UPPER(TRIM(D402))))
)
)
),
rConc"&amp;"epto,
""""
)
)
),
MAP(
reglas!$B$2:$B$240,
reglas!$C$2:$C$240,
reglas!$D$2:$D$240,
reglas!$E$2:$E$240,
LAMBDA(rEmisor,rPatron,rConcepto,rTipo,
IF(
AND(
OR(
UPPER(TRIM(rEmisor))=UPPER(TRIM(C402)),
UPPER(TRIM(rEmisor))=""CUALQUIERA""
),
OR(
UPPER(TRIM(rTipo"&amp;"))=""SOLO EMISOR"",
AND(
UPPER(TRIM(rTipo))=""EXACTA"",
UPPER(TRIM(D402))=UPPER(TRIM(rPatron))
),
AND(
OR(
UPPER(TRIM(rTipo))=""CONTIENE"",
UPPER(TRIM(rTipo))=""COINCIDENCIA""
),
ISNUMBER(SEARCH(UPPER(TRIM(rPatron)),UPPER(TRIM(D402))))
)
)
),
rConcepto,
"&amp;"""""
)
)
)&lt;&gt;""""
),
1
),
""""
)"),"PAPELERIA")</f>
        <v>PAPELERIA</v>
      </c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</row>
    <row r="403">
      <c r="A403" s="32"/>
      <c r="B403" s="28" t="s">
        <v>29</v>
      </c>
      <c r="C403" s="29" t="s">
        <v>195</v>
      </c>
      <c r="D403" s="29" t="s">
        <v>1516</v>
      </c>
      <c r="E403" s="30">
        <v>1995.0</v>
      </c>
      <c r="F403" s="28">
        <v>0.0</v>
      </c>
      <c r="G403" s="28" t="s">
        <v>225</v>
      </c>
      <c r="H403" s="28">
        <f t="array" ref="H403">INDEX(CC!C:C,MATCH(1,(CC!A:A=G403)*(CC!B:B=I403),0))</f>
        <v>102</v>
      </c>
      <c r="I403" s="28" t="s">
        <v>25</v>
      </c>
      <c r="J403" s="31">
        <v>1995.0</v>
      </c>
      <c r="K403" s="28" t="str">
        <f>IFERROR(__xludf.DUMMYFUNCTION("IFERROR(
INDEX(
FILTER(
MAP(
reglas!$B$2:$B$240,
reglas!$C$2:$C$240,
reglas!$D$2:$D$240,
reglas!$E$2:$E$240,
LAMBDA(rEmisor,rPatron,rConcepto,rTipo,
IF(
AND(
OR(
UPPER(TRIM(rEmisor))=UPPER(TRIM(C403)),
UPPER(TRIM(rEmisor))=""CUALQUIERA""
),
OR(
UPPER(TRIM"&amp;"(rTipo))=""SOLO EMISOR"",
AND(
UPPER(TRIM(rTipo))=""EXACTA"",
UPPER(TRIM(AG403))=UPPER(TRIM(rPatron))
),
AND(
OR(
UPPER(TRIM(rTipo))=""CONTIENE"",
UPPER(TRIM(rTipo))=""COINCIDENCIA""
),
ISNUMBER(SEARCH(UPPER(TRIM(rPatron)),UPPER(TRIM(D403))))
)
)
),
rConc"&amp;"epto,
""""
)
)
),
MAP(
reglas!$B$2:$B$240,
reglas!$C$2:$C$240,
reglas!$D$2:$D$240,
reglas!$E$2:$E$240,
LAMBDA(rEmisor,rPatron,rConcepto,rTipo,
IF(
AND(
OR(
UPPER(TRIM(rEmisor))=UPPER(TRIM(C403)),
UPPER(TRIM(rEmisor))=""CUALQUIERA""
),
OR(
UPPER(TRIM(rTipo"&amp;"))=""SOLO EMISOR"",
AND(
UPPER(TRIM(rTipo))=""EXACTA"",
UPPER(TRIM(D403))=UPPER(TRIM(rPatron))
),
AND(
OR(
UPPER(TRIM(rTipo))=""CONTIENE"",
UPPER(TRIM(rTipo))=""COINCIDENCIA""
),
ISNUMBER(SEARCH(UPPER(TRIM(rPatron)),UPPER(TRIM(D403))))
)
)
),
rConcepto,
"&amp;"""""
)
)
)&lt;&gt;""""
),
1
),
""""
)"),"LICENCIA DE SOFTWARE")</f>
        <v>LICENCIA DE SOFTWARE</v>
      </c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</row>
    <row r="404">
      <c r="A404" s="32"/>
      <c r="B404" s="28" t="s">
        <v>29</v>
      </c>
      <c r="C404" s="29" t="s">
        <v>1518</v>
      </c>
      <c r="D404" s="29" t="s">
        <v>1052</v>
      </c>
      <c r="E404" s="28">
        <v>327.54</v>
      </c>
      <c r="F404" s="28">
        <v>0.0</v>
      </c>
      <c r="G404" s="28" t="s">
        <v>225</v>
      </c>
      <c r="H404" s="28">
        <f t="array" ref="H404">INDEX(CC!C:C,MATCH(1,(CC!A:A=G404)*(CC!B:B=I404),0))</f>
        <v>102</v>
      </c>
      <c r="I404" s="28" t="s">
        <v>25</v>
      </c>
      <c r="J404" s="31">
        <v>327.54</v>
      </c>
      <c r="K404" s="28" t="str">
        <f>IFERROR(__xludf.DUMMYFUNCTION("IFERROR(
INDEX(
FILTER(
MAP(
reglas!$B$2:$B$240,
reglas!$C$2:$C$240,
reglas!$D$2:$D$240,
reglas!$E$2:$E$240,
LAMBDA(rEmisor,rPatron,rConcepto,rTipo,
IF(
AND(
OR(
UPPER(TRIM(rEmisor))=UPPER(TRIM(C404)),
UPPER(TRIM(rEmisor))=""CUALQUIERA""
),
OR(
UPPER(TRIM"&amp;"(rTipo))=""SOLO EMISOR"",
AND(
UPPER(TRIM(rTipo))=""EXACTA"",
UPPER(TRIM(AG404))=UPPER(TRIM(rPatron))
),
AND(
OR(
UPPER(TRIM(rTipo))=""CONTIENE"",
UPPER(TRIM(rTipo))=""COINCIDENCIA""
),
ISNUMBER(SEARCH(UPPER(TRIM(rPatron)),UPPER(TRIM(D404))))
)
)
),
rConc"&amp;"epto,
""""
)
)
),
MAP(
reglas!$B$2:$B$240,
reglas!$C$2:$C$240,
reglas!$D$2:$D$240,
reglas!$E$2:$E$240,
LAMBDA(rEmisor,rPatron,rConcepto,rTipo,
IF(
AND(
OR(
UPPER(TRIM(rEmisor))=UPPER(TRIM(C404)),
UPPER(TRIM(rEmisor))=""CUALQUIERA""
),
OR(
UPPER(TRIM(rTipo"&amp;"))=""SOLO EMISOR"",
AND(
UPPER(TRIM(rTipo))=""EXACTA"",
UPPER(TRIM(D404))=UPPER(TRIM(rPatron))
),
AND(
OR(
UPPER(TRIM(rTipo))=""CONTIENE"",
UPPER(TRIM(rTipo))=""COINCIDENCIA""
),
ISNUMBER(SEARCH(UPPER(TRIM(rPatron)),UPPER(TRIM(D404))))
)
)
),
rConcepto,
"&amp;"""""
)
)
)&lt;&gt;""""
),
1
),
""""
)"),"")</f>
        <v/>
      </c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</row>
    <row r="405">
      <c r="A405" s="32"/>
      <c r="B405" s="28" t="s">
        <v>29</v>
      </c>
      <c r="C405" s="29" t="s">
        <v>172</v>
      </c>
      <c r="D405" s="29" t="s">
        <v>1519</v>
      </c>
      <c r="E405" s="30">
        <v>11500.0</v>
      </c>
      <c r="F405" s="28">
        <v>0.0</v>
      </c>
      <c r="G405" s="28" t="s">
        <v>250</v>
      </c>
      <c r="H405" s="28">
        <f t="array" ref="H405">INDEX(CC!C:C,MATCH(1,(CC!A:A=G405)*(CC!B:B=I405),0))</f>
        <v>1402</v>
      </c>
      <c r="I405" s="28" t="s">
        <v>25</v>
      </c>
      <c r="J405" s="31">
        <v>11500.0</v>
      </c>
      <c r="K405" s="28" t="str">
        <f>IFERROR(__xludf.DUMMYFUNCTION("IFERROR(
INDEX(
FILTER(
MAP(
reglas!$B$2:$B$240,
reglas!$C$2:$C$240,
reglas!$D$2:$D$240,
reglas!$E$2:$E$240,
LAMBDA(rEmisor,rPatron,rConcepto,rTipo,
IF(
AND(
OR(
UPPER(TRIM(rEmisor))=UPPER(TRIM(C405)),
UPPER(TRIM(rEmisor))=""CUALQUIERA""
),
OR(
UPPER(TRIM"&amp;"(rTipo))=""SOLO EMISOR"",
AND(
UPPER(TRIM(rTipo))=""EXACTA"",
UPPER(TRIM(AG405))=UPPER(TRIM(rPatron))
),
AND(
OR(
UPPER(TRIM(rTipo))=""CONTIENE"",
UPPER(TRIM(rTipo))=""COINCIDENCIA""
),
ISNUMBER(SEARCH(UPPER(TRIM(rPatron)),UPPER(TRIM(D405))))
)
)
),
rConc"&amp;"epto,
""""
)
)
),
MAP(
reglas!$B$2:$B$240,
reglas!$C$2:$C$240,
reglas!$D$2:$D$240,
reglas!$E$2:$E$240,
LAMBDA(rEmisor,rPatron,rConcepto,rTipo,
IF(
AND(
OR(
UPPER(TRIM(rEmisor))=UPPER(TRIM(C405)),
UPPER(TRIM(rEmisor))=""CUALQUIERA""
),
OR(
UPPER(TRIM(rTipo"&amp;"))=""SOLO EMISOR"",
AND(
UPPER(TRIM(rTipo))=""EXACTA"",
UPPER(TRIM(D405))=UPPER(TRIM(rPatron))
),
AND(
OR(
UPPER(TRIM(rTipo))=""CONTIENE"",
UPPER(TRIM(rTipo))=""COINCIDENCIA""
),
ISNUMBER(SEARCH(UPPER(TRIM(rPatron)),UPPER(TRIM(D405))))
)
)
),
rConcepto,
"&amp;"""""
)
)
)&lt;&gt;""""
),
1
),
""""
)"),"TRANSPORTE")</f>
        <v>TRANSPORTE</v>
      </c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</row>
    <row r="406">
      <c r="A406" s="32"/>
      <c r="B406" s="28" t="s">
        <v>29</v>
      </c>
      <c r="C406" s="29" t="s">
        <v>172</v>
      </c>
      <c r="D406" s="29" t="s">
        <v>1491</v>
      </c>
      <c r="E406" s="30">
        <v>11500.0</v>
      </c>
      <c r="F406" s="28">
        <v>0.0</v>
      </c>
      <c r="G406" s="28" t="s">
        <v>250</v>
      </c>
      <c r="H406" s="28">
        <f t="array" ref="H406">INDEX(CC!C:C,MATCH(1,(CC!A:A=G406)*(CC!B:B=I406),0))</f>
        <v>1402</v>
      </c>
      <c r="I406" s="28" t="s">
        <v>25</v>
      </c>
      <c r="J406" s="31">
        <v>11500.0</v>
      </c>
      <c r="K406" s="28" t="str">
        <f>IFERROR(__xludf.DUMMYFUNCTION("IFERROR(
INDEX(
FILTER(
MAP(
reglas!$B$2:$B$240,
reglas!$C$2:$C$240,
reglas!$D$2:$D$240,
reglas!$E$2:$E$240,
LAMBDA(rEmisor,rPatron,rConcepto,rTipo,
IF(
AND(
OR(
UPPER(TRIM(rEmisor))=UPPER(TRIM(C406)),
UPPER(TRIM(rEmisor))=""CUALQUIERA""
),
OR(
UPPER(TRIM"&amp;"(rTipo))=""SOLO EMISOR"",
AND(
UPPER(TRIM(rTipo))=""EXACTA"",
UPPER(TRIM(AG406))=UPPER(TRIM(rPatron))
),
AND(
OR(
UPPER(TRIM(rTipo))=""CONTIENE"",
UPPER(TRIM(rTipo))=""COINCIDENCIA""
),
ISNUMBER(SEARCH(UPPER(TRIM(rPatron)),UPPER(TRIM(D406))))
)
)
),
rConc"&amp;"epto,
""""
)
)
),
MAP(
reglas!$B$2:$B$240,
reglas!$C$2:$C$240,
reglas!$D$2:$D$240,
reglas!$E$2:$E$240,
LAMBDA(rEmisor,rPatron,rConcepto,rTipo,
IF(
AND(
OR(
UPPER(TRIM(rEmisor))=UPPER(TRIM(C406)),
UPPER(TRIM(rEmisor))=""CUALQUIERA""
),
OR(
UPPER(TRIM(rTipo"&amp;"))=""SOLO EMISOR"",
AND(
UPPER(TRIM(rTipo))=""EXACTA"",
UPPER(TRIM(D406))=UPPER(TRIM(rPatron))
),
AND(
OR(
UPPER(TRIM(rTipo))=""CONTIENE"",
UPPER(TRIM(rTipo))=""COINCIDENCIA""
),
ISNUMBER(SEARCH(UPPER(TRIM(rPatron)),UPPER(TRIM(D406))))
)
)
),
rConcepto,
"&amp;"""""
)
)
)&lt;&gt;""""
),
1
),
""""
)"),"TRANSPORTE")</f>
        <v>TRANSPORTE</v>
      </c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</row>
    <row r="407">
      <c r="A407" s="32"/>
      <c r="B407" s="28" t="s">
        <v>29</v>
      </c>
      <c r="C407" s="29" t="s">
        <v>172</v>
      </c>
      <c r="D407" s="29" t="s">
        <v>1523</v>
      </c>
      <c r="E407" s="28">
        <v>545.0</v>
      </c>
      <c r="F407" s="28">
        <v>0.0</v>
      </c>
      <c r="G407" s="28" t="s">
        <v>250</v>
      </c>
      <c r="H407" s="28">
        <f t="array" ref="H407">INDEX(CC!C:C,MATCH(1,(CC!A:A=G407)*(CC!B:B=I407),0))</f>
        <v>1402</v>
      </c>
      <c r="I407" s="28" t="s">
        <v>25</v>
      </c>
      <c r="J407" s="31">
        <v>545.0</v>
      </c>
      <c r="K407" s="28" t="str">
        <f>IFERROR(__xludf.DUMMYFUNCTION("IFERROR(
INDEX(
FILTER(
MAP(
reglas!$B$2:$B$240,
reglas!$C$2:$C$240,
reglas!$D$2:$D$240,
reglas!$E$2:$E$240,
LAMBDA(rEmisor,rPatron,rConcepto,rTipo,
IF(
AND(
OR(
UPPER(TRIM(rEmisor))=UPPER(TRIM(C407)),
UPPER(TRIM(rEmisor))=""CUALQUIERA""
),
OR(
UPPER(TRIM"&amp;"(rTipo))=""SOLO EMISOR"",
AND(
UPPER(TRIM(rTipo))=""EXACTA"",
UPPER(TRIM(AG407))=UPPER(TRIM(rPatron))
),
AND(
OR(
UPPER(TRIM(rTipo))=""CONTIENE"",
UPPER(TRIM(rTipo))=""COINCIDENCIA""
),
ISNUMBER(SEARCH(UPPER(TRIM(rPatron)),UPPER(TRIM(D407))))
)
)
),
rConc"&amp;"epto,
""""
)
)
),
MAP(
reglas!$B$2:$B$240,
reglas!$C$2:$C$240,
reglas!$D$2:$D$240,
reglas!$E$2:$E$240,
LAMBDA(rEmisor,rPatron,rConcepto,rTipo,
IF(
AND(
OR(
UPPER(TRIM(rEmisor))=UPPER(TRIM(C407)),
UPPER(TRIM(rEmisor))=""CUALQUIERA""
),
OR(
UPPER(TRIM(rTipo"&amp;"))=""SOLO EMISOR"",
AND(
UPPER(TRIM(rTipo))=""EXACTA"",
UPPER(TRIM(D407))=UPPER(TRIM(rPatron))
),
AND(
OR(
UPPER(TRIM(rTipo))=""CONTIENE"",
UPPER(TRIM(rTipo))=""COINCIDENCIA""
),
ISNUMBER(SEARCH(UPPER(TRIM(rPatron)),UPPER(TRIM(D407))))
)
)
),
rConcepto,
"&amp;"""""
)
)
)&lt;&gt;""""
),
1
),
""""
)"),"PATIO REGULADOR")</f>
        <v>PATIO REGULADOR</v>
      </c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</row>
    <row r="408">
      <c r="A408" s="32"/>
      <c r="B408" s="32"/>
      <c r="C408" s="29" t="s">
        <v>172</v>
      </c>
      <c r="D408" s="29" t="s">
        <v>1524</v>
      </c>
      <c r="E408" s="28">
        <v>545.0</v>
      </c>
      <c r="F408" s="28">
        <v>0.0</v>
      </c>
      <c r="G408" s="28" t="s">
        <v>250</v>
      </c>
      <c r="H408" s="28">
        <f t="array" ref="H408">INDEX(CC!C:C,MATCH(1,(CC!A:A=G408)*(CC!B:B=I408),0))</f>
        <v>1402</v>
      </c>
      <c r="I408" s="28" t="s">
        <v>25</v>
      </c>
      <c r="J408" s="31">
        <v>545.0</v>
      </c>
      <c r="K408" s="28" t="str">
        <f>IFERROR(__xludf.DUMMYFUNCTION("IFERROR(
INDEX(
FILTER(
MAP(
reglas!$B$2:$B$240,
reglas!$C$2:$C$240,
reglas!$D$2:$D$240,
reglas!$E$2:$E$240,
LAMBDA(rEmisor,rPatron,rConcepto,rTipo,
IF(
AND(
OR(
UPPER(TRIM(rEmisor))=UPPER(TRIM(C408)),
UPPER(TRIM(rEmisor))=""CUALQUIERA""
),
OR(
UPPER(TRIM"&amp;"(rTipo))=""SOLO EMISOR"",
AND(
UPPER(TRIM(rTipo))=""EXACTA"",
UPPER(TRIM(AG408))=UPPER(TRIM(rPatron))
),
AND(
OR(
UPPER(TRIM(rTipo))=""CONTIENE"",
UPPER(TRIM(rTipo))=""COINCIDENCIA""
),
ISNUMBER(SEARCH(UPPER(TRIM(rPatron)),UPPER(TRIM(D408))))
)
)
),
rConc"&amp;"epto,
""""
)
)
),
MAP(
reglas!$B$2:$B$240,
reglas!$C$2:$C$240,
reglas!$D$2:$D$240,
reglas!$E$2:$E$240,
LAMBDA(rEmisor,rPatron,rConcepto,rTipo,
IF(
AND(
OR(
UPPER(TRIM(rEmisor))=UPPER(TRIM(C408)),
UPPER(TRIM(rEmisor))=""CUALQUIERA""
),
OR(
UPPER(TRIM(rTipo"&amp;"))=""SOLO EMISOR"",
AND(
UPPER(TRIM(rTipo))=""EXACTA"",
UPPER(TRIM(D408))=UPPER(TRIM(rPatron))
),
AND(
OR(
UPPER(TRIM(rTipo))=""CONTIENE"",
UPPER(TRIM(rTipo))=""COINCIDENCIA""
),
ISNUMBER(SEARCH(UPPER(TRIM(rPatron)),UPPER(TRIM(D408))))
)
)
),
rConcepto,
"&amp;"""""
)
)
)&lt;&gt;""""
),
1
),
""""
)"),"PATIO REGULADOR")</f>
        <v>PATIO REGULADOR</v>
      </c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</row>
    <row r="409">
      <c r="A409" s="32"/>
      <c r="B409" s="32"/>
      <c r="C409" s="29" t="s">
        <v>172</v>
      </c>
      <c r="D409" s="29" t="s">
        <v>1527</v>
      </c>
      <c r="E409" s="28">
        <v>545.0</v>
      </c>
      <c r="F409" s="28">
        <v>0.0</v>
      </c>
      <c r="G409" s="28" t="s">
        <v>250</v>
      </c>
      <c r="H409" s="28">
        <f t="array" ref="H409">INDEX(CC!C:C,MATCH(1,(CC!A:A=G409)*(CC!B:B=I409),0))</f>
        <v>1402</v>
      </c>
      <c r="I409" s="28" t="s">
        <v>25</v>
      </c>
      <c r="J409" s="31">
        <v>545.0</v>
      </c>
      <c r="K409" s="28" t="str">
        <f>IFERROR(__xludf.DUMMYFUNCTION("IFERROR(
INDEX(
FILTER(
MAP(
reglas!$B$2:$B$240,
reglas!$C$2:$C$240,
reglas!$D$2:$D$240,
reglas!$E$2:$E$240,
LAMBDA(rEmisor,rPatron,rConcepto,rTipo,
IF(
AND(
OR(
UPPER(TRIM(rEmisor))=UPPER(TRIM(C409)),
UPPER(TRIM(rEmisor))=""CUALQUIERA""
),
OR(
UPPER(TRIM"&amp;"(rTipo))=""SOLO EMISOR"",
AND(
UPPER(TRIM(rTipo))=""EXACTA"",
UPPER(TRIM(AG409))=UPPER(TRIM(rPatron))
),
AND(
OR(
UPPER(TRIM(rTipo))=""CONTIENE"",
UPPER(TRIM(rTipo))=""COINCIDENCIA""
),
ISNUMBER(SEARCH(UPPER(TRIM(rPatron)),UPPER(TRIM(D409))))
)
)
),
rConc"&amp;"epto,
""""
)
)
),
MAP(
reglas!$B$2:$B$240,
reglas!$C$2:$C$240,
reglas!$D$2:$D$240,
reglas!$E$2:$E$240,
LAMBDA(rEmisor,rPatron,rConcepto,rTipo,
IF(
AND(
OR(
UPPER(TRIM(rEmisor))=UPPER(TRIM(C409)),
UPPER(TRIM(rEmisor))=""CUALQUIERA""
),
OR(
UPPER(TRIM(rTipo"&amp;"))=""SOLO EMISOR"",
AND(
UPPER(TRIM(rTipo))=""EXACTA"",
UPPER(TRIM(D409))=UPPER(TRIM(rPatron))
),
AND(
OR(
UPPER(TRIM(rTipo))=""CONTIENE"",
UPPER(TRIM(rTipo))=""COINCIDENCIA""
),
ISNUMBER(SEARCH(UPPER(TRIM(rPatron)),UPPER(TRIM(D409))))
)
)
),
rConcepto,
"&amp;"""""
)
)
)&lt;&gt;""""
),
1
),
""""
)"),"PATIO REGULADOR")</f>
        <v>PATIO REGULADOR</v>
      </c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</row>
    <row r="410">
      <c r="A410" s="32"/>
      <c r="B410" s="32"/>
      <c r="C410" s="29" t="s">
        <v>172</v>
      </c>
      <c r="D410" s="29" t="s">
        <v>1531</v>
      </c>
      <c r="E410" s="28">
        <v>665.0</v>
      </c>
      <c r="F410" s="28">
        <v>0.0</v>
      </c>
      <c r="G410" s="28" t="s">
        <v>250</v>
      </c>
      <c r="H410" s="28">
        <f t="array" ref="H410">INDEX(CC!C:C,MATCH(1,(CC!A:A=G410)*(CC!B:B=I410),0))</f>
        <v>1402</v>
      </c>
      <c r="I410" s="28" t="s">
        <v>25</v>
      </c>
      <c r="J410" s="31">
        <v>665.0</v>
      </c>
      <c r="K410" s="28" t="str">
        <f>IFERROR(__xludf.DUMMYFUNCTION("IFERROR(
INDEX(
FILTER(
MAP(
reglas!$B$2:$B$240,
reglas!$C$2:$C$240,
reglas!$D$2:$D$240,
reglas!$E$2:$E$240,
LAMBDA(rEmisor,rPatron,rConcepto,rTipo,
IF(
AND(
OR(
UPPER(TRIM(rEmisor))=UPPER(TRIM(C410)),
UPPER(TRIM(rEmisor))=""CUALQUIERA""
),
OR(
UPPER(TRIM"&amp;"(rTipo))=""SOLO EMISOR"",
AND(
UPPER(TRIM(rTipo))=""EXACTA"",
UPPER(TRIM(AG410))=UPPER(TRIM(rPatron))
),
AND(
OR(
UPPER(TRIM(rTipo))=""CONTIENE"",
UPPER(TRIM(rTipo))=""COINCIDENCIA""
),
ISNUMBER(SEARCH(UPPER(TRIM(rPatron)),UPPER(TRIM(D410))))
)
)
),
rConc"&amp;"epto,
""""
)
)
),
MAP(
reglas!$B$2:$B$240,
reglas!$C$2:$C$240,
reglas!$D$2:$D$240,
reglas!$E$2:$E$240,
LAMBDA(rEmisor,rPatron,rConcepto,rTipo,
IF(
AND(
OR(
UPPER(TRIM(rEmisor))=UPPER(TRIM(C410)),
UPPER(TRIM(rEmisor))=""CUALQUIERA""
),
OR(
UPPER(TRIM(rTipo"&amp;"))=""SOLO EMISOR"",
AND(
UPPER(TRIM(rTipo))=""EXACTA"",
UPPER(TRIM(D410))=UPPER(TRIM(rPatron))
),
AND(
OR(
UPPER(TRIM(rTipo))=""CONTIENE"",
UPPER(TRIM(rTipo))=""COINCIDENCIA""
),
ISNUMBER(SEARCH(UPPER(TRIM(rPatron)),UPPER(TRIM(D410))))
)
)
),
rConcepto,
"&amp;"""""
)
)
)&lt;&gt;""""
),
1
),
""""
)"),"PATIO REGULADOR")</f>
        <v>PATIO REGULADOR</v>
      </c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</row>
    <row r="411">
      <c r="A411" s="32"/>
      <c r="B411" s="32"/>
      <c r="C411" s="29" t="s">
        <v>172</v>
      </c>
      <c r="D411" s="29" t="s">
        <v>1535</v>
      </c>
      <c r="E411" s="28">
        <v>665.0</v>
      </c>
      <c r="F411" s="28">
        <v>0.0</v>
      </c>
      <c r="G411" s="28" t="s">
        <v>250</v>
      </c>
      <c r="H411" s="28">
        <f t="array" ref="H411">INDEX(CC!C:C,MATCH(1,(CC!A:A=G411)*(CC!B:B=I411),0))</f>
        <v>1402</v>
      </c>
      <c r="I411" s="28" t="s">
        <v>25</v>
      </c>
      <c r="J411" s="31">
        <v>665.0</v>
      </c>
      <c r="K411" s="28" t="str">
        <f>IFERROR(__xludf.DUMMYFUNCTION("IFERROR(
INDEX(
FILTER(
MAP(
reglas!$B$2:$B$240,
reglas!$C$2:$C$240,
reglas!$D$2:$D$240,
reglas!$E$2:$E$240,
LAMBDA(rEmisor,rPatron,rConcepto,rTipo,
IF(
AND(
OR(
UPPER(TRIM(rEmisor))=UPPER(TRIM(C411)),
UPPER(TRIM(rEmisor))=""CUALQUIERA""
),
OR(
UPPER(TRIM"&amp;"(rTipo))=""SOLO EMISOR"",
AND(
UPPER(TRIM(rTipo))=""EXACTA"",
UPPER(TRIM(AG411))=UPPER(TRIM(rPatron))
),
AND(
OR(
UPPER(TRIM(rTipo))=""CONTIENE"",
UPPER(TRIM(rTipo))=""COINCIDENCIA""
),
ISNUMBER(SEARCH(UPPER(TRIM(rPatron)),UPPER(TRIM(D411))))
)
)
),
rConc"&amp;"epto,
""""
)
)
),
MAP(
reglas!$B$2:$B$240,
reglas!$C$2:$C$240,
reglas!$D$2:$D$240,
reglas!$E$2:$E$240,
LAMBDA(rEmisor,rPatron,rConcepto,rTipo,
IF(
AND(
OR(
UPPER(TRIM(rEmisor))=UPPER(TRIM(C411)),
UPPER(TRIM(rEmisor))=""CUALQUIERA""
),
OR(
UPPER(TRIM(rTipo"&amp;"))=""SOLO EMISOR"",
AND(
UPPER(TRIM(rTipo))=""EXACTA"",
UPPER(TRIM(D411))=UPPER(TRIM(rPatron))
),
AND(
OR(
UPPER(TRIM(rTipo))=""CONTIENE"",
UPPER(TRIM(rTipo))=""COINCIDENCIA""
),
ISNUMBER(SEARCH(UPPER(TRIM(rPatron)),UPPER(TRIM(D411))))
)
)
),
rConcepto,
"&amp;"""""
)
)
)&lt;&gt;""""
),
1
),
""""
)"),"PATIO REGULADOR")</f>
        <v>PATIO REGULADOR</v>
      </c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</row>
    <row r="412">
      <c r="A412" s="32"/>
      <c r="B412" s="32"/>
      <c r="C412" s="29" t="s">
        <v>172</v>
      </c>
      <c r="D412" s="29" t="s">
        <v>1538</v>
      </c>
      <c r="E412" s="28">
        <v>305.0</v>
      </c>
      <c r="F412" s="28">
        <v>0.0</v>
      </c>
      <c r="G412" s="28" t="s">
        <v>250</v>
      </c>
      <c r="H412" s="28">
        <f t="array" ref="H412">INDEX(CC!C:C,MATCH(1,(CC!A:A=G412)*(CC!B:B=I412),0))</f>
        <v>1402</v>
      </c>
      <c r="I412" s="28" t="s">
        <v>25</v>
      </c>
      <c r="J412" s="31">
        <v>305.0</v>
      </c>
      <c r="K412" s="28" t="str">
        <f>IFERROR(__xludf.DUMMYFUNCTION("IFERROR(
INDEX(
FILTER(
MAP(
reglas!$B$2:$B$240,
reglas!$C$2:$C$240,
reglas!$D$2:$D$240,
reglas!$E$2:$E$240,
LAMBDA(rEmisor,rPatron,rConcepto,rTipo,
IF(
AND(
OR(
UPPER(TRIM(rEmisor))=UPPER(TRIM(C412)),
UPPER(TRIM(rEmisor))=""CUALQUIERA""
),
OR(
UPPER(TRIM"&amp;"(rTipo))=""SOLO EMISOR"",
AND(
UPPER(TRIM(rTipo))=""EXACTA"",
UPPER(TRIM(AG412))=UPPER(TRIM(rPatron))
),
AND(
OR(
UPPER(TRIM(rTipo))=""CONTIENE"",
UPPER(TRIM(rTipo))=""COINCIDENCIA""
),
ISNUMBER(SEARCH(UPPER(TRIM(rPatron)),UPPER(TRIM(D412))))
)
)
),
rConc"&amp;"epto,
""""
)
)
),
MAP(
reglas!$B$2:$B$240,
reglas!$C$2:$C$240,
reglas!$D$2:$D$240,
reglas!$E$2:$E$240,
LAMBDA(rEmisor,rPatron,rConcepto,rTipo,
IF(
AND(
OR(
UPPER(TRIM(rEmisor))=UPPER(TRIM(C412)),
UPPER(TRIM(rEmisor))=""CUALQUIERA""
),
OR(
UPPER(TRIM(rTipo"&amp;"))=""SOLO EMISOR"",
AND(
UPPER(TRIM(rTipo))=""EXACTA"",
UPPER(TRIM(D412))=UPPER(TRIM(rPatron))
),
AND(
OR(
UPPER(TRIM(rTipo))=""CONTIENE"",
UPPER(TRIM(rTipo))=""COINCIDENCIA""
),
ISNUMBER(SEARCH(UPPER(TRIM(rPatron)),UPPER(TRIM(D412))))
)
)
),
rConcepto,
"&amp;"""""
)
)
)&lt;&gt;""""
),
1
),
""""
)"),"PATIO REGULADOR")</f>
        <v>PATIO REGULADOR</v>
      </c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</row>
    <row r="413">
      <c r="A413" s="32"/>
      <c r="B413" s="32"/>
      <c r="C413" s="29" t="s">
        <v>172</v>
      </c>
      <c r="D413" s="29" t="s">
        <v>1539</v>
      </c>
      <c r="E413" s="28">
        <v>665.0</v>
      </c>
      <c r="F413" s="28">
        <v>0.0</v>
      </c>
      <c r="G413" s="28" t="s">
        <v>250</v>
      </c>
      <c r="H413" s="28">
        <f t="array" ref="H413">INDEX(CC!C:C,MATCH(1,(CC!A:A=G413)*(CC!B:B=I413),0))</f>
        <v>1402</v>
      </c>
      <c r="I413" s="28" t="s">
        <v>25</v>
      </c>
      <c r="J413" s="31">
        <v>665.0</v>
      </c>
      <c r="K413" s="28" t="str">
        <f>IFERROR(__xludf.DUMMYFUNCTION("IFERROR(
INDEX(
FILTER(
MAP(
reglas!$B$2:$B$240,
reglas!$C$2:$C$240,
reglas!$D$2:$D$240,
reglas!$E$2:$E$240,
LAMBDA(rEmisor,rPatron,rConcepto,rTipo,
IF(
AND(
OR(
UPPER(TRIM(rEmisor))=UPPER(TRIM(C413)),
UPPER(TRIM(rEmisor))=""CUALQUIERA""
),
OR(
UPPER(TRIM"&amp;"(rTipo))=""SOLO EMISOR"",
AND(
UPPER(TRIM(rTipo))=""EXACTA"",
UPPER(TRIM(AG413))=UPPER(TRIM(rPatron))
),
AND(
OR(
UPPER(TRIM(rTipo))=""CONTIENE"",
UPPER(TRIM(rTipo))=""COINCIDENCIA""
),
ISNUMBER(SEARCH(UPPER(TRIM(rPatron)),UPPER(TRIM(D413))))
)
)
),
rConc"&amp;"epto,
""""
)
)
),
MAP(
reglas!$B$2:$B$240,
reglas!$C$2:$C$240,
reglas!$D$2:$D$240,
reglas!$E$2:$E$240,
LAMBDA(rEmisor,rPatron,rConcepto,rTipo,
IF(
AND(
OR(
UPPER(TRIM(rEmisor))=UPPER(TRIM(C413)),
UPPER(TRIM(rEmisor))=""CUALQUIERA""
),
OR(
UPPER(TRIM(rTipo"&amp;"))=""SOLO EMISOR"",
AND(
UPPER(TRIM(rTipo))=""EXACTA"",
UPPER(TRIM(D413))=UPPER(TRIM(rPatron))
),
AND(
OR(
UPPER(TRIM(rTipo))=""CONTIENE"",
UPPER(TRIM(rTipo))=""COINCIDENCIA""
),
ISNUMBER(SEARCH(UPPER(TRIM(rPatron)),UPPER(TRIM(D413))))
)
)
),
rConcepto,
"&amp;"""""
)
)
)&lt;&gt;""""
),
1
),
""""
)"),"PATIO REGULADOR")</f>
        <v>PATIO REGULADOR</v>
      </c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</row>
    <row r="414">
      <c r="A414" s="32"/>
      <c r="B414" s="32"/>
      <c r="C414" s="29" t="s">
        <v>172</v>
      </c>
      <c r="D414" s="29" t="s">
        <v>1543</v>
      </c>
      <c r="E414" s="28">
        <v>425.0</v>
      </c>
      <c r="F414" s="28">
        <v>0.0</v>
      </c>
      <c r="G414" s="28" t="s">
        <v>250</v>
      </c>
      <c r="H414" s="28">
        <f t="array" ref="H414">INDEX(CC!C:C,MATCH(1,(CC!A:A=G414)*(CC!B:B=I414),0))</f>
        <v>1402</v>
      </c>
      <c r="I414" s="28" t="s">
        <v>25</v>
      </c>
      <c r="J414" s="31">
        <v>425.0</v>
      </c>
      <c r="K414" s="28" t="str">
        <f>IFERROR(__xludf.DUMMYFUNCTION("IFERROR(
INDEX(
FILTER(
MAP(
reglas!$B$2:$B$240,
reglas!$C$2:$C$240,
reglas!$D$2:$D$240,
reglas!$E$2:$E$240,
LAMBDA(rEmisor,rPatron,rConcepto,rTipo,
IF(
AND(
OR(
UPPER(TRIM(rEmisor))=UPPER(TRIM(C414)),
UPPER(TRIM(rEmisor))=""CUALQUIERA""
),
OR(
UPPER(TRIM"&amp;"(rTipo))=""SOLO EMISOR"",
AND(
UPPER(TRIM(rTipo))=""EXACTA"",
UPPER(TRIM(AG414))=UPPER(TRIM(rPatron))
),
AND(
OR(
UPPER(TRIM(rTipo))=""CONTIENE"",
UPPER(TRIM(rTipo))=""COINCIDENCIA""
),
ISNUMBER(SEARCH(UPPER(TRIM(rPatron)),UPPER(TRIM(D414))))
)
)
),
rConc"&amp;"epto,
""""
)
)
),
MAP(
reglas!$B$2:$B$240,
reglas!$C$2:$C$240,
reglas!$D$2:$D$240,
reglas!$E$2:$E$240,
LAMBDA(rEmisor,rPatron,rConcepto,rTipo,
IF(
AND(
OR(
UPPER(TRIM(rEmisor))=UPPER(TRIM(C414)),
UPPER(TRIM(rEmisor))=""CUALQUIERA""
),
OR(
UPPER(TRIM(rTipo"&amp;"))=""SOLO EMISOR"",
AND(
UPPER(TRIM(rTipo))=""EXACTA"",
UPPER(TRIM(D414))=UPPER(TRIM(rPatron))
),
AND(
OR(
UPPER(TRIM(rTipo))=""CONTIENE"",
UPPER(TRIM(rTipo))=""COINCIDENCIA""
),
ISNUMBER(SEARCH(UPPER(TRIM(rPatron)),UPPER(TRIM(D414))))
)
)
),
rConcepto,
"&amp;"""""
)
)
)&lt;&gt;""""
),
1
),
""""
)"),"PATIO REGULADOR")</f>
        <v>PATIO REGULADOR</v>
      </c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</row>
    <row r="415">
      <c r="A415" s="32"/>
      <c r="B415" s="32"/>
      <c r="C415" s="29" t="s">
        <v>172</v>
      </c>
      <c r="D415" s="29" t="s">
        <v>1547</v>
      </c>
      <c r="E415" s="28">
        <v>425.0</v>
      </c>
      <c r="F415" s="28">
        <v>0.0</v>
      </c>
      <c r="G415" s="28" t="s">
        <v>250</v>
      </c>
      <c r="H415" s="28">
        <f t="array" ref="H415">INDEX(CC!C:C,MATCH(1,(CC!A:A=G415)*(CC!B:B=I415),0))</f>
        <v>1402</v>
      </c>
      <c r="I415" s="28" t="s">
        <v>25</v>
      </c>
      <c r="J415" s="31">
        <v>425.0</v>
      </c>
      <c r="K415" s="28" t="str">
        <f>IFERROR(__xludf.DUMMYFUNCTION("IFERROR(
INDEX(
FILTER(
MAP(
reglas!$B$2:$B$240,
reglas!$C$2:$C$240,
reglas!$D$2:$D$240,
reglas!$E$2:$E$240,
LAMBDA(rEmisor,rPatron,rConcepto,rTipo,
IF(
AND(
OR(
UPPER(TRIM(rEmisor))=UPPER(TRIM(C415)),
UPPER(TRIM(rEmisor))=""CUALQUIERA""
),
OR(
UPPER(TRIM"&amp;"(rTipo))=""SOLO EMISOR"",
AND(
UPPER(TRIM(rTipo))=""EXACTA"",
UPPER(TRIM(AG415))=UPPER(TRIM(rPatron))
),
AND(
OR(
UPPER(TRIM(rTipo))=""CONTIENE"",
UPPER(TRIM(rTipo))=""COINCIDENCIA""
),
ISNUMBER(SEARCH(UPPER(TRIM(rPatron)),UPPER(TRIM(D415))))
)
)
),
rConc"&amp;"epto,
""""
)
)
),
MAP(
reglas!$B$2:$B$240,
reglas!$C$2:$C$240,
reglas!$D$2:$D$240,
reglas!$E$2:$E$240,
LAMBDA(rEmisor,rPatron,rConcepto,rTipo,
IF(
AND(
OR(
UPPER(TRIM(rEmisor))=UPPER(TRIM(C415)),
UPPER(TRIM(rEmisor))=""CUALQUIERA""
),
OR(
UPPER(TRIM(rTipo"&amp;"))=""SOLO EMISOR"",
AND(
UPPER(TRIM(rTipo))=""EXACTA"",
UPPER(TRIM(D415))=UPPER(TRIM(rPatron))
),
AND(
OR(
UPPER(TRIM(rTipo))=""CONTIENE"",
UPPER(TRIM(rTipo))=""COINCIDENCIA""
),
ISNUMBER(SEARCH(UPPER(TRIM(rPatron)),UPPER(TRIM(D415))))
)
)
),
rConcepto,
"&amp;"""""
)
)
)&lt;&gt;""""
),
1
),
""""
)"),"PATIO REGULADOR")</f>
        <v>PATIO REGULADOR</v>
      </c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</row>
    <row r="416">
      <c r="A416" s="32"/>
      <c r="B416" s="32"/>
      <c r="C416" s="29" t="s">
        <v>172</v>
      </c>
      <c r="D416" s="29" t="s">
        <v>1549</v>
      </c>
      <c r="E416" s="28">
        <v>545.0</v>
      </c>
      <c r="F416" s="28">
        <v>0.0</v>
      </c>
      <c r="G416" s="28" t="s">
        <v>250</v>
      </c>
      <c r="H416" s="28">
        <f t="array" ref="H416">INDEX(CC!C:C,MATCH(1,(CC!A:A=G416)*(CC!B:B=I416),0))</f>
        <v>1402</v>
      </c>
      <c r="I416" s="28" t="s">
        <v>25</v>
      </c>
      <c r="J416" s="31">
        <v>545.0</v>
      </c>
      <c r="K416" s="28" t="str">
        <f>IFERROR(__xludf.DUMMYFUNCTION("IFERROR(
INDEX(
FILTER(
MAP(
reglas!$B$2:$B$240,
reglas!$C$2:$C$240,
reglas!$D$2:$D$240,
reglas!$E$2:$E$240,
LAMBDA(rEmisor,rPatron,rConcepto,rTipo,
IF(
AND(
OR(
UPPER(TRIM(rEmisor))=UPPER(TRIM(C416)),
UPPER(TRIM(rEmisor))=""CUALQUIERA""
),
OR(
UPPER(TRIM"&amp;"(rTipo))=""SOLO EMISOR"",
AND(
UPPER(TRIM(rTipo))=""EXACTA"",
UPPER(TRIM(AG416))=UPPER(TRIM(rPatron))
),
AND(
OR(
UPPER(TRIM(rTipo))=""CONTIENE"",
UPPER(TRIM(rTipo))=""COINCIDENCIA""
),
ISNUMBER(SEARCH(UPPER(TRIM(rPatron)),UPPER(TRIM(D416))))
)
)
),
rConc"&amp;"epto,
""""
)
)
),
MAP(
reglas!$B$2:$B$240,
reglas!$C$2:$C$240,
reglas!$D$2:$D$240,
reglas!$E$2:$E$240,
LAMBDA(rEmisor,rPatron,rConcepto,rTipo,
IF(
AND(
OR(
UPPER(TRIM(rEmisor))=UPPER(TRIM(C416)),
UPPER(TRIM(rEmisor))=""CUALQUIERA""
),
OR(
UPPER(TRIM(rTipo"&amp;"))=""SOLO EMISOR"",
AND(
UPPER(TRIM(rTipo))=""EXACTA"",
UPPER(TRIM(D416))=UPPER(TRIM(rPatron))
),
AND(
OR(
UPPER(TRIM(rTipo))=""CONTIENE"",
UPPER(TRIM(rTipo))=""COINCIDENCIA""
),
ISNUMBER(SEARCH(UPPER(TRIM(rPatron)),UPPER(TRIM(D416))))
)
)
),
rConcepto,
"&amp;"""""
)
)
)&lt;&gt;""""
),
1
),
""""
)"),"PATIO REGULADOR")</f>
        <v>PATIO REGULADOR</v>
      </c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</row>
    <row r="417">
      <c r="A417" s="32"/>
      <c r="B417" s="32"/>
      <c r="C417" s="29" t="s">
        <v>172</v>
      </c>
      <c r="D417" s="29" t="s">
        <v>1550</v>
      </c>
      <c r="E417" s="28">
        <v>545.0</v>
      </c>
      <c r="F417" s="28">
        <v>0.0</v>
      </c>
      <c r="G417" s="28" t="s">
        <v>250</v>
      </c>
      <c r="H417" s="28">
        <f t="array" ref="H417">INDEX(CC!C:C,MATCH(1,(CC!A:A=G417)*(CC!B:B=I417),0))</f>
        <v>1402</v>
      </c>
      <c r="I417" s="28" t="s">
        <v>25</v>
      </c>
      <c r="J417" s="31">
        <v>545.0</v>
      </c>
      <c r="K417" s="28" t="str">
        <f>IFERROR(__xludf.DUMMYFUNCTION("IFERROR(
INDEX(
FILTER(
MAP(
reglas!$B$2:$B$240,
reglas!$C$2:$C$240,
reglas!$D$2:$D$240,
reglas!$E$2:$E$240,
LAMBDA(rEmisor,rPatron,rConcepto,rTipo,
IF(
AND(
OR(
UPPER(TRIM(rEmisor))=UPPER(TRIM(C417)),
UPPER(TRIM(rEmisor))=""CUALQUIERA""
),
OR(
UPPER(TRIM"&amp;"(rTipo))=""SOLO EMISOR"",
AND(
UPPER(TRIM(rTipo))=""EXACTA"",
UPPER(TRIM(AG417))=UPPER(TRIM(rPatron))
),
AND(
OR(
UPPER(TRIM(rTipo))=""CONTIENE"",
UPPER(TRIM(rTipo))=""COINCIDENCIA""
),
ISNUMBER(SEARCH(UPPER(TRIM(rPatron)),UPPER(TRIM(D417))))
)
)
),
rConc"&amp;"epto,
""""
)
)
),
MAP(
reglas!$B$2:$B$240,
reglas!$C$2:$C$240,
reglas!$D$2:$D$240,
reglas!$E$2:$E$240,
LAMBDA(rEmisor,rPatron,rConcepto,rTipo,
IF(
AND(
OR(
UPPER(TRIM(rEmisor))=UPPER(TRIM(C417)),
UPPER(TRIM(rEmisor))=""CUALQUIERA""
),
OR(
UPPER(TRIM(rTipo"&amp;"))=""SOLO EMISOR"",
AND(
UPPER(TRIM(rTipo))=""EXACTA"",
UPPER(TRIM(D417))=UPPER(TRIM(rPatron))
),
AND(
OR(
UPPER(TRIM(rTipo))=""CONTIENE"",
UPPER(TRIM(rTipo))=""COINCIDENCIA""
),
ISNUMBER(SEARCH(UPPER(TRIM(rPatron)),UPPER(TRIM(D417))))
)
)
),
rConcepto,
"&amp;"""""
)
)
)&lt;&gt;""""
),
1
),
""""
)"),"PATIO REGULADOR")</f>
        <v>PATIO REGULADOR</v>
      </c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</row>
    <row r="418">
      <c r="A418" s="32"/>
      <c r="B418" s="32"/>
      <c r="C418" s="29" t="s">
        <v>172</v>
      </c>
      <c r="D418" s="29" t="s">
        <v>1551</v>
      </c>
      <c r="E418" s="28">
        <v>425.0</v>
      </c>
      <c r="F418" s="28">
        <v>0.0</v>
      </c>
      <c r="G418" s="28" t="s">
        <v>250</v>
      </c>
      <c r="H418" s="28">
        <f t="array" ref="H418">INDEX(CC!C:C,MATCH(1,(CC!A:A=G418)*(CC!B:B=I418),0))</f>
        <v>1402</v>
      </c>
      <c r="I418" s="28" t="s">
        <v>25</v>
      </c>
      <c r="J418" s="31">
        <v>425.0</v>
      </c>
      <c r="K418" s="28" t="str">
        <f>IFERROR(__xludf.DUMMYFUNCTION("IFERROR(
INDEX(
FILTER(
MAP(
reglas!$B$2:$B$240,
reglas!$C$2:$C$240,
reglas!$D$2:$D$240,
reglas!$E$2:$E$240,
LAMBDA(rEmisor,rPatron,rConcepto,rTipo,
IF(
AND(
OR(
UPPER(TRIM(rEmisor))=UPPER(TRIM(C418)),
UPPER(TRIM(rEmisor))=""CUALQUIERA""
),
OR(
UPPER(TRIM"&amp;"(rTipo))=""SOLO EMISOR"",
AND(
UPPER(TRIM(rTipo))=""EXACTA"",
UPPER(TRIM(AG418))=UPPER(TRIM(rPatron))
),
AND(
OR(
UPPER(TRIM(rTipo))=""CONTIENE"",
UPPER(TRIM(rTipo))=""COINCIDENCIA""
),
ISNUMBER(SEARCH(UPPER(TRIM(rPatron)),UPPER(TRIM(D418))))
)
)
),
rConc"&amp;"epto,
""""
)
)
),
MAP(
reglas!$B$2:$B$240,
reglas!$C$2:$C$240,
reglas!$D$2:$D$240,
reglas!$E$2:$E$240,
LAMBDA(rEmisor,rPatron,rConcepto,rTipo,
IF(
AND(
OR(
UPPER(TRIM(rEmisor))=UPPER(TRIM(C418)),
UPPER(TRIM(rEmisor))=""CUALQUIERA""
),
OR(
UPPER(TRIM(rTipo"&amp;"))=""SOLO EMISOR"",
AND(
UPPER(TRIM(rTipo))=""EXACTA"",
UPPER(TRIM(D418))=UPPER(TRIM(rPatron))
),
AND(
OR(
UPPER(TRIM(rTipo))=""CONTIENE"",
UPPER(TRIM(rTipo))=""COINCIDENCIA""
),
ISNUMBER(SEARCH(UPPER(TRIM(rPatron)),UPPER(TRIM(D418))))
)
)
),
rConcepto,
"&amp;"""""
)
)
)&lt;&gt;""""
),
1
),
""""
)"),"PATIO REGULADOR")</f>
        <v>PATIO REGULADOR</v>
      </c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</row>
    <row r="419">
      <c r="A419" s="32"/>
      <c r="B419" s="32"/>
      <c r="C419" s="29" t="s">
        <v>172</v>
      </c>
      <c r="D419" s="29" t="s">
        <v>1552</v>
      </c>
      <c r="E419" s="28">
        <v>425.0</v>
      </c>
      <c r="F419" s="28">
        <v>0.0</v>
      </c>
      <c r="G419" s="28" t="s">
        <v>250</v>
      </c>
      <c r="H419" s="28">
        <f t="array" ref="H419">INDEX(CC!C:C,MATCH(1,(CC!A:A=G419)*(CC!B:B=I419),0))</f>
        <v>1402</v>
      </c>
      <c r="I419" s="28" t="s">
        <v>25</v>
      </c>
      <c r="J419" s="31">
        <v>425.0</v>
      </c>
      <c r="K419" s="28" t="str">
        <f>IFERROR(__xludf.DUMMYFUNCTION("IFERROR(
INDEX(
FILTER(
MAP(
reglas!$B$2:$B$240,
reglas!$C$2:$C$240,
reglas!$D$2:$D$240,
reglas!$E$2:$E$240,
LAMBDA(rEmisor,rPatron,rConcepto,rTipo,
IF(
AND(
OR(
UPPER(TRIM(rEmisor))=UPPER(TRIM(C419)),
UPPER(TRIM(rEmisor))=""CUALQUIERA""
),
OR(
UPPER(TRIM"&amp;"(rTipo))=""SOLO EMISOR"",
AND(
UPPER(TRIM(rTipo))=""EXACTA"",
UPPER(TRIM(AG419))=UPPER(TRIM(rPatron))
),
AND(
OR(
UPPER(TRIM(rTipo))=""CONTIENE"",
UPPER(TRIM(rTipo))=""COINCIDENCIA""
),
ISNUMBER(SEARCH(UPPER(TRIM(rPatron)),UPPER(TRIM(D419))))
)
)
),
rConc"&amp;"epto,
""""
)
)
),
MAP(
reglas!$B$2:$B$240,
reglas!$C$2:$C$240,
reglas!$D$2:$D$240,
reglas!$E$2:$E$240,
LAMBDA(rEmisor,rPatron,rConcepto,rTipo,
IF(
AND(
OR(
UPPER(TRIM(rEmisor))=UPPER(TRIM(C419)),
UPPER(TRIM(rEmisor))=""CUALQUIERA""
),
OR(
UPPER(TRIM(rTipo"&amp;"))=""SOLO EMISOR"",
AND(
UPPER(TRIM(rTipo))=""EXACTA"",
UPPER(TRIM(D419))=UPPER(TRIM(rPatron))
),
AND(
OR(
UPPER(TRIM(rTipo))=""CONTIENE"",
UPPER(TRIM(rTipo))=""COINCIDENCIA""
),
ISNUMBER(SEARCH(UPPER(TRIM(rPatron)),UPPER(TRIM(D419))))
)
)
),
rConcepto,
"&amp;"""""
)
)
)&lt;&gt;""""
),
1
),
""""
)"),"PATIO REGULADOR")</f>
        <v>PATIO REGULADOR</v>
      </c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</row>
    <row r="420">
      <c r="A420" s="32"/>
      <c r="B420" s="32"/>
      <c r="C420" s="29" t="s">
        <v>172</v>
      </c>
      <c r="D420" s="29" t="s">
        <v>1554</v>
      </c>
      <c r="E420" s="28">
        <v>305.0</v>
      </c>
      <c r="F420" s="28">
        <v>0.0</v>
      </c>
      <c r="G420" s="28" t="s">
        <v>250</v>
      </c>
      <c r="H420" s="28">
        <f t="array" ref="H420">INDEX(CC!C:C,MATCH(1,(CC!A:A=G420)*(CC!B:B=I420),0))</f>
        <v>1402</v>
      </c>
      <c r="I420" s="28" t="s">
        <v>25</v>
      </c>
      <c r="J420" s="31">
        <v>305.0</v>
      </c>
      <c r="K420" s="28" t="str">
        <f>IFERROR(__xludf.DUMMYFUNCTION("IFERROR(
INDEX(
FILTER(
MAP(
reglas!$B$2:$B$240,
reglas!$C$2:$C$240,
reglas!$D$2:$D$240,
reglas!$E$2:$E$240,
LAMBDA(rEmisor,rPatron,rConcepto,rTipo,
IF(
AND(
OR(
UPPER(TRIM(rEmisor))=UPPER(TRIM(C420)),
UPPER(TRIM(rEmisor))=""CUALQUIERA""
),
OR(
UPPER(TRIM"&amp;"(rTipo))=""SOLO EMISOR"",
AND(
UPPER(TRIM(rTipo))=""EXACTA"",
UPPER(TRIM(AG420))=UPPER(TRIM(rPatron))
),
AND(
OR(
UPPER(TRIM(rTipo))=""CONTIENE"",
UPPER(TRIM(rTipo))=""COINCIDENCIA""
),
ISNUMBER(SEARCH(UPPER(TRIM(rPatron)),UPPER(TRIM(D420))))
)
)
),
rConc"&amp;"epto,
""""
)
)
),
MAP(
reglas!$B$2:$B$240,
reglas!$C$2:$C$240,
reglas!$D$2:$D$240,
reglas!$E$2:$E$240,
LAMBDA(rEmisor,rPatron,rConcepto,rTipo,
IF(
AND(
OR(
UPPER(TRIM(rEmisor))=UPPER(TRIM(C420)),
UPPER(TRIM(rEmisor))=""CUALQUIERA""
),
OR(
UPPER(TRIM(rTipo"&amp;"))=""SOLO EMISOR"",
AND(
UPPER(TRIM(rTipo))=""EXACTA"",
UPPER(TRIM(D420))=UPPER(TRIM(rPatron))
),
AND(
OR(
UPPER(TRIM(rTipo))=""CONTIENE"",
UPPER(TRIM(rTipo))=""COINCIDENCIA""
),
ISNUMBER(SEARCH(UPPER(TRIM(rPatron)),UPPER(TRIM(D420))))
)
)
),
rConcepto,
"&amp;"""""
)
)
)&lt;&gt;""""
),
1
),
""""
)"),"PATIO REGULADOR")</f>
        <v>PATIO REGULADOR</v>
      </c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</row>
    <row r="421">
      <c r="A421" s="32"/>
      <c r="B421" s="32"/>
      <c r="C421" s="29" t="s">
        <v>172</v>
      </c>
      <c r="D421" s="29" t="s">
        <v>1556</v>
      </c>
      <c r="E421" s="28">
        <v>305.0</v>
      </c>
      <c r="F421" s="28">
        <v>0.0</v>
      </c>
      <c r="G421" s="28" t="s">
        <v>250</v>
      </c>
      <c r="H421" s="28">
        <f t="array" ref="H421">INDEX(CC!C:C,MATCH(1,(CC!A:A=G421)*(CC!B:B=I421),0))</f>
        <v>1402</v>
      </c>
      <c r="I421" s="28" t="s">
        <v>25</v>
      </c>
      <c r="J421" s="31">
        <v>305.0</v>
      </c>
      <c r="K421" s="28" t="str">
        <f>IFERROR(__xludf.DUMMYFUNCTION("IFERROR(
INDEX(
FILTER(
MAP(
reglas!$B$2:$B$240,
reglas!$C$2:$C$240,
reglas!$D$2:$D$240,
reglas!$E$2:$E$240,
LAMBDA(rEmisor,rPatron,rConcepto,rTipo,
IF(
AND(
OR(
UPPER(TRIM(rEmisor))=UPPER(TRIM(C421)),
UPPER(TRIM(rEmisor))=""CUALQUIERA""
),
OR(
UPPER(TRIM"&amp;"(rTipo))=""SOLO EMISOR"",
AND(
UPPER(TRIM(rTipo))=""EXACTA"",
UPPER(TRIM(AG421))=UPPER(TRIM(rPatron))
),
AND(
OR(
UPPER(TRIM(rTipo))=""CONTIENE"",
UPPER(TRIM(rTipo))=""COINCIDENCIA""
),
ISNUMBER(SEARCH(UPPER(TRIM(rPatron)),UPPER(TRIM(D421))))
)
)
),
rConc"&amp;"epto,
""""
)
)
),
MAP(
reglas!$B$2:$B$240,
reglas!$C$2:$C$240,
reglas!$D$2:$D$240,
reglas!$E$2:$E$240,
LAMBDA(rEmisor,rPatron,rConcepto,rTipo,
IF(
AND(
OR(
UPPER(TRIM(rEmisor))=UPPER(TRIM(C421)),
UPPER(TRIM(rEmisor))=""CUALQUIERA""
),
OR(
UPPER(TRIM(rTipo"&amp;"))=""SOLO EMISOR"",
AND(
UPPER(TRIM(rTipo))=""EXACTA"",
UPPER(TRIM(D421))=UPPER(TRIM(rPatron))
),
AND(
OR(
UPPER(TRIM(rTipo))=""CONTIENE"",
UPPER(TRIM(rTipo))=""COINCIDENCIA""
),
ISNUMBER(SEARCH(UPPER(TRIM(rPatron)),UPPER(TRIM(D421))))
)
)
),
rConcepto,
"&amp;"""""
)
)
)&lt;&gt;""""
),
1
),
""""
)"),"PATIO REGULADOR")</f>
        <v>PATIO REGULADOR</v>
      </c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</row>
    <row r="422">
      <c r="A422" s="32"/>
      <c r="B422" s="32"/>
      <c r="C422" s="29" t="s">
        <v>172</v>
      </c>
      <c r="D422" s="29" t="s">
        <v>1559</v>
      </c>
      <c r="E422" s="28">
        <v>425.0</v>
      </c>
      <c r="F422" s="28">
        <v>0.0</v>
      </c>
      <c r="G422" s="28" t="s">
        <v>250</v>
      </c>
      <c r="H422" s="28">
        <f t="array" ref="H422">INDEX(CC!C:C,MATCH(1,(CC!A:A=G422)*(CC!B:B=I422),0))</f>
        <v>1402</v>
      </c>
      <c r="I422" s="28" t="s">
        <v>25</v>
      </c>
      <c r="J422" s="31">
        <v>425.0</v>
      </c>
      <c r="K422" s="28" t="str">
        <f>IFERROR(__xludf.DUMMYFUNCTION("IFERROR(
INDEX(
FILTER(
MAP(
reglas!$B$2:$B$240,
reglas!$C$2:$C$240,
reglas!$D$2:$D$240,
reglas!$E$2:$E$240,
LAMBDA(rEmisor,rPatron,rConcepto,rTipo,
IF(
AND(
OR(
UPPER(TRIM(rEmisor))=UPPER(TRIM(C422)),
UPPER(TRIM(rEmisor))=""CUALQUIERA""
),
OR(
UPPER(TRIM"&amp;"(rTipo))=""SOLO EMISOR"",
AND(
UPPER(TRIM(rTipo))=""EXACTA"",
UPPER(TRIM(AG422))=UPPER(TRIM(rPatron))
),
AND(
OR(
UPPER(TRIM(rTipo))=""CONTIENE"",
UPPER(TRIM(rTipo))=""COINCIDENCIA""
),
ISNUMBER(SEARCH(UPPER(TRIM(rPatron)),UPPER(TRIM(D422))))
)
)
),
rConc"&amp;"epto,
""""
)
)
),
MAP(
reglas!$B$2:$B$240,
reglas!$C$2:$C$240,
reglas!$D$2:$D$240,
reglas!$E$2:$E$240,
LAMBDA(rEmisor,rPatron,rConcepto,rTipo,
IF(
AND(
OR(
UPPER(TRIM(rEmisor))=UPPER(TRIM(C422)),
UPPER(TRIM(rEmisor))=""CUALQUIERA""
),
OR(
UPPER(TRIM(rTipo"&amp;"))=""SOLO EMISOR"",
AND(
UPPER(TRIM(rTipo))=""EXACTA"",
UPPER(TRIM(D422))=UPPER(TRIM(rPatron))
),
AND(
OR(
UPPER(TRIM(rTipo))=""CONTIENE"",
UPPER(TRIM(rTipo))=""COINCIDENCIA""
),
ISNUMBER(SEARCH(UPPER(TRIM(rPatron)),UPPER(TRIM(D422))))
)
)
),
rConcepto,
"&amp;"""""
)
)
)&lt;&gt;""""
),
1
),
""""
)"),"PATIO REGULADOR")</f>
        <v>PATIO REGULADOR</v>
      </c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</row>
    <row r="423">
      <c r="A423" s="32"/>
      <c r="B423" s="32"/>
      <c r="C423" s="29" t="s">
        <v>172</v>
      </c>
      <c r="D423" s="29" t="s">
        <v>1563</v>
      </c>
      <c r="E423" s="28">
        <v>665.0</v>
      </c>
      <c r="F423" s="28">
        <v>0.0</v>
      </c>
      <c r="G423" s="28" t="s">
        <v>250</v>
      </c>
      <c r="H423" s="28">
        <f t="array" ref="H423">INDEX(CC!C:C,MATCH(1,(CC!A:A=G423)*(CC!B:B=I423),0))</f>
        <v>1402</v>
      </c>
      <c r="I423" s="28" t="s">
        <v>25</v>
      </c>
      <c r="J423" s="31">
        <v>665.0</v>
      </c>
      <c r="K423" s="28" t="str">
        <f>IFERROR(__xludf.DUMMYFUNCTION("IFERROR(
INDEX(
FILTER(
MAP(
reglas!$B$2:$B$240,
reglas!$C$2:$C$240,
reglas!$D$2:$D$240,
reglas!$E$2:$E$240,
LAMBDA(rEmisor,rPatron,rConcepto,rTipo,
IF(
AND(
OR(
UPPER(TRIM(rEmisor))=UPPER(TRIM(C423)),
UPPER(TRIM(rEmisor))=""CUALQUIERA""
),
OR(
UPPER(TRIM"&amp;"(rTipo))=""SOLO EMISOR"",
AND(
UPPER(TRIM(rTipo))=""EXACTA"",
UPPER(TRIM(AG423))=UPPER(TRIM(rPatron))
),
AND(
OR(
UPPER(TRIM(rTipo))=""CONTIENE"",
UPPER(TRIM(rTipo))=""COINCIDENCIA""
),
ISNUMBER(SEARCH(UPPER(TRIM(rPatron)),UPPER(TRIM(D423))))
)
)
),
rConc"&amp;"epto,
""""
)
)
),
MAP(
reglas!$B$2:$B$240,
reglas!$C$2:$C$240,
reglas!$D$2:$D$240,
reglas!$E$2:$E$240,
LAMBDA(rEmisor,rPatron,rConcepto,rTipo,
IF(
AND(
OR(
UPPER(TRIM(rEmisor))=UPPER(TRIM(C423)),
UPPER(TRIM(rEmisor))=""CUALQUIERA""
),
OR(
UPPER(TRIM(rTipo"&amp;"))=""SOLO EMISOR"",
AND(
UPPER(TRIM(rTipo))=""EXACTA"",
UPPER(TRIM(D423))=UPPER(TRIM(rPatron))
),
AND(
OR(
UPPER(TRIM(rTipo))=""CONTIENE"",
UPPER(TRIM(rTipo))=""COINCIDENCIA""
),
ISNUMBER(SEARCH(UPPER(TRIM(rPatron)),UPPER(TRIM(D423))))
)
)
),
rConcepto,
"&amp;"""""
)
)
)&lt;&gt;""""
),
1
),
""""
)"),"PATIO REGULADOR")</f>
        <v>PATIO REGULADOR</v>
      </c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</row>
    <row r="424">
      <c r="A424" s="32"/>
      <c r="B424" s="32"/>
      <c r="C424" s="29" t="s">
        <v>172</v>
      </c>
      <c r="D424" s="29" t="s">
        <v>1568</v>
      </c>
      <c r="E424" s="28">
        <v>305.0</v>
      </c>
      <c r="F424" s="28">
        <v>0.0</v>
      </c>
      <c r="G424" s="28" t="s">
        <v>250</v>
      </c>
      <c r="H424" s="28">
        <f t="array" ref="H424">INDEX(CC!C:C,MATCH(1,(CC!A:A=G424)*(CC!B:B=I424),0))</f>
        <v>1402</v>
      </c>
      <c r="I424" s="28" t="s">
        <v>25</v>
      </c>
      <c r="J424" s="31">
        <v>305.0</v>
      </c>
      <c r="K424" s="28" t="str">
        <f>IFERROR(__xludf.DUMMYFUNCTION("IFERROR(
INDEX(
FILTER(
MAP(
reglas!$B$2:$B$240,
reglas!$C$2:$C$240,
reglas!$D$2:$D$240,
reglas!$E$2:$E$240,
LAMBDA(rEmisor,rPatron,rConcepto,rTipo,
IF(
AND(
OR(
UPPER(TRIM(rEmisor))=UPPER(TRIM(C424)),
UPPER(TRIM(rEmisor))=""CUALQUIERA""
),
OR(
UPPER(TRIM"&amp;"(rTipo))=""SOLO EMISOR"",
AND(
UPPER(TRIM(rTipo))=""EXACTA"",
UPPER(TRIM(AG424))=UPPER(TRIM(rPatron))
),
AND(
OR(
UPPER(TRIM(rTipo))=""CONTIENE"",
UPPER(TRIM(rTipo))=""COINCIDENCIA""
),
ISNUMBER(SEARCH(UPPER(TRIM(rPatron)),UPPER(TRIM(D424))))
)
)
),
rConc"&amp;"epto,
""""
)
)
),
MAP(
reglas!$B$2:$B$240,
reglas!$C$2:$C$240,
reglas!$D$2:$D$240,
reglas!$E$2:$E$240,
LAMBDA(rEmisor,rPatron,rConcepto,rTipo,
IF(
AND(
OR(
UPPER(TRIM(rEmisor))=UPPER(TRIM(C424)),
UPPER(TRIM(rEmisor))=""CUALQUIERA""
),
OR(
UPPER(TRIM(rTipo"&amp;"))=""SOLO EMISOR"",
AND(
UPPER(TRIM(rTipo))=""EXACTA"",
UPPER(TRIM(D424))=UPPER(TRIM(rPatron))
),
AND(
OR(
UPPER(TRIM(rTipo))=""CONTIENE"",
UPPER(TRIM(rTipo))=""COINCIDENCIA""
),
ISNUMBER(SEARCH(UPPER(TRIM(rPatron)),UPPER(TRIM(D424))))
)
)
),
rConcepto,
"&amp;"""""
)
)
)&lt;&gt;""""
),
1
),
""""
)"),"PATIO REGULADOR")</f>
        <v>PATIO REGULADOR</v>
      </c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</row>
    <row r="425">
      <c r="A425" s="32"/>
      <c r="B425" s="32"/>
      <c r="C425" s="29" t="s">
        <v>172</v>
      </c>
      <c r="D425" s="29" t="s">
        <v>1570</v>
      </c>
      <c r="E425" s="28">
        <v>425.0</v>
      </c>
      <c r="F425" s="28">
        <v>0.0</v>
      </c>
      <c r="G425" s="28" t="s">
        <v>250</v>
      </c>
      <c r="H425" s="28">
        <f t="array" ref="H425">INDEX(CC!C:C,MATCH(1,(CC!A:A=G425)*(CC!B:B=I425),0))</f>
        <v>1402</v>
      </c>
      <c r="I425" s="28" t="s">
        <v>25</v>
      </c>
      <c r="J425" s="31">
        <v>425.0</v>
      </c>
      <c r="K425" s="28" t="str">
        <f>IFERROR(__xludf.DUMMYFUNCTION("IFERROR(
INDEX(
FILTER(
MAP(
reglas!$B$2:$B$240,
reglas!$C$2:$C$240,
reglas!$D$2:$D$240,
reglas!$E$2:$E$240,
LAMBDA(rEmisor,rPatron,rConcepto,rTipo,
IF(
AND(
OR(
UPPER(TRIM(rEmisor))=UPPER(TRIM(C425)),
UPPER(TRIM(rEmisor))=""CUALQUIERA""
),
OR(
UPPER(TRIM"&amp;"(rTipo))=""SOLO EMISOR"",
AND(
UPPER(TRIM(rTipo))=""EXACTA"",
UPPER(TRIM(AG425))=UPPER(TRIM(rPatron))
),
AND(
OR(
UPPER(TRIM(rTipo))=""CONTIENE"",
UPPER(TRIM(rTipo))=""COINCIDENCIA""
),
ISNUMBER(SEARCH(UPPER(TRIM(rPatron)),UPPER(TRIM(D425))))
)
)
),
rConc"&amp;"epto,
""""
)
)
),
MAP(
reglas!$B$2:$B$240,
reglas!$C$2:$C$240,
reglas!$D$2:$D$240,
reglas!$E$2:$E$240,
LAMBDA(rEmisor,rPatron,rConcepto,rTipo,
IF(
AND(
OR(
UPPER(TRIM(rEmisor))=UPPER(TRIM(C425)),
UPPER(TRIM(rEmisor))=""CUALQUIERA""
),
OR(
UPPER(TRIM(rTipo"&amp;"))=""SOLO EMISOR"",
AND(
UPPER(TRIM(rTipo))=""EXACTA"",
UPPER(TRIM(D425))=UPPER(TRIM(rPatron))
),
AND(
OR(
UPPER(TRIM(rTipo))=""CONTIENE"",
UPPER(TRIM(rTipo))=""COINCIDENCIA""
),
ISNUMBER(SEARCH(UPPER(TRIM(rPatron)),UPPER(TRIM(D425))))
)
)
),
rConcepto,
"&amp;"""""
)
)
)&lt;&gt;""""
),
1
),
""""
)"),"PATIO REGULADOR")</f>
        <v>PATIO REGULADOR</v>
      </c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</row>
    <row r="426">
      <c r="A426" s="32"/>
      <c r="B426" s="32"/>
      <c r="C426" s="29" t="s">
        <v>172</v>
      </c>
      <c r="D426" s="29" t="s">
        <v>1568</v>
      </c>
      <c r="E426" s="28">
        <v>545.0</v>
      </c>
      <c r="F426" s="28">
        <v>0.0</v>
      </c>
      <c r="G426" s="28" t="s">
        <v>250</v>
      </c>
      <c r="H426" s="28">
        <f t="array" ref="H426">INDEX(CC!C:C,MATCH(1,(CC!A:A=G426)*(CC!B:B=I426),0))</f>
        <v>1402</v>
      </c>
      <c r="I426" s="28" t="s">
        <v>25</v>
      </c>
      <c r="J426" s="31">
        <v>545.0</v>
      </c>
      <c r="K426" s="28" t="str">
        <f>IFERROR(__xludf.DUMMYFUNCTION("IFERROR(
INDEX(
FILTER(
MAP(
reglas!$B$2:$B$240,
reglas!$C$2:$C$240,
reglas!$D$2:$D$240,
reglas!$E$2:$E$240,
LAMBDA(rEmisor,rPatron,rConcepto,rTipo,
IF(
AND(
OR(
UPPER(TRIM(rEmisor))=UPPER(TRIM(C426)),
UPPER(TRIM(rEmisor))=""CUALQUIERA""
),
OR(
UPPER(TRIM"&amp;"(rTipo))=""SOLO EMISOR"",
AND(
UPPER(TRIM(rTipo))=""EXACTA"",
UPPER(TRIM(AG426))=UPPER(TRIM(rPatron))
),
AND(
OR(
UPPER(TRIM(rTipo))=""CONTIENE"",
UPPER(TRIM(rTipo))=""COINCIDENCIA""
),
ISNUMBER(SEARCH(UPPER(TRIM(rPatron)),UPPER(TRIM(D426))))
)
)
),
rConc"&amp;"epto,
""""
)
)
),
MAP(
reglas!$B$2:$B$240,
reglas!$C$2:$C$240,
reglas!$D$2:$D$240,
reglas!$E$2:$E$240,
LAMBDA(rEmisor,rPatron,rConcepto,rTipo,
IF(
AND(
OR(
UPPER(TRIM(rEmisor))=UPPER(TRIM(C426)),
UPPER(TRIM(rEmisor))=""CUALQUIERA""
),
OR(
UPPER(TRIM(rTipo"&amp;"))=""SOLO EMISOR"",
AND(
UPPER(TRIM(rTipo))=""EXACTA"",
UPPER(TRIM(D426))=UPPER(TRIM(rPatron))
),
AND(
OR(
UPPER(TRIM(rTipo))=""CONTIENE"",
UPPER(TRIM(rTipo))=""COINCIDENCIA""
),
ISNUMBER(SEARCH(UPPER(TRIM(rPatron)),UPPER(TRIM(D426))))
)
)
),
rConcepto,
"&amp;"""""
)
)
)&lt;&gt;""""
),
1
),
""""
)"),"PATIO REGULADOR")</f>
        <v>PATIO REGULADOR</v>
      </c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</row>
    <row r="427">
      <c r="A427" s="32"/>
      <c r="B427" s="32"/>
      <c r="C427" s="29" t="s">
        <v>172</v>
      </c>
      <c r="D427" s="29" t="s">
        <v>1574</v>
      </c>
      <c r="E427" s="28">
        <v>785.0</v>
      </c>
      <c r="F427" s="28">
        <v>0.0</v>
      </c>
      <c r="G427" s="28" t="s">
        <v>250</v>
      </c>
      <c r="H427" s="28">
        <f t="array" ref="H427">INDEX(CC!C:C,MATCH(1,(CC!A:A=G427)*(CC!B:B=I427),0))</f>
        <v>1402</v>
      </c>
      <c r="I427" s="28" t="s">
        <v>25</v>
      </c>
      <c r="J427" s="31">
        <v>785.0</v>
      </c>
      <c r="K427" s="28" t="str">
        <f>IFERROR(__xludf.DUMMYFUNCTION("IFERROR(
INDEX(
FILTER(
MAP(
reglas!$B$2:$B$240,
reglas!$C$2:$C$240,
reglas!$D$2:$D$240,
reglas!$E$2:$E$240,
LAMBDA(rEmisor,rPatron,rConcepto,rTipo,
IF(
AND(
OR(
UPPER(TRIM(rEmisor))=UPPER(TRIM(C427)),
UPPER(TRIM(rEmisor))=""CUALQUIERA""
),
OR(
UPPER(TRIM"&amp;"(rTipo))=""SOLO EMISOR"",
AND(
UPPER(TRIM(rTipo))=""EXACTA"",
UPPER(TRIM(AG427))=UPPER(TRIM(rPatron))
),
AND(
OR(
UPPER(TRIM(rTipo))=""CONTIENE"",
UPPER(TRIM(rTipo))=""COINCIDENCIA""
),
ISNUMBER(SEARCH(UPPER(TRIM(rPatron)),UPPER(TRIM(D427))))
)
)
),
rConc"&amp;"epto,
""""
)
)
),
MAP(
reglas!$B$2:$B$240,
reglas!$C$2:$C$240,
reglas!$D$2:$D$240,
reglas!$E$2:$E$240,
LAMBDA(rEmisor,rPatron,rConcepto,rTipo,
IF(
AND(
OR(
UPPER(TRIM(rEmisor))=UPPER(TRIM(C427)),
UPPER(TRIM(rEmisor))=""CUALQUIERA""
),
OR(
UPPER(TRIM(rTipo"&amp;"))=""SOLO EMISOR"",
AND(
UPPER(TRIM(rTipo))=""EXACTA"",
UPPER(TRIM(D427))=UPPER(TRIM(rPatron))
),
AND(
OR(
UPPER(TRIM(rTipo))=""CONTIENE"",
UPPER(TRIM(rTipo))=""COINCIDENCIA""
),
ISNUMBER(SEARCH(UPPER(TRIM(rPatron)),UPPER(TRIM(D427))))
)
)
),
rConcepto,
"&amp;"""""
)
)
)&lt;&gt;""""
),
1
),
""""
)"),"PATIO REGULADOR")</f>
        <v>PATIO REGULADOR</v>
      </c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</row>
    <row r="428">
      <c r="A428" s="32"/>
      <c r="B428" s="32"/>
      <c r="C428" s="29" t="s">
        <v>172</v>
      </c>
      <c r="D428" s="29" t="s">
        <v>1576</v>
      </c>
      <c r="E428" s="28">
        <v>665.0</v>
      </c>
      <c r="F428" s="28">
        <v>0.0</v>
      </c>
      <c r="G428" s="28" t="s">
        <v>250</v>
      </c>
      <c r="H428" s="28">
        <f t="array" ref="H428">INDEX(CC!C:C,MATCH(1,(CC!A:A=G428)*(CC!B:B=I428),0))</f>
        <v>1402</v>
      </c>
      <c r="I428" s="28" t="s">
        <v>25</v>
      </c>
      <c r="J428" s="31">
        <v>665.0</v>
      </c>
      <c r="K428" s="28" t="str">
        <f>IFERROR(__xludf.DUMMYFUNCTION("IFERROR(
INDEX(
FILTER(
MAP(
reglas!$B$2:$B$240,
reglas!$C$2:$C$240,
reglas!$D$2:$D$240,
reglas!$E$2:$E$240,
LAMBDA(rEmisor,rPatron,rConcepto,rTipo,
IF(
AND(
OR(
UPPER(TRIM(rEmisor))=UPPER(TRIM(C428)),
UPPER(TRIM(rEmisor))=""CUALQUIERA""
),
OR(
UPPER(TRIM"&amp;"(rTipo))=""SOLO EMISOR"",
AND(
UPPER(TRIM(rTipo))=""EXACTA"",
UPPER(TRIM(AG428))=UPPER(TRIM(rPatron))
),
AND(
OR(
UPPER(TRIM(rTipo))=""CONTIENE"",
UPPER(TRIM(rTipo))=""COINCIDENCIA""
),
ISNUMBER(SEARCH(UPPER(TRIM(rPatron)),UPPER(TRIM(D428))))
)
)
),
rConc"&amp;"epto,
""""
)
)
),
MAP(
reglas!$B$2:$B$240,
reglas!$C$2:$C$240,
reglas!$D$2:$D$240,
reglas!$E$2:$E$240,
LAMBDA(rEmisor,rPatron,rConcepto,rTipo,
IF(
AND(
OR(
UPPER(TRIM(rEmisor))=UPPER(TRIM(C428)),
UPPER(TRIM(rEmisor))=""CUALQUIERA""
),
OR(
UPPER(TRIM(rTipo"&amp;"))=""SOLO EMISOR"",
AND(
UPPER(TRIM(rTipo))=""EXACTA"",
UPPER(TRIM(D428))=UPPER(TRIM(rPatron))
),
AND(
OR(
UPPER(TRIM(rTipo))=""CONTIENE"",
UPPER(TRIM(rTipo))=""COINCIDENCIA""
),
ISNUMBER(SEARCH(UPPER(TRIM(rPatron)),UPPER(TRIM(D428))))
)
)
),
rConcepto,
"&amp;"""""
)
)
)&lt;&gt;""""
),
1
),
""""
)"),"PATIO REGULADOR")</f>
        <v>PATIO REGULADOR</v>
      </c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</row>
    <row r="429">
      <c r="A429" s="32"/>
      <c r="B429" s="32"/>
      <c r="C429" s="29" t="s">
        <v>172</v>
      </c>
      <c r="D429" s="29" t="s">
        <v>1578</v>
      </c>
      <c r="E429" s="28">
        <v>305.0</v>
      </c>
      <c r="F429" s="28">
        <v>0.0</v>
      </c>
      <c r="G429" s="28" t="s">
        <v>250</v>
      </c>
      <c r="H429" s="28">
        <f t="array" ref="H429">INDEX(CC!C:C,MATCH(1,(CC!A:A=G429)*(CC!B:B=I429),0))</f>
        <v>1402</v>
      </c>
      <c r="I429" s="28" t="s">
        <v>25</v>
      </c>
      <c r="J429" s="31">
        <v>305.0</v>
      </c>
      <c r="K429" s="28" t="str">
        <f>IFERROR(__xludf.DUMMYFUNCTION("IFERROR(
INDEX(
FILTER(
MAP(
reglas!$B$2:$B$240,
reglas!$C$2:$C$240,
reglas!$D$2:$D$240,
reglas!$E$2:$E$240,
LAMBDA(rEmisor,rPatron,rConcepto,rTipo,
IF(
AND(
OR(
UPPER(TRIM(rEmisor))=UPPER(TRIM(C429)),
UPPER(TRIM(rEmisor))=""CUALQUIERA""
),
OR(
UPPER(TRIM"&amp;"(rTipo))=""SOLO EMISOR"",
AND(
UPPER(TRIM(rTipo))=""EXACTA"",
UPPER(TRIM(AG429))=UPPER(TRIM(rPatron))
),
AND(
OR(
UPPER(TRIM(rTipo))=""CONTIENE"",
UPPER(TRIM(rTipo))=""COINCIDENCIA""
),
ISNUMBER(SEARCH(UPPER(TRIM(rPatron)),UPPER(TRIM(D429))))
)
)
),
rConc"&amp;"epto,
""""
)
)
),
MAP(
reglas!$B$2:$B$240,
reglas!$C$2:$C$240,
reglas!$D$2:$D$240,
reglas!$E$2:$E$240,
LAMBDA(rEmisor,rPatron,rConcepto,rTipo,
IF(
AND(
OR(
UPPER(TRIM(rEmisor))=UPPER(TRIM(C429)),
UPPER(TRIM(rEmisor))=""CUALQUIERA""
),
OR(
UPPER(TRIM(rTipo"&amp;"))=""SOLO EMISOR"",
AND(
UPPER(TRIM(rTipo))=""EXACTA"",
UPPER(TRIM(D429))=UPPER(TRIM(rPatron))
),
AND(
OR(
UPPER(TRIM(rTipo))=""CONTIENE"",
UPPER(TRIM(rTipo))=""COINCIDENCIA""
),
ISNUMBER(SEARCH(UPPER(TRIM(rPatron)),UPPER(TRIM(D429))))
)
)
),
rConcepto,
"&amp;"""""
)
)
)&lt;&gt;""""
),
1
),
""""
)"),"PATIO REGULADOR")</f>
        <v>PATIO REGULADOR</v>
      </c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</row>
    <row r="430">
      <c r="A430" s="32"/>
      <c r="B430" s="32"/>
      <c r="C430" s="29" t="s">
        <v>172</v>
      </c>
      <c r="D430" s="29" t="s">
        <v>1584</v>
      </c>
      <c r="E430" s="28">
        <v>305.0</v>
      </c>
      <c r="F430" s="28">
        <v>0.0</v>
      </c>
      <c r="G430" s="28" t="s">
        <v>250</v>
      </c>
      <c r="H430" s="28">
        <f t="array" ref="H430">INDEX(CC!C:C,MATCH(1,(CC!A:A=G430)*(CC!B:B=I430),0))</f>
        <v>1402</v>
      </c>
      <c r="I430" s="28" t="s">
        <v>25</v>
      </c>
      <c r="J430" s="31">
        <v>305.0</v>
      </c>
      <c r="K430" s="28" t="str">
        <f>IFERROR(__xludf.DUMMYFUNCTION("IFERROR(
INDEX(
FILTER(
MAP(
reglas!$B$2:$B$240,
reglas!$C$2:$C$240,
reglas!$D$2:$D$240,
reglas!$E$2:$E$240,
LAMBDA(rEmisor,rPatron,rConcepto,rTipo,
IF(
AND(
OR(
UPPER(TRIM(rEmisor))=UPPER(TRIM(C430)),
UPPER(TRIM(rEmisor))=""CUALQUIERA""
),
OR(
UPPER(TRIM"&amp;"(rTipo))=""SOLO EMISOR"",
AND(
UPPER(TRIM(rTipo))=""EXACTA"",
UPPER(TRIM(AG430))=UPPER(TRIM(rPatron))
),
AND(
OR(
UPPER(TRIM(rTipo))=""CONTIENE"",
UPPER(TRIM(rTipo))=""COINCIDENCIA""
),
ISNUMBER(SEARCH(UPPER(TRIM(rPatron)),UPPER(TRIM(D430))))
)
)
),
rConc"&amp;"epto,
""""
)
)
),
MAP(
reglas!$B$2:$B$240,
reglas!$C$2:$C$240,
reglas!$D$2:$D$240,
reglas!$E$2:$E$240,
LAMBDA(rEmisor,rPatron,rConcepto,rTipo,
IF(
AND(
OR(
UPPER(TRIM(rEmisor))=UPPER(TRIM(C430)),
UPPER(TRIM(rEmisor))=""CUALQUIERA""
),
OR(
UPPER(TRIM(rTipo"&amp;"))=""SOLO EMISOR"",
AND(
UPPER(TRIM(rTipo))=""EXACTA"",
UPPER(TRIM(D430))=UPPER(TRIM(rPatron))
),
AND(
OR(
UPPER(TRIM(rTipo))=""CONTIENE"",
UPPER(TRIM(rTipo))=""COINCIDENCIA""
),
ISNUMBER(SEARCH(UPPER(TRIM(rPatron)),UPPER(TRIM(D430))))
)
)
),
rConcepto,
"&amp;"""""
)
)
)&lt;&gt;""""
),
1
),
""""
)"),"PATIO REGULADOR")</f>
        <v>PATIO REGULADOR</v>
      </c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</row>
    <row r="431">
      <c r="A431" s="32"/>
      <c r="B431" s="32"/>
      <c r="C431" s="29" t="s">
        <v>172</v>
      </c>
      <c r="D431" s="29" t="s">
        <v>1588</v>
      </c>
      <c r="E431" s="28">
        <v>305.0</v>
      </c>
      <c r="F431" s="28">
        <v>0.0</v>
      </c>
      <c r="G431" s="28" t="s">
        <v>250</v>
      </c>
      <c r="H431" s="28">
        <f t="array" ref="H431">INDEX(CC!C:C,MATCH(1,(CC!A:A=G431)*(CC!B:B=I431),0))</f>
        <v>1402</v>
      </c>
      <c r="I431" s="28" t="s">
        <v>25</v>
      </c>
      <c r="J431" s="31">
        <v>305.0</v>
      </c>
      <c r="K431" s="28" t="str">
        <f>IFERROR(__xludf.DUMMYFUNCTION("IFERROR(
INDEX(
FILTER(
MAP(
reglas!$B$2:$B$240,
reglas!$C$2:$C$240,
reglas!$D$2:$D$240,
reglas!$E$2:$E$240,
LAMBDA(rEmisor,rPatron,rConcepto,rTipo,
IF(
AND(
OR(
UPPER(TRIM(rEmisor))=UPPER(TRIM(C431)),
UPPER(TRIM(rEmisor))=""CUALQUIERA""
),
OR(
UPPER(TRIM"&amp;"(rTipo))=""SOLO EMISOR"",
AND(
UPPER(TRIM(rTipo))=""EXACTA"",
UPPER(TRIM(AG431))=UPPER(TRIM(rPatron))
),
AND(
OR(
UPPER(TRIM(rTipo))=""CONTIENE"",
UPPER(TRIM(rTipo))=""COINCIDENCIA""
),
ISNUMBER(SEARCH(UPPER(TRIM(rPatron)),UPPER(TRIM(D431))))
)
)
),
rConc"&amp;"epto,
""""
)
)
),
MAP(
reglas!$B$2:$B$240,
reglas!$C$2:$C$240,
reglas!$D$2:$D$240,
reglas!$E$2:$E$240,
LAMBDA(rEmisor,rPatron,rConcepto,rTipo,
IF(
AND(
OR(
UPPER(TRIM(rEmisor))=UPPER(TRIM(C431)),
UPPER(TRIM(rEmisor))=""CUALQUIERA""
),
OR(
UPPER(TRIM(rTipo"&amp;"))=""SOLO EMISOR"",
AND(
UPPER(TRIM(rTipo))=""EXACTA"",
UPPER(TRIM(D431))=UPPER(TRIM(rPatron))
),
AND(
OR(
UPPER(TRIM(rTipo))=""CONTIENE"",
UPPER(TRIM(rTipo))=""COINCIDENCIA""
),
ISNUMBER(SEARCH(UPPER(TRIM(rPatron)),UPPER(TRIM(D431))))
)
)
),
rConcepto,
"&amp;"""""
)
)
)&lt;&gt;""""
),
1
),
""""
)"),"PATIO REGULADOR")</f>
        <v>PATIO REGULADOR</v>
      </c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</row>
    <row r="432">
      <c r="A432" s="32"/>
      <c r="B432" s="32"/>
      <c r="C432" s="29" t="s">
        <v>172</v>
      </c>
      <c r="D432" s="29" t="s">
        <v>1589</v>
      </c>
      <c r="E432" s="28">
        <v>785.0</v>
      </c>
      <c r="F432" s="28">
        <v>0.0</v>
      </c>
      <c r="G432" s="28" t="s">
        <v>250</v>
      </c>
      <c r="H432" s="28">
        <f t="array" ref="H432">INDEX(CC!C:C,MATCH(1,(CC!A:A=G432)*(CC!B:B=I432),0))</f>
        <v>1402</v>
      </c>
      <c r="I432" s="28" t="s">
        <v>25</v>
      </c>
      <c r="J432" s="31">
        <v>785.0</v>
      </c>
      <c r="K432" s="28" t="str">
        <f>IFERROR(__xludf.DUMMYFUNCTION("IFERROR(
INDEX(
FILTER(
MAP(
reglas!$B$2:$B$240,
reglas!$C$2:$C$240,
reglas!$D$2:$D$240,
reglas!$E$2:$E$240,
LAMBDA(rEmisor,rPatron,rConcepto,rTipo,
IF(
AND(
OR(
UPPER(TRIM(rEmisor))=UPPER(TRIM(C432)),
UPPER(TRIM(rEmisor))=""CUALQUIERA""
),
OR(
UPPER(TRIM"&amp;"(rTipo))=""SOLO EMISOR"",
AND(
UPPER(TRIM(rTipo))=""EXACTA"",
UPPER(TRIM(AG432))=UPPER(TRIM(rPatron))
),
AND(
OR(
UPPER(TRIM(rTipo))=""CONTIENE"",
UPPER(TRIM(rTipo))=""COINCIDENCIA""
),
ISNUMBER(SEARCH(UPPER(TRIM(rPatron)),UPPER(TRIM(D432))))
)
)
),
rConc"&amp;"epto,
""""
)
)
),
MAP(
reglas!$B$2:$B$240,
reglas!$C$2:$C$240,
reglas!$D$2:$D$240,
reglas!$E$2:$E$240,
LAMBDA(rEmisor,rPatron,rConcepto,rTipo,
IF(
AND(
OR(
UPPER(TRIM(rEmisor))=UPPER(TRIM(C432)),
UPPER(TRIM(rEmisor))=""CUALQUIERA""
),
OR(
UPPER(TRIM(rTipo"&amp;"))=""SOLO EMISOR"",
AND(
UPPER(TRIM(rTipo))=""EXACTA"",
UPPER(TRIM(D432))=UPPER(TRIM(rPatron))
),
AND(
OR(
UPPER(TRIM(rTipo))=""CONTIENE"",
UPPER(TRIM(rTipo))=""COINCIDENCIA""
),
ISNUMBER(SEARCH(UPPER(TRIM(rPatron)),UPPER(TRIM(D432))))
)
)
),
rConcepto,
"&amp;"""""
)
)
)&lt;&gt;""""
),
1
),
""""
)"),"PATIO REGULADOR")</f>
        <v>PATIO REGULADOR</v>
      </c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</row>
    <row r="433">
      <c r="A433" s="32"/>
      <c r="B433" s="32"/>
      <c r="C433" s="29" t="s">
        <v>172</v>
      </c>
      <c r="D433" s="29" t="s">
        <v>1590</v>
      </c>
      <c r="E433" s="28">
        <v>305.0</v>
      </c>
      <c r="F433" s="28">
        <v>0.0</v>
      </c>
      <c r="G433" s="28" t="s">
        <v>250</v>
      </c>
      <c r="H433" s="28">
        <f t="array" ref="H433">INDEX(CC!C:C,MATCH(1,(CC!A:A=G433)*(CC!B:B=I433),0))</f>
        <v>1402</v>
      </c>
      <c r="I433" s="28" t="s">
        <v>25</v>
      </c>
      <c r="J433" s="31">
        <v>305.0</v>
      </c>
      <c r="K433" s="28" t="str">
        <f>IFERROR(__xludf.DUMMYFUNCTION("IFERROR(
INDEX(
FILTER(
MAP(
reglas!$B$2:$B$240,
reglas!$C$2:$C$240,
reglas!$D$2:$D$240,
reglas!$E$2:$E$240,
LAMBDA(rEmisor,rPatron,rConcepto,rTipo,
IF(
AND(
OR(
UPPER(TRIM(rEmisor))=UPPER(TRIM(C433)),
UPPER(TRIM(rEmisor))=""CUALQUIERA""
),
OR(
UPPER(TRIM"&amp;"(rTipo))=""SOLO EMISOR"",
AND(
UPPER(TRIM(rTipo))=""EXACTA"",
UPPER(TRIM(AG433))=UPPER(TRIM(rPatron))
),
AND(
OR(
UPPER(TRIM(rTipo))=""CONTIENE"",
UPPER(TRIM(rTipo))=""COINCIDENCIA""
),
ISNUMBER(SEARCH(UPPER(TRIM(rPatron)),UPPER(TRIM(D433))))
)
)
),
rConc"&amp;"epto,
""""
)
)
),
MAP(
reglas!$B$2:$B$240,
reglas!$C$2:$C$240,
reglas!$D$2:$D$240,
reglas!$E$2:$E$240,
LAMBDA(rEmisor,rPatron,rConcepto,rTipo,
IF(
AND(
OR(
UPPER(TRIM(rEmisor))=UPPER(TRIM(C433)),
UPPER(TRIM(rEmisor))=""CUALQUIERA""
),
OR(
UPPER(TRIM(rTipo"&amp;"))=""SOLO EMISOR"",
AND(
UPPER(TRIM(rTipo))=""EXACTA"",
UPPER(TRIM(D433))=UPPER(TRIM(rPatron))
),
AND(
OR(
UPPER(TRIM(rTipo))=""CONTIENE"",
UPPER(TRIM(rTipo))=""COINCIDENCIA""
),
ISNUMBER(SEARCH(UPPER(TRIM(rPatron)),UPPER(TRIM(D433))))
)
)
),
rConcepto,
"&amp;"""""
)
)
)&lt;&gt;""""
),
1
),
""""
)"),"PATIO REGULADOR")</f>
        <v>PATIO REGULADOR</v>
      </c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</row>
    <row r="434">
      <c r="A434" s="32"/>
      <c r="B434" s="32"/>
      <c r="C434" s="29" t="s">
        <v>172</v>
      </c>
      <c r="D434" s="29" t="s">
        <v>1591</v>
      </c>
      <c r="E434" s="28">
        <v>305.0</v>
      </c>
      <c r="F434" s="28">
        <v>0.0</v>
      </c>
      <c r="G434" s="28" t="s">
        <v>250</v>
      </c>
      <c r="H434" s="28">
        <f t="array" ref="H434">INDEX(CC!C:C,MATCH(1,(CC!A:A=G434)*(CC!B:B=I434),0))</f>
        <v>1402</v>
      </c>
      <c r="I434" s="28" t="s">
        <v>25</v>
      </c>
      <c r="J434" s="31">
        <v>305.0</v>
      </c>
      <c r="K434" s="28" t="str">
        <f>IFERROR(__xludf.DUMMYFUNCTION("IFERROR(
INDEX(
FILTER(
MAP(
reglas!$B$2:$B$240,
reglas!$C$2:$C$240,
reglas!$D$2:$D$240,
reglas!$E$2:$E$240,
LAMBDA(rEmisor,rPatron,rConcepto,rTipo,
IF(
AND(
OR(
UPPER(TRIM(rEmisor))=UPPER(TRIM(C434)),
UPPER(TRIM(rEmisor))=""CUALQUIERA""
),
OR(
UPPER(TRIM"&amp;"(rTipo))=""SOLO EMISOR"",
AND(
UPPER(TRIM(rTipo))=""EXACTA"",
UPPER(TRIM(AG434))=UPPER(TRIM(rPatron))
),
AND(
OR(
UPPER(TRIM(rTipo))=""CONTIENE"",
UPPER(TRIM(rTipo))=""COINCIDENCIA""
),
ISNUMBER(SEARCH(UPPER(TRIM(rPatron)),UPPER(TRIM(D434))))
)
)
),
rConc"&amp;"epto,
""""
)
)
),
MAP(
reglas!$B$2:$B$240,
reglas!$C$2:$C$240,
reglas!$D$2:$D$240,
reglas!$E$2:$E$240,
LAMBDA(rEmisor,rPatron,rConcepto,rTipo,
IF(
AND(
OR(
UPPER(TRIM(rEmisor))=UPPER(TRIM(C434)),
UPPER(TRIM(rEmisor))=""CUALQUIERA""
),
OR(
UPPER(TRIM(rTipo"&amp;"))=""SOLO EMISOR"",
AND(
UPPER(TRIM(rTipo))=""EXACTA"",
UPPER(TRIM(D434))=UPPER(TRIM(rPatron))
),
AND(
OR(
UPPER(TRIM(rTipo))=""CONTIENE"",
UPPER(TRIM(rTipo))=""COINCIDENCIA""
),
ISNUMBER(SEARCH(UPPER(TRIM(rPatron)),UPPER(TRIM(D434))))
)
)
),
rConcepto,
"&amp;"""""
)
)
)&lt;&gt;""""
),
1
),
""""
)"),"PATIO REGULADOR")</f>
        <v>PATIO REGULADOR</v>
      </c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</row>
    <row r="435">
      <c r="A435" s="32"/>
      <c r="B435" s="28" t="s">
        <v>29</v>
      </c>
      <c r="C435" s="29" t="s">
        <v>1592</v>
      </c>
      <c r="D435" s="29" t="s">
        <v>1052</v>
      </c>
      <c r="E435" s="28">
        <v>302.09</v>
      </c>
      <c r="F435" s="28">
        <v>0.0</v>
      </c>
      <c r="G435" s="28" t="s">
        <v>225</v>
      </c>
      <c r="H435" s="28">
        <f t="array" ref="H435">INDEX(CC!C:C,MATCH(1,(CC!A:A=G435)*(CC!B:B=I435),0))</f>
        <v>102</v>
      </c>
      <c r="I435" s="28" t="s">
        <v>25</v>
      </c>
      <c r="J435" s="31">
        <v>302.09</v>
      </c>
      <c r="K435" s="28" t="str">
        <f>IFERROR(__xludf.DUMMYFUNCTION("IFERROR(
INDEX(
FILTER(
MAP(
reglas!$B$2:$B$240,
reglas!$C$2:$C$240,
reglas!$D$2:$D$240,
reglas!$E$2:$E$240,
LAMBDA(rEmisor,rPatron,rConcepto,rTipo,
IF(
AND(
OR(
UPPER(TRIM(rEmisor))=UPPER(TRIM(C435)),
UPPER(TRIM(rEmisor))=""CUALQUIERA""
),
OR(
UPPER(TRIM"&amp;"(rTipo))=""SOLO EMISOR"",
AND(
UPPER(TRIM(rTipo))=""EXACTA"",
UPPER(TRIM(AG435))=UPPER(TRIM(rPatron))
),
AND(
OR(
UPPER(TRIM(rTipo))=""CONTIENE"",
UPPER(TRIM(rTipo))=""COINCIDENCIA""
),
ISNUMBER(SEARCH(UPPER(TRIM(rPatron)),UPPER(TRIM(D435))))
)
)
),
rConc"&amp;"epto,
""""
)
)
),
MAP(
reglas!$B$2:$B$240,
reglas!$C$2:$C$240,
reglas!$D$2:$D$240,
reglas!$E$2:$E$240,
LAMBDA(rEmisor,rPatron,rConcepto,rTipo,
IF(
AND(
OR(
UPPER(TRIM(rEmisor))=UPPER(TRIM(C435)),
UPPER(TRIM(rEmisor))=""CUALQUIERA""
),
OR(
UPPER(TRIM(rTipo"&amp;"))=""SOLO EMISOR"",
AND(
UPPER(TRIM(rTipo))=""EXACTA"",
UPPER(TRIM(D435))=UPPER(TRIM(rPatron))
),
AND(
OR(
UPPER(TRIM(rTipo))=""CONTIENE"",
UPPER(TRIM(rTipo))=""COINCIDENCIA""
),
ISNUMBER(SEARCH(UPPER(TRIM(rPatron)),UPPER(TRIM(D435))))
)
)
),
rConcepto,
"&amp;"""""
)
)
)&lt;&gt;""""
),
1
),
""""
)"),"")</f>
        <v/>
      </c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</row>
    <row r="436">
      <c r="A436" s="28">
        <v>1.0</v>
      </c>
      <c r="B436" s="28" t="s">
        <v>29</v>
      </c>
      <c r="C436" s="29" t="s">
        <v>271</v>
      </c>
      <c r="D436" s="29" t="s">
        <v>589</v>
      </c>
      <c r="E436" s="28">
        <v>630.34</v>
      </c>
      <c r="F436" s="28">
        <v>0.0</v>
      </c>
      <c r="G436" s="28" t="s">
        <v>84</v>
      </c>
      <c r="H436" s="28">
        <f t="array" ref="H436">INDEX(CC!C:C,MATCH(1,(CC!A:A=G436)*(CC!B:B=I436),0))</f>
        <v>1002</v>
      </c>
      <c r="I436" s="28" t="s">
        <v>25</v>
      </c>
      <c r="J436" s="31">
        <v>630.34</v>
      </c>
      <c r="K436" s="28" t="str">
        <f>IFERROR(__xludf.DUMMYFUNCTION("IFERROR(
INDEX(
FILTER(
MAP(
reglas!$B$2:$B$240,
reglas!$C$2:$C$240,
reglas!$D$2:$D$240,
reglas!$E$2:$E$240,
LAMBDA(rEmisor,rPatron,rConcepto,rTipo,
IF(
AND(
OR(
UPPER(TRIM(rEmisor))=UPPER(TRIM(C436)),
UPPER(TRIM(rEmisor))=""CUALQUIERA""
),
OR(
UPPER(TRIM"&amp;"(rTipo))=""SOLO EMISOR"",
AND(
UPPER(TRIM(rTipo))=""EXACTA"",
UPPER(TRIM(AG436))=UPPER(TRIM(rPatron))
),
AND(
OR(
UPPER(TRIM(rTipo))=""CONTIENE"",
UPPER(TRIM(rTipo))=""COINCIDENCIA""
),
ISNUMBER(SEARCH(UPPER(TRIM(rPatron)),UPPER(TRIM(D436))))
)
)
),
rConc"&amp;"epto,
""""
)
)
),
MAP(
reglas!$B$2:$B$240,
reglas!$C$2:$C$240,
reglas!$D$2:$D$240,
reglas!$E$2:$E$240,
LAMBDA(rEmisor,rPatron,rConcepto,rTipo,
IF(
AND(
OR(
UPPER(TRIM(rEmisor))=UPPER(TRIM(C436)),
UPPER(TRIM(rEmisor))=""CUALQUIERA""
),
OR(
UPPER(TRIM(rTipo"&amp;"))=""SOLO EMISOR"",
AND(
UPPER(TRIM(rTipo))=""EXACTA"",
UPPER(TRIM(D436))=UPPER(TRIM(rPatron))
),
AND(
OR(
UPPER(TRIM(rTipo))=""CONTIENE"",
UPPER(TRIM(rTipo))=""COINCIDENCIA""
),
ISNUMBER(SEARCH(UPPER(TRIM(rPatron)),UPPER(TRIM(D436))))
)
)
),
rConcepto,
"&amp;"""""
)
)
)&lt;&gt;""""
),
1
),
""""
)"),"MANIOBRAS")</f>
        <v>MANIOBRAS</v>
      </c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</row>
    <row r="437">
      <c r="A437" s="32"/>
      <c r="B437" s="28" t="s">
        <v>29</v>
      </c>
      <c r="C437" s="29" t="s">
        <v>172</v>
      </c>
      <c r="D437" s="29" t="s">
        <v>1593</v>
      </c>
      <c r="E437" s="30">
        <v>14000.0</v>
      </c>
      <c r="F437" s="28">
        <v>0.0</v>
      </c>
      <c r="G437" s="28" t="s">
        <v>250</v>
      </c>
      <c r="H437" s="28">
        <f t="array" ref="H437">INDEX(CC!C:C,MATCH(1,(CC!A:A=G437)*(CC!B:B=I437),0))</f>
        <v>1402</v>
      </c>
      <c r="I437" s="28" t="s">
        <v>25</v>
      </c>
      <c r="J437" s="31">
        <v>14000.0</v>
      </c>
      <c r="K437" s="28" t="str">
        <f>IFERROR(__xludf.DUMMYFUNCTION("IFERROR(
INDEX(
FILTER(
MAP(
reglas!$B$2:$B$240,
reglas!$C$2:$C$240,
reglas!$D$2:$D$240,
reglas!$E$2:$E$240,
LAMBDA(rEmisor,rPatron,rConcepto,rTipo,
IF(
AND(
OR(
UPPER(TRIM(rEmisor))=UPPER(TRIM(C437)),
UPPER(TRIM(rEmisor))=""CUALQUIERA""
),
OR(
UPPER(TRIM"&amp;"(rTipo))=""SOLO EMISOR"",
AND(
UPPER(TRIM(rTipo))=""EXACTA"",
UPPER(TRIM(AG437))=UPPER(TRIM(rPatron))
),
AND(
OR(
UPPER(TRIM(rTipo))=""CONTIENE"",
UPPER(TRIM(rTipo))=""COINCIDENCIA""
),
ISNUMBER(SEARCH(UPPER(TRIM(rPatron)),UPPER(TRIM(D437))))
)
)
),
rConc"&amp;"epto,
""""
)
)
),
MAP(
reglas!$B$2:$B$240,
reglas!$C$2:$C$240,
reglas!$D$2:$D$240,
reglas!$E$2:$E$240,
LAMBDA(rEmisor,rPatron,rConcepto,rTipo,
IF(
AND(
OR(
UPPER(TRIM(rEmisor))=UPPER(TRIM(C437)),
UPPER(TRIM(rEmisor))=""CUALQUIERA""
),
OR(
UPPER(TRIM(rTipo"&amp;"))=""SOLO EMISOR"",
AND(
UPPER(TRIM(rTipo))=""EXACTA"",
UPPER(TRIM(D437))=UPPER(TRIM(rPatron))
),
AND(
OR(
UPPER(TRIM(rTipo))=""CONTIENE"",
UPPER(TRIM(rTipo))=""COINCIDENCIA""
),
ISNUMBER(SEARCH(UPPER(TRIM(rPatron)),UPPER(TRIM(D437))))
)
)
),
rConcepto,
"&amp;"""""
)
)
)&lt;&gt;""""
),
1
),
""""
)"),"TRANSPORTE")</f>
        <v>TRANSPORTE</v>
      </c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</row>
    <row r="438">
      <c r="A438" s="32"/>
      <c r="B438" s="28" t="s">
        <v>29</v>
      </c>
      <c r="C438" s="29" t="s">
        <v>439</v>
      </c>
      <c r="D438" s="29" t="s">
        <v>443</v>
      </c>
      <c r="E438" s="28">
        <v>153.02</v>
      </c>
      <c r="F438" s="28">
        <v>0.0</v>
      </c>
      <c r="G438" s="28" t="s">
        <v>554</v>
      </c>
      <c r="H438" s="28">
        <f t="array" ref="H438">INDEX(CC!C:C,MATCH(1,(CC!A:A=G438)*(CC!B:B=I438),0))</f>
        <v>1702</v>
      </c>
      <c r="I438" s="28" t="s">
        <v>25</v>
      </c>
      <c r="J438" s="31">
        <v>153.02</v>
      </c>
      <c r="K438" s="28" t="str">
        <f>IFERROR(__xludf.DUMMYFUNCTION("IFERROR(
INDEX(
FILTER(
MAP(
reglas!$B$2:$B$240,
reglas!$C$2:$C$240,
reglas!$D$2:$D$240,
reglas!$E$2:$E$240,
LAMBDA(rEmisor,rPatron,rConcepto,rTipo,
IF(
AND(
OR(
UPPER(TRIM(rEmisor))=UPPER(TRIM(C438)),
UPPER(TRIM(rEmisor))=""CUALQUIERA""
),
OR(
UPPER(TRIM"&amp;"(rTipo))=""SOLO EMISOR"",
AND(
UPPER(TRIM(rTipo))=""EXACTA"",
UPPER(TRIM(AG438))=UPPER(TRIM(rPatron))
),
AND(
OR(
UPPER(TRIM(rTipo))=""CONTIENE"",
UPPER(TRIM(rTipo))=""COINCIDENCIA""
),
ISNUMBER(SEARCH(UPPER(TRIM(rPatron)),UPPER(TRIM(D438))))
)
)
),
rConc"&amp;"epto,
""""
)
)
),
MAP(
reglas!$B$2:$B$240,
reglas!$C$2:$C$240,
reglas!$D$2:$D$240,
reglas!$E$2:$E$240,
LAMBDA(rEmisor,rPatron,rConcepto,rTipo,
IF(
AND(
OR(
UPPER(TRIM(rEmisor))=UPPER(TRIM(C438)),
UPPER(TRIM(rEmisor))=""CUALQUIERA""
),
OR(
UPPER(TRIM(rTipo"&amp;"))=""SOLO EMISOR"",
AND(
UPPER(TRIM(rTipo))=""EXACTA"",
UPPER(TRIM(D438))=UPPER(TRIM(rPatron))
),
AND(
OR(
UPPER(TRIM(rTipo))=""CONTIENE"",
UPPER(TRIM(rTipo))=""COINCIDENCIA""
),
ISNUMBER(SEARCH(UPPER(TRIM(rPatron)),UPPER(TRIM(D438))))
)
)
),
rConcepto,
"&amp;"""""
)
)
)&lt;&gt;""""
),
1
),
""""
)"),"COMISIONES BANCARIAS")</f>
        <v>COMISIONES BANCARIAS</v>
      </c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</row>
    <row r="439">
      <c r="A439" s="28">
        <v>1.0</v>
      </c>
      <c r="B439" s="28" t="s">
        <v>29</v>
      </c>
      <c r="C439" s="29" t="s">
        <v>271</v>
      </c>
      <c r="D439" s="29" t="s">
        <v>589</v>
      </c>
      <c r="E439" s="28">
        <v>630.34</v>
      </c>
      <c r="F439" s="28">
        <v>0.0</v>
      </c>
      <c r="G439" s="28" t="s">
        <v>84</v>
      </c>
      <c r="H439" s="28">
        <f t="array" ref="H439">INDEX(CC!C:C,MATCH(1,(CC!A:A=G439)*(CC!B:B=I439),0))</f>
        <v>1002</v>
      </c>
      <c r="I439" s="28" t="s">
        <v>25</v>
      </c>
      <c r="J439" s="31">
        <v>630.34</v>
      </c>
      <c r="K439" s="28" t="str">
        <f>IFERROR(__xludf.DUMMYFUNCTION("IFERROR(
INDEX(
FILTER(
MAP(
reglas!$B$2:$B$240,
reglas!$C$2:$C$240,
reglas!$D$2:$D$240,
reglas!$E$2:$E$240,
LAMBDA(rEmisor,rPatron,rConcepto,rTipo,
IF(
AND(
OR(
UPPER(TRIM(rEmisor))=UPPER(TRIM(C439)),
UPPER(TRIM(rEmisor))=""CUALQUIERA""
),
OR(
UPPER(TRIM"&amp;"(rTipo))=""SOLO EMISOR"",
AND(
UPPER(TRIM(rTipo))=""EXACTA"",
UPPER(TRIM(AG439))=UPPER(TRIM(rPatron))
),
AND(
OR(
UPPER(TRIM(rTipo))=""CONTIENE"",
UPPER(TRIM(rTipo))=""COINCIDENCIA""
),
ISNUMBER(SEARCH(UPPER(TRIM(rPatron)),UPPER(TRIM(D439))))
)
)
),
rConc"&amp;"epto,
""""
)
)
),
MAP(
reglas!$B$2:$B$240,
reglas!$C$2:$C$240,
reglas!$D$2:$D$240,
reglas!$E$2:$E$240,
LAMBDA(rEmisor,rPatron,rConcepto,rTipo,
IF(
AND(
OR(
UPPER(TRIM(rEmisor))=UPPER(TRIM(C439)),
UPPER(TRIM(rEmisor))=""CUALQUIERA""
),
OR(
UPPER(TRIM(rTipo"&amp;"))=""SOLO EMISOR"",
AND(
UPPER(TRIM(rTipo))=""EXACTA"",
UPPER(TRIM(D439))=UPPER(TRIM(rPatron))
),
AND(
OR(
UPPER(TRIM(rTipo))=""CONTIENE"",
UPPER(TRIM(rTipo))=""COINCIDENCIA""
),
ISNUMBER(SEARCH(UPPER(TRIM(rPatron)),UPPER(TRIM(D439))))
)
)
),
rConcepto,
"&amp;"""""
)
)
)&lt;&gt;""""
),
1
),
""""
)"),"MANIOBRAS")</f>
        <v>MANIOBRAS</v>
      </c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</row>
    <row r="440">
      <c r="A440" s="28">
        <v>1.0</v>
      </c>
      <c r="B440" s="28" t="s">
        <v>29</v>
      </c>
      <c r="C440" s="29" t="s">
        <v>89</v>
      </c>
      <c r="D440" s="29" t="s">
        <v>91</v>
      </c>
      <c r="E440" s="30">
        <v>1283.04</v>
      </c>
      <c r="F440" s="28">
        <v>0.0</v>
      </c>
      <c r="G440" s="28" t="s">
        <v>601</v>
      </c>
      <c r="H440" s="28">
        <f t="array" ref="H440">INDEX(CC!C:C,MATCH(1,(CC!A:A=G440)*(CC!B:B=I440),0))</f>
        <v>403</v>
      </c>
      <c r="I440" s="28" t="s">
        <v>44</v>
      </c>
      <c r="J440" s="31">
        <v>1283.04</v>
      </c>
      <c r="K440" s="28" t="str">
        <f>IFERROR(__xludf.DUMMYFUNCTION("IFERROR(
INDEX(
FILTER(
MAP(
reglas!$B$2:$B$240,
reglas!$C$2:$C$240,
reglas!$D$2:$D$240,
reglas!$E$2:$E$240,
LAMBDA(rEmisor,rPatron,rConcepto,rTipo,
IF(
AND(
OR(
UPPER(TRIM(rEmisor))=UPPER(TRIM(C440)),
UPPER(TRIM(rEmisor))=""CUALQUIERA""
),
OR(
UPPER(TRIM"&amp;"(rTipo))=""SOLO EMISOR"",
AND(
UPPER(TRIM(rTipo))=""EXACTA"",
UPPER(TRIM(AG440))=UPPER(TRIM(rPatron))
),
AND(
OR(
UPPER(TRIM(rTipo))=""CONTIENE"",
UPPER(TRIM(rTipo))=""COINCIDENCIA""
),
ISNUMBER(SEARCH(UPPER(TRIM(rPatron)),UPPER(TRIM(D440))))
)
)
),
rConc"&amp;"epto,
""""
)
)
),
MAP(
reglas!$B$2:$B$240,
reglas!$C$2:$C$240,
reglas!$D$2:$D$240,
reglas!$E$2:$E$240,
LAMBDA(rEmisor,rPatron,rConcepto,rTipo,
IF(
AND(
OR(
UPPER(TRIM(rEmisor))=UPPER(TRIM(C440)),
UPPER(TRIM(rEmisor))=""CUALQUIERA""
),
OR(
UPPER(TRIM(rTipo"&amp;"))=""SOLO EMISOR"",
AND(
UPPER(TRIM(rTipo))=""EXACTA"",
UPPER(TRIM(D440))=UPPER(TRIM(rPatron))
),
AND(
OR(
UPPER(TRIM(rTipo))=""CONTIENE"",
UPPER(TRIM(rTipo))=""COINCIDENCIA""
),
ISNUMBER(SEARCH(UPPER(TRIM(rPatron)),UPPER(TRIM(D440))))
)
)
),
rConcepto,
"&amp;"""""
)
)
)&lt;&gt;""""
),
1
),
""""
)"),"MANIOBRAS")</f>
        <v>MANIOBRAS</v>
      </c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</row>
    <row r="441">
      <c r="A441" s="28">
        <v>1.0</v>
      </c>
      <c r="B441" s="28" t="s">
        <v>29</v>
      </c>
      <c r="C441" s="29" t="s">
        <v>475</v>
      </c>
      <c r="D441" s="29" t="s">
        <v>1594</v>
      </c>
      <c r="E441" s="30">
        <v>1000.0</v>
      </c>
      <c r="F441" s="28">
        <v>0.0</v>
      </c>
      <c r="G441" s="28" t="s">
        <v>55</v>
      </c>
      <c r="H441" s="28">
        <f t="array" ref="H441">INDEX(CC!C:C,MATCH(1,(CC!A:A=G441)*(CC!B:B=I441),0))</f>
        <v>903</v>
      </c>
      <c r="I441" s="28" t="s">
        <v>44</v>
      </c>
      <c r="J441" s="31">
        <v>1000.0</v>
      </c>
      <c r="K441" s="28" t="str">
        <f>IFERROR(__xludf.DUMMYFUNCTION("IFERROR(
INDEX(
FILTER(
MAP(
reglas!$B$2:$B$240,
reglas!$C$2:$C$240,
reglas!$D$2:$D$240,
reglas!$E$2:$E$240,
LAMBDA(rEmisor,rPatron,rConcepto,rTipo,
IF(
AND(
OR(
UPPER(TRIM(rEmisor))=UPPER(TRIM(C441)),
UPPER(TRIM(rEmisor))=""CUALQUIERA""
),
OR(
UPPER(TRIM"&amp;"(rTipo))=""SOLO EMISOR"",
AND(
UPPER(TRIM(rTipo))=""EXACTA"",
UPPER(TRIM(AG441))=UPPER(TRIM(rPatron))
),
AND(
OR(
UPPER(TRIM(rTipo))=""CONTIENE"",
UPPER(TRIM(rTipo))=""COINCIDENCIA""
),
ISNUMBER(SEARCH(UPPER(TRIM(rPatron)),UPPER(TRIM(D441))))
)
)
),
rConc"&amp;"epto,
""""
)
)
),
MAP(
reglas!$B$2:$B$240,
reglas!$C$2:$C$240,
reglas!$D$2:$D$240,
reglas!$E$2:$E$240,
LAMBDA(rEmisor,rPatron,rConcepto,rTipo,
IF(
AND(
OR(
UPPER(TRIM(rEmisor))=UPPER(TRIM(C441)),
UPPER(TRIM(rEmisor))=""CUALQUIERA""
),
OR(
UPPER(TRIM(rTipo"&amp;"))=""SOLO EMISOR"",
AND(
UPPER(TRIM(rTipo))=""EXACTA"",
UPPER(TRIM(D441))=UPPER(TRIM(rPatron))
),
AND(
OR(
UPPER(TRIM(rTipo))=""CONTIENE"",
UPPER(TRIM(rTipo))=""COINCIDENCIA""
),
ISNUMBER(SEARCH(UPPER(TRIM(rPatron)),UPPER(TRIM(D441))))
)
)
),
rConcepto,
"&amp;"""""
)
)
)&lt;&gt;""""
),
1
),
""""
)"),"ASESORIA EN COMERCIO EXTERIOR")</f>
        <v>ASESORIA EN COMERCIO EXTERIOR</v>
      </c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</row>
    <row r="442">
      <c r="A442" s="28">
        <v>1.0</v>
      </c>
      <c r="B442" s="28" t="s">
        <v>29</v>
      </c>
      <c r="C442" s="29" t="s">
        <v>475</v>
      </c>
      <c r="D442" s="29" t="s">
        <v>1595</v>
      </c>
      <c r="E442" s="30">
        <v>1000.0</v>
      </c>
      <c r="F442" s="28">
        <v>0.0</v>
      </c>
      <c r="G442" s="28" t="s">
        <v>395</v>
      </c>
      <c r="H442" s="28">
        <f t="array" ref="H442">INDEX(CC!C:C,MATCH(1,(CC!A:A=G442)*(CC!B:B=I442),0))</f>
        <v>1103</v>
      </c>
      <c r="I442" s="28" t="s">
        <v>44</v>
      </c>
      <c r="J442" s="31">
        <v>1000.0</v>
      </c>
      <c r="K442" s="28" t="str">
        <f>IFERROR(__xludf.DUMMYFUNCTION("IFERROR(
INDEX(
FILTER(
MAP(
reglas!$B$2:$B$240,
reglas!$C$2:$C$240,
reglas!$D$2:$D$240,
reglas!$E$2:$E$240,
LAMBDA(rEmisor,rPatron,rConcepto,rTipo,
IF(
AND(
OR(
UPPER(TRIM(rEmisor))=UPPER(TRIM(C442)),
UPPER(TRIM(rEmisor))=""CUALQUIERA""
),
OR(
UPPER(TRIM"&amp;"(rTipo))=""SOLO EMISOR"",
AND(
UPPER(TRIM(rTipo))=""EXACTA"",
UPPER(TRIM(AG442))=UPPER(TRIM(rPatron))
),
AND(
OR(
UPPER(TRIM(rTipo))=""CONTIENE"",
UPPER(TRIM(rTipo))=""COINCIDENCIA""
),
ISNUMBER(SEARCH(UPPER(TRIM(rPatron)),UPPER(TRIM(D442))))
)
)
),
rConc"&amp;"epto,
""""
)
)
),
MAP(
reglas!$B$2:$B$240,
reglas!$C$2:$C$240,
reglas!$D$2:$D$240,
reglas!$E$2:$E$240,
LAMBDA(rEmisor,rPatron,rConcepto,rTipo,
IF(
AND(
OR(
UPPER(TRIM(rEmisor))=UPPER(TRIM(C442)),
UPPER(TRIM(rEmisor))=""CUALQUIERA""
),
OR(
UPPER(TRIM(rTipo"&amp;"))=""SOLO EMISOR"",
AND(
UPPER(TRIM(rTipo))=""EXACTA"",
UPPER(TRIM(D442))=UPPER(TRIM(rPatron))
),
AND(
OR(
UPPER(TRIM(rTipo))=""CONTIENE"",
UPPER(TRIM(rTipo))=""COINCIDENCIA""
),
ISNUMBER(SEARCH(UPPER(TRIM(rPatron)),UPPER(TRIM(D442))))
)
)
),
rConcepto,
"&amp;"""""
)
)
)&lt;&gt;""""
),
1
),
""""
)"),"ASESORIA EN COMERCIO EXTERIOR")</f>
        <v>ASESORIA EN COMERCIO EXTERIOR</v>
      </c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</row>
    <row r="443">
      <c r="A443" s="32"/>
      <c r="B443" s="28" t="s">
        <v>29</v>
      </c>
      <c r="C443" s="29" t="s">
        <v>172</v>
      </c>
      <c r="D443" s="29" t="s">
        <v>1596</v>
      </c>
      <c r="E443" s="30">
        <v>14000.0</v>
      </c>
      <c r="F443" s="28">
        <v>0.0</v>
      </c>
      <c r="G443" s="28" t="s">
        <v>250</v>
      </c>
      <c r="H443" s="28">
        <f t="array" ref="H443">INDEX(CC!C:C,MATCH(1,(CC!A:A=G443)*(CC!B:B=I443),0))</f>
        <v>1402</v>
      </c>
      <c r="I443" s="28" t="s">
        <v>25</v>
      </c>
      <c r="J443" s="31">
        <v>14000.0</v>
      </c>
      <c r="K443" s="28" t="str">
        <f>IFERROR(__xludf.DUMMYFUNCTION("IFERROR(
INDEX(
FILTER(
MAP(
reglas!$B$2:$B$240,
reglas!$C$2:$C$240,
reglas!$D$2:$D$240,
reglas!$E$2:$E$240,
LAMBDA(rEmisor,rPatron,rConcepto,rTipo,
IF(
AND(
OR(
UPPER(TRIM(rEmisor))=UPPER(TRIM(C443)),
UPPER(TRIM(rEmisor))=""CUALQUIERA""
),
OR(
UPPER(TRIM"&amp;"(rTipo))=""SOLO EMISOR"",
AND(
UPPER(TRIM(rTipo))=""EXACTA"",
UPPER(TRIM(AG443))=UPPER(TRIM(rPatron))
),
AND(
OR(
UPPER(TRIM(rTipo))=""CONTIENE"",
UPPER(TRIM(rTipo))=""COINCIDENCIA""
),
ISNUMBER(SEARCH(UPPER(TRIM(rPatron)),UPPER(TRIM(D443))))
)
)
),
rConc"&amp;"epto,
""""
)
)
),
MAP(
reglas!$B$2:$B$240,
reglas!$C$2:$C$240,
reglas!$D$2:$D$240,
reglas!$E$2:$E$240,
LAMBDA(rEmisor,rPatron,rConcepto,rTipo,
IF(
AND(
OR(
UPPER(TRIM(rEmisor))=UPPER(TRIM(C443)),
UPPER(TRIM(rEmisor))=""CUALQUIERA""
),
OR(
UPPER(TRIM(rTipo"&amp;"))=""SOLO EMISOR"",
AND(
UPPER(TRIM(rTipo))=""EXACTA"",
UPPER(TRIM(D443))=UPPER(TRIM(rPatron))
),
AND(
OR(
UPPER(TRIM(rTipo))=""CONTIENE"",
UPPER(TRIM(rTipo))=""COINCIDENCIA""
),
ISNUMBER(SEARCH(UPPER(TRIM(rPatron)),UPPER(TRIM(D443))))
)
)
),
rConcepto,
"&amp;"""""
)
)
)&lt;&gt;""""
),
1
),
""""
)"),"TRANSPORTE")</f>
        <v>TRANSPORTE</v>
      </c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</row>
    <row r="444">
      <c r="A444" s="28">
        <v>1.0</v>
      </c>
      <c r="B444" s="28" t="s">
        <v>29</v>
      </c>
      <c r="C444" s="29" t="s">
        <v>271</v>
      </c>
      <c r="D444" s="29" t="s">
        <v>589</v>
      </c>
      <c r="E444" s="28">
        <v>630.34</v>
      </c>
      <c r="F444" s="28">
        <v>0.0</v>
      </c>
      <c r="G444" s="28" t="s">
        <v>84</v>
      </c>
      <c r="H444" s="28">
        <f t="array" ref="H444">INDEX(CC!C:C,MATCH(1,(CC!A:A=G444)*(CC!B:B=I444),0))</f>
        <v>1002</v>
      </c>
      <c r="I444" s="28" t="s">
        <v>25</v>
      </c>
      <c r="J444" s="31">
        <v>630.34</v>
      </c>
      <c r="K444" s="28" t="str">
        <f>IFERROR(__xludf.DUMMYFUNCTION("IFERROR(
INDEX(
FILTER(
MAP(
reglas!$B$2:$B$240,
reglas!$C$2:$C$240,
reglas!$D$2:$D$240,
reglas!$E$2:$E$240,
LAMBDA(rEmisor,rPatron,rConcepto,rTipo,
IF(
AND(
OR(
UPPER(TRIM(rEmisor))=UPPER(TRIM(C444)),
UPPER(TRIM(rEmisor))=""CUALQUIERA""
),
OR(
UPPER(TRIM"&amp;"(rTipo))=""SOLO EMISOR"",
AND(
UPPER(TRIM(rTipo))=""EXACTA"",
UPPER(TRIM(AG444))=UPPER(TRIM(rPatron))
),
AND(
OR(
UPPER(TRIM(rTipo))=""CONTIENE"",
UPPER(TRIM(rTipo))=""COINCIDENCIA""
),
ISNUMBER(SEARCH(UPPER(TRIM(rPatron)),UPPER(TRIM(D444))))
)
)
),
rConc"&amp;"epto,
""""
)
)
),
MAP(
reglas!$B$2:$B$240,
reglas!$C$2:$C$240,
reglas!$D$2:$D$240,
reglas!$E$2:$E$240,
LAMBDA(rEmisor,rPatron,rConcepto,rTipo,
IF(
AND(
OR(
UPPER(TRIM(rEmisor))=UPPER(TRIM(C444)),
UPPER(TRIM(rEmisor))=""CUALQUIERA""
),
OR(
UPPER(TRIM(rTipo"&amp;"))=""SOLO EMISOR"",
AND(
UPPER(TRIM(rTipo))=""EXACTA"",
UPPER(TRIM(D444))=UPPER(TRIM(rPatron))
),
AND(
OR(
UPPER(TRIM(rTipo))=""CONTIENE"",
UPPER(TRIM(rTipo))=""COINCIDENCIA""
),
ISNUMBER(SEARCH(UPPER(TRIM(rPatron)),UPPER(TRIM(D444))))
)
)
),
rConcepto,
"&amp;"""""
)
)
)&lt;&gt;""""
),
1
),
""""
)"),"MANIOBRAS")</f>
        <v>MANIOBRAS</v>
      </c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</row>
    <row r="445">
      <c r="A445" s="32"/>
      <c r="B445" s="28" t="s">
        <v>29</v>
      </c>
      <c r="C445" s="29" t="s">
        <v>172</v>
      </c>
      <c r="D445" s="29" t="s">
        <v>1519</v>
      </c>
      <c r="E445" s="30">
        <v>11500.0</v>
      </c>
      <c r="F445" s="28">
        <v>0.0</v>
      </c>
      <c r="G445" s="28" t="s">
        <v>250</v>
      </c>
      <c r="H445" s="28">
        <f t="array" ref="H445">INDEX(CC!C:C,MATCH(1,(CC!A:A=G445)*(CC!B:B=I445),0))</f>
        <v>1402</v>
      </c>
      <c r="I445" s="28" t="s">
        <v>25</v>
      </c>
      <c r="J445" s="31">
        <v>11500.0</v>
      </c>
      <c r="K445" s="28" t="str">
        <f>IFERROR(__xludf.DUMMYFUNCTION("IFERROR(
INDEX(
FILTER(
MAP(
reglas!$B$2:$B$240,
reglas!$C$2:$C$240,
reglas!$D$2:$D$240,
reglas!$E$2:$E$240,
LAMBDA(rEmisor,rPatron,rConcepto,rTipo,
IF(
AND(
OR(
UPPER(TRIM(rEmisor))=UPPER(TRIM(C445)),
UPPER(TRIM(rEmisor))=""CUALQUIERA""
),
OR(
UPPER(TRIM"&amp;"(rTipo))=""SOLO EMISOR"",
AND(
UPPER(TRIM(rTipo))=""EXACTA"",
UPPER(TRIM(AG445))=UPPER(TRIM(rPatron))
),
AND(
OR(
UPPER(TRIM(rTipo))=""CONTIENE"",
UPPER(TRIM(rTipo))=""COINCIDENCIA""
),
ISNUMBER(SEARCH(UPPER(TRIM(rPatron)),UPPER(TRIM(D445))))
)
)
),
rConc"&amp;"epto,
""""
)
)
),
MAP(
reglas!$B$2:$B$240,
reglas!$C$2:$C$240,
reglas!$D$2:$D$240,
reglas!$E$2:$E$240,
LAMBDA(rEmisor,rPatron,rConcepto,rTipo,
IF(
AND(
OR(
UPPER(TRIM(rEmisor))=UPPER(TRIM(C445)),
UPPER(TRIM(rEmisor))=""CUALQUIERA""
),
OR(
UPPER(TRIM(rTipo"&amp;"))=""SOLO EMISOR"",
AND(
UPPER(TRIM(rTipo))=""EXACTA"",
UPPER(TRIM(D445))=UPPER(TRIM(rPatron))
),
AND(
OR(
UPPER(TRIM(rTipo))=""CONTIENE"",
UPPER(TRIM(rTipo))=""COINCIDENCIA""
),
ISNUMBER(SEARCH(UPPER(TRIM(rPatron)),UPPER(TRIM(D445))))
)
)
),
rConcepto,
"&amp;"""""
)
)
)&lt;&gt;""""
),
1
),
""""
)"),"TRANSPORTE")</f>
        <v>TRANSPORTE</v>
      </c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</row>
    <row r="446">
      <c r="A446" s="32"/>
      <c r="B446" s="28" t="s">
        <v>29</v>
      </c>
      <c r="C446" s="29" t="s">
        <v>235</v>
      </c>
      <c r="D446" s="29" t="s">
        <v>1597</v>
      </c>
      <c r="E446" s="28">
        <v>171.55</v>
      </c>
      <c r="F446" s="28">
        <v>0.0</v>
      </c>
      <c r="G446" s="28" t="s">
        <v>225</v>
      </c>
      <c r="H446" s="28">
        <f t="array" ref="H446">INDEX(CC!C:C,MATCH(1,(CC!A:A=G446)*(CC!B:B=I446),0))</f>
        <v>102</v>
      </c>
      <c r="I446" s="28" t="s">
        <v>25</v>
      </c>
      <c r="J446" s="31">
        <v>171.55</v>
      </c>
      <c r="K446" s="28" t="str">
        <f>IFERROR(__xludf.DUMMYFUNCTION("IFERROR(
INDEX(
FILTER(
MAP(
reglas!$B$2:$B$240,
reglas!$C$2:$C$240,
reglas!$D$2:$D$240,
reglas!$E$2:$E$240,
LAMBDA(rEmisor,rPatron,rConcepto,rTipo,
IF(
AND(
OR(
UPPER(TRIM(rEmisor))=UPPER(TRIM(C446)),
UPPER(TRIM(rEmisor))=""CUALQUIERA""
),
OR(
UPPER(TRIM"&amp;"(rTipo))=""SOLO EMISOR"",
AND(
UPPER(TRIM(rTipo))=""EXACTA"",
UPPER(TRIM(AG446))=UPPER(TRIM(rPatron))
),
AND(
OR(
UPPER(TRIM(rTipo))=""CONTIENE"",
UPPER(TRIM(rTipo))=""COINCIDENCIA""
),
ISNUMBER(SEARCH(UPPER(TRIM(rPatron)),UPPER(TRIM(D446))))
)
)
),
rConc"&amp;"epto,
""""
)
)
),
MAP(
reglas!$B$2:$B$240,
reglas!$C$2:$C$240,
reglas!$D$2:$D$240,
reglas!$E$2:$E$240,
LAMBDA(rEmisor,rPatron,rConcepto,rTipo,
IF(
AND(
OR(
UPPER(TRIM(rEmisor))=UPPER(TRIM(C446)),
UPPER(TRIM(rEmisor))=""CUALQUIERA""
),
OR(
UPPER(TRIM(rTipo"&amp;"))=""SOLO EMISOR"",
AND(
UPPER(TRIM(rTipo))=""EXACTA"",
UPPER(TRIM(D446))=UPPER(TRIM(rPatron))
),
AND(
OR(
UPPER(TRIM(rTipo))=""CONTIENE"",
UPPER(TRIM(rTipo))=""COINCIDENCIA""
),
ISNUMBER(SEARCH(UPPER(TRIM(rPatron)),UPPER(TRIM(D446))))
)
)
),
rConcepto,
"&amp;"""""
)
)
)&lt;&gt;""""
),
1
),
""""
)"),"PAPELERIA")</f>
        <v>PAPELERIA</v>
      </c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</row>
    <row r="447">
      <c r="A447" s="32"/>
      <c r="B447" s="32"/>
      <c r="C447" s="29" t="s">
        <v>235</v>
      </c>
      <c r="D447" s="29" t="s">
        <v>1598</v>
      </c>
      <c r="E447" s="28">
        <v>59.48</v>
      </c>
      <c r="F447" s="28">
        <v>0.0</v>
      </c>
      <c r="G447" s="28" t="s">
        <v>225</v>
      </c>
      <c r="H447" s="28">
        <f t="array" ref="H447">INDEX(CC!C:C,MATCH(1,(CC!A:A=G447)*(CC!B:B=I447),0))</f>
        <v>102</v>
      </c>
      <c r="I447" s="28" t="s">
        <v>25</v>
      </c>
      <c r="J447" s="31">
        <v>59.48</v>
      </c>
      <c r="K447" s="28" t="str">
        <f>IFERROR(__xludf.DUMMYFUNCTION("IFERROR(
INDEX(
FILTER(
MAP(
reglas!$B$2:$B$240,
reglas!$C$2:$C$240,
reglas!$D$2:$D$240,
reglas!$E$2:$E$240,
LAMBDA(rEmisor,rPatron,rConcepto,rTipo,
IF(
AND(
OR(
UPPER(TRIM(rEmisor))=UPPER(TRIM(C447)),
UPPER(TRIM(rEmisor))=""CUALQUIERA""
),
OR(
UPPER(TRIM"&amp;"(rTipo))=""SOLO EMISOR"",
AND(
UPPER(TRIM(rTipo))=""EXACTA"",
UPPER(TRIM(AG447))=UPPER(TRIM(rPatron))
),
AND(
OR(
UPPER(TRIM(rTipo))=""CONTIENE"",
UPPER(TRIM(rTipo))=""COINCIDENCIA""
),
ISNUMBER(SEARCH(UPPER(TRIM(rPatron)),UPPER(TRIM(D447))))
)
)
),
rConc"&amp;"epto,
""""
)
)
),
MAP(
reglas!$B$2:$B$240,
reglas!$C$2:$C$240,
reglas!$D$2:$D$240,
reglas!$E$2:$E$240,
LAMBDA(rEmisor,rPatron,rConcepto,rTipo,
IF(
AND(
OR(
UPPER(TRIM(rEmisor))=UPPER(TRIM(C447)),
UPPER(TRIM(rEmisor))=""CUALQUIERA""
),
OR(
UPPER(TRIM(rTipo"&amp;"))=""SOLO EMISOR"",
AND(
UPPER(TRIM(rTipo))=""EXACTA"",
UPPER(TRIM(D447))=UPPER(TRIM(rPatron))
),
AND(
OR(
UPPER(TRIM(rTipo))=""CONTIENE"",
UPPER(TRIM(rTipo))=""COINCIDENCIA""
),
ISNUMBER(SEARCH(UPPER(TRIM(rPatron)),UPPER(TRIM(D447))))
)
)
),
rConcepto,
"&amp;"""""
)
)
)&lt;&gt;""""
),
1
),
""""
)"),"PAPELERIA")</f>
        <v>PAPELERIA</v>
      </c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</row>
    <row r="448">
      <c r="A448" s="28">
        <v>1.0</v>
      </c>
      <c r="B448" s="28" t="s">
        <v>29</v>
      </c>
      <c r="C448" s="29" t="s">
        <v>466</v>
      </c>
      <c r="D448" s="29" t="s">
        <v>1053</v>
      </c>
      <c r="E448" s="30">
        <v>3000.0</v>
      </c>
      <c r="F448" s="28">
        <v>0.0</v>
      </c>
      <c r="G448" s="28" t="s">
        <v>551</v>
      </c>
      <c r="H448" s="28">
        <f t="array" ref="H448">INDEX(CC!C:C,MATCH(1,(CC!A:A=G448)*(CC!B:B=I448),0))</f>
        <v>1203</v>
      </c>
      <c r="I448" s="28" t="s">
        <v>44</v>
      </c>
      <c r="J448" s="31">
        <v>3000.0</v>
      </c>
      <c r="K448" s="28" t="str">
        <f>IFERROR(__xludf.DUMMYFUNCTION("IFERROR(
INDEX(
FILTER(
MAP(
reglas!$B$2:$B$240,
reglas!$C$2:$C$240,
reglas!$D$2:$D$240,
reglas!$E$2:$E$240,
LAMBDA(rEmisor,rPatron,rConcepto,rTipo,
IF(
AND(
OR(
UPPER(TRIM(rEmisor))=UPPER(TRIM(C448)),
UPPER(TRIM(rEmisor))=""CUALQUIERA""
),
OR(
UPPER(TRIM"&amp;"(rTipo))=""SOLO EMISOR"",
AND(
UPPER(TRIM(rTipo))=""EXACTA"",
UPPER(TRIM(AG448))=UPPER(TRIM(rPatron))
),
AND(
OR(
UPPER(TRIM(rTipo))=""CONTIENE"",
UPPER(TRIM(rTipo))=""COINCIDENCIA""
),
ISNUMBER(SEARCH(UPPER(TRIM(rPatron)),UPPER(TRIM(D448))))
)
)
),
rConc"&amp;"epto,
""""
)
)
),
MAP(
reglas!$B$2:$B$240,
reglas!$C$2:$C$240,
reglas!$D$2:$D$240,
reglas!$E$2:$E$240,
LAMBDA(rEmisor,rPatron,rConcepto,rTipo,
IF(
AND(
OR(
UPPER(TRIM(rEmisor))=UPPER(TRIM(C448)),
UPPER(TRIM(rEmisor))=""CUALQUIERA""
),
OR(
UPPER(TRIM(rTipo"&amp;"))=""SOLO EMISOR"",
AND(
UPPER(TRIM(rTipo))=""EXACTA"",
UPPER(TRIM(D448))=UPPER(TRIM(rPatron))
),
AND(
OR(
UPPER(TRIM(rTipo))=""CONTIENE"",
UPPER(TRIM(rTipo))=""COINCIDENCIA""
),
ISNUMBER(SEARCH(UPPER(TRIM(rPatron)),UPPER(TRIM(D448))))
)
)
),
rConcepto,
"&amp;"""""
)
)
)&lt;&gt;""""
),
1
),
""""
)"),"MANIOBRAS")</f>
        <v>MANIOBRAS</v>
      </c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</row>
    <row r="449">
      <c r="A449" s="28">
        <v>1.0</v>
      </c>
      <c r="B449" s="28" t="s">
        <v>29</v>
      </c>
      <c r="C449" s="29" t="s">
        <v>462</v>
      </c>
      <c r="D449" s="29" t="s">
        <v>1599</v>
      </c>
      <c r="E449" s="28">
        <v>163.79</v>
      </c>
      <c r="F449" s="28">
        <v>0.0</v>
      </c>
      <c r="G449" s="28" t="s">
        <v>395</v>
      </c>
      <c r="H449" s="28">
        <f t="array" ref="H449">INDEX(CC!C:C,MATCH(1,(CC!A:A=G449)*(CC!B:B=I449),0))</f>
        <v>1103</v>
      </c>
      <c r="I449" s="28" t="s">
        <v>44</v>
      </c>
      <c r="J449" s="31">
        <v>163.79</v>
      </c>
      <c r="K449" s="28" t="str">
        <f>IFERROR(__xludf.DUMMYFUNCTION("IFERROR(
INDEX(
FILTER(
MAP(
reglas!$B$2:$B$240,
reglas!$C$2:$C$240,
reglas!$D$2:$D$240,
reglas!$E$2:$E$240,
LAMBDA(rEmisor,rPatron,rConcepto,rTipo,
IF(
AND(
OR(
UPPER(TRIM(rEmisor))=UPPER(TRIM(C449)),
UPPER(TRIM(rEmisor))=""CUALQUIERA""
),
OR(
UPPER(TRIM"&amp;"(rTipo))=""SOLO EMISOR"",
AND(
UPPER(TRIM(rTipo))=""EXACTA"",
UPPER(TRIM(AG449))=UPPER(TRIM(rPatron))
),
AND(
OR(
UPPER(TRIM(rTipo))=""CONTIENE"",
UPPER(TRIM(rTipo))=""COINCIDENCIA""
),
ISNUMBER(SEARCH(UPPER(TRIM(rPatron)),UPPER(TRIM(D449))))
)
)
),
rConc"&amp;"epto,
""""
)
)
),
MAP(
reglas!$B$2:$B$240,
reglas!$C$2:$C$240,
reglas!$D$2:$D$240,
reglas!$E$2:$E$240,
LAMBDA(rEmisor,rPatron,rConcepto,rTipo,
IF(
AND(
OR(
UPPER(TRIM(rEmisor))=UPPER(TRIM(C449)),
UPPER(TRIM(rEmisor))=""CUALQUIERA""
),
OR(
UPPER(TRIM(rTipo"&amp;"))=""SOLO EMISOR"",
AND(
UPPER(TRIM(rTipo))=""EXACTA"",
UPPER(TRIM(D449))=UPPER(TRIM(rPatron))
),
AND(
OR(
UPPER(TRIM(rTipo))=""CONTIENE"",
UPPER(TRIM(rTipo))=""COINCIDENCIA""
),
ISNUMBER(SEARCH(UPPER(TRIM(rPatron)),UPPER(TRIM(D449))))
)
)
),
rConcepto,
"&amp;"""""
)
)
)&lt;&gt;""""
),
1
),
""""
)"),"MANIOBRAS")</f>
        <v>MANIOBRAS</v>
      </c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</row>
    <row r="450">
      <c r="A450" s="32"/>
      <c r="B450" s="32"/>
      <c r="C450" s="29" t="s">
        <v>462</v>
      </c>
      <c r="D450" s="29" t="s">
        <v>1600</v>
      </c>
      <c r="E450" s="28">
        <v>500.0</v>
      </c>
      <c r="F450" s="28">
        <v>0.0</v>
      </c>
      <c r="G450" s="28" t="s">
        <v>395</v>
      </c>
      <c r="H450" s="28">
        <f t="array" ref="H450">INDEX(CC!C:C,MATCH(1,(CC!A:A=G450)*(CC!B:B=I450),0))</f>
        <v>1103</v>
      </c>
      <c r="I450" s="28" t="s">
        <v>44</v>
      </c>
      <c r="J450" s="31">
        <v>500.0</v>
      </c>
      <c r="K450" s="28" t="str">
        <f>IFERROR(__xludf.DUMMYFUNCTION("IFERROR(
INDEX(
FILTER(
MAP(
reglas!$B$2:$B$240,
reglas!$C$2:$C$240,
reglas!$D$2:$D$240,
reglas!$E$2:$E$240,
LAMBDA(rEmisor,rPatron,rConcepto,rTipo,
IF(
AND(
OR(
UPPER(TRIM(rEmisor))=UPPER(TRIM(C450)),
UPPER(TRIM(rEmisor))=""CUALQUIERA""
),
OR(
UPPER(TRIM"&amp;"(rTipo))=""SOLO EMISOR"",
AND(
UPPER(TRIM(rTipo))=""EXACTA"",
UPPER(TRIM(AG450))=UPPER(TRIM(rPatron))
),
AND(
OR(
UPPER(TRIM(rTipo))=""CONTIENE"",
UPPER(TRIM(rTipo))=""COINCIDENCIA""
),
ISNUMBER(SEARCH(UPPER(TRIM(rPatron)),UPPER(TRIM(D450))))
)
)
),
rConc"&amp;"epto,
""""
)
)
),
MAP(
reglas!$B$2:$B$240,
reglas!$C$2:$C$240,
reglas!$D$2:$D$240,
reglas!$E$2:$E$240,
LAMBDA(rEmisor,rPatron,rConcepto,rTipo,
IF(
AND(
OR(
UPPER(TRIM(rEmisor))=UPPER(TRIM(C450)),
UPPER(TRIM(rEmisor))=""CUALQUIERA""
),
OR(
UPPER(TRIM(rTipo"&amp;"))=""SOLO EMISOR"",
AND(
UPPER(TRIM(rTipo))=""EXACTA"",
UPPER(TRIM(D450))=UPPER(TRIM(rPatron))
),
AND(
OR(
UPPER(TRIM(rTipo))=""CONTIENE"",
UPPER(TRIM(rTipo))=""COINCIDENCIA""
),
ISNUMBER(SEARCH(UPPER(TRIM(rPatron)),UPPER(TRIM(D450))))
)
)
),
rConcepto,
"&amp;"""""
)
)
)&lt;&gt;""""
),
1
),
""""
)"),"MANIOBRAS")</f>
        <v>MANIOBRAS</v>
      </c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</row>
    <row r="451">
      <c r="A451" s="32"/>
      <c r="B451" s="32"/>
      <c r="C451" s="29" t="s">
        <v>462</v>
      </c>
      <c r="D451" s="29" t="s">
        <v>1601</v>
      </c>
      <c r="E451" s="30">
        <v>3011.0</v>
      </c>
      <c r="F451" s="28">
        <v>0.0</v>
      </c>
      <c r="G451" s="28" t="s">
        <v>395</v>
      </c>
      <c r="H451" s="28">
        <f t="array" ref="H451">INDEX(CC!C:C,MATCH(1,(CC!A:A=G451)*(CC!B:B=I451),0))</f>
        <v>1103</v>
      </c>
      <c r="I451" s="28" t="s">
        <v>44</v>
      </c>
      <c r="J451" s="31">
        <v>3011.0</v>
      </c>
      <c r="K451" s="28" t="str">
        <f>IFERROR(__xludf.DUMMYFUNCTION("IFERROR(
INDEX(
FILTER(
MAP(
reglas!$B$2:$B$240,
reglas!$C$2:$C$240,
reglas!$D$2:$D$240,
reglas!$E$2:$E$240,
LAMBDA(rEmisor,rPatron,rConcepto,rTipo,
IF(
AND(
OR(
UPPER(TRIM(rEmisor))=UPPER(TRIM(C451)),
UPPER(TRIM(rEmisor))=""CUALQUIERA""
),
OR(
UPPER(TRIM"&amp;"(rTipo))=""SOLO EMISOR"",
AND(
UPPER(TRIM(rTipo))=""EXACTA"",
UPPER(TRIM(AG451))=UPPER(TRIM(rPatron))
),
AND(
OR(
UPPER(TRIM(rTipo))=""CONTIENE"",
UPPER(TRIM(rTipo))=""COINCIDENCIA""
),
ISNUMBER(SEARCH(UPPER(TRIM(rPatron)),UPPER(TRIM(D451))))
)
)
),
rConc"&amp;"epto,
""""
)
)
),
MAP(
reglas!$B$2:$B$240,
reglas!$C$2:$C$240,
reglas!$D$2:$D$240,
reglas!$E$2:$E$240,
LAMBDA(rEmisor,rPatron,rConcepto,rTipo,
IF(
AND(
OR(
UPPER(TRIM(rEmisor))=UPPER(TRIM(C451)),
UPPER(TRIM(rEmisor))=""CUALQUIERA""
),
OR(
UPPER(TRIM(rTipo"&amp;"))=""SOLO EMISOR"",
AND(
UPPER(TRIM(rTipo))=""EXACTA"",
UPPER(TRIM(D451))=UPPER(TRIM(rPatron))
),
AND(
OR(
UPPER(TRIM(rTipo))=""CONTIENE"",
UPPER(TRIM(rTipo))=""COINCIDENCIA""
),
ISNUMBER(SEARCH(UPPER(TRIM(rPatron)),UPPER(TRIM(D451))))
)
)
),
rConcepto,
"&amp;"""""
)
)
)&lt;&gt;""""
),
1
),
""""
)"),"MANIOBRAS")</f>
        <v>MANIOBRAS</v>
      </c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</row>
    <row r="452">
      <c r="A452" s="32"/>
      <c r="B452" s="32"/>
      <c r="C452" s="29" t="s">
        <v>462</v>
      </c>
      <c r="D452" s="29" t="s">
        <v>1602</v>
      </c>
      <c r="E452" s="28">
        <v>232.0</v>
      </c>
      <c r="F452" s="28">
        <v>0.0</v>
      </c>
      <c r="G452" s="28" t="s">
        <v>395</v>
      </c>
      <c r="H452" s="28">
        <f t="array" ref="H452">INDEX(CC!C:C,MATCH(1,(CC!A:A=G452)*(CC!B:B=I452),0))</f>
        <v>1103</v>
      </c>
      <c r="I452" s="28" t="s">
        <v>44</v>
      </c>
      <c r="J452" s="31">
        <v>232.0</v>
      </c>
      <c r="K452" s="28" t="str">
        <f>IFERROR(__xludf.DUMMYFUNCTION("IFERROR(
INDEX(
FILTER(
MAP(
reglas!$B$2:$B$240,
reglas!$C$2:$C$240,
reglas!$D$2:$D$240,
reglas!$E$2:$E$240,
LAMBDA(rEmisor,rPatron,rConcepto,rTipo,
IF(
AND(
OR(
UPPER(TRIM(rEmisor))=UPPER(TRIM(C452)),
UPPER(TRIM(rEmisor))=""CUALQUIERA""
),
OR(
UPPER(TRIM"&amp;"(rTipo))=""SOLO EMISOR"",
AND(
UPPER(TRIM(rTipo))=""EXACTA"",
UPPER(TRIM(AG452))=UPPER(TRIM(rPatron))
),
AND(
OR(
UPPER(TRIM(rTipo))=""CONTIENE"",
UPPER(TRIM(rTipo))=""COINCIDENCIA""
),
ISNUMBER(SEARCH(UPPER(TRIM(rPatron)),UPPER(TRIM(D452))))
)
)
),
rConc"&amp;"epto,
""""
)
)
),
MAP(
reglas!$B$2:$B$240,
reglas!$C$2:$C$240,
reglas!$D$2:$D$240,
reglas!$E$2:$E$240,
LAMBDA(rEmisor,rPatron,rConcepto,rTipo,
IF(
AND(
OR(
UPPER(TRIM(rEmisor))=UPPER(TRIM(C452)),
UPPER(TRIM(rEmisor))=""CUALQUIERA""
),
OR(
UPPER(TRIM(rTipo"&amp;"))=""SOLO EMISOR"",
AND(
UPPER(TRIM(rTipo))=""EXACTA"",
UPPER(TRIM(D452))=UPPER(TRIM(rPatron))
),
AND(
OR(
UPPER(TRIM(rTipo))=""CONTIENE"",
UPPER(TRIM(rTipo))=""COINCIDENCIA""
),
ISNUMBER(SEARCH(UPPER(TRIM(rPatron)),UPPER(TRIM(D452))))
)
)
),
rConcepto,
"&amp;"""""
)
)
)&lt;&gt;""""
),
1
),
""""
)"),"MANIOBRAS")</f>
        <v>MANIOBRAS</v>
      </c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</row>
    <row r="453">
      <c r="A453" s="32"/>
      <c r="B453" s="32"/>
      <c r="C453" s="29" t="s">
        <v>462</v>
      </c>
      <c r="D453" s="29" t="s">
        <v>1603</v>
      </c>
      <c r="E453" s="30">
        <v>3971.0</v>
      </c>
      <c r="F453" s="28">
        <v>0.0</v>
      </c>
      <c r="G453" s="28" t="s">
        <v>395</v>
      </c>
      <c r="H453" s="28">
        <f t="array" ref="H453">INDEX(CC!C:C,MATCH(1,(CC!A:A=G453)*(CC!B:B=I453),0))</f>
        <v>1103</v>
      </c>
      <c r="I453" s="28" t="s">
        <v>44</v>
      </c>
      <c r="J453" s="31">
        <v>3971.0</v>
      </c>
      <c r="K453" s="28" t="str">
        <f>IFERROR(__xludf.DUMMYFUNCTION("IFERROR(
INDEX(
FILTER(
MAP(
reglas!$B$2:$B$240,
reglas!$C$2:$C$240,
reglas!$D$2:$D$240,
reglas!$E$2:$E$240,
LAMBDA(rEmisor,rPatron,rConcepto,rTipo,
IF(
AND(
OR(
UPPER(TRIM(rEmisor))=UPPER(TRIM(C453)),
UPPER(TRIM(rEmisor))=""CUALQUIERA""
),
OR(
UPPER(TRIM"&amp;"(rTipo))=""SOLO EMISOR"",
AND(
UPPER(TRIM(rTipo))=""EXACTA"",
UPPER(TRIM(AG453))=UPPER(TRIM(rPatron))
),
AND(
OR(
UPPER(TRIM(rTipo))=""CONTIENE"",
UPPER(TRIM(rTipo))=""COINCIDENCIA""
),
ISNUMBER(SEARCH(UPPER(TRIM(rPatron)),UPPER(TRIM(D453))))
)
)
),
rConc"&amp;"epto,
""""
)
)
),
MAP(
reglas!$B$2:$B$240,
reglas!$C$2:$C$240,
reglas!$D$2:$D$240,
reglas!$E$2:$E$240,
LAMBDA(rEmisor,rPatron,rConcepto,rTipo,
IF(
AND(
OR(
UPPER(TRIM(rEmisor))=UPPER(TRIM(C453)),
UPPER(TRIM(rEmisor))=""CUALQUIERA""
),
OR(
UPPER(TRIM(rTipo"&amp;"))=""SOLO EMISOR"",
AND(
UPPER(TRIM(rTipo))=""EXACTA"",
UPPER(TRIM(D453))=UPPER(TRIM(rPatron))
),
AND(
OR(
UPPER(TRIM(rTipo))=""CONTIENE"",
UPPER(TRIM(rTipo))=""COINCIDENCIA""
),
ISNUMBER(SEARCH(UPPER(TRIM(rPatron)),UPPER(TRIM(D453))))
)
)
),
rConcepto,
"&amp;"""""
)
)
)&lt;&gt;""""
),
1
),
""""
)"),"MANIOBRAS")</f>
        <v>MANIOBRAS</v>
      </c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</row>
    <row r="454">
      <c r="A454" s="32"/>
      <c r="B454" s="32"/>
      <c r="C454" s="29" t="s">
        <v>462</v>
      </c>
      <c r="D454" s="29" t="s">
        <v>1604</v>
      </c>
      <c r="E454" s="28">
        <v>163.79</v>
      </c>
      <c r="F454" s="28">
        <v>0.0</v>
      </c>
      <c r="G454" s="28" t="s">
        <v>395</v>
      </c>
      <c r="H454" s="28">
        <f t="array" ref="H454">INDEX(CC!C:C,MATCH(1,(CC!A:A=G454)*(CC!B:B=I454),0))</f>
        <v>1103</v>
      </c>
      <c r="I454" s="28" t="s">
        <v>44</v>
      </c>
      <c r="J454" s="31">
        <v>163.79</v>
      </c>
      <c r="K454" s="28" t="str">
        <f>IFERROR(__xludf.DUMMYFUNCTION("IFERROR(
INDEX(
FILTER(
MAP(
reglas!$B$2:$B$240,
reglas!$C$2:$C$240,
reglas!$D$2:$D$240,
reglas!$E$2:$E$240,
LAMBDA(rEmisor,rPatron,rConcepto,rTipo,
IF(
AND(
OR(
UPPER(TRIM(rEmisor))=UPPER(TRIM(C454)),
UPPER(TRIM(rEmisor))=""CUALQUIERA""
),
OR(
UPPER(TRIM"&amp;"(rTipo))=""SOLO EMISOR"",
AND(
UPPER(TRIM(rTipo))=""EXACTA"",
UPPER(TRIM(AG454))=UPPER(TRIM(rPatron))
),
AND(
OR(
UPPER(TRIM(rTipo))=""CONTIENE"",
UPPER(TRIM(rTipo))=""COINCIDENCIA""
),
ISNUMBER(SEARCH(UPPER(TRIM(rPatron)),UPPER(TRIM(D454))))
)
)
),
rConc"&amp;"epto,
""""
)
)
),
MAP(
reglas!$B$2:$B$240,
reglas!$C$2:$C$240,
reglas!$D$2:$D$240,
reglas!$E$2:$E$240,
LAMBDA(rEmisor,rPatron,rConcepto,rTipo,
IF(
AND(
OR(
UPPER(TRIM(rEmisor))=UPPER(TRIM(C454)),
UPPER(TRIM(rEmisor))=""CUALQUIERA""
),
OR(
UPPER(TRIM(rTipo"&amp;"))=""SOLO EMISOR"",
AND(
UPPER(TRIM(rTipo))=""EXACTA"",
UPPER(TRIM(D454))=UPPER(TRIM(rPatron))
),
AND(
OR(
UPPER(TRIM(rTipo))=""CONTIENE"",
UPPER(TRIM(rTipo))=""COINCIDENCIA""
),
ISNUMBER(SEARCH(UPPER(TRIM(rPatron)),UPPER(TRIM(D454))))
)
)
),
rConcepto,
"&amp;"""""
)
)
)&lt;&gt;""""
),
1
),
""""
)"),"MANIOBRAS")</f>
        <v>MANIOBRAS</v>
      </c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</row>
    <row r="455">
      <c r="A455" s="32"/>
      <c r="B455" s="32"/>
      <c r="C455" s="29" t="s">
        <v>462</v>
      </c>
      <c r="D455" s="29" t="s">
        <v>1605</v>
      </c>
      <c r="E455" s="28">
        <v>500.0</v>
      </c>
      <c r="F455" s="28">
        <v>0.0</v>
      </c>
      <c r="G455" s="28" t="s">
        <v>395</v>
      </c>
      <c r="H455" s="28">
        <f t="array" ref="H455">INDEX(CC!C:C,MATCH(1,(CC!A:A=G455)*(CC!B:B=I455),0))</f>
        <v>1103</v>
      </c>
      <c r="I455" s="28" t="s">
        <v>44</v>
      </c>
      <c r="J455" s="31">
        <v>500.0</v>
      </c>
      <c r="K455" s="28" t="str">
        <f>IFERROR(__xludf.DUMMYFUNCTION("IFERROR(
INDEX(
FILTER(
MAP(
reglas!$B$2:$B$240,
reglas!$C$2:$C$240,
reglas!$D$2:$D$240,
reglas!$E$2:$E$240,
LAMBDA(rEmisor,rPatron,rConcepto,rTipo,
IF(
AND(
OR(
UPPER(TRIM(rEmisor))=UPPER(TRIM(C455)),
UPPER(TRIM(rEmisor))=""CUALQUIERA""
),
OR(
UPPER(TRIM"&amp;"(rTipo))=""SOLO EMISOR"",
AND(
UPPER(TRIM(rTipo))=""EXACTA"",
UPPER(TRIM(AG455))=UPPER(TRIM(rPatron))
),
AND(
OR(
UPPER(TRIM(rTipo))=""CONTIENE"",
UPPER(TRIM(rTipo))=""COINCIDENCIA""
),
ISNUMBER(SEARCH(UPPER(TRIM(rPatron)),UPPER(TRIM(D455))))
)
)
),
rConc"&amp;"epto,
""""
)
)
),
MAP(
reglas!$B$2:$B$240,
reglas!$C$2:$C$240,
reglas!$D$2:$D$240,
reglas!$E$2:$E$240,
LAMBDA(rEmisor,rPatron,rConcepto,rTipo,
IF(
AND(
OR(
UPPER(TRIM(rEmisor))=UPPER(TRIM(C455)),
UPPER(TRIM(rEmisor))=""CUALQUIERA""
),
OR(
UPPER(TRIM(rTipo"&amp;"))=""SOLO EMISOR"",
AND(
UPPER(TRIM(rTipo))=""EXACTA"",
UPPER(TRIM(D455))=UPPER(TRIM(rPatron))
),
AND(
OR(
UPPER(TRIM(rTipo))=""CONTIENE"",
UPPER(TRIM(rTipo))=""COINCIDENCIA""
),
ISNUMBER(SEARCH(UPPER(TRIM(rPatron)),UPPER(TRIM(D455))))
)
)
),
rConcepto,
"&amp;"""""
)
)
)&lt;&gt;""""
),
1
),
""""
)"),"MANIOBRAS")</f>
        <v>MANIOBRAS</v>
      </c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</row>
    <row r="456">
      <c r="A456" s="32"/>
      <c r="B456" s="32"/>
      <c r="C456" s="29" t="s">
        <v>462</v>
      </c>
      <c r="D456" s="29" t="s">
        <v>1606</v>
      </c>
      <c r="E456" s="30">
        <v>3011.0</v>
      </c>
      <c r="F456" s="28">
        <v>0.0</v>
      </c>
      <c r="G456" s="28" t="s">
        <v>395</v>
      </c>
      <c r="H456" s="28">
        <f t="array" ref="H456">INDEX(CC!C:C,MATCH(1,(CC!A:A=G456)*(CC!B:B=I456),0))</f>
        <v>1103</v>
      </c>
      <c r="I456" s="28" t="s">
        <v>44</v>
      </c>
      <c r="J456" s="31">
        <v>3011.0</v>
      </c>
      <c r="K456" s="28" t="str">
        <f>IFERROR(__xludf.DUMMYFUNCTION("IFERROR(
INDEX(
FILTER(
MAP(
reglas!$B$2:$B$240,
reglas!$C$2:$C$240,
reglas!$D$2:$D$240,
reglas!$E$2:$E$240,
LAMBDA(rEmisor,rPatron,rConcepto,rTipo,
IF(
AND(
OR(
UPPER(TRIM(rEmisor))=UPPER(TRIM(C456)),
UPPER(TRIM(rEmisor))=""CUALQUIERA""
),
OR(
UPPER(TRIM"&amp;"(rTipo))=""SOLO EMISOR"",
AND(
UPPER(TRIM(rTipo))=""EXACTA"",
UPPER(TRIM(AG456))=UPPER(TRIM(rPatron))
),
AND(
OR(
UPPER(TRIM(rTipo))=""CONTIENE"",
UPPER(TRIM(rTipo))=""COINCIDENCIA""
),
ISNUMBER(SEARCH(UPPER(TRIM(rPatron)),UPPER(TRIM(D456))))
)
)
),
rConc"&amp;"epto,
""""
)
)
),
MAP(
reglas!$B$2:$B$240,
reglas!$C$2:$C$240,
reglas!$D$2:$D$240,
reglas!$E$2:$E$240,
LAMBDA(rEmisor,rPatron,rConcepto,rTipo,
IF(
AND(
OR(
UPPER(TRIM(rEmisor))=UPPER(TRIM(C456)),
UPPER(TRIM(rEmisor))=""CUALQUIERA""
),
OR(
UPPER(TRIM(rTipo"&amp;"))=""SOLO EMISOR"",
AND(
UPPER(TRIM(rTipo))=""EXACTA"",
UPPER(TRIM(D456))=UPPER(TRIM(rPatron))
),
AND(
OR(
UPPER(TRIM(rTipo))=""CONTIENE"",
UPPER(TRIM(rTipo))=""COINCIDENCIA""
),
ISNUMBER(SEARCH(UPPER(TRIM(rPatron)),UPPER(TRIM(D456))))
)
)
),
rConcepto,
"&amp;"""""
)
)
)&lt;&gt;""""
),
1
),
""""
)"),"MANIOBRAS")</f>
        <v>MANIOBRAS</v>
      </c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</row>
    <row r="457">
      <c r="A457" s="32"/>
      <c r="B457" s="32"/>
      <c r="C457" s="29" t="s">
        <v>462</v>
      </c>
      <c r="D457" s="29" t="s">
        <v>1607</v>
      </c>
      <c r="E457" s="28">
        <v>232.0</v>
      </c>
      <c r="F457" s="28">
        <v>0.0</v>
      </c>
      <c r="G457" s="28" t="s">
        <v>395</v>
      </c>
      <c r="H457" s="28">
        <f t="array" ref="H457">INDEX(CC!C:C,MATCH(1,(CC!A:A=G457)*(CC!B:B=I457),0))</f>
        <v>1103</v>
      </c>
      <c r="I457" s="28" t="s">
        <v>44</v>
      </c>
      <c r="J457" s="31">
        <v>232.0</v>
      </c>
      <c r="K457" s="28" t="str">
        <f>IFERROR(__xludf.DUMMYFUNCTION("IFERROR(
INDEX(
FILTER(
MAP(
reglas!$B$2:$B$240,
reglas!$C$2:$C$240,
reglas!$D$2:$D$240,
reglas!$E$2:$E$240,
LAMBDA(rEmisor,rPatron,rConcepto,rTipo,
IF(
AND(
OR(
UPPER(TRIM(rEmisor))=UPPER(TRIM(C457)),
UPPER(TRIM(rEmisor))=""CUALQUIERA""
),
OR(
UPPER(TRIM"&amp;"(rTipo))=""SOLO EMISOR"",
AND(
UPPER(TRIM(rTipo))=""EXACTA"",
UPPER(TRIM(AG457))=UPPER(TRIM(rPatron))
),
AND(
OR(
UPPER(TRIM(rTipo))=""CONTIENE"",
UPPER(TRIM(rTipo))=""COINCIDENCIA""
),
ISNUMBER(SEARCH(UPPER(TRIM(rPatron)),UPPER(TRIM(D457))))
)
)
),
rConc"&amp;"epto,
""""
)
)
),
MAP(
reglas!$B$2:$B$240,
reglas!$C$2:$C$240,
reglas!$D$2:$D$240,
reglas!$E$2:$E$240,
LAMBDA(rEmisor,rPatron,rConcepto,rTipo,
IF(
AND(
OR(
UPPER(TRIM(rEmisor))=UPPER(TRIM(C457)),
UPPER(TRIM(rEmisor))=""CUALQUIERA""
),
OR(
UPPER(TRIM(rTipo"&amp;"))=""SOLO EMISOR"",
AND(
UPPER(TRIM(rTipo))=""EXACTA"",
UPPER(TRIM(D457))=UPPER(TRIM(rPatron))
),
AND(
OR(
UPPER(TRIM(rTipo))=""CONTIENE"",
UPPER(TRIM(rTipo))=""COINCIDENCIA""
),
ISNUMBER(SEARCH(UPPER(TRIM(rPatron)),UPPER(TRIM(D457))))
)
)
),
rConcepto,
"&amp;"""""
)
)
)&lt;&gt;""""
),
1
),
""""
)"),"MANIOBRAS")</f>
        <v>MANIOBRAS</v>
      </c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</row>
    <row r="458">
      <c r="A458" s="32"/>
      <c r="B458" s="32"/>
      <c r="C458" s="29" t="s">
        <v>462</v>
      </c>
      <c r="D458" s="29" t="s">
        <v>1608</v>
      </c>
      <c r="E458" s="30">
        <v>3971.0</v>
      </c>
      <c r="F458" s="28">
        <v>0.0</v>
      </c>
      <c r="G458" s="28" t="s">
        <v>395</v>
      </c>
      <c r="H458" s="28">
        <f t="array" ref="H458">INDEX(CC!C:C,MATCH(1,(CC!A:A=G458)*(CC!B:B=I458),0))</f>
        <v>1103</v>
      </c>
      <c r="I458" s="28" t="s">
        <v>44</v>
      </c>
      <c r="J458" s="31">
        <v>3971.0</v>
      </c>
      <c r="K458" s="28" t="str">
        <f>IFERROR(__xludf.DUMMYFUNCTION("IFERROR(
INDEX(
FILTER(
MAP(
reglas!$B$2:$B$240,
reglas!$C$2:$C$240,
reglas!$D$2:$D$240,
reglas!$E$2:$E$240,
LAMBDA(rEmisor,rPatron,rConcepto,rTipo,
IF(
AND(
OR(
UPPER(TRIM(rEmisor))=UPPER(TRIM(C458)),
UPPER(TRIM(rEmisor))=""CUALQUIERA""
),
OR(
UPPER(TRIM"&amp;"(rTipo))=""SOLO EMISOR"",
AND(
UPPER(TRIM(rTipo))=""EXACTA"",
UPPER(TRIM(AG458))=UPPER(TRIM(rPatron))
),
AND(
OR(
UPPER(TRIM(rTipo))=""CONTIENE"",
UPPER(TRIM(rTipo))=""COINCIDENCIA""
),
ISNUMBER(SEARCH(UPPER(TRIM(rPatron)),UPPER(TRIM(D458))))
)
)
),
rConc"&amp;"epto,
""""
)
)
),
MAP(
reglas!$B$2:$B$240,
reglas!$C$2:$C$240,
reglas!$D$2:$D$240,
reglas!$E$2:$E$240,
LAMBDA(rEmisor,rPatron,rConcepto,rTipo,
IF(
AND(
OR(
UPPER(TRIM(rEmisor))=UPPER(TRIM(C458)),
UPPER(TRIM(rEmisor))=""CUALQUIERA""
),
OR(
UPPER(TRIM(rTipo"&amp;"))=""SOLO EMISOR"",
AND(
UPPER(TRIM(rTipo))=""EXACTA"",
UPPER(TRIM(D458))=UPPER(TRIM(rPatron))
),
AND(
OR(
UPPER(TRIM(rTipo))=""CONTIENE"",
UPPER(TRIM(rTipo))=""COINCIDENCIA""
),
ISNUMBER(SEARCH(UPPER(TRIM(rPatron)),UPPER(TRIM(D458))))
)
)
),
rConcepto,
"&amp;"""""
)
)
)&lt;&gt;""""
),
1
),
""""
)"),"MANIOBRAS")</f>
        <v>MANIOBRAS</v>
      </c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</row>
    <row r="459">
      <c r="A459" s="32"/>
      <c r="B459" s="28" t="s">
        <v>29</v>
      </c>
      <c r="C459" s="29" t="s">
        <v>278</v>
      </c>
      <c r="D459" s="29" t="s">
        <v>560</v>
      </c>
      <c r="E459" s="30">
        <v>3500.0</v>
      </c>
      <c r="F459" s="28">
        <v>0.0</v>
      </c>
      <c r="G459" s="28" t="s">
        <v>250</v>
      </c>
      <c r="H459" s="28">
        <f t="array" ref="H459">INDEX(CC!C:C,MATCH(1,(CC!A:A=G459)*(CC!B:B=I459),0))</f>
        <v>1402</v>
      </c>
      <c r="I459" s="28" t="s">
        <v>25</v>
      </c>
      <c r="J459" s="31">
        <v>3500.0</v>
      </c>
      <c r="K459" s="28" t="str">
        <f>IFERROR(__xludf.DUMMYFUNCTION("IFERROR(
INDEX(
FILTER(
MAP(
reglas!$B$2:$B$240,
reglas!$C$2:$C$240,
reglas!$D$2:$D$240,
reglas!$E$2:$E$240,
LAMBDA(rEmisor,rPatron,rConcepto,rTipo,
IF(
AND(
OR(
UPPER(TRIM(rEmisor))=UPPER(TRIM(C459)),
UPPER(TRIM(rEmisor))=""CUALQUIERA""
),
OR(
UPPER(TRIM"&amp;"(rTipo))=""SOLO EMISOR"",
AND(
UPPER(TRIM(rTipo))=""EXACTA"",
UPPER(TRIM(AG459))=UPPER(TRIM(rPatron))
),
AND(
OR(
UPPER(TRIM(rTipo))=""CONTIENE"",
UPPER(TRIM(rTipo))=""COINCIDENCIA""
),
ISNUMBER(SEARCH(UPPER(TRIM(rPatron)),UPPER(TRIM(D459))))
)
)
),
rConc"&amp;"epto,
""""
)
)
),
MAP(
reglas!$B$2:$B$240,
reglas!$C$2:$C$240,
reglas!$D$2:$D$240,
reglas!$E$2:$E$240,
LAMBDA(rEmisor,rPatron,rConcepto,rTipo,
IF(
AND(
OR(
UPPER(TRIM(rEmisor))=UPPER(TRIM(C459)),
UPPER(TRIM(rEmisor))=""CUALQUIERA""
),
OR(
UPPER(TRIM(rTipo"&amp;"))=""SOLO EMISOR"",
AND(
UPPER(TRIM(rTipo))=""EXACTA"",
UPPER(TRIM(D459))=UPPER(TRIM(rPatron))
),
AND(
OR(
UPPER(TRIM(rTipo))=""CONTIENE"",
UPPER(TRIM(rTipo))=""COINCIDENCIA""
),
ISNUMBER(SEARCH(UPPER(TRIM(rPatron)),UPPER(TRIM(D459))))
)
)
),
rConcepto,
"&amp;"""""
)
)
)&lt;&gt;""""
),
1
),
""""
)"),"MANIOBRAS")</f>
        <v>MANIOBRAS</v>
      </c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</row>
    <row r="460">
      <c r="A460" s="32"/>
      <c r="B460" s="28" t="s">
        <v>29</v>
      </c>
      <c r="C460" s="29" t="s">
        <v>172</v>
      </c>
      <c r="D460" s="29" t="s">
        <v>1491</v>
      </c>
      <c r="E460" s="30">
        <v>11500.0</v>
      </c>
      <c r="F460" s="28">
        <v>0.0</v>
      </c>
      <c r="G460" s="28" t="s">
        <v>250</v>
      </c>
      <c r="H460" s="28">
        <f t="array" ref="H460">INDEX(CC!C:C,MATCH(1,(CC!A:A=G460)*(CC!B:B=I460),0))</f>
        <v>1402</v>
      </c>
      <c r="I460" s="28" t="s">
        <v>25</v>
      </c>
      <c r="J460" s="31">
        <v>11500.0</v>
      </c>
      <c r="K460" s="28" t="str">
        <f>IFERROR(__xludf.DUMMYFUNCTION("IFERROR(
INDEX(
FILTER(
MAP(
reglas!$B$2:$B$240,
reglas!$C$2:$C$240,
reglas!$D$2:$D$240,
reglas!$E$2:$E$240,
LAMBDA(rEmisor,rPatron,rConcepto,rTipo,
IF(
AND(
OR(
UPPER(TRIM(rEmisor))=UPPER(TRIM(C460)),
UPPER(TRIM(rEmisor))=""CUALQUIERA""
),
OR(
UPPER(TRIM"&amp;"(rTipo))=""SOLO EMISOR"",
AND(
UPPER(TRIM(rTipo))=""EXACTA"",
UPPER(TRIM(AG460))=UPPER(TRIM(rPatron))
),
AND(
OR(
UPPER(TRIM(rTipo))=""CONTIENE"",
UPPER(TRIM(rTipo))=""COINCIDENCIA""
),
ISNUMBER(SEARCH(UPPER(TRIM(rPatron)),UPPER(TRIM(D460))))
)
)
),
rConc"&amp;"epto,
""""
)
)
),
MAP(
reglas!$B$2:$B$240,
reglas!$C$2:$C$240,
reglas!$D$2:$D$240,
reglas!$E$2:$E$240,
LAMBDA(rEmisor,rPatron,rConcepto,rTipo,
IF(
AND(
OR(
UPPER(TRIM(rEmisor))=UPPER(TRIM(C460)),
UPPER(TRIM(rEmisor))=""CUALQUIERA""
),
OR(
UPPER(TRIM(rTipo"&amp;"))=""SOLO EMISOR"",
AND(
UPPER(TRIM(rTipo))=""EXACTA"",
UPPER(TRIM(D460))=UPPER(TRIM(rPatron))
),
AND(
OR(
UPPER(TRIM(rTipo))=""CONTIENE"",
UPPER(TRIM(rTipo))=""COINCIDENCIA""
),
ISNUMBER(SEARCH(UPPER(TRIM(rPatron)),UPPER(TRIM(D460))))
)
)
),
rConcepto,
"&amp;"""""
)
)
)&lt;&gt;""""
),
1
),
""""
)"),"TRANSPORTE")</f>
        <v>TRANSPORTE</v>
      </c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</row>
    <row r="461">
      <c r="A461" s="32"/>
      <c r="B461" s="28" t="s">
        <v>29</v>
      </c>
      <c r="C461" s="29" t="s">
        <v>172</v>
      </c>
      <c r="D461" s="29" t="s">
        <v>1463</v>
      </c>
      <c r="E461" s="30">
        <v>11500.0</v>
      </c>
      <c r="F461" s="28">
        <v>0.0</v>
      </c>
      <c r="G461" s="28" t="s">
        <v>250</v>
      </c>
      <c r="H461" s="28">
        <f t="array" ref="H461">INDEX(CC!C:C,MATCH(1,(CC!A:A=G461)*(CC!B:B=I461),0))</f>
        <v>1402</v>
      </c>
      <c r="I461" s="28" t="s">
        <v>25</v>
      </c>
      <c r="J461" s="31">
        <v>11500.0</v>
      </c>
      <c r="K461" s="28" t="str">
        <f>IFERROR(__xludf.DUMMYFUNCTION("IFERROR(
INDEX(
FILTER(
MAP(
reglas!$B$2:$B$240,
reglas!$C$2:$C$240,
reglas!$D$2:$D$240,
reglas!$E$2:$E$240,
LAMBDA(rEmisor,rPatron,rConcepto,rTipo,
IF(
AND(
OR(
UPPER(TRIM(rEmisor))=UPPER(TRIM(C461)),
UPPER(TRIM(rEmisor))=""CUALQUIERA""
),
OR(
UPPER(TRIM"&amp;"(rTipo))=""SOLO EMISOR"",
AND(
UPPER(TRIM(rTipo))=""EXACTA"",
UPPER(TRIM(AG461))=UPPER(TRIM(rPatron))
),
AND(
OR(
UPPER(TRIM(rTipo))=""CONTIENE"",
UPPER(TRIM(rTipo))=""COINCIDENCIA""
),
ISNUMBER(SEARCH(UPPER(TRIM(rPatron)),UPPER(TRIM(D461))))
)
)
),
rConc"&amp;"epto,
""""
)
)
),
MAP(
reglas!$B$2:$B$240,
reglas!$C$2:$C$240,
reglas!$D$2:$D$240,
reglas!$E$2:$E$240,
LAMBDA(rEmisor,rPatron,rConcepto,rTipo,
IF(
AND(
OR(
UPPER(TRIM(rEmisor))=UPPER(TRIM(C461)),
UPPER(TRIM(rEmisor))=""CUALQUIERA""
),
OR(
UPPER(TRIM(rTipo"&amp;"))=""SOLO EMISOR"",
AND(
UPPER(TRIM(rTipo))=""EXACTA"",
UPPER(TRIM(D461))=UPPER(TRIM(rPatron))
),
AND(
OR(
UPPER(TRIM(rTipo))=""CONTIENE"",
UPPER(TRIM(rTipo))=""COINCIDENCIA""
),
ISNUMBER(SEARCH(UPPER(TRIM(rPatron)),UPPER(TRIM(D461))))
)
)
),
rConcepto,
"&amp;"""""
)
)
)&lt;&gt;""""
),
1
),
""""
)"),"TRANSPORTE")</f>
        <v>TRANSPORTE</v>
      </c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</row>
    <row r="462">
      <c r="A462" s="28">
        <v>1.0</v>
      </c>
      <c r="B462" s="28" t="s">
        <v>29</v>
      </c>
      <c r="C462" s="29" t="s">
        <v>92</v>
      </c>
      <c r="D462" s="29" t="s">
        <v>1610</v>
      </c>
      <c r="E462" s="30">
        <v>2835.0</v>
      </c>
      <c r="F462" s="28">
        <v>0.0</v>
      </c>
      <c r="G462" s="28" t="s">
        <v>74</v>
      </c>
      <c r="H462" s="28">
        <f t="array" ref="H462">INDEX(CC!C:C,MATCH(1,(CC!A:A=G462)*(CC!B:B=I462),0))</f>
        <v>1503</v>
      </c>
      <c r="I462" s="28" t="s">
        <v>44</v>
      </c>
      <c r="J462" s="31">
        <v>2835.0</v>
      </c>
      <c r="K462" s="28" t="str">
        <f>IFERROR(__xludf.DUMMYFUNCTION("IFERROR(
INDEX(
FILTER(
MAP(
reglas!$B$2:$B$240,
reglas!$C$2:$C$240,
reglas!$D$2:$D$240,
reglas!$E$2:$E$240,
LAMBDA(rEmisor,rPatron,rConcepto,rTipo,
IF(
AND(
OR(
UPPER(TRIM(rEmisor))=UPPER(TRIM(C462)),
UPPER(TRIM(rEmisor))=""CUALQUIERA""
),
OR(
UPPER(TRIM"&amp;"(rTipo))=""SOLO EMISOR"",
AND(
UPPER(TRIM(rTipo))=""EXACTA"",
UPPER(TRIM(AG462))=UPPER(TRIM(rPatron))
),
AND(
OR(
UPPER(TRIM(rTipo))=""CONTIENE"",
UPPER(TRIM(rTipo))=""COINCIDENCIA""
),
ISNUMBER(SEARCH(UPPER(TRIM(rPatron)),UPPER(TRIM(D462))))
)
)
),
rConc"&amp;"epto,
""""
)
)
),
MAP(
reglas!$B$2:$B$240,
reglas!$C$2:$C$240,
reglas!$D$2:$D$240,
reglas!$E$2:$E$240,
LAMBDA(rEmisor,rPatron,rConcepto,rTipo,
IF(
AND(
OR(
UPPER(TRIM(rEmisor))=UPPER(TRIM(C462)),
UPPER(TRIM(rEmisor))=""CUALQUIERA""
),
OR(
UPPER(TRIM(rTipo"&amp;"))=""SOLO EMISOR"",
AND(
UPPER(TRIM(rTipo))=""EXACTA"",
UPPER(TRIM(D462))=UPPER(TRIM(rPatron))
),
AND(
OR(
UPPER(TRIM(rTipo))=""CONTIENE"",
UPPER(TRIM(rTipo))=""COINCIDENCIA""
),
ISNUMBER(SEARCH(UPPER(TRIM(rPatron)),UPPER(TRIM(D462))))
)
)
),
rConcepto,
"&amp;"""""
)
)
)&lt;&gt;""""
),
1
),
""""
)"),"MANIOBRAS")</f>
        <v>MANIOBRAS</v>
      </c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</row>
    <row r="463">
      <c r="A463" s="32"/>
      <c r="B463" s="28" t="s">
        <v>29</v>
      </c>
      <c r="C463" s="29" t="s">
        <v>278</v>
      </c>
      <c r="D463" s="29" t="s">
        <v>560</v>
      </c>
      <c r="E463" s="30">
        <v>3500.0</v>
      </c>
      <c r="F463" s="28">
        <v>0.0</v>
      </c>
      <c r="G463" s="28" t="s">
        <v>250</v>
      </c>
      <c r="H463" s="28">
        <f t="array" ref="H463">INDEX(CC!C:C,MATCH(1,(CC!A:A=G463)*(CC!B:B=I463),0))</f>
        <v>1402</v>
      </c>
      <c r="I463" s="28" t="s">
        <v>25</v>
      </c>
      <c r="J463" s="31">
        <v>3500.0</v>
      </c>
      <c r="K463" s="28" t="str">
        <f>IFERROR(__xludf.DUMMYFUNCTION("IFERROR(
INDEX(
FILTER(
MAP(
reglas!$B$2:$B$240,
reglas!$C$2:$C$240,
reglas!$D$2:$D$240,
reglas!$E$2:$E$240,
LAMBDA(rEmisor,rPatron,rConcepto,rTipo,
IF(
AND(
OR(
UPPER(TRIM(rEmisor))=UPPER(TRIM(C463)),
UPPER(TRIM(rEmisor))=""CUALQUIERA""
),
OR(
UPPER(TRIM"&amp;"(rTipo))=""SOLO EMISOR"",
AND(
UPPER(TRIM(rTipo))=""EXACTA"",
UPPER(TRIM(AG463))=UPPER(TRIM(rPatron))
),
AND(
OR(
UPPER(TRIM(rTipo))=""CONTIENE"",
UPPER(TRIM(rTipo))=""COINCIDENCIA""
),
ISNUMBER(SEARCH(UPPER(TRIM(rPatron)),UPPER(TRIM(D463))))
)
)
),
rConc"&amp;"epto,
""""
)
)
),
MAP(
reglas!$B$2:$B$240,
reglas!$C$2:$C$240,
reglas!$D$2:$D$240,
reglas!$E$2:$E$240,
LAMBDA(rEmisor,rPatron,rConcepto,rTipo,
IF(
AND(
OR(
UPPER(TRIM(rEmisor))=UPPER(TRIM(C463)),
UPPER(TRIM(rEmisor))=""CUALQUIERA""
),
OR(
UPPER(TRIM(rTipo"&amp;"))=""SOLO EMISOR"",
AND(
UPPER(TRIM(rTipo))=""EXACTA"",
UPPER(TRIM(D463))=UPPER(TRIM(rPatron))
),
AND(
OR(
UPPER(TRIM(rTipo))=""CONTIENE"",
UPPER(TRIM(rTipo))=""COINCIDENCIA""
),
ISNUMBER(SEARCH(UPPER(TRIM(rPatron)),UPPER(TRIM(D463))))
)
)
),
rConcepto,
"&amp;"""""
)
)
)&lt;&gt;""""
),
1
),
""""
)"),"MANIOBRAS")</f>
        <v>MANIOBRAS</v>
      </c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</row>
    <row r="464">
      <c r="A464" s="32"/>
      <c r="B464" s="28" t="s">
        <v>29</v>
      </c>
      <c r="C464" s="29" t="s">
        <v>278</v>
      </c>
      <c r="D464" s="29" t="s">
        <v>560</v>
      </c>
      <c r="E464" s="30">
        <v>3500.0</v>
      </c>
      <c r="F464" s="28">
        <v>0.0</v>
      </c>
      <c r="G464" s="28" t="s">
        <v>250</v>
      </c>
      <c r="H464" s="28">
        <f t="array" ref="H464">INDEX(CC!C:C,MATCH(1,(CC!A:A=G464)*(CC!B:B=I464),0))</f>
        <v>1402</v>
      </c>
      <c r="I464" s="28" t="s">
        <v>25</v>
      </c>
      <c r="J464" s="31">
        <v>3500.0</v>
      </c>
      <c r="K464" s="28" t="str">
        <f>IFERROR(__xludf.DUMMYFUNCTION("IFERROR(
INDEX(
FILTER(
MAP(
reglas!$B$2:$B$240,
reglas!$C$2:$C$240,
reglas!$D$2:$D$240,
reglas!$E$2:$E$240,
LAMBDA(rEmisor,rPatron,rConcepto,rTipo,
IF(
AND(
OR(
UPPER(TRIM(rEmisor))=UPPER(TRIM(C464)),
UPPER(TRIM(rEmisor))=""CUALQUIERA""
),
OR(
UPPER(TRIM"&amp;"(rTipo))=""SOLO EMISOR"",
AND(
UPPER(TRIM(rTipo))=""EXACTA"",
UPPER(TRIM(AG464))=UPPER(TRIM(rPatron))
),
AND(
OR(
UPPER(TRIM(rTipo))=""CONTIENE"",
UPPER(TRIM(rTipo))=""COINCIDENCIA""
),
ISNUMBER(SEARCH(UPPER(TRIM(rPatron)),UPPER(TRIM(D464))))
)
)
),
rConc"&amp;"epto,
""""
)
)
),
MAP(
reglas!$B$2:$B$240,
reglas!$C$2:$C$240,
reglas!$D$2:$D$240,
reglas!$E$2:$E$240,
LAMBDA(rEmisor,rPatron,rConcepto,rTipo,
IF(
AND(
OR(
UPPER(TRIM(rEmisor))=UPPER(TRIM(C464)),
UPPER(TRIM(rEmisor))=""CUALQUIERA""
),
OR(
UPPER(TRIM(rTipo"&amp;"))=""SOLO EMISOR"",
AND(
UPPER(TRIM(rTipo))=""EXACTA"",
UPPER(TRIM(D464))=UPPER(TRIM(rPatron))
),
AND(
OR(
UPPER(TRIM(rTipo))=""CONTIENE"",
UPPER(TRIM(rTipo))=""COINCIDENCIA""
),
ISNUMBER(SEARCH(UPPER(TRIM(rPatron)),UPPER(TRIM(D464))))
)
)
),
rConcepto,
"&amp;"""""
)
)
)&lt;&gt;""""
),
1
),
""""
)"),"MANIOBRAS")</f>
        <v>MANIOBRAS</v>
      </c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</row>
    <row r="465">
      <c r="A465" s="28">
        <v>1.0</v>
      </c>
      <c r="B465" s="28" t="s">
        <v>29</v>
      </c>
      <c r="C465" s="29" t="s">
        <v>89</v>
      </c>
      <c r="D465" s="29" t="s">
        <v>91</v>
      </c>
      <c r="E465" s="30">
        <v>1283.04</v>
      </c>
      <c r="F465" s="28">
        <v>0.0</v>
      </c>
      <c r="G465" s="28" t="s">
        <v>601</v>
      </c>
      <c r="H465" s="28">
        <f t="array" ref="H465">INDEX(CC!C:C,MATCH(1,(CC!A:A=G465)*(CC!B:B=I465),0))</f>
        <v>403</v>
      </c>
      <c r="I465" s="28" t="s">
        <v>44</v>
      </c>
      <c r="J465" s="31">
        <v>1283.04</v>
      </c>
      <c r="K465" s="28" t="str">
        <f>IFERROR(__xludf.DUMMYFUNCTION("IFERROR(
INDEX(
FILTER(
MAP(
reglas!$B$2:$B$240,
reglas!$C$2:$C$240,
reglas!$D$2:$D$240,
reglas!$E$2:$E$240,
LAMBDA(rEmisor,rPatron,rConcepto,rTipo,
IF(
AND(
OR(
UPPER(TRIM(rEmisor))=UPPER(TRIM(C465)),
UPPER(TRIM(rEmisor))=""CUALQUIERA""
),
OR(
UPPER(TRIM"&amp;"(rTipo))=""SOLO EMISOR"",
AND(
UPPER(TRIM(rTipo))=""EXACTA"",
UPPER(TRIM(AG465))=UPPER(TRIM(rPatron))
),
AND(
OR(
UPPER(TRIM(rTipo))=""CONTIENE"",
UPPER(TRIM(rTipo))=""COINCIDENCIA""
),
ISNUMBER(SEARCH(UPPER(TRIM(rPatron)),UPPER(TRIM(D465))))
)
)
),
rConc"&amp;"epto,
""""
)
)
),
MAP(
reglas!$B$2:$B$240,
reglas!$C$2:$C$240,
reglas!$D$2:$D$240,
reglas!$E$2:$E$240,
LAMBDA(rEmisor,rPatron,rConcepto,rTipo,
IF(
AND(
OR(
UPPER(TRIM(rEmisor))=UPPER(TRIM(C465)),
UPPER(TRIM(rEmisor))=""CUALQUIERA""
),
OR(
UPPER(TRIM(rTipo"&amp;"))=""SOLO EMISOR"",
AND(
UPPER(TRIM(rTipo))=""EXACTA"",
UPPER(TRIM(D465))=UPPER(TRIM(rPatron))
),
AND(
OR(
UPPER(TRIM(rTipo))=""CONTIENE"",
UPPER(TRIM(rTipo))=""COINCIDENCIA""
),
ISNUMBER(SEARCH(UPPER(TRIM(rPatron)),UPPER(TRIM(D465))))
)
)
),
rConcepto,
"&amp;"""""
)
)
)&lt;&gt;""""
),
1
),
""""
)"),"MANIOBRAS")</f>
        <v>MANIOBRAS</v>
      </c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</row>
    <row r="466">
      <c r="A466" s="32"/>
      <c r="B466" s="28" t="s">
        <v>29</v>
      </c>
      <c r="C466" s="29" t="s">
        <v>172</v>
      </c>
      <c r="D466" s="29" t="s">
        <v>1491</v>
      </c>
      <c r="E466" s="30">
        <v>11500.0</v>
      </c>
      <c r="F466" s="28">
        <v>0.0</v>
      </c>
      <c r="G466" s="28" t="s">
        <v>250</v>
      </c>
      <c r="H466" s="28">
        <f t="array" ref="H466">INDEX(CC!C:C,MATCH(1,(CC!A:A=G466)*(CC!B:B=I466),0))</f>
        <v>1402</v>
      </c>
      <c r="I466" s="28" t="s">
        <v>25</v>
      </c>
      <c r="J466" s="31">
        <v>11500.0</v>
      </c>
      <c r="K466" s="28" t="str">
        <f>IFERROR(__xludf.DUMMYFUNCTION("IFERROR(
INDEX(
FILTER(
MAP(
reglas!$B$2:$B$240,
reglas!$C$2:$C$240,
reglas!$D$2:$D$240,
reglas!$E$2:$E$240,
LAMBDA(rEmisor,rPatron,rConcepto,rTipo,
IF(
AND(
OR(
UPPER(TRIM(rEmisor))=UPPER(TRIM(C466)),
UPPER(TRIM(rEmisor))=""CUALQUIERA""
),
OR(
UPPER(TRIM"&amp;"(rTipo))=""SOLO EMISOR"",
AND(
UPPER(TRIM(rTipo))=""EXACTA"",
UPPER(TRIM(AG466))=UPPER(TRIM(rPatron))
),
AND(
OR(
UPPER(TRIM(rTipo))=""CONTIENE"",
UPPER(TRIM(rTipo))=""COINCIDENCIA""
),
ISNUMBER(SEARCH(UPPER(TRIM(rPatron)),UPPER(TRIM(D466))))
)
)
),
rConc"&amp;"epto,
""""
)
)
),
MAP(
reglas!$B$2:$B$240,
reglas!$C$2:$C$240,
reglas!$D$2:$D$240,
reglas!$E$2:$E$240,
LAMBDA(rEmisor,rPatron,rConcepto,rTipo,
IF(
AND(
OR(
UPPER(TRIM(rEmisor))=UPPER(TRIM(C466)),
UPPER(TRIM(rEmisor))=""CUALQUIERA""
),
OR(
UPPER(TRIM(rTipo"&amp;"))=""SOLO EMISOR"",
AND(
UPPER(TRIM(rTipo))=""EXACTA"",
UPPER(TRIM(D466))=UPPER(TRIM(rPatron))
),
AND(
OR(
UPPER(TRIM(rTipo))=""CONTIENE"",
UPPER(TRIM(rTipo))=""COINCIDENCIA""
),
ISNUMBER(SEARCH(UPPER(TRIM(rPatron)),UPPER(TRIM(D466))))
)
)
),
rConcepto,
"&amp;"""""
)
)
)&lt;&gt;""""
),
1
),
""""
)"),"TRANSPORTE")</f>
        <v>TRANSPORTE</v>
      </c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</row>
    <row r="467">
      <c r="A467" s="32"/>
      <c r="B467" s="28" t="s">
        <v>29</v>
      </c>
      <c r="C467" s="29" t="s">
        <v>174</v>
      </c>
      <c r="D467" s="29" t="s">
        <v>1611</v>
      </c>
      <c r="E467" s="30">
        <v>3300.0</v>
      </c>
      <c r="F467" s="28">
        <v>0.0</v>
      </c>
      <c r="G467" s="28" t="s">
        <v>40</v>
      </c>
      <c r="H467" s="28">
        <f t="array" ref="H467">INDEX(CC!C:C,MATCH(1,(CC!A:A=G467)*(CC!B:B=I467),0))</f>
        <v>602</v>
      </c>
      <c r="I467" s="28" t="s">
        <v>25</v>
      </c>
      <c r="J467" s="31">
        <v>3300.0</v>
      </c>
      <c r="K467" s="28" t="str">
        <f>IFERROR(__xludf.DUMMYFUNCTION("IFERROR(
INDEX(
FILTER(
MAP(
reglas!$B$2:$B$240,
reglas!$C$2:$C$240,
reglas!$D$2:$D$240,
reglas!$E$2:$E$240,
LAMBDA(rEmisor,rPatron,rConcepto,rTipo,
IF(
AND(
OR(
UPPER(TRIM(rEmisor))=UPPER(TRIM(C467)),
UPPER(TRIM(rEmisor))=""CUALQUIERA""
),
OR(
UPPER(TRIM"&amp;"(rTipo))=""SOLO EMISOR"",
AND(
UPPER(TRIM(rTipo))=""EXACTA"",
UPPER(TRIM(AG467))=UPPER(TRIM(rPatron))
),
AND(
OR(
UPPER(TRIM(rTipo))=""CONTIENE"",
UPPER(TRIM(rTipo))=""COINCIDENCIA""
),
ISNUMBER(SEARCH(UPPER(TRIM(rPatron)),UPPER(TRIM(D467))))
)
)
),
rConc"&amp;"epto,
""""
)
)
),
MAP(
reglas!$B$2:$B$240,
reglas!$C$2:$C$240,
reglas!$D$2:$D$240,
reglas!$E$2:$E$240,
LAMBDA(rEmisor,rPatron,rConcepto,rTipo,
IF(
AND(
OR(
UPPER(TRIM(rEmisor))=UPPER(TRIM(C467)),
UPPER(TRIM(rEmisor))=""CUALQUIERA""
),
OR(
UPPER(TRIM(rTipo"&amp;"))=""SOLO EMISOR"",
AND(
UPPER(TRIM(rTipo))=""EXACTA"",
UPPER(TRIM(D467))=UPPER(TRIM(rPatron))
),
AND(
OR(
UPPER(TRIM(rTipo))=""CONTIENE"",
UPPER(TRIM(rTipo))=""COINCIDENCIA""
),
ISNUMBER(SEARCH(UPPER(TRIM(rPatron)),UPPER(TRIM(D467))))
)
)
),
rConcepto,
"&amp;"""""
)
)
)&lt;&gt;""""
),
1
),
""""
)"),"TRANSPORTE")</f>
        <v>TRANSPORTE</v>
      </c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</row>
    <row r="468">
      <c r="A468" s="32"/>
      <c r="B468" s="28" t="s">
        <v>29</v>
      </c>
      <c r="C468" s="29" t="s">
        <v>278</v>
      </c>
      <c r="D468" s="29" t="s">
        <v>560</v>
      </c>
      <c r="E468" s="30">
        <v>3500.0</v>
      </c>
      <c r="F468" s="28">
        <v>0.0</v>
      </c>
      <c r="G468" s="28" t="s">
        <v>250</v>
      </c>
      <c r="H468" s="28">
        <f t="array" ref="H468">INDEX(CC!C:C,MATCH(1,(CC!A:A=G468)*(CC!B:B=I468),0))</f>
        <v>1402</v>
      </c>
      <c r="I468" s="28" t="s">
        <v>25</v>
      </c>
      <c r="J468" s="31">
        <v>3500.0</v>
      </c>
      <c r="K468" s="28" t="str">
        <f>IFERROR(__xludf.DUMMYFUNCTION("IFERROR(
INDEX(
FILTER(
MAP(
reglas!$B$2:$B$240,
reglas!$C$2:$C$240,
reglas!$D$2:$D$240,
reglas!$E$2:$E$240,
LAMBDA(rEmisor,rPatron,rConcepto,rTipo,
IF(
AND(
OR(
UPPER(TRIM(rEmisor))=UPPER(TRIM(C468)),
UPPER(TRIM(rEmisor))=""CUALQUIERA""
),
OR(
UPPER(TRIM"&amp;"(rTipo))=""SOLO EMISOR"",
AND(
UPPER(TRIM(rTipo))=""EXACTA"",
UPPER(TRIM(AG468))=UPPER(TRIM(rPatron))
),
AND(
OR(
UPPER(TRIM(rTipo))=""CONTIENE"",
UPPER(TRIM(rTipo))=""COINCIDENCIA""
),
ISNUMBER(SEARCH(UPPER(TRIM(rPatron)),UPPER(TRIM(D468))))
)
)
),
rConc"&amp;"epto,
""""
)
)
),
MAP(
reglas!$B$2:$B$240,
reglas!$C$2:$C$240,
reglas!$D$2:$D$240,
reglas!$E$2:$E$240,
LAMBDA(rEmisor,rPatron,rConcepto,rTipo,
IF(
AND(
OR(
UPPER(TRIM(rEmisor))=UPPER(TRIM(C468)),
UPPER(TRIM(rEmisor))=""CUALQUIERA""
),
OR(
UPPER(TRIM(rTipo"&amp;"))=""SOLO EMISOR"",
AND(
UPPER(TRIM(rTipo))=""EXACTA"",
UPPER(TRIM(D468))=UPPER(TRIM(rPatron))
),
AND(
OR(
UPPER(TRIM(rTipo))=""CONTIENE"",
UPPER(TRIM(rTipo))=""COINCIDENCIA""
),
ISNUMBER(SEARCH(UPPER(TRIM(rPatron)),UPPER(TRIM(D468))))
)
)
),
rConcepto,
"&amp;"""""
)
)
)&lt;&gt;""""
),
1
),
""""
)"),"MANIOBRAS")</f>
        <v>MANIOBRAS</v>
      </c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</row>
    <row r="469">
      <c r="A469" s="28">
        <v>1.0</v>
      </c>
      <c r="B469" s="28" t="s">
        <v>29</v>
      </c>
      <c r="C469" s="29" t="s">
        <v>475</v>
      </c>
      <c r="D469" s="29" t="s">
        <v>1612</v>
      </c>
      <c r="E469" s="30">
        <v>1000.0</v>
      </c>
      <c r="F469" s="28">
        <v>0.0</v>
      </c>
      <c r="G469" s="28" t="s">
        <v>395</v>
      </c>
      <c r="H469" s="28">
        <f t="array" ref="H469">INDEX(CC!C:C,MATCH(1,(CC!A:A=G469)*(CC!B:B=I469),0))</f>
        <v>1103</v>
      </c>
      <c r="I469" s="28" t="s">
        <v>44</v>
      </c>
      <c r="J469" s="31">
        <v>1000.0</v>
      </c>
      <c r="K469" s="28" t="str">
        <f>IFERROR(__xludf.DUMMYFUNCTION("IFERROR(
INDEX(
FILTER(
MAP(
reglas!$B$2:$B$240,
reglas!$C$2:$C$240,
reglas!$D$2:$D$240,
reglas!$E$2:$E$240,
LAMBDA(rEmisor,rPatron,rConcepto,rTipo,
IF(
AND(
OR(
UPPER(TRIM(rEmisor))=UPPER(TRIM(C469)),
UPPER(TRIM(rEmisor))=""CUALQUIERA""
),
OR(
UPPER(TRIM"&amp;"(rTipo))=""SOLO EMISOR"",
AND(
UPPER(TRIM(rTipo))=""EXACTA"",
UPPER(TRIM(AG469))=UPPER(TRIM(rPatron))
),
AND(
OR(
UPPER(TRIM(rTipo))=""CONTIENE"",
UPPER(TRIM(rTipo))=""COINCIDENCIA""
),
ISNUMBER(SEARCH(UPPER(TRIM(rPatron)),UPPER(TRIM(D469))))
)
)
),
rConc"&amp;"epto,
""""
)
)
),
MAP(
reglas!$B$2:$B$240,
reglas!$C$2:$C$240,
reglas!$D$2:$D$240,
reglas!$E$2:$E$240,
LAMBDA(rEmisor,rPatron,rConcepto,rTipo,
IF(
AND(
OR(
UPPER(TRIM(rEmisor))=UPPER(TRIM(C469)),
UPPER(TRIM(rEmisor))=""CUALQUIERA""
),
OR(
UPPER(TRIM(rTipo"&amp;"))=""SOLO EMISOR"",
AND(
UPPER(TRIM(rTipo))=""EXACTA"",
UPPER(TRIM(D469))=UPPER(TRIM(rPatron))
),
AND(
OR(
UPPER(TRIM(rTipo))=""CONTIENE"",
UPPER(TRIM(rTipo))=""COINCIDENCIA""
),
ISNUMBER(SEARCH(UPPER(TRIM(rPatron)),UPPER(TRIM(D469))))
)
)
),
rConcepto,
"&amp;"""""
)
)
)&lt;&gt;""""
),
1
),
""""
)"),"ASESORIA EN COMERCIO EXTERIOR")</f>
        <v>ASESORIA EN COMERCIO EXTERIOR</v>
      </c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</row>
    <row r="470">
      <c r="A470" s="28">
        <v>1.0</v>
      </c>
      <c r="B470" s="28" t="s">
        <v>29</v>
      </c>
      <c r="C470" s="29" t="s">
        <v>475</v>
      </c>
      <c r="D470" s="29" t="s">
        <v>1613</v>
      </c>
      <c r="E470" s="30">
        <v>1000.0</v>
      </c>
      <c r="F470" s="28">
        <v>0.0</v>
      </c>
      <c r="G470" s="28" t="s">
        <v>55</v>
      </c>
      <c r="H470" s="28">
        <f t="array" ref="H470">INDEX(CC!C:C,MATCH(1,(CC!A:A=G470)*(CC!B:B=I470),0))</f>
        <v>903</v>
      </c>
      <c r="I470" s="28" t="s">
        <v>44</v>
      </c>
      <c r="J470" s="31">
        <v>1000.0</v>
      </c>
      <c r="K470" s="28" t="str">
        <f>IFERROR(__xludf.DUMMYFUNCTION("IFERROR(
INDEX(
FILTER(
MAP(
reglas!$B$2:$B$240,
reglas!$C$2:$C$240,
reglas!$D$2:$D$240,
reglas!$E$2:$E$240,
LAMBDA(rEmisor,rPatron,rConcepto,rTipo,
IF(
AND(
OR(
UPPER(TRIM(rEmisor))=UPPER(TRIM(C470)),
UPPER(TRIM(rEmisor))=""CUALQUIERA""
),
OR(
UPPER(TRIM"&amp;"(rTipo))=""SOLO EMISOR"",
AND(
UPPER(TRIM(rTipo))=""EXACTA"",
UPPER(TRIM(AG470))=UPPER(TRIM(rPatron))
),
AND(
OR(
UPPER(TRIM(rTipo))=""CONTIENE"",
UPPER(TRIM(rTipo))=""COINCIDENCIA""
),
ISNUMBER(SEARCH(UPPER(TRIM(rPatron)),UPPER(TRIM(D470))))
)
)
),
rConc"&amp;"epto,
""""
)
)
),
MAP(
reglas!$B$2:$B$240,
reglas!$C$2:$C$240,
reglas!$D$2:$D$240,
reglas!$E$2:$E$240,
LAMBDA(rEmisor,rPatron,rConcepto,rTipo,
IF(
AND(
OR(
UPPER(TRIM(rEmisor))=UPPER(TRIM(C470)),
UPPER(TRIM(rEmisor))=""CUALQUIERA""
),
OR(
UPPER(TRIM(rTipo"&amp;"))=""SOLO EMISOR"",
AND(
UPPER(TRIM(rTipo))=""EXACTA"",
UPPER(TRIM(D470))=UPPER(TRIM(rPatron))
),
AND(
OR(
UPPER(TRIM(rTipo))=""CONTIENE"",
UPPER(TRIM(rTipo))=""COINCIDENCIA""
),
ISNUMBER(SEARCH(UPPER(TRIM(rPatron)),UPPER(TRIM(D470))))
)
)
),
rConcepto,
"&amp;"""""
)
)
)&lt;&gt;""""
),
1
),
""""
)"),"ASESORIA EN COMERCIO EXTERIOR")</f>
        <v>ASESORIA EN COMERCIO EXTERIOR</v>
      </c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</row>
    <row r="471">
      <c r="A471" s="32"/>
      <c r="B471" s="28" t="s">
        <v>29</v>
      </c>
      <c r="C471" s="29" t="s">
        <v>331</v>
      </c>
      <c r="D471" s="29" t="s">
        <v>33</v>
      </c>
      <c r="E471" s="28">
        <v>0.01</v>
      </c>
      <c r="F471" s="28">
        <v>0.0</v>
      </c>
      <c r="G471" s="28" t="s">
        <v>385</v>
      </c>
      <c r="H471" s="28">
        <f t="array" ref="H471">INDEX(CC!C:C,MATCH(1,(CC!A:A=G471)*(CC!B:B=I471),0))</f>
        <v>502</v>
      </c>
      <c r="I471" s="28" t="s">
        <v>25</v>
      </c>
      <c r="J471" s="31">
        <v>0.01</v>
      </c>
      <c r="K471" s="28" t="str">
        <f>IFERROR(__xludf.DUMMYFUNCTION("IFERROR(
INDEX(
FILTER(
MAP(
reglas!$B$2:$B$240,
reglas!$C$2:$C$240,
reglas!$D$2:$D$240,
reglas!$E$2:$E$240,
LAMBDA(rEmisor,rPatron,rConcepto,rTipo,
IF(
AND(
OR(
UPPER(TRIM(rEmisor))=UPPER(TRIM(C471)),
UPPER(TRIM(rEmisor))=""CUALQUIERA""
),
OR(
UPPER(TRIM"&amp;"(rTipo))=""SOLO EMISOR"",
AND(
UPPER(TRIM(rTipo))=""EXACTA"",
UPPER(TRIM(AG471))=UPPER(TRIM(rPatron))
),
AND(
OR(
UPPER(TRIM(rTipo))=""CONTIENE"",
UPPER(TRIM(rTipo))=""COINCIDENCIA""
),
ISNUMBER(SEARCH(UPPER(TRIM(rPatron)),UPPER(TRIM(D471))))
)
)
),
rConc"&amp;"epto,
""""
)
)
),
MAP(
reglas!$B$2:$B$240,
reglas!$C$2:$C$240,
reglas!$D$2:$D$240,
reglas!$E$2:$E$240,
LAMBDA(rEmisor,rPatron,rConcepto,rTipo,
IF(
AND(
OR(
UPPER(TRIM(rEmisor))=UPPER(TRIM(C471)),
UPPER(TRIM(rEmisor))=""CUALQUIERA""
),
OR(
UPPER(TRIM(rTipo"&amp;"))=""SOLO EMISOR"",
AND(
UPPER(TRIM(rTipo))=""EXACTA"",
UPPER(TRIM(D471))=UPPER(TRIM(rPatron))
),
AND(
OR(
UPPER(TRIM(rTipo))=""CONTIENE"",
UPPER(TRIM(rTipo))=""COINCIDENCIA""
),
ISNUMBER(SEARCH(UPPER(TRIM(rPatron)),UPPER(TRIM(D471))))
)
)
),
rConcepto,
"&amp;"""""
)
)
)&lt;&gt;""""
),
1
),
""""
)"),"N/A")</f>
        <v>N/A</v>
      </c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</row>
    <row r="472">
      <c r="A472" s="32"/>
      <c r="B472" s="28" t="s">
        <v>29</v>
      </c>
      <c r="C472" s="29" t="s">
        <v>172</v>
      </c>
      <c r="D472" s="29" t="s">
        <v>1499</v>
      </c>
      <c r="E472" s="30">
        <v>11500.0</v>
      </c>
      <c r="F472" s="28">
        <v>0.0</v>
      </c>
      <c r="G472" s="28" t="s">
        <v>250</v>
      </c>
      <c r="H472" s="28">
        <f t="array" ref="H472">INDEX(CC!C:C,MATCH(1,(CC!A:A=G472)*(CC!B:B=I472),0))</f>
        <v>1402</v>
      </c>
      <c r="I472" s="28" t="s">
        <v>25</v>
      </c>
      <c r="J472" s="31">
        <v>11500.0</v>
      </c>
      <c r="K472" s="28" t="str">
        <f>IFERROR(__xludf.DUMMYFUNCTION("IFERROR(
INDEX(
FILTER(
MAP(
reglas!$B$2:$B$240,
reglas!$C$2:$C$240,
reglas!$D$2:$D$240,
reglas!$E$2:$E$240,
LAMBDA(rEmisor,rPatron,rConcepto,rTipo,
IF(
AND(
OR(
UPPER(TRIM(rEmisor))=UPPER(TRIM(C472)),
UPPER(TRIM(rEmisor))=""CUALQUIERA""
),
OR(
UPPER(TRIM"&amp;"(rTipo))=""SOLO EMISOR"",
AND(
UPPER(TRIM(rTipo))=""EXACTA"",
UPPER(TRIM(AG472))=UPPER(TRIM(rPatron))
),
AND(
OR(
UPPER(TRIM(rTipo))=""CONTIENE"",
UPPER(TRIM(rTipo))=""COINCIDENCIA""
),
ISNUMBER(SEARCH(UPPER(TRIM(rPatron)),UPPER(TRIM(D472))))
)
)
),
rConc"&amp;"epto,
""""
)
)
),
MAP(
reglas!$B$2:$B$240,
reglas!$C$2:$C$240,
reglas!$D$2:$D$240,
reglas!$E$2:$E$240,
LAMBDA(rEmisor,rPatron,rConcepto,rTipo,
IF(
AND(
OR(
UPPER(TRIM(rEmisor))=UPPER(TRIM(C472)),
UPPER(TRIM(rEmisor))=""CUALQUIERA""
),
OR(
UPPER(TRIM(rTipo"&amp;"))=""SOLO EMISOR"",
AND(
UPPER(TRIM(rTipo))=""EXACTA"",
UPPER(TRIM(D472))=UPPER(TRIM(rPatron))
),
AND(
OR(
UPPER(TRIM(rTipo))=""CONTIENE"",
UPPER(TRIM(rTipo))=""COINCIDENCIA""
),
ISNUMBER(SEARCH(UPPER(TRIM(rPatron)),UPPER(TRIM(D472))))
)
)
),
rConcepto,
"&amp;"""""
)
)
)&lt;&gt;""""
),
1
),
""""
)"),"TRANSPORTE")</f>
        <v>TRANSPORTE</v>
      </c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</row>
    <row r="473">
      <c r="A473" s="28">
        <v>1.0</v>
      </c>
      <c r="B473" s="28" t="s">
        <v>29</v>
      </c>
      <c r="C473" s="29" t="s">
        <v>271</v>
      </c>
      <c r="D473" s="29" t="s">
        <v>585</v>
      </c>
      <c r="E473" s="28">
        <v>629.99</v>
      </c>
      <c r="F473" s="28">
        <v>0.0</v>
      </c>
      <c r="G473" s="28" t="s">
        <v>84</v>
      </c>
      <c r="H473" s="28">
        <f t="array" ref="H473">INDEX(CC!C:C,MATCH(1,(CC!A:A=G473)*(CC!B:B=I473),0))</f>
        <v>1002</v>
      </c>
      <c r="I473" s="28" t="s">
        <v>25</v>
      </c>
      <c r="J473" s="31">
        <v>629.99</v>
      </c>
      <c r="K473" s="28" t="str">
        <f>IFERROR(__xludf.DUMMYFUNCTION("IFERROR(
INDEX(
FILTER(
MAP(
reglas!$B$2:$B$240,
reglas!$C$2:$C$240,
reglas!$D$2:$D$240,
reglas!$E$2:$E$240,
LAMBDA(rEmisor,rPatron,rConcepto,rTipo,
IF(
AND(
OR(
UPPER(TRIM(rEmisor))=UPPER(TRIM(C473)),
UPPER(TRIM(rEmisor))=""CUALQUIERA""
),
OR(
UPPER(TRIM"&amp;"(rTipo))=""SOLO EMISOR"",
AND(
UPPER(TRIM(rTipo))=""EXACTA"",
UPPER(TRIM(AG473))=UPPER(TRIM(rPatron))
),
AND(
OR(
UPPER(TRIM(rTipo))=""CONTIENE"",
UPPER(TRIM(rTipo))=""COINCIDENCIA""
),
ISNUMBER(SEARCH(UPPER(TRIM(rPatron)),UPPER(TRIM(D473))))
)
)
),
rConc"&amp;"epto,
""""
)
)
),
MAP(
reglas!$B$2:$B$240,
reglas!$C$2:$C$240,
reglas!$D$2:$D$240,
reglas!$E$2:$E$240,
LAMBDA(rEmisor,rPatron,rConcepto,rTipo,
IF(
AND(
OR(
UPPER(TRIM(rEmisor))=UPPER(TRIM(C473)),
UPPER(TRIM(rEmisor))=""CUALQUIERA""
),
OR(
UPPER(TRIM(rTipo"&amp;"))=""SOLO EMISOR"",
AND(
UPPER(TRIM(rTipo))=""EXACTA"",
UPPER(TRIM(D473))=UPPER(TRIM(rPatron))
),
AND(
OR(
UPPER(TRIM(rTipo))=""CONTIENE"",
UPPER(TRIM(rTipo))=""COINCIDENCIA""
),
ISNUMBER(SEARCH(UPPER(TRIM(rPatron)),UPPER(TRIM(D473))))
)
)
),
rConcepto,
"&amp;"""""
)
)
)&lt;&gt;""""
),
1
),
""""
)"),"MANIOBRAS")</f>
        <v>MANIOBRAS</v>
      </c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</row>
    <row r="474">
      <c r="A474" s="32"/>
      <c r="B474" s="32"/>
      <c r="C474" s="29" t="s">
        <v>271</v>
      </c>
      <c r="D474" s="29" t="s">
        <v>587</v>
      </c>
      <c r="E474" s="28">
        <v>576.4</v>
      </c>
      <c r="F474" s="28">
        <v>0.0</v>
      </c>
      <c r="G474" s="28" t="s">
        <v>84</v>
      </c>
      <c r="H474" s="28">
        <f t="array" ref="H474">INDEX(CC!C:C,MATCH(1,(CC!A:A=G474)*(CC!B:B=I474),0))</f>
        <v>1002</v>
      </c>
      <c r="I474" s="28" t="s">
        <v>25</v>
      </c>
      <c r="J474" s="31">
        <v>576.4</v>
      </c>
      <c r="K474" s="28" t="str">
        <f>IFERROR(__xludf.DUMMYFUNCTION("IFERROR(
INDEX(
FILTER(
MAP(
reglas!$B$2:$B$240,
reglas!$C$2:$C$240,
reglas!$D$2:$D$240,
reglas!$E$2:$E$240,
LAMBDA(rEmisor,rPatron,rConcepto,rTipo,
IF(
AND(
OR(
UPPER(TRIM(rEmisor))=UPPER(TRIM(C474)),
UPPER(TRIM(rEmisor))=""CUALQUIERA""
),
OR(
UPPER(TRIM"&amp;"(rTipo))=""SOLO EMISOR"",
AND(
UPPER(TRIM(rTipo))=""EXACTA"",
UPPER(TRIM(AG474))=UPPER(TRIM(rPatron))
),
AND(
OR(
UPPER(TRIM(rTipo))=""CONTIENE"",
UPPER(TRIM(rTipo))=""COINCIDENCIA""
),
ISNUMBER(SEARCH(UPPER(TRIM(rPatron)),UPPER(TRIM(D474))))
)
)
),
rConc"&amp;"epto,
""""
)
)
),
MAP(
reglas!$B$2:$B$240,
reglas!$C$2:$C$240,
reglas!$D$2:$D$240,
reglas!$E$2:$E$240,
LAMBDA(rEmisor,rPatron,rConcepto,rTipo,
IF(
AND(
OR(
UPPER(TRIM(rEmisor))=UPPER(TRIM(C474)),
UPPER(TRIM(rEmisor))=""CUALQUIERA""
),
OR(
UPPER(TRIM(rTipo"&amp;"))=""SOLO EMISOR"",
AND(
UPPER(TRIM(rTipo))=""EXACTA"",
UPPER(TRIM(D474))=UPPER(TRIM(rPatron))
),
AND(
OR(
UPPER(TRIM(rTipo))=""CONTIENE"",
UPPER(TRIM(rTipo))=""COINCIDENCIA""
),
ISNUMBER(SEARCH(UPPER(TRIM(rPatron)),UPPER(TRIM(D474))))
)
)
),
rConcepto,
"&amp;"""""
)
)
)&lt;&gt;""""
),
1
),
""""
)"),"MANIOBRAS")</f>
        <v>MANIOBRAS</v>
      </c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</row>
    <row r="475">
      <c r="A475" s="32"/>
      <c r="B475" s="32"/>
      <c r="C475" s="29" t="s">
        <v>271</v>
      </c>
      <c r="D475" s="29" t="s">
        <v>589</v>
      </c>
      <c r="E475" s="28">
        <v>834.01</v>
      </c>
      <c r="F475" s="28">
        <v>0.0</v>
      </c>
      <c r="G475" s="28" t="s">
        <v>84</v>
      </c>
      <c r="H475" s="28">
        <f t="array" ref="H475">INDEX(CC!C:C,MATCH(1,(CC!A:A=G475)*(CC!B:B=I475),0))</f>
        <v>1002</v>
      </c>
      <c r="I475" s="28" t="s">
        <v>25</v>
      </c>
      <c r="J475" s="31">
        <v>834.01</v>
      </c>
      <c r="K475" s="28" t="str">
        <f>IFERROR(__xludf.DUMMYFUNCTION("IFERROR(
INDEX(
FILTER(
MAP(
reglas!$B$2:$B$240,
reglas!$C$2:$C$240,
reglas!$D$2:$D$240,
reglas!$E$2:$E$240,
LAMBDA(rEmisor,rPatron,rConcepto,rTipo,
IF(
AND(
OR(
UPPER(TRIM(rEmisor))=UPPER(TRIM(C475)),
UPPER(TRIM(rEmisor))=""CUALQUIERA""
),
OR(
UPPER(TRIM"&amp;"(rTipo))=""SOLO EMISOR"",
AND(
UPPER(TRIM(rTipo))=""EXACTA"",
UPPER(TRIM(AG475))=UPPER(TRIM(rPatron))
),
AND(
OR(
UPPER(TRIM(rTipo))=""CONTIENE"",
UPPER(TRIM(rTipo))=""COINCIDENCIA""
),
ISNUMBER(SEARCH(UPPER(TRIM(rPatron)),UPPER(TRIM(D475))))
)
)
),
rConc"&amp;"epto,
""""
)
)
),
MAP(
reglas!$B$2:$B$240,
reglas!$C$2:$C$240,
reglas!$D$2:$D$240,
reglas!$E$2:$E$240,
LAMBDA(rEmisor,rPatron,rConcepto,rTipo,
IF(
AND(
OR(
UPPER(TRIM(rEmisor))=UPPER(TRIM(C475)),
UPPER(TRIM(rEmisor))=""CUALQUIERA""
),
OR(
UPPER(TRIM(rTipo"&amp;"))=""SOLO EMISOR"",
AND(
UPPER(TRIM(rTipo))=""EXACTA"",
UPPER(TRIM(D475))=UPPER(TRIM(rPatron))
),
AND(
OR(
UPPER(TRIM(rTipo))=""CONTIENE"",
UPPER(TRIM(rTipo))=""COINCIDENCIA""
),
ISNUMBER(SEARCH(UPPER(TRIM(rPatron)),UPPER(TRIM(D475))))
)
)
),
rConcepto,
"&amp;"""""
)
)
)&lt;&gt;""""
),
1
),
""""
)"),"MANIOBRAS")</f>
        <v>MANIOBRAS</v>
      </c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</row>
    <row r="476">
      <c r="A476" s="32"/>
      <c r="B476" s="32"/>
      <c r="C476" s="29" t="s">
        <v>271</v>
      </c>
      <c r="D476" s="29" t="s">
        <v>596</v>
      </c>
      <c r="E476" s="28">
        <v>661.35</v>
      </c>
      <c r="F476" s="28">
        <v>0.0</v>
      </c>
      <c r="G476" s="28" t="s">
        <v>84</v>
      </c>
      <c r="H476" s="28">
        <f t="array" ref="H476">INDEX(CC!C:C,MATCH(1,(CC!A:A=G476)*(CC!B:B=I476),0))</f>
        <v>1002</v>
      </c>
      <c r="I476" s="28" t="s">
        <v>25</v>
      </c>
      <c r="J476" s="31">
        <v>661.35</v>
      </c>
      <c r="K476" s="28" t="str">
        <f>IFERROR(__xludf.DUMMYFUNCTION("IFERROR(
INDEX(
FILTER(
MAP(
reglas!$B$2:$B$240,
reglas!$C$2:$C$240,
reglas!$D$2:$D$240,
reglas!$E$2:$E$240,
LAMBDA(rEmisor,rPatron,rConcepto,rTipo,
IF(
AND(
OR(
UPPER(TRIM(rEmisor))=UPPER(TRIM(C476)),
UPPER(TRIM(rEmisor))=""CUALQUIERA""
),
OR(
UPPER(TRIM"&amp;"(rTipo))=""SOLO EMISOR"",
AND(
UPPER(TRIM(rTipo))=""EXACTA"",
UPPER(TRIM(AG476))=UPPER(TRIM(rPatron))
),
AND(
OR(
UPPER(TRIM(rTipo))=""CONTIENE"",
UPPER(TRIM(rTipo))=""COINCIDENCIA""
),
ISNUMBER(SEARCH(UPPER(TRIM(rPatron)),UPPER(TRIM(D476))))
)
)
),
rConc"&amp;"epto,
""""
)
)
),
MAP(
reglas!$B$2:$B$240,
reglas!$C$2:$C$240,
reglas!$D$2:$D$240,
reglas!$E$2:$E$240,
LAMBDA(rEmisor,rPatron,rConcepto,rTipo,
IF(
AND(
OR(
UPPER(TRIM(rEmisor))=UPPER(TRIM(C476)),
UPPER(TRIM(rEmisor))=""CUALQUIERA""
),
OR(
UPPER(TRIM(rTipo"&amp;"))=""SOLO EMISOR"",
AND(
UPPER(TRIM(rTipo))=""EXACTA"",
UPPER(TRIM(D476))=UPPER(TRIM(rPatron))
),
AND(
OR(
UPPER(TRIM(rTipo))=""CONTIENE"",
UPPER(TRIM(rTipo))=""COINCIDENCIA""
),
ISNUMBER(SEARCH(UPPER(TRIM(rPatron)),UPPER(TRIM(D476))))
)
)
),
rConcepto,
"&amp;"""""
)
)
)&lt;&gt;""""
),
1
),
""""
)"),"MANIOBRAS")</f>
        <v>MANIOBRAS</v>
      </c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</row>
    <row r="477">
      <c r="A477" s="32"/>
      <c r="B477" s="28" t="s">
        <v>29</v>
      </c>
      <c r="C477" s="29" t="s">
        <v>172</v>
      </c>
      <c r="D477" s="29" t="s">
        <v>1519</v>
      </c>
      <c r="E477" s="30">
        <v>11500.0</v>
      </c>
      <c r="F477" s="28">
        <v>0.0</v>
      </c>
      <c r="G477" s="28" t="s">
        <v>250</v>
      </c>
      <c r="H477" s="28">
        <f t="array" ref="H477">INDEX(CC!C:C,MATCH(1,(CC!A:A=G477)*(CC!B:B=I477),0))</f>
        <v>1402</v>
      </c>
      <c r="I477" s="28" t="s">
        <v>25</v>
      </c>
      <c r="J477" s="31">
        <v>11500.0</v>
      </c>
      <c r="K477" s="28" t="str">
        <f>IFERROR(__xludf.DUMMYFUNCTION("IFERROR(
INDEX(
FILTER(
MAP(
reglas!$B$2:$B$240,
reglas!$C$2:$C$240,
reglas!$D$2:$D$240,
reglas!$E$2:$E$240,
LAMBDA(rEmisor,rPatron,rConcepto,rTipo,
IF(
AND(
OR(
UPPER(TRIM(rEmisor))=UPPER(TRIM(C477)),
UPPER(TRIM(rEmisor))=""CUALQUIERA""
),
OR(
UPPER(TRIM"&amp;"(rTipo))=""SOLO EMISOR"",
AND(
UPPER(TRIM(rTipo))=""EXACTA"",
UPPER(TRIM(AG477))=UPPER(TRIM(rPatron))
),
AND(
OR(
UPPER(TRIM(rTipo))=""CONTIENE"",
UPPER(TRIM(rTipo))=""COINCIDENCIA""
),
ISNUMBER(SEARCH(UPPER(TRIM(rPatron)),UPPER(TRIM(D477))))
)
)
),
rConc"&amp;"epto,
""""
)
)
),
MAP(
reglas!$B$2:$B$240,
reglas!$C$2:$C$240,
reglas!$D$2:$D$240,
reglas!$E$2:$E$240,
LAMBDA(rEmisor,rPatron,rConcepto,rTipo,
IF(
AND(
OR(
UPPER(TRIM(rEmisor))=UPPER(TRIM(C477)),
UPPER(TRIM(rEmisor))=""CUALQUIERA""
),
OR(
UPPER(TRIM(rTipo"&amp;"))=""SOLO EMISOR"",
AND(
UPPER(TRIM(rTipo))=""EXACTA"",
UPPER(TRIM(D477))=UPPER(TRIM(rPatron))
),
AND(
OR(
UPPER(TRIM(rTipo))=""CONTIENE"",
UPPER(TRIM(rTipo))=""COINCIDENCIA""
),
ISNUMBER(SEARCH(UPPER(TRIM(rPatron)),UPPER(TRIM(D477))))
)
)
),
rConcepto,
"&amp;"""""
)
)
)&lt;&gt;""""
),
1
),
""""
)"),"TRANSPORTE")</f>
        <v>TRANSPORTE</v>
      </c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</row>
    <row r="478">
      <c r="A478" s="32"/>
      <c r="B478" s="28" t="s">
        <v>29</v>
      </c>
      <c r="C478" s="29" t="s">
        <v>278</v>
      </c>
      <c r="D478" s="29" t="s">
        <v>898</v>
      </c>
      <c r="E478" s="28">
        <v>1000.0</v>
      </c>
      <c r="F478" s="28">
        <v>0.0</v>
      </c>
      <c r="G478" s="28" t="s">
        <v>250</v>
      </c>
      <c r="H478" s="28">
        <f t="array" ref="H478">INDEX(CC!C:C,MATCH(1,(CC!A:A=G478)*(CC!B:B=I478),0))</f>
        <v>1402</v>
      </c>
      <c r="I478" s="28" t="s">
        <v>25</v>
      </c>
      <c r="J478" s="31">
        <v>1000.0</v>
      </c>
      <c r="K478" s="28" t="str">
        <f>IFERROR(__xludf.DUMMYFUNCTION("IFERROR(
INDEX(
FILTER(
MAP(
reglas!$B$2:$B$240,
reglas!$C$2:$C$240,
reglas!$D$2:$D$240,
reglas!$E$2:$E$240,
LAMBDA(rEmisor,rPatron,rConcepto,rTipo,
IF(
AND(
OR(
UPPER(TRIM(rEmisor))=UPPER(TRIM(C478)),
UPPER(TRIM(rEmisor))=""CUALQUIERA""
),
OR(
UPPER(TRIM"&amp;"(rTipo))=""SOLO EMISOR"",
AND(
UPPER(TRIM(rTipo))=""EXACTA"",
UPPER(TRIM(AG478))=UPPER(TRIM(rPatron))
),
AND(
OR(
UPPER(TRIM(rTipo))=""CONTIENE"",
UPPER(TRIM(rTipo))=""COINCIDENCIA""
),
ISNUMBER(SEARCH(UPPER(TRIM(rPatron)),UPPER(TRIM(D478))))
)
)
),
rConc"&amp;"epto,
""""
)
)
),
MAP(
reglas!$B$2:$B$240,
reglas!$C$2:$C$240,
reglas!$D$2:$D$240,
reglas!$E$2:$E$240,
LAMBDA(rEmisor,rPatron,rConcepto,rTipo,
IF(
AND(
OR(
UPPER(TRIM(rEmisor))=UPPER(TRIM(C478)),
UPPER(TRIM(rEmisor))=""CUALQUIERA""
),
OR(
UPPER(TRIM(rTipo"&amp;"))=""SOLO EMISOR"",
AND(
UPPER(TRIM(rTipo))=""EXACTA"",
UPPER(TRIM(D478))=UPPER(TRIM(rPatron))
),
AND(
OR(
UPPER(TRIM(rTipo))=""CONTIENE"",
UPPER(TRIM(rTipo))=""COINCIDENCIA""
),
ISNUMBER(SEARCH(UPPER(TRIM(rPatron)),UPPER(TRIM(D478))))
)
)
),
rConcepto,
"&amp;"""""
)
)
)&lt;&gt;""""
),
1
),
""""
)"),"MANIOBRAS")</f>
        <v>MANIOBRAS</v>
      </c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</row>
    <row r="479">
      <c r="A479" s="32"/>
      <c r="B479" s="28" t="s">
        <v>29</v>
      </c>
      <c r="C479" s="29" t="s">
        <v>1615</v>
      </c>
      <c r="D479" s="29" t="s">
        <v>1616</v>
      </c>
      <c r="E479" s="28">
        <v>1298.278607</v>
      </c>
      <c r="F479" s="28">
        <v>0.0</v>
      </c>
      <c r="G479" s="28" t="s">
        <v>84</v>
      </c>
      <c r="H479" s="28">
        <f t="array" ref="H479">INDEX(CC!C:C,MATCH(1,(CC!A:A=G479)*(CC!B:B=I479),0))</f>
        <v>1002</v>
      </c>
      <c r="I479" s="28" t="s">
        <v>25</v>
      </c>
      <c r="J479" s="31">
        <v>1298.28</v>
      </c>
      <c r="K479" s="28" t="str">
        <f>IFERROR(__xludf.DUMMYFUNCTION("IFERROR(
INDEX(
FILTER(
MAP(
reglas!$B$2:$B$240,
reglas!$C$2:$C$240,
reglas!$D$2:$D$240,
reglas!$E$2:$E$240,
LAMBDA(rEmisor,rPatron,rConcepto,rTipo,
IF(
AND(
OR(
UPPER(TRIM(rEmisor))=UPPER(TRIM(C479)),
UPPER(TRIM(rEmisor))=""CUALQUIERA""
),
OR(
UPPER(TRIM"&amp;"(rTipo))=""SOLO EMISOR"",
AND(
UPPER(TRIM(rTipo))=""EXACTA"",
UPPER(TRIM(AG479))=UPPER(TRIM(rPatron))
),
AND(
OR(
UPPER(TRIM(rTipo))=""CONTIENE"",
UPPER(TRIM(rTipo))=""COINCIDENCIA""
),
ISNUMBER(SEARCH(UPPER(TRIM(rPatron)),UPPER(TRIM(D479))))
)
)
),
rConc"&amp;"epto,
""""
)
)
),
MAP(
reglas!$B$2:$B$240,
reglas!$C$2:$C$240,
reglas!$D$2:$D$240,
reglas!$E$2:$E$240,
LAMBDA(rEmisor,rPatron,rConcepto,rTipo,
IF(
AND(
OR(
UPPER(TRIM(rEmisor))=UPPER(TRIM(C479)),
UPPER(TRIM(rEmisor))=""CUALQUIERA""
),
OR(
UPPER(TRIM(rTipo"&amp;"))=""SOLO EMISOR"",
AND(
UPPER(TRIM(rTipo))=""EXACTA"",
UPPER(TRIM(D479))=UPPER(TRIM(rPatron))
),
AND(
OR(
UPPER(TRIM(rTipo))=""CONTIENE"",
UPPER(TRIM(rTipo))=""COINCIDENCIA""
),
ISNUMBER(SEARCH(UPPER(TRIM(rPatron)),UPPER(TRIM(D479))))
)
)
),
rConcepto,
"&amp;"""""
)
)
)&lt;&gt;""""
),
1
),
""""
)"),"COMBUSTIBLES Y LUBRICANTES")</f>
        <v>COMBUSTIBLES Y LUBRICANTES</v>
      </c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</row>
    <row r="480">
      <c r="A480" s="32"/>
      <c r="B480" s="28" t="s">
        <v>29</v>
      </c>
      <c r="C480" s="29" t="s">
        <v>278</v>
      </c>
      <c r="D480" s="29" t="s">
        <v>560</v>
      </c>
      <c r="E480" s="28">
        <v>3500.0</v>
      </c>
      <c r="F480" s="28">
        <v>0.0</v>
      </c>
      <c r="G480" s="28" t="s">
        <v>250</v>
      </c>
      <c r="H480" s="28">
        <f t="array" ref="H480">INDEX(CC!C:C,MATCH(1,(CC!A:A=G480)*(CC!B:B=I480),0))</f>
        <v>1402</v>
      </c>
      <c r="I480" s="28" t="s">
        <v>25</v>
      </c>
      <c r="J480" s="31">
        <v>3500.0</v>
      </c>
      <c r="K480" s="28" t="str">
        <f>IFERROR(__xludf.DUMMYFUNCTION("IFERROR(
INDEX(
FILTER(
MAP(
reglas!$B$2:$B$240,
reglas!$C$2:$C$240,
reglas!$D$2:$D$240,
reglas!$E$2:$E$240,
LAMBDA(rEmisor,rPatron,rConcepto,rTipo,
IF(
AND(
OR(
UPPER(TRIM(rEmisor))=UPPER(TRIM(C480)),
UPPER(TRIM(rEmisor))=""CUALQUIERA""
),
OR(
UPPER(TRIM"&amp;"(rTipo))=""SOLO EMISOR"",
AND(
UPPER(TRIM(rTipo))=""EXACTA"",
UPPER(TRIM(AG480))=UPPER(TRIM(rPatron))
),
AND(
OR(
UPPER(TRIM(rTipo))=""CONTIENE"",
UPPER(TRIM(rTipo))=""COINCIDENCIA""
),
ISNUMBER(SEARCH(UPPER(TRIM(rPatron)),UPPER(TRIM(D480))))
)
)
),
rConc"&amp;"epto,
""""
)
)
),
MAP(
reglas!$B$2:$B$240,
reglas!$C$2:$C$240,
reglas!$D$2:$D$240,
reglas!$E$2:$E$240,
LAMBDA(rEmisor,rPatron,rConcepto,rTipo,
IF(
AND(
OR(
UPPER(TRIM(rEmisor))=UPPER(TRIM(C480)),
UPPER(TRIM(rEmisor))=""CUALQUIERA""
),
OR(
UPPER(TRIM(rTipo"&amp;"))=""SOLO EMISOR"",
AND(
UPPER(TRIM(rTipo))=""EXACTA"",
UPPER(TRIM(D480))=UPPER(TRIM(rPatron))
),
AND(
OR(
UPPER(TRIM(rTipo))=""CONTIENE"",
UPPER(TRIM(rTipo))=""COINCIDENCIA""
),
ISNUMBER(SEARCH(UPPER(TRIM(rPatron)),UPPER(TRIM(D480))))
)
)
),
rConcepto,
"&amp;"""""
)
)
)&lt;&gt;""""
),
1
),
""""
)"),"MANIOBRAS")</f>
        <v>MANIOBRAS</v>
      </c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</row>
    <row r="481">
      <c r="A481" s="32"/>
      <c r="B481" s="28" t="s">
        <v>29</v>
      </c>
      <c r="C481" s="29" t="s">
        <v>131</v>
      </c>
      <c r="D481" s="29" t="s">
        <v>134</v>
      </c>
      <c r="E481" s="28">
        <v>129.31</v>
      </c>
      <c r="F481" s="28">
        <v>0.0</v>
      </c>
      <c r="G481" s="28" t="s">
        <v>74</v>
      </c>
      <c r="H481" s="28">
        <f t="array" ref="H481">INDEX(CC!C:C,MATCH(1,(CC!A:A=G481)*(CC!B:B=I481),0))</f>
        <v>1502</v>
      </c>
      <c r="I481" s="28" t="s">
        <v>25</v>
      </c>
      <c r="J481" s="31">
        <v>129.31</v>
      </c>
      <c r="K481" s="28" t="str">
        <f>IFERROR(__xludf.DUMMYFUNCTION("IFERROR(
INDEX(
FILTER(
MAP(
reglas!$B$2:$B$240,
reglas!$C$2:$C$240,
reglas!$D$2:$D$240,
reglas!$E$2:$E$240,
LAMBDA(rEmisor,rPatron,rConcepto,rTipo,
IF(
AND(
OR(
UPPER(TRIM(rEmisor))=UPPER(TRIM(C481)),
UPPER(TRIM(rEmisor))=""CUALQUIERA""
),
OR(
UPPER(TRIM"&amp;"(rTipo))=""SOLO EMISOR"",
AND(
UPPER(TRIM(rTipo))=""EXACTA"",
UPPER(TRIM(AG481))=UPPER(TRIM(rPatron))
),
AND(
OR(
UPPER(TRIM(rTipo))=""CONTIENE"",
UPPER(TRIM(rTipo))=""COINCIDENCIA""
),
ISNUMBER(SEARCH(UPPER(TRIM(rPatron)),UPPER(TRIM(D481))))
)
)
),
rConc"&amp;"epto,
""""
)
)
),
MAP(
reglas!$B$2:$B$240,
reglas!$C$2:$C$240,
reglas!$D$2:$D$240,
reglas!$E$2:$E$240,
LAMBDA(rEmisor,rPatron,rConcepto,rTipo,
IF(
AND(
OR(
UPPER(TRIM(rEmisor))=UPPER(TRIM(C481)),
UPPER(TRIM(rEmisor))=""CUALQUIERA""
),
OR(
UPPER(TRIM(rTipo"&amp;"))=""SOLO EMISOR"",
AND(
UPPER(TRIM(rTipo))=""EXACTA"",
UPPER(TRIM(D481))=UPPER(TRIM(rPatron))
),
AND(
OR(
UPPER(TRIM(rTipo))=""CONTIENE"",
UPPER(TRIM(rTipo))=""COINCIDENCIA""
),
ISNUMBER(SEARCH(UPPER(TRIM(rPatron)),UPPER(TRIM(D481))))
)
)
),
rConcepto,
"&amp;"""""
)
)
)&lt;&gt;""""
),
1
),
""""
)"),"SANITARIOS")</f>
        <v>SANITARIOS</v>
      </c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</row>
    <row r="482">
      <c r="A482" s="32"/>
      <c r="B482" s="28" t="s">
        <v>29</v>
      </c>
      <c r="C482" s="29" t="s">
        <v>163</v>
      </c>
      <c r="D482" s="29" t="s">
        <v>1617</v>
      </c>
      <c r="E482" s="28">
        <v>262.93</v>
      </c>
      <c r="F482" s="28">
        <v>0.0</v>
      </c>
      <c r="G482" s="28" t="s">
        <v>385</v>
      </c>
      <c r="H482" s="28">
        <f t="array" ref="H482">INDEX(CC!C:C,MATCH(1,(CC!A:A=G482)*(CC!B:B=I482),0))</f>
        <v>502</v>
      </c>
      <c r="I482" s="28" t="s">
        <v>25</v>
      </c>
      <c r="J482" s="31">
        <v>262.93</v>
      </c>
      <c r="K482" s="28" t="str">
        <f>IFERROR(__xludf.DUMMYFUNCTION("IFERROR(
INDEX(
FILTER(
MAP(
reglas!$B$2:$B$240,
reglas!$C$2:$C$240,
reglas!$D$2:$D$240,
reglas!$E$2:$E$240,
LAMBDA(rEmisor,rPatron,rConcepto,rTipo,
IF(
AND(
OR(
UPPER(TRIM(rEmisor))=UPPER(TRIM(C482)),
UPPER(TRIM(rEmisor))=""CUALQUIERA""
),
OR(
UPPER(TRIM"&amp;"(rTipo))=""SOLO EMISOR"",
AND(
UPPER(TRIM(rTipo))=""EXACTA"",
UPPER(TRIM(AG482))=UPPER(TRIM(rPatron))
),
AND(
OR(
UPPER(TRIM(rTipo))=""CONTIENE"",
UPPER(TRIM(rTipo))=""COINCIDENCIA""
),
ISNUMBER(SEARCH(UPPER(TRIM(rPatron)),UPPER(TRIM(D482))))
)
)
),
rConc"&amp;"epto,
""""
)
)
),
MAP(
reglas!$B$2:$B$240,
reglas!$C$2:$C$240,
reglas!$D$2:$D$240,
reglas!$E$2:$E$240,
LAMBDA(rEmisor,rPatron,rConcepto,rTipo,
IF(
AND(
OR(
UPPER(TRIM(rEmisor))=UPPER(TRIM(C482)),
UPPER(TRIM(rEmisor))=""CUALQUIERA""
),
OR(
UPPER(TRIM(rTipo"&amp;"))=""SOLO EMISOR"",
AND(
UPPER(TRIM(rTipo))=""EXACTA"",
UPPER(TRIM(D482))=UPPER(TRIM(rPatron))
),
AND(
OR(
UPPER(TRIM(rTipo))=""CONTIENE"",
UPPER(TRIM(rTipo))=""COINCIDENCIA""
),
ISNUMBER(SEARCH(UPPER(TRIM(rPatron)),UPPER(TRIM(D482))))
)
)
),
rConcepto,
"&amp;"""""
)
)
)&lt;&gt;""""
),
1
),
""""
)"),"PATIO REGULADOR")</f>
        <v>PATIO REGULADOR</v>
      </c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</row>
    <row r="483">
      <c r="A483" s="28">
        <v>1.0</v>
      </c>
      <c r="B483" s="28" t="s">
        <v>29</v>
      </c>
      <c r="C483" s="29" t="s">
        <v>271</v>
      </c>
      <c r="D483" s="29" t="s">
        <v>585</v>
      </c>
      <c r="E483" s="28">
        <v>629.54</v>
      </c>
      <c r="F483" s="28">
        <v>0.0</v>
      </c>
      <c r="G483" s="28" t="s">
        <v>84</v>
      </c>
      <c r="H483" s="28">
        <f t="array" ref="H483">INDEX(CC!C:C,MATCH(1,(CC!A:A=G483)*(CC!B:B=I483),0))</f>
        <v>1002</v>
      </c>
      <c r="I483" s="28" t="s">
        <v>25</v>
      </c>
      <c r="J483" s="31">
        <v>629.54</v>
      </c>
      <c r="K483" s="28" t="str">
        <f>IFERROR(__xludf.DUMMYFUNCTION("IFERROR(
INDEX(
FILTER(
MAP(
reglas!$B$2:$B$240,
reglas!$C$2:$C$240,
reglas!$D$2:$D$240,
reglas!$E$2:$E$240,
LAMBDA(rEmisor,rPatron,rConcepto,rTipo,
IF(
AND(
OR(
UPPER(TRIM(rEmisor))=UPPER(TRIM(C483)),
UPPER(TRIM(rEmisor))=""CUALQUIERA""
),
OR(
UPPER(TRIM"&amp;"(rTipo))=""SOLO EMISOR"",
AND(
UPPER(TRIM(rTipo))=""EXACTA"",
UPPER(TRIM(AG483))=UPPER(TRIM(rPatron))
),
AND(
OR(
UPPER(TRIM(rTipo))=""CONTIENE"",
UPPER(TRIM(rTipo))=""COINCIDENCIA""
),
ISNUMBER(SEARCH(UPPER(TRIM(rPatron)),UPPER(TRIM(D483))))
)
)
),
rConc"&amp;"epto,
""""
)
)
),
MAP(
reglas!$B$2:$B$240,
reglas!$C$2:$C$240,
reglas!$D$2:$D$240,
reglas!$E$2:$E$240,
LAMBDA(rEmisor,rPatron,rConcepto,rTipo,
IF(
AND(
OR(
UPPER(TRIM(rEmisor))=UPPER(TRIM(C483)),
UPPER(TRIM(rEmisor))=""CUALQUIERA""
),
OR(
UPPER(TRIM(rTipo"&amp;"))=""SOLO EMISOR"",
AND(
UPPER(TRIM(rTipo))=""EXACTA"",
UPPER(TRIM(D483))=UPPER(TRIM(rPatron))
),
AND(
OR(
UPPER(TRIM(rTipo))=""CONTIENE"",
UPPER(TRIM(rTipo))=""COINCIDENCIA""
),
ISNUMBER(SEARCH(UPPER(TRIM(rPatron)),UPPER(TRIM(D483))))
)
)
),
rConcepto,
"&amp;"""""
)
)
)&lt;&gt;""""
),
1
),
""""
)"),"MANIOBRAS")</f>
        <v>MANIOBRAS</v>
      </c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</row>
    <row r="484">
      <c r="A484" s="32"/>
      <c r="B484" s="32"/>
      <c r="C484" s="29" t="s">
        <v>271</v>
      </c>
      <c r="D484" s="29" t="s">
        <v>587</v>
      </c>
      <c r="E484" s="28">
        <v>575.99</v>
      </c>
      <c r="F484" s="28">
        <v>0.0</v>
      </c>
      <c r="G484" s="28" t="s">
        <v>84</v>
      </c>
      <c r="H484" s="28">
        <f t="array" ref="H484">INDEX(CC!C:C,MATCH(1,(CC!A:A=G484)*(CC!B:B=I484),0))</f>
        <v>1002</v>
      </c>
      <c r="I484" s="28" t="s">
        <v>25</v>
      </c>
      <c r="J484" s="31">
        <v>575.99</v>
      </c>
      <c r="K484" s="28" t="str">
        <f>IFERROR(__xludf.DUMMYFUNCTION("IFERROR(
INDEX(
FILTER(
MAP(
reglas!$B$2:$B$240,
reglas!$C$2:$C$240,
reglas!$D$2:$D$240,
reglas!$E$2:$E$240,
LAMBDA(rEmisor,rPatron,rConcepto,rTipo,
IF(
AND(
OR(
UPPER(TRIM(rEmisor))=UPPER(TRIM(C484)),
UPPER(TRIM(rEmisor))=""CUALQUIERA""
),
OR(
UPPER(TRIM"&amp;"(rTipo))=""SOLO EMISOR"",
AND(
UPPER(TRIM(rTipo))=""EXACTA"",
UPPER(TRIM(AG484))=UPPER(TRIM(rPatron))
),
AND(
OR(
UPPER(TRIM(rTipo))=""CONTIENE"",
UPPER(TRIM(rTipo))=""COINCIDENCIA""
),
ISNUMBER(SEARCH(UPPER(TRIM(rPatron)),UPPER(TRIM(D484))))
)
)
),
rConc"&amp;"epto,
""""
)
)
),
MAP(
reglas!$B$2:$B$240,
reglas!$C$2:$C$240,
reglas!$D$2:$D$240,
reglas!$E$2:$E$240,
LAMBDA(rEmisor,rPatron,rConcepto,rTipo,
IF(
AND(
OR(
UPPER(TRIM(rEmisor))=UPPER(TRIM(C484)),
UPPER(TRIM(rEmisor))=""CUALQUIERA""
),
OR(
UPPER(TRIM(rTipo"&amp;"))=""SOLO EMISOR"",
AND(
UPPER(TRIM(rTipo))=""EXACTA"",
UPPER(TRIM(D484))=UPPER(TRIM(rPatron))
),
AND(
OR(
UPPER(TRIM(rTipo))=""CONTIENE"",
UPPER(TRIM(rTipo))=""COINCIDENCIA""
),
ISNUMBER(SEARCH(UPPER(TRIM(rPatron)),UPPER(TRIM(D484))))
)
)
),
rConcepto,
"&amp;"""""
)
)
)&lt;&gt;""""
),
1
),
""""
)"),"MANIOBRAS")</f>
        <v>MANIOBRAS</v>
      </c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</row>
    <row r="485">
      <c r="A485" s="32"/>
      <c r="B485" s="32"/>
      <c r="C485" s="29" t="s">
        <v>271</v>
      </c>
      <c r="D485" s="29" t="s">
        <v>586</v>
      </c>
      <c r="E485" s="28">
        <v>629.89</v>
      </c>
      <c r="F485" s="28">
        <v>0.0</v>
      </c>
      <c r="G485" s="28" t="s">
        <v>84</v>
      </c>
      <c r="H485" s="28">
        <f t="array" ref="H485">INDEX(CC!C:C,MATCH(1,(CC!A:A=G485)*(CC!B:B=I485),0))</f>
        <v>1002</v>
      </c>
      <c r="I485" s="28" t="s">
        <v>25</v>
      </c>
      <c r="J485" s="31">
        <v>629.89</v>
      </c>
      <c r="K485" s="28" t="str">
        <f>IFERROR(__xludf.DUMMYFUNCTION("IFERROR(
INDEX(
FILTER(
MAP(
reglas!$B$2:$B$240,
reglas!$C$2:$C$240,
reglas!$D$2:$D$240,
reglas!$E$2:$E$240,
LAMBDA(rEmisor,rPatron,rConcepto,rTipo,
IF(
AND(
OR(
UPPER(TRIM(rEmisor))=UPPER(TRIM(C485)),
UPPER(TRIM(rEmisor))=""CUALQUIERA""
),
OR(
UPPER(TRIM"&amp;"(rTipo))=""SOLO EMISOR"",
AND(
UPPER(TRIM(rTipo))=""EXACTA"",
UPPER(TRIM(AG485))=UPPER(TRIM(rPatron))
),
AND(
OR(
UPPER(TRIM(rTipo))=""CONTIENE"",
UPPER(TRIM(rTipo))=""COINCIDENCIA""
),
ISNUMBER(SEARCH(UPPER(TRIM(rPatron)),UPPER(TRIM(D485))))
)
)
),
rConc"&amp;"epto,
""""
)
)
),
MAP(
reglas!$B$2:$B$240,
reglas!$C$2:$C$240,
reglas!$D$2:$D$240,
reglas!$E$2:$E$240,
LAMBDA(rEmisor,rPatron,rConcepto,rTipo,
IF(
AND(
OR(
UPPER(TRIM(rEmisor))=UPPER(TRIM(C485)),
UPPER(TRIM(rEmisor))=""CUALQUIERA""
),
OR(
UPPER(TRIM(rTipo"&amp;"))=""SOLO EMISOR"",
AND(
UPPER(TRIM(rTipo))=""EXACTA"",
UPPER(TRIM(D485))=UPPER(TRIM(rPatron))
),
AND(
OR(
UPPER(TRIM(rTipo))=""CONTIENE"",
UPPER(TRIM(rTipo))=""COINCIDENCIA""
),
ISNUMBER(SEARCH(UPPER(TRIM(rPatron)),UPPER(TRIM(D485))))
)
)
),
rConcepto,
"&amp;"""""
)
)
)&lt;&gt;""""
),
1
),
""""
)"),"MANIOBRAS")</f>
        <v>MANIOBRAS</v>
      </c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</row>
    <row r="486">
      <c r="A486" s="32"/>
      <c r="B486" s="32"/>
      <c r="C486" s="29" t="s">
        <v>271</v>
      </c>
      <c r="D486" s="29" t="s">
        <v>589</v>
      </c>
      <c r="E486" s="28">
        <v>629.89</v>
      </c>
      <c r="F486" s="28">
        <v>0.0</v>
      </c>
      <c r="G486" s="28" t="s">
        <v>84</v>
      </c>
      <c r="H486" s="28">
        <f t="array" ref="H486">INDEX(CC!C:C,MATCH(1,(CC!A:A=G486)*(CC!B:B=I486),0))</f>
        <v>1002</v>
      </c>
      <c r="I486" s="28" t="s">
        <v>25</v>
      </c>
      <c r="J486" s="31">
        <v>629.89</v>
      </c>
      <c r="K486" s="28" t="str">
        <f>IFERROR(__xludf.DUMMYFUNCTION("IFERROR(
INDEX(
FILTER(
MAP(
reglas!$B$2:$B$240,
reglas!$C$2:$C$240,
reglas!$D$2:$D$240,
reglas!$E$2:$E$240,
LAMBDA(rEmisor,rPatron,rConcepto,rTipo,
IF(
AND(
OR(
UPPER(TRIM(rEmisor))=UPPER(TRIM(C486)),
UPPER(TRIM(rEmisor))=""CUALQUIERA""
),
OR(
UPPER(TRIM"&amp;"(rTipo))=""SOLO EMISOR"",
AND(
UPPER(TRIM(rTipo))=""EXACTA"",
UPPER(TRIM(AG486))=UPPER(TRIM(rPatron))
),
AND(
OR(
UPPER(TRIM(rTipo))=""CONTIENE"",
UPPER(TRIM(rTipo))=""COINCIDENCIA""
),
ISNUMBER(SEARCH(UPPER(TRIM(rPatron)),UPPER(TRIM(D486))))
)
)
),
rConc"&amp;"epto,
""""
)
)
),
MAP(
reglas!$B$2:$B$240,
reglas!$C$2:$C$240,
reglas!$D$2:$D$240,
reglas!$E$2:$E$240,
LAMBDA(rEmisor,rPatron,rConcepto,rTipo,
IF(
AND(
OR(
UPPER(TRIM(rEmisor))=UPPER(TRIM(C486)),
UPPER(TRIM(rEmisor))=""CUALQUIERA""
),
OR(
UPPER(TRIM(rTipo"&amp;"))=""SOLO EMISOR"",
AND(
UPPER(TRIM(rTipo))=""EXACTA"",
UPPER(TRIM(D486))=UPPER(TRIM(rPatron))
),
AND(
OR(
UPPER(TRIM(rTipo))=""CONTIENE"",
UPPER(TRIM(rTipo))=""COINCIDENCIA""
),
ISNUMBER(SEARCH(UPPER(TRIM(rPatron)),UPPER(TRIM(D486))))
)
)
),
rConcepto,
"&amp;"""""
)
)
)&lt;&gt;""""
),
1
),
""""
)"),"MANIOBRAS")</f>
        <v>MANIOBRAS</v>
      </c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</row>
    <row r="487">
      <c r="A487" s="32"/>
      <c r="B487" s="32"/>
      <c r="C487" s="29" t="s">
        <v>271</v>
      </c>
      <c r="D487" s="29" t="s">
        <v>593</v>
      </c>
      <c r="E487" s="28">
        <v>452.01</v>
      </c>
      <c r="F487" s="28">
        <v>0.0</v>
      </c>
      <c r="G487" s="28" t="s">
        <v>84</v>
      </c>
      <c r="H487" s="28">
        <f t="array" ref="H487">INDEX(CC!C:C,MATCH(1,(CC!A:A=G487)*(CC!B:B=I487),0))</f>
        <v>1002</v>
      </c>
      <c r="I487" s="28" t="s">
        <v>25</v>
      </c>
      <c r="J487" s="31">
        <v>452.01</v>
      </c>
      <c r="K487" s="28" t="str">
        <f>IFERROR(__xludf.DUMMYFUNCTION("IFERROR(
INDEX(
FILTER(
MAP(
reglas!$B$2:$B$240,
reglas!$C$2:$C$240,
reglas!$D$2:$D$240,
reglas!$E$2:$E$240,
LAMBDA(rEmisor,rPatron,rConcepto,rTipo,
IF(
AND(
OR(
UPPER(TRIM(rEmisor))=UPPER(TRIM(C487)),
UPPER(TRIM(rEmisor))=""CUALQUIERA""
),
OR(
UPPER(TRIM"&amp;"(rTipo))=""SOLO EMISOR"",
AND(
UPPER(TRIM(rTipo))=""EXACTA"",
UPPER(TRIM(AG487))=UPPER(TRIM(rPatron))
),
AND(
OR(
UPPER(TRIM(rTipo))=""CONTIENE"",
UPPER(TRIM(rTipo))=""COINCIDENCIA""
),
ISNUMBER(SEARCH(UPPER(TRIM(rPatron)),UPPER(TRIM(D487))))
)
)
),
rConc"&amp;"epto,
""""
)
)
),
MAP(
reglas!$B$2:$B$240,
reglas!$C$2:$C$240,
reglas!$D$2:$D$240,
reglas!$E$2:$E$240,
LAMBDA(rEmisor,rPatron,rConcepto,rTipo,
IF(
AND(
OR(
UPPER(TRIM(rEmisor))=UPPER(TRIM(C487)),
UPPER(TRIM(rEmisor))=""CUALQUIERA""
),
OR(
UPPER(TRIM(rTipo"&amp;"))=""SOLO EMISOR"",
AND(
UPPER(TRIM(rTipo))=""EXACTA"",
UPPER(TRIM(D487))=UPPER(TRIM(rPatron))
),
AND(
OR(
UPPER(TRIM(rTipo))=""CONTIENE"",
UPPER(TRIM(rTipo))=""COINCIDENCIA""
),
ISNUMBER(SEARCH(UPPER(TRIM(rPatron)),UPPER(TRIM(D487))))
)
)
),
rConcepto,
"&amp;"""""
)
)
)&lt;&gt;""""
),
1
),
""""
)"),"MANIOBRAS")</f>
        <v>MANIOBRAS</v>
      </c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</row>
    <row r="488">
      <c r="A488" s="32"/>
      <c r="B488" s="32"/>
      <c r="C488" s="29" t="s">
        <v>271</v>
      </c>
      <c r="D488" s="29" t="s">
        <v>596</v>
      </c>
      <c r="E488" s="28">
        <v>660.88</v>
      </c>
      <c r="F488" s="28">
        <v>0.0</v>
      </c>
      <c r="G488" s="28" t="s">
        <v>84</v>
      </c>
      <c r="H488" s="28">
        <f t="array" ref="H488">INDEX(CC!C:C,MATCH(1,(CC!A:A=G488)*(CC!B:B=I488),0))</f>
        <v>1002</v>
      </c>
      <c r="I488" s="28" t="s">
        <v>25</v>
      </c>
      <c r="J488" s="31">
        <v>660.88</v>
      </c>
      <c r="K488" s="28" t="str">
        <f>IFERROR(__xludf.DUMMYFUNCTION("IFERROR(
INDEX(
FILTER(
MAP(
reglas!$B$2:$B$240,
reglas!$C$2:$C$240,
reglas!$D$2:$D$240,
reglas!$E$2:$E$240,
LAMBDA(rEmisor,rPatron,rConcepto,rTipo,
IF(
AND(
OR(
UPPER(TRIM(rEmisor))=UPPER(TRIM(C488)),
UPPER(TRIM(rEmisor))=""CUALQUIERA""
),
OR(
UPPER(TRIM"&amp;"(rTipo))=""SOLO EMISOR"",
AND(
UPPER(TRIM(rTipo))=""EXACTA"",
UPPER(TRIM(AG488))=UPPER(TRIM(rPatron))
),
AND(
OR(
UPPER(TRIM(rTipo))=""CONTIENE"",
UPPER(TRIM(rTipo))=""COINCIDENCIA""
),
ISNUMBER(SEARCH(UPPER(TRIM(rPatron)),UPPER(TRIM(D488))))
)
)
),
rConc"&amp;"epto,
""""
)
)
),
MAP(
reglas!$B$2:$B$240,
reglas!$C$2:$C$240,
reglas!$D$2:$D$240,
reglas!$E$2:$E$240,
LAMBDA(rEmisor,rPatron,rConcepto,rTipo,
IF(
AND(
OR(
UPPER(TRIM(rEmisor))=UPPER(TRIM(C488)),
UPPER(TRIM(rEmisor))=""CUALQUIERA""
),
OR(
UPPER(TRIM(rTipo"&amp;"))=""SOLO EMISOR"",
AND(
UPPER(TRIM(rTipo))=""EXACTA"",
UPPER(TRIM(D488))=UPPER(TRIM(rPatron))
),
AND(
OR(
UPPER(TRIM(rTipo))=""CONTIENE"",
UPPER(TRIM(rTipo))=""COINCIDENCIA""
),
ISNUMBER(SEARCH(UPPER(TRIM(rPatron)),UPPER(TRIM(D488))))
)
)
),
rConcepto,
"&amp;"""""
)
)
)&lt;&gt;""""
),
1
),
""""
)"),"MANIOBRAS")</f>
        <v>MANIOBRAS</v>
      </c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</row>
    <row r="489">
      <c r="A489" s="32"/>
      <c r="B489" s="28" t="s">
        <v>29</v>
      </c>
      <c r="C489" s="29" t="s">
        <v>276</v>
      </c>
      <c r="D489" s="29" t="s">
        <v>1619</v>
      </c>
      <c r="E489" s="28">
        <v>950.0</v>
      </c>
      <c r="F489" s="28">
        <v>0.0</v>
      </c>
      <c r="G489" s="28" t="s">
        <v>74</v>
      </c>
      <c r="H489" s="28">
        <f t="array" ref="H489">INDEX(CC!C:C,MATCH(1,(CC!A:A=G489)*(CC!B:B=I489),0))</f>
        <v>1503</v>
      </c>
      <c r="I489" s="28" t="s">
        <v>44</v>
      </c>
      <c r="J489" s="31">
        <v>950.0</v>
      </c>
      <c r="K489" s="28" t="str">
        <f>IFERROR(__xludf.DUMMYFUNCTION("IFERROR(
INDEX(
FILTER(
MAP(
reglas!$B$2:$B$240,
reglas!$C$2:$C$240,
reglas!$D$2:$D$240,
reglas!$E$2:$E$240,
LAMBDA(rEmisor,rPatron,rConcepto,rTipo,
IF(
AND(
OR(
UPPER(TRIM(rEmisor))=UPPER(TRIM(C489)),
UPPER(TRIM(rEmisor))=""CUALQUIERA""
),
OR(
UPPER(TRIM"&amp;"(rTipo))=""SOLO EMISOR"",
AND(
UPPER(TRIM(rTipo))=""EXACTA"",
UPPER(TRIM(AG489))=UPPER(TRIM(rPatron))
),
AND(
OR(
UPPER(TRIM(rTipo))=""CONTIENE"",
UPPER(TRIM(rTipo))=""COINCIDENCIA""
),
ISNUMBER(SEARCH(UPPER(TRIM(rPatron)),UPPER(TRIM(D489))))
)
)
),
rConc"&amp;"epto,
""""
)
)
),
MAP(
reglas!$B$2:$B$240,
reglas!$C$2:$C$240,
reglas!$D$2:$D$240,
reglas!$E$2:$E$240,
LAMBDA(rEmisor,rPatron,rConcepto,rTipo,
IF(
AND(
OR(
UPPER(TRIM(rEmisor))=UPPER(TRIM(C489)),
UPPER(TRIM(rEmisor))=""CUALQUIERA""
),
OR(
UPPER(TRIM(rTipo"&amp;"))=""SOLO EMISOR"",
AND(
UPPER(TRIM(rTipo))=""EXACTA"",
UPPER(TRIM(D489))=UPPER(TRIM(rPatron))
),
AND(
OR(
UPPER(TRIM(rTipo))=""CONTIENE"",
UPPER(TRIM(rTipo))=""COINCIDENCIA""
),
ISNUMBER(SEARCH(UPPER(TRIM(rPatron)),UPPER(TRIM(D489))))
)
)
),
rConcepto,
"&amp;"""""
)
)
)&lt;&gt;""""
),
1
),
""""
)"),"MANIOBRAS")</f>
        <v>MANIOBRAS</v>
      </c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</row>
    <row r="490">
      <c r="A490" s="28">
        <v>1.0</v>
      </c>
      <c r="B490" s="28" t="s">
        <v>29</v>
      </c>
      <c r="C490" s="29" t="s">
        <v>271</v>
      </c>
      <c r="D490" s="29" t="s">
        <v>585</v>
      </c>
      <c r="E490" s="28">
        <v>629.54</v>
      </c>
      <c r="F490" s="28">
        <v>0.0</v>
      </c>
      <c r="G490" s="28" t="s">
        <v>84</v>
      </c>
      <c r="H490" s="28">
        <f t="array" ref="H490">INDEX(CC!C:C,MATCH(1,(CC!A:A=G490)*(CC!B:B=I490),0))</f>
        <v>1002</v>
      </c>
      <c r="I490" s="28" t="s">
        <v>25</v>
      </c>
      <c r="J490" s="31">
        <v>629.54</v>
      </c>
      <c r="K490" s="28" t="str">
        <f>IFERROR(__xludf.DUMMYFUNCTION("IFERROR(
INDEX(
FILTER(
MAP(
reglas!$B$2:$B$240,
reglas!$C$2:$C$240,
reglas!$D$2:$D$240,
reglas!$E$2:$E$240,
LAMBDA(rEmisor,rPatron,rConcepto,rTipo,
IF(
AND(
OR(
UPPER(TRIM(rEmisor))=UPPER(TRIM(C490)),
UPPER(TRIM(rEmisor))=""CUALQUIERA""
),
OR(
UPPER(TRIM"&amp;"(rTipo))=""SOLO EMISOR"",
AND(
UPPER(TRIM(rTipo))=""EXACTA"",
UPPER(TRIM(AG490))=UPPER(TRIM(rPatron))
),
AND(
OR(
UPPER(TRIM(rTipo))=""CONTIENE"",
UPPER(TRIM(rTipo))=""COINCIDENCIA""
),
ISNUMBER(SEARCH(UPPER(TRIM(rPatron)),UPPER(TRIM(D490))))
)
)
),
rConc"&amp;"epto,
""""
)
)
),
MAP(
reglas!$B$2:$B$240,
reglas!$C$2:$C$240,
reglas!$D$2:$D$240,
reglas!$E$2:$E$240,
LAMBDA(rEmisor,rPatron,rConcepto,rTipo,
IF(
AND(
OR(
UPPER(TRIM(rEmisor))=UPPER(TRIM(C490)),
UPPER(TRIM(rEmisor))=""CUALQUIERA""
),
OR(
UPPER(TRIM(rTipo"&amp;"))=""SOLO EMISOR"",
AND(
UPPER(TRIM(rTipo))=""EXACTA"",
UPPER(TRIM(D490))=UPPER(TRIM(rPatron))
),
AND(
OR(
UPPER(TRIM(rTipo))=""CONTIENE"",
UPPER(TRIM(rTipo))=""COINCIDENCIA""
),
ISNUMBER(SEARCH(UPPER(TRIM(rPatron)),UPPER(TRIM(D490))))
)
)
),
rConcepto,
"&amp;"""""
)
)
)&lt;&gt;""""
),
1
),
""""
)"),"MANIOBRAS")</f>
        <v>MANIOBRAS</v>
      </c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</row>
    <row r="491">
      <c r="A491" s="32"/>
      <c r="B491" s="32"/>
      <c r="C491" s="29" t="s">
        <v>271</v>
      </c>
      <c r="D491" s="29" t="s">
        <v>587</v>
      </c>
      <c r="E491" s="28">
        <v>575.99</v>
      </c>
      <c r="F491" s="28">
        <v>0.0</v>
      </c>
      <c r="G491" s="28" t="s">
        <v>84</v>
      </c>
      <c r="H491" s="28">
        <f t="array" ref="H491">INDEX(CC!C:C,MATCH(1,(CC!A:A=G491)*(CC!B:B=I491),0))</f>
        <v>1002</v>
      </c>
      <c r="I491" s="28" t="s">
        <v>25</v>
      </c>
      <c r="J491" s="31">
        <v>575.99</v>
      </c>
      <c r="K491" s="28" t="str">
        <f>IFERROR(__xludf.DUMMYFUNCTION("IFERROR(
INDEX(
FILTER(
MAP(
reglas!$B$2:$B$240,
reglas!$C$2:$C$240,
reglas!$D$2:$D$240,
reglas!$E$2:$E$240,
LAMBDA(rEmisor,rPatron,rConcepto,rTipo,
IF(
AND(
OR(
UPPER(TRIM(rEmisor))=UPPER(TRIM(C491)),
UPPER(TRIM(rEmisor))=""CUALQUIERA""
),
OR(
UPPER(TRIM"&amp;"(rTipo))=""SOLO EMISOR"",
AND(
UPPER(TRIM(rTipo))=""EXACTA"",
UPPER(TRIM(AG491))=UPPER(TRIM(rPatron))
),
AND(
OR(
UPPER(TRIM(rTipo))=""CONTIENE"",
UPPER(TRIM(rTipo))=""COINCIDENCIA""
),
ISNUMBER(SEARCH(UPPER(TRIM(rPatron)),UPPER(TRIM(D491))))
)
)
),
rConc"&amp;"epto,
""""
)
)
),
MAP(
reglas!$B$2:$B$240,
reglas!$C$2:$C$240,
reglas!$D$2:$D$240,
reglas!$E$2:$E$240,
LAMBDA(rEmisor,rPatron,rConcepto,rTipo,
IF(
AND(
OR(
UPPER(TRIM(rEmisor))=UPPER(TRIM(C491)),
UPPER(TRIM(rEmisor))=""CUALQUIERA""
),
OR(
UPPER(TRIM(rTipo"&amp;"))=""SOLO EMISOR"",
AND(
UPPER(TRIM(rTipo))=""EXACTA"",
UPPER(TRIM(D491))=UPPER(TRIM(rPatron))
),
AND(
OR(
UPPER(TRIM(rTipo))=""CONTIENE"",
UPPER(TRIM(rTipo))=""COINCIDENCIA""
),
ISNUMBER(SEARCH(UPPER(TRIM(rPatron)),UPPER(TRIM(D491))))
)
)
),
rConcepto,
"&amp;"""""
)
)
)&lt;&gt;""""
),
1
),
""""
)"),"MANIOBRAS")</f>
        <v>MANIOBRAS</v>
      </c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</row>
    <row r="492">
      <c r="A492" s="32"/>
      <c r="B492" s="32"/>
      <c r="C492" s="29" t="s">
        <v>271</v>
      </c>
      <c r="D492" s="29" t="s">
        <v>589</v>
      </c>
      <c r="E492" s="28">
        <v>629.89</v>
      </c>
      <c r="F492" s="28">
        <v>0.0</v>
      </c>
      <c r="G492" s="28" t="s">
        <v>84</v>
      </c>
      <c r="H492" s="28">
        <f t="array" ref="H492">INDEX(CC!C:C,MATCH(1,(CC!A:A=G492)*(CC!B:B=I492),0))</f>
        <v>1002</v>
      </c>
      <c r="I492" s="28" t="s">
        <v>25</v>
      </c>
      <c r="J492" s="31">
        <v>629.89</v>
      </c>
      <c r="K492" s="28" t="str">
        <f>IFERROR(__xludf.DUMMYFUNCTION("IFERROR(
INDEX(
FILTER(
MAP(
reglas!$B$2:$B$240,
reglas!$C$2:$C$240,
reglas!$D$2:$D$240,
reglas!$E$2:$E$240,
LAMBDA(rEmisor,rPatron,rConcepto,rTipo,
IF(
AND(
OR(
UPPER(TRIM(rEmisor))=UPPER(TRIM(C492)),
UPPER(TRIM(rEmisor))=""CUALQUIERA""
),
OR(
UPPER(TRIM"&amp;"(rTipo))=""SOLO EMISOR"",
AND(
UPPER(TRIM(rTipo))=""EXACTA"",
UPPER(TRIM(AG492))=UPPER(TRIM(rPatron))
),
AND(
OR(
UPPER(TRIM(rTipo))=""CONTIENE"",
UPPER(TRIM(rTipo))=""COINCIDENCIA""
),
ISNUMBER(SEARCH(UPPER(TRIM(rPatron)),UPPER(TRIM(D492))))
)
)
),
rConc"&amp;"epto,
""""
)
)
),
MAP(
reglas!$B$2:$B$240,
reglas!$C$2:$C$240,
reglas!$D$2:$D$240,
reglas!$E$2:$E$240,
LAMBDA(rEmisor,rPatron,rConcepto,rTipo,
IF(
AND(
OR(
UPPER(TRIM(rEmisor))=UPPER(TRIM(C492)),
UPPER(TRIM(rEmisor))=""CUALQUIERA""
),
OR(
UPPER(TRIM(rTipo"&amp;"))=""SOLO EMISOR"",
AND(
UPPER(TRIM(rTipo))=""EXACTA"",
UPPER(TRIM(D492))=UPPER(TRIM(rPatron))
),
AND(
OR(
UPPER(TRIM(rTipo))=""CONTIENE"",
UPPER(TRIM(rTipo))=""COINCIDENCIA""
),
ISNUMBER(SEARCH(UPPER(TRIM(rPatron)),UPPER(TRIM(D492))))
)
)
),
rConcepto,
"&amp;"""""
)
)
)&lt;&gt;""""
),
1
),
""""
)"),"MANIOBRAS")</f>
        <v>MANIOBRAS</v>
      </c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</row>
    <row r="493">
      <c r="A493" s="32"/>
      <c r="B493" s="32"/>
      <c r="C493" s="29" t="s">
        <v>271</v>
      </c>
      <c r="D493" s="29" t="s">
        <v>596</v>
      </c>
      <c r="E493" s="28">
        <v>660.88</v>
      </c>
      <c r="F493" s="28">
        <v>0.0</v>
      </c>
      <c r="G493" s="28" t="s">
        <v>74</v>
      </c>
      <c r="H493" s="28">
        <f t="array" ref="H493">INDEX(CC!C:C,MATCH(1,(CC!A:A=G493)*(CC!B:B=I493),0))</f>
        <v>1502</v>
      </c>
      <c r="I493" s="28" t="s">
        <v>25</v>
      </c>
      <c r="J493" s="31">
        <v>660.88</v>
      </c>
      <c r="K493" s="28" t="str">
        <f>IFERROR(__xludf.DUMMYFUNCTION("IFERROR(
INDEX(
FILTER(
MAP(
reglas!$B$2:$B$240,
reglas!$C$2:$C$240,
reglas!$D$2:$D$240,
reglas!$E$2:$E$240,
LAMBDA(rEmisor,rPatron,rConcepto,rTipo,
IF(
AND(
OR(
UPPER(TRIM(rEmisor))=UPPER(TRIM(C493)),
UPPER(TRIM(rEmisor))=""CUALQUIERA""
),
OR(
UPPER(TRIM"&amp;"(rTipo))=""SOLO EMISOR"",
AND(
UPPER(TRIM(rTipo))=""EXACTA"",
UPPER(TRIM(AG493))=UPPER(TRIM(rPatron))
),
AND(
OR(
UPPER(TRIM(rTipo))=""CONTIENE"",
UPPER(TRIM(rTipo))=""COINCIDENCIA""
),
ISNUMBER(SEARCH(UPPER(TRIM(rPatron)),UPPER(TRIM(D493))))
)
)
),
rConc"&amp;"epto,
""""
)
)
),
MAP(
reglas!$B$2:$B$240,
reglas!$C$2:$C$240,
reglas!$D$2:$D$240,
reglas!$E$2:$E$240,
LAMBDA(rEmisor,rPatron,rConcepto,rTipo,
IF(
AND(
OR(
UPPER(TRIM(rEmisor))=UPPER(TRIM(C493)),
UPPER(TRIM(rEmisor))=""CUALQUIERA""
),
OR(
UPPER(TRIM(rTipo"&amp;"))=""SOLO EMISOR"",
AND(
UPPER(TRIM(rTipo))=""EXACTA"",
UPPER(TRIM(D493))=UPPER(TRIM(rPatron))
),
AND(
OR(
UPPER(TRIM(rTipo))=""CONTIENE"",
UPPER(TRIM(rTipo))=""COINCIDENCIA""
),
ISNUMBER(SEARCH(UPPER(TRIM(rPatron)),UPPER(TRIM(D493))))
)
)
),
rConcepto,
"&amp;"""""
)
)
)&lt;&gt;""""
),
1
),
""""
)"),"MANIOBRAS")</f>
        <v>MANIOBRAS</v>
      </c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</row>
    <row r="494">
      <c r="A494" s="32"/>
      <c r="B494" s="28" t="s">
        <v>29</v>
      </c>
      <c r="C494" s="29" t="s">
        <v>131</v>
      </c>
      <c r="D494" s="29" t="s">
        <v>1622</v>
      </c>
      <c r="E494" s="28">
        <v>474.13</v>
      </c>
      <c r="F494" s="28">
        <v>0.0</v>
      </c>
      <c r="G494" s="28" t="s">
        <v>74</v>
      </c>
      <c r="H494" s="28">
        <f t="array" ref="H494">INDEX(CC!C:C,MATCH(1,(CC!A:A=G494)*(CC!B:B=I494),0))</f>
        <v>1502</v>
      </c>
      <c r="I494" s="28" t="s">
        <v>25</v>
      </c>
      <c r="J494" s="31">
        <v>474.13</v>
      </c>
      <c r="K494" s="28" t="str">
        <f>IFERROR(__xludf.DUMMYFUNCTION("IFERROR(
INDEX(
FILTER(
MAP(
reglas!$B$2:$B$240,
reglas!$C$2:$C$240,
reglas!$D$2:$D$240,
reglas!$E$2:$E$240,
LAMBDA(rEmisor,rPatron,rConcepto,rTipo,
IF(
AND(
OR(
UPPER(TRIM(rEmisor))=UPPER(TRIM(C494)),
UPPER(TRIM(rEmisor))=""CUALQUIERA""
),
OR(
UPPER(TRIM"&amp;"(rTipo))=""SOLO EMISOR"",
AND(
UPPER(TRIM(rTipo))=""EXACTA"",
UPPER(TRIM(AG494))=UPPER(TRIM(rPatron))
),
AND(
OR(
UPPER(TRIM(rTipo))=""CONTIENE"",
UPPER(TRIM(rTipo))=""COINCIDENCIA""
),
ISNUMBER(SEARCH(UPPER(TRIM(rPatron)),UPPER(TRIM(D494))))
)
)
),
rConc"&amp;"epto,
""""
)
)
),
MAP(
reglas!$B$2:$B$240,
reglas!$C$2:$C$240,
reglas!$D$2:$D$240,
reglas!$E$2:$E$240,
LAMBDA(rEmisor,rPatron,rConcepto,rTipo,
IF(
AND(
OR(
UPPER(TRIM(rEmisor))=UPPER(TRIM(C494)),
UPPER(TRIM(rEmisor))=""CUALQUIERA""
),
OR(
UPPER(TRIM(rTipo"&amp;"))=""SOLO EMISOR"",
AND(
UPPER(TRIM(rTipo))=""EXACTA"",
UPPER(TRIM(D494))=UPPER(TRIM(rPatron))
),
AND(
OR(
UPPER(TRIM(rTipo))=""CONTIENE"",
UPPER(TRIM(rTipo))=""COINCIDENCIA""
),
ISNUMBER(SEARCH(UPPER(TRIM(rPatron)),UPPER(TRIM(D494))))
)
)
),
rConcepto,
"&amp;"""""
)
)
)&lt;&gt;""""
),
1
),
""""
)"),"COPIADORA")</f>
        <v>COPIADORA</v>
      </c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</row>
    <row r="495">
      <c r="A495" s="32"/>
      <c r="B495" s="28" t="s">
        <v>29</v>
      </c>
      <c r="C495" s="29" t="s">
        <v>278</v>
      </c>
      <c r="D495" s="29" t="s">
        <v>898</v>
      </c>
      <c r="E495" s="28">
        <v>1000.0</v>
      </c>
      <c r="F495" s="28">
        <v>0.0</v>
      </c>
      <c r="G495" s="28" t="s">
        <v>250</v>
      </c>
      <c r="H495" s="28">
        <f t="array" ref="H495">INDEX(CC!C:C,MATCH(1,(CC!A:A=G495)*(CC!B:B=I495),0))</f>
        <v>1402</v>
      </c>
      <c r="I495" s="28" t="s">
        <v>25</v>
      </c>
      <c r="J495" s="31">
        <v>1000.0</v>
      </c>
      <c r="K495" s="28" t="str">
        <f>IFERROR(__xludf.DUMMYFUNCTION("IFERROR(
INDEX(
FILTER(
MAP(
reglas!$B$2:$B$240,
reglas!$C$2:$C$240,
reglas!$D$2:$D$240,
reglas!$E$2:$E$240,
LAMBDA(rEmisor,rPatron,rConcepto,rTipo,
IF(
AND(
OR(
UPPER(TRIM(rEmisor))=UPPER(TRIM(C495)),
UPPER(TRIM(rEmisor))=""CUALQUIERA""
),
OR(
UPPER(TRIM"&amp;"(rTipo))=""SOLO EMISOR"",
AND(
UPPER(TRIM(rTipo))=""EXACTA"",
UPPER(TRIM(AG495))=UPPER(TRIM(rPatron))
),
AND(
OR(
UPPER(TRIM(rTipo))=""CONTIENE"",
UPPER(TRIM(rTipo))=""COINCIDENCIA""
),
ISNUMBER(SEARCH(UPPER(TRIM(rPatron)),UPPER(TRIM(D495))))
)
)
),
rConc"&amp;"epto,
""""
)
)
),
MAP(
reglas!$B$2:$B$240,
reglas!$C$2:$C$240,
reglas!$D$2:$D$240,
reglas!$E$2:$E$240,
LAMBDA(rEmisor,rPatron,rConcepto,rTipo,
IF(
AND(
OR(
UPPER(TRIM(rEmisor))=UPPER(TRIM(C495)),
UPPER(TRIM(rEmisor))=""CUALQUIERA""
),
OR(
UPPER(TRIM(rTipo"&amp;"))=""SOLO EMISOR"",
AND(
UPPER(TRIM(rTipo))=""EXACTA"",
UPPER(TRIM(D495))=UPPER(TRIM(rPatron))
),
AND(
OR(
UPPER(TRIM(rTipo))=""CONTIENE"",
UPPER(TRIM(rTipo))=""COINCIDENCIA""
),
ISNUMBER(SEARCH(UPPER(TRIM(rPatron)),UPPER(TRIM(D495))))
)
)
),
rConcepto,
"&amp;"""""
)
)
)&lt;&gt;""""
),
1
),
""""
)"),"MANIOBRAS")</f>
        <v>MANIOBRAS</v>
      </c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</row>
    <row r="496">
      <c r="A496" s="32"/>
      <c r="B496" s="28" t="s">
        <v>29</v>
      </c>
      <c r="C496" s="29" t="s">
        <v>169</v>
      </c>
      <c r="D496" s="29" t="s">
        <v>1625</v>
      </c>
      <c r="E496" s="28">
        <v>6500.0</v>
      </c>
      <c r="F496" s="28">
        <v>0.0</v>
      </c>
      <c r="G496" s="28" t="s">
        <v>250</v>
      </c>
      <c r="H496" s="28">
        <f t="array" ref="H496">INDEX(CC!C:C,MATCH(1,(CC!A:A=G496)*(CC!B:B=I496),0))</f>
        <v>1403</v>
      </c>
      <c r="I496" s="28" t="s">
        <v>44</v>
      </c>
      <c r="J496" s="31">
        <v>6500.0</v>
      </c>
      <c r="K496" s="28" t="str">
        <f>IFERROR(__xludf.DUMMYFUNCTION("IFERROR(
INDEX(
FILTER(
MAP(
reglas!$B$2:$B$240,
reglas!$C$2:$C$240,
reglas!$D$2:$D$240,
reglas!$E$2:$E$240,
LAMBDA(rEmisor,rPatron,rConcepto,rTipo,
IF(
AND(
OR(
UPPER(TRIM(rEmisor))=UPPER(TRIM(C496)),
UPPER(TRIM(rEmisor))=""CUALQUIERA""
),
OR(
UPPER(TRIM"&amp;"(rTipo))=""SOLO EMISOR"",
AND(
UPPER(TRIM(rTipo))=""EXACTA"",
UPPER(TRIM(AG496))=UPPER(TRIM(rPatron))
),
AND(
OR(
UPPER(TRIM(rTipo))=""CONTIENE"",
UPPER(TRIM(rTipo))=""COINCIDENCIA""
),
ISNUMBER(SEARCH(UPPER(TRIM(rPatron)),UPPER(TRIM(D496))))
)
)
),
rConc"&amp;"epto,
""""
)
)
),
MAP(
reglas!$B$2:$B$240,
reglas!$C$2:$C$240,
reglas!$D$2:$D$240,
reglas!$E$2:$E$240,
LAMBDA(rEmisor,rPatron,rConcepto,rTipo,
IF(
AND(
OR(
UPPER(TRIM(rEmisor))=UPPER(TRIM(C496)),
UPPER(TRIM(rEmisor))=""CUALQUIERA""
),
OR(
UPPER(TRIM(rTipo"&amp;"))=""SOLO EMISOR"",
AND(
UPPER(TRIM(rTipo))=""EXACTA"",
UPPER(TRIM(D496))=UPPER(TRIM(rPatron))
),
AND(
OR(
UPPER(TRIM(rTipo))=""CONTIENE"",
UPPER(TRIM(rTipo))=""COINCIDENCIA""
),
ISNUMBER(SEARCH(UPPER(TRIM(rPatron)),UPPER(TRIM(D496))))
)
)
),
rConcepto,
"&amp;"""""
)
)
)&lt;&gt;""""
),
1
),
""""
)"),"TRANSPORTE")</f>
        <v>TRANSPORTE</v>
      </c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</row>
    <row r="497">
      <c r="A497" s="28">
        <v>1.0</v>
      </c>
      <c r="B497" s="28" t="s">
        <v>29</v>
      </c>
      <c r="C497" s="29" t="s">
        <v>1626</v>
      </c>
      <c r="D497" s="29" t="s">
        <v>1627</v>
      </c>
      <c r="E497" s="28">
        <v>267.0</v>
      </c>
      <c r="F497" s="28">
        <v>0.0</v>
      </c>
      <c r="G497" s="28" t="s">
        <v>74</v>
      </c>
      <c r="H497" s="28">
        <f t="array" ref="H497">INDEX(CC!C:C,MATCH(1,(CC!A:A=G497)*(CC!B:B=I497),0))</f>
        <v>1503</v>
      </c>
      <c r="I497" s="28" t="s">
        <v>44</v>
      </c>
      <c r="J497" s="31">
        <v>267.0</v>
      </c>
      <c r="K497" s="28" t="str">
        <f>IFERROR(__xludf.DUMMYFUNCTION("IFERROR(
INDEX(
FILTER(
MAP(
reglas!$B$2:$B$240,
reglas!$C$2:$C$240,
reglas!$D$2:$D$240,
reglas!$E$2:$E$240,
LAMBDA(rEmisor,rPatron,rConcepto,rTipo,
IF(
AND(
OR(
UPPER(TRIM(rEmisor))=UPPER(TRIM(C497)),
UPPER(TRIM(rEmisor))=""CUALQUIERA""
),
OR(
UPPER(TRIM"&amp;"(rTipo))=""SOLO EMISOR"",
AND(
UPPER(TRIM(rTipo))=""EXACTA"",
UPPER(TRIM(AG497))=UPPER(TRIM(rPatron))
),
AND(
OR(
UPPER(TRIM(rTipo))=""CONTIENE"",
UPPER(TRIM(rTipo))=""COINCIDENCIA""
),
ISNUMBER(SEARCH(UPPER(TRIM(rPatron)),UPPER(TRIM(D497))))
)
)
),
rConc"&amp;"epto,
""""
)
)
),
MAP(
reglas!$B$2:$B$240,
reglas!$C$2:$C$240,
reglas!$D$2:$D$240,
reglas!$E$2:$E$240,
LAMBDA(rEmisor,rPatron,rConcepto,rTipo,
IF(
AND(
OR(
UPPER(TRIM(rEmisor))=UPPER(TRIM(C497)),
UPPER(TRIM(rEmisor))=""CUALQUIERA""
),
OR(
UPPER(TRIM(rTipo"&amp;"))=""SOLO EMISOR"",
AND(
UPPER(TRIM(rTipo))=""EXACTA"",
UPPER(TRIM(D497))=UPPER(TRIM(rPatron))
),
AND(
OR(
UPPER(TRIM(rTipo))=""CONTIENE"",
UPPER(TRIM(rTipo))=""COINCIDENCIA""
),
ISNUMBER(SEARCH(UPPER(TRIM(rPatron)),UPPER(TRIM(D497))))
)
)
),
rConcepto,
"&amp;"""""
)
)
)&lt;&gt;""""
),
1
),
""""
)"),"")</f>
        <v/>
      </c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</row>
    <row r="498">
      <c r="A498" s="32"/>
      <c r="B498" s="32"/>
      <c r="C498" s="29" t="s">
        <v>1626</v>
      </c>
      <c r="D498" s="29" t="s">
        <v>1038</v>
      </c>
      <c r="E498" s="28">
        <v>2481.7</v>
      </c>
      <c r="F498" s="28">
        <v>0.0</v>
      </c>
      <c r="G498" s="28" t="s">
        <v>74</v>
      </c>
      <c r="H498" s="28">
        <f t="array" ref="H498">INDEX(CC!C:C,MATCH(1,(CC!A:A=G498)*(CC!B:B=I498),0))</f>
        <v>1503</v>
      </c>
      <c r="I498" s="28" t="s">
        <v>44</v>
      </c>
      <c r="J498" s="31">
        <v>2481.7</v>
      </c>
      <c r="K498" s="28" t="str">
        <f>IFERROR(__xludf.DUMMYFUNCTION("IFERROR(
INDEX(
FILTER(
MAP(
reglas!$B$2:$B$240,
reglas!$C$2:$C$240,
reglas!$D$2:$D$240,
reglas!$E$2:$E$240,
LAMBDA(rEmisor,rPatron,rConcepto,rTipo,
IF(
AND(
OR(
UPPER(TRIM(rEmisor))=UPPER(TRIM(C498)),
UPPER(TRIM(rEmisor))=""CUALQUIERA""
),
OR(
UPPER(TRIM"&amp;"(rTipo))=""SOLO EMISOR"",
AND(
UPPER(TRIM(rTipo))=""EXACTA"",
UPPER(TRIM(AG498))=UPPER(TRIM(rPatron))
),
AND(
OR(
UPPER(TRIM(rTipo))=""CONTIENE"",
UPPER(TRIM(rTipo))=""COINCIDENCIA""
),
ISNUMBER(SEARCH(UPPER(TRIM(rPatron)),UPPER(TRIM(D498))))
)
)
),
rConc"&amp;"epto,
""""
)
)
),
MAP(
reglas!$B$2:$B$240,
reglas!$C$2:$C$240,
reglas!$D$2:$D$240,
reglas!$E$2:$E$240,
LAMBDA(rEmisor,rPatron,rConcepto,rTipo,
IF(
AND(
OR(
UPPER(TRIM(rEmisor))=UPPER(TRIM(C498)),
UPPER(TRIM(rEmisor))=""CUALQUIERA""
),
OR(
UPPER(TRIM(rTipo"&amp;"))=""SOLO EMISOR"",
AND(
UPPER(TRIM(rTipo))=""EXACTA"",
UPPER(TRIM(D498))=UPPER(TRIM(rPatron))
),
AND(
OR(
UPPER(TRIM(rTipo))=""CONTIENE"",
UPPER(TRIM(rTipo))=""COINCIDENCIA""
),
ISNUMBER(SEARCH(UPPER(TRIM(rPatron)),UPPER(TRIM(D498))))
)
)
),
rConcepto,
"&amp;"""""
)
)
)&lt;&gt;""""
),
1
),
""""
)"),"")</f>
        <v/>
      </c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</row>
    <row r="499">
      <c r="A499" s="32"/>
      <c r="B499" s="32"/>
      <c r="C499" s="29" t="s">
        <v>1626</v>
      </c>
      <c r="D499" s="29" t="s">
        <v>1628</v>
      </c>
      <c r="E499" s="28">
        <v>2673.29</v>
      </c>
      <c r="F499" s="28">
        <v>0.0</v>
      </c>
      <c r="G499" s="28" t="s">
        <v>74</v>
      </c>
      <c r="H499" s="28">
        <f t="array" ref="H499">INDEX(CC!C:C,MATCH(1,(CC!A:A=G499)*(CC!B:B=I499),0))</f>
        <v>1503</v>
      </c>
      <c r="I499" s="28" t="s">
        <v>44</v>
      </c>
      <c r="J499" s="31">
        <v>2673.29</v>
      </c>
      <c r="K499" s="28" t="str">
        <f>IFERROR(__xludf.DUMMYFUNCTION("IFERROR(
INDEX(
FILTER(
MAP(
reglas!$B$2:$B$240,
reglas!$C$2:$C$240,
reglas!$D$2:$D$240,
reglas!$E$2:$E$240,
LAMBDA(rEmisor,rPatron,rConcepto,rTipo,
IF(
AND(
OR(
UPPER(TRIM(rEmisor))=UPPER(TRIM(C499)),
UPPER(TRIM(rEmisor))=""CUALQUIERA""
),
OR(
UPPER(TRIM"&amp;"(rTipo))=""SOLO EMISOR"",
AND(
UPPER(TRIM(rTipo))=""EXACTA"",
UPPER(TRIM(AG499))=UPPER(TRIM(rPatron))
),
AND(
OR(
UPPER(TRIM(rTipo))=""CONTIENE"",
UPPER(TRIM(rTipo))=""COINCIDENCIA""
),
ISNUMBER(SEARCH(UPPER(TRIM(rPatron)),UPPER(TRIM(D499))))
)
)
),
rConc"&amp;"epto,
""""
)
)
),
MAP(
reglas!$B$2:$B$240,
reglas!$C$2:$C$240,
reglas!$D$2:$D$240,
reglas!$E$2:$E$240,
LAMBDA(rEmisor,rPatron,rConcepto,rTipo,
IF(
AND(
OR(
UPPER(TRIM(rEmisor))=UPPER(TRIM(C499)),
UPPER(TRIM(rEmisor))=""CUALQUIERA""
),
OR(
UPPER(TRIM(rTipo"&amp;"))=""SOLO EMISOR"",
AND(
UPPER(TRIM(rTipo))=""EXACTA"",
UPPER(TRIM(D499))=UPPER(TRIM(rPatron))
),
AND(
OR(
UPPER(TRIM(rTipo))=""CONTIENE"",
UPPER(TRIM(rTipo))=""COINCIDENCIA""
),
ISNUMBER(SEARCH(UPPER(TRIM(rPatron)),UPPER(TRIM(D499))))
)
)
),
rConcepto,
"&amp;"""""
)
)
)&lt;&gt;""""
),
1
),
""""
)"),"")</f>
        <v/>
      </c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</row>
    <row r="500">
      <c r="A500" s="32"/>
      <c r="B500" s="32"/>
      <c r="C500" s="29" t="s">
        <v>1626</v>
      </c>
      <c r="D500" s="29" t="s">
        <v>1629</v>
      </c>
      <c r="E500" s="28">
        <v>330.0</v>
      </c>
      <c r="F500" s="28">
        <v>0.0</v>
      </c>
      <c r="G500" s="28" t="s">
        <v>74</v>
      </c>
      <c r="H500" s="28">
        <f t="array" ref="H500">INDEX(CC!C:C,MATCH(1,(CC!A:A=G500)*(CC!B:B=I500),0))</f>
        <v>1503</v>
      </c>
      <c r="I500" s="28" t="s">
        <v>44</v>
      </c>
      <c r="J500" s="31">
        <v>330.0</v>
      </c>
      <c r="K500" s="28" t="str">
        <f>IFERROR(__xludf.DUMMYFUNCTION("IFERROR(
INDEX(
FILTER(
MAP(
reglas!$B$2:$B$240,
reglas!$C$2:$C$240,
reglas!$D$2:$D$240,
reglas!$E$2:$E$240,
LAMBDA(rEmisor,rPatron,rConcepto,rTipo,
IF(
AND(
OR(
UPPER(TRIM(rEmisor))=UPPER(TRIM(C500)),
UPPER(TRIM(rEmisor))=""CUALQUIERA""
),
OR(
UPPER(TRIM"&amp;"(rTipo))=""SOLO EMISOR"",
AND(
UPPER(TRIM(rTipo))=""EXACTA"",
UPPER(TRIM(AG500))=UPPER(TRIM(rPatron))
),
AND(
OR(
UPPER(TRIM(rTipo))=""CONTIENE"",
UPPER(TRIM(rTipo))=""COINCIDENCIA""
),
ISNUMBER(SEARCH(UPPER(TRIM(rPatron)),UPPER(TRIM(D500))))
)
)
),
rConc"&amp;"epto,
""""
)
)
),
MAP(
reglas!$B$2:$B$240,
reglas!$C$2:$C$240,
reglas!$D$2:$D$240,
reglas!$E$2:$E$240,
LAMBDA(rEmisor,rPatron,rConcepto,rTipo,
IF(
AND(
OR(
UPPER(TRIM(rEmisor))=UPPER(TRIM(C500)),
UPPER(TRIM(rEmisor))=""CUALQUIERA""
),
OR(
UPPER(TRIM(rTipo"&amp;"))=""SOLO EMISOR"",
AND(
UPPER(TRIM(rTipo))=""EXACTA"",
UPPER(TRIM(D500))=UPPER(TRIM(rPatron))
),
AND(
OR(
UPPER(TRIM(rTipo))=""CONTIENE"",
UPPER(TRIM(rTipo))=""COINCIDENCIA""
),
ISNUMBER(SEARCH(UPPER(TRIM(rPatron)),UPPER(TRIM(D500))))
)
)
),
rConcepto,
"&amp;"""""
)
)
)&lt;&gt;""""
),
1
),
""""
)"),"")</f>
        <v/>
      </c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</row>
    <row r="501">
      <c r="A501" s="32"/>
      <c r="B501" s="32"/>
      <c r="C501" s="29" t="s">
        <v>1626</v>
      </c>
      <c r="D501" s="29" t="s">
        <v>77</v>
      </c>
      <c r="E501" s="28">
        <v>990.92</v>
      </c>
      <c r="F501" s="28">
        <v>0.0</v>
      </c>
      <c r="G501" s="28" t="s">
        <v>74</v>
      </c>
      <c r="H501" s="28">
        <f t="array" ref="H501">INDEX(CC!C:C,MATCH(1,(CC!A:A=G501)*(CC!B:B=I501),0))</f>
        <v>1503</v>
      </c>
      <c r="I501" s="28" t="s">
        <v>44</v>
      </c>
      <c r="J501" s="31">
        <v>990.92</v>
      </c>
      <c r="K501" s="28" t="str">
        <f>IFERROR(__xludf.DUMMYFUNCTION("IFERROR(
INDEX(
FILTER(
MAP(
reglas!$B$2:$B$240,
reglas!$C$2:$C$240,
reglas!$D$2:$D$240,
reglas!$E$2:$E$240,
LAMBDA(rEmisor,rPatron,rConcepto,rTipo,
IF(
AND(
OR(
UPPER(TRIM(rEmisor))=UPPER(TRIM(C501)),
UPPER(TRIM(rEmisor))=""CUALQUIERA""
),
OR(
UPPER(TRIM"&amp;"(rTipo))=""SOLO EMISOR"",
AND(
UPPER(TRIM(rTipo))=""EXACTA"",
UPPER(TRIM(AG501))=UPPER(TRIM(rPatron))
),
AND(
OR(
UPPER(TRIM(rTipo))=""CONTIENE"",
UPPER(TRIM(rTipo))=""COINCIDENCIA""
),
ISNUMBER(SEARCH(UPPER(TRIM(rPatron)),UPPER(TRIM(D501))))
)
)
),
rConc"&amp;"epto,
""""
)
)
),
MAP(
reglas!$B$2:$B$240,
reglas!$C$2:$C$240,
reglas!$D$2:$D$240,
reglas!$E$2:$E$240,
LAMBDA(rEmisor,rPatron,rConcepto,rTipo,
IF(
AND(
OR(
UPPER(TRIM(rEmisor))=UPPER(TRIM(C501)),
UPPER(TRIM(rEmisor))=""CUALQUIERA""
),
OR(
UPPER(TRIM(rTipo"&amp;"))=""SOLO EMISOR"",
AND(
UPPER(TRIM(rTipo))=""EXACTA"",
UPPER(TRIM(D501))=UPPER(TRIM(rPatron))
),
AND(
OR(
UPPER(TRIM(rTipo))=""CONTIENE"",
UPPER(TRIM(rTipo))=""COINCIDENCIA""
),
ISNUMBER(SEARCH(UPPER(TRIM(rPatron)),UPPER(TRIM(D501))))
)
)
),
rConcepto,
"&amp;"""""
)
)
)&lt;&gt;""""
),
1
),
""""
)"),"")</f>
        <v/>
      </c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</row>
    <row r="502">
      <c r="A502" s="32"/>
      <c r="B502" s="28" t="s">
        <v>29</v>
      </c>
      <c r="C502" s="29" t="s">
        <v>172</v>
      </c>
      <c r="D502" s="29" t="s">
        <v>1630</v>
      </c>
      <c r="E502" s="28">
        <v>11500.0</v>
      </c>
      <c r="F502" s="28">
        <v>0.0</v>
      </c>
      <c r="G502" s="28" t="s">
        <v>250</v>
      </c>
      <c r="H502" s="28">
        <f t="array" ref="H502">INDEX(CC!C:C,MATCH(1,(CC!A:A=G502)*(CC!B:B=I502),0))</f>
        <v>1402</v>
      </c>
      <c r="I502" s="28" t="s">
        <v>25</v>
      </c>
      <c r="J502" s="31">
        <v>11500.0</v>
      </c>
      <c r="K502" s="28" t="str">
        <f>IFERROR(__xludf.DUMMYFUNCTION("IFERROR(
INDEX(
FILTER(
MAP(
reglas!$B$2:$B$240,
reglas!$C$2:$C$240,
reglas!$D$2:$D$240,
reglas!$E$2:$E$240,
LAMBDA(rEmisor,rPatron,rConcepto,rTipo,
IF(
AND(
OR(
UPPER(TRIM(rEmisor))=UPPER(TRIM(C502)),
UPPER(TRIM(rEmisor))=""CUALQUIERA""
),
OR(
UPPER(TRIM"&amp;"(rTipo))=""SOLO EMISOR"",
AND(
UPPER(TRIM(rTipo))=""EXACTA"",
UPPER(TRIM(AG502))=UPPER(TRIM(rPatron))
),
AND(
OR(
UPPER(TRIM(rTipo))=""CONTIENE"",
UPPER(TRIM(rTipo))=""COINCIDENCIA""
),
ISNUMBER(SEARCH(UPPER(TRIM(rPatron)),UPPER(TRIM(D502))))
)
)
),
rConc"&amp;"epto,
""""
)
)
),
MAP(
reglas!$B$2:$B$240,
reglas!$C$2:$C$240,
reglas!$D$2:$D$240,
reglas!$E$2:$E$240,
LAMBDA(rEmisor,rPatron,rConcepto,rTipo,
IF(
AND(
OR(
UPPER(TRIM(rEmisor))=UPPER(TRIM(C502)),
UPPER(TRIM(rEmisor))=""CUALQUIERA""
),
OR(
UPPER(TRIM(rTipo"&amp;"))=""SOLO EMISOR"",
AND(
UPPER(TRIM(rTipo))=""EXACTA"",
UPPER(TRIM(D502))=UPPER(TRIM(rPatron))
),
AND(
OR(
UPPER(TRIM(rTipo))=""CONTIENE"",
UPPER(TRIM(rTipo))=""COINCIDENCIA""
),
ISNUMBER(SEARCH(UPPER(TRIM(rPatron)),UPPER(TRIM(D502))))
)
)
),
rConcepto,
"&amp;"""""
)
)
)&lt;&gt;""""
),
1
),
""""
)"),"TRANSPORTE")</f>
        <v>TRANSPORTE</v>
      </c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</row>
    <row r="503">
      <c r="A503" s="32"/>
      <c r="B503" s="28" t="s">
        <v>29</v>
      </c>
      <c r="C503" s="29" t="s">
        <v>331</v>
      </c>
      <c r="D503" s="29" t="s">
        <v>33</v>
      </c>
      <c r="E503" s="28">
        <v>0.01</v>
      </c>
      <c r="F503" s="28">
        <v>0.0</v>
      </c>
      <c r="G503" s="28" t="s">
        <v>385</v>
      </c>
      <c r="H503" s="28">
        <f t="array" ref="H503">INDEX(CC!C:C,MATCH(1,(CC!A:A=G503)*(CC!B:B=I503),0))</f>
        <v>502</v>
      </c>
      <c r="I503" s="28" t="s">
        <v>25</v>
      </c>
      <c r="J503" s="31">
        <v>0.01</v>
      </c>
      <c r="K503" s="28" t="str">
        <f>IFERROR(__xludf.DUMMYFUNCTION("IFERROR(
INDEX(
FILTER(
MAP(
reglas!$B$2:$B$240,
reglas!$C$2:$C$240,
reglas!$D$2:$D$240,
reglas!$E$2:$E$240,
LAMBDA(rEmisor,rPatron,rConcepto,rTipo,
IF(
AND(
OR(
UPPER(TRIM(rEmisor))=UPPER(TRIM(C503)),
UPPER(TRIM(rEmisor))=""CUALQUIERA""
),
OR(
UPPER(TRIM"&amp;"(rTipo))=""SOLO EMISOR"",
AND(
UPPER(TRIM(rTipo))=""EXACTA"",
UPPER(TRIM(AG503))=UPPER(TRIM(rPatron))
),
AND(
OR(
UPPER(TRIM(rTipo))=""CONTIENE"",
UPPER(TRIM(rTipo))=""COINCIDENCIA""
),
ISNUMBER(SEARCH(UPPER(TRIM(rPatron)),UPPER(TRIM(D503))))
)
)
),
rConc"&amp;"epto,
""""
)
)
),
MAP(
reglas!$B$2:$B$240,
reglas!$C$2:$C$240,
reglas!$D$2:$D$240,
reglas!$E$2:$E$240,
LAMBDA(rEmisor,rPatron,rConcepto,rTipo,
IF(
AND(
OR(
UPPER(TRIM(rEmisor))=UPPER(TRIM(C503)),
UPPER(TRIM(rEmisor))=""CUALQUIERA""
),
OR(
UPPER(TRIM(rTipo"&amp;"))=""SOLO EMISOR"",
AND(
UPPER(TRIM(rTipo))=""EXACTA"",
UPPER(TRIM(D503))=UPPER(TRIM(rPatron))
),
AND(
OR(
UPPER(TRIM(rTipo))=""CONTIENE"",
UPPER(TRIM(rTipo))=""COINCIDENCIA""
),
ISNUMBER(SEARCH(UPPER(TRIM(rPatron)),UPPER(TRIM(D503))))
)
)
),
rConcepto,
"&amp;"""""
)
)
)&lt;&gt;""""
),
1
),
""""
)"),"N/A")</f>
        <v>N/A</v>
      </c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</row>
    <row r="504">
      <c r="A504" s="32"/>
      <c r="B504" s="28" t="s">
        <v>29</v>
      </c>
      <c r="C504" s="29" t="s">
        <v>278</v>
      </c>
      <c r="D504" s="29" t="s">
        <v>898</v>
      </c>
      <c r="E504" s="28">
        <v>1000.0</v>
      </c>
      <c r="F504" s="28">
        <v>0.0</v>
      </c>
      <c r="G504" s="28" t="s">
        <v>250</v>
      </c>
      <c r="H504" s="28">
        <f t="array" ref="H504">INDEX(CC!C:C,MATCH(1,(CC!A:A=G504)*(CC!B:B=I504),0))</f>
        <v>1402</v>
      </c>
      <c r="I504" s="28" t="s">
        <v>25</v>
      </c>
      <c r="J504" s="31">
        <v>1000.0</v>
      </c>
      <c r="K504" s="28" t="str">
        <f>IFERROR(__xludf.DUMMYFUNCTION("IFERROR(
INDEX(
FILTER(
MAP(
reglas!$B$2:$B$240,
reglas!$C$2:$C$240,
reglas!$D$2:$D$240,
reglas!$E$2:$E$240,
LAMBDA(rEmisor,rPatron,rConcepto,rTipo,
IF(
AND(
OR(
UPPER(TRIM(rEmisor))=UPPER(TRIM(C504)),
UPPER(TRIM(rEmisor))=""CUALQUIERA""
),
OR(
UPPER(TRIM"&amp;"(rTipo))=""SOLO EMISOR"",
AND(
UPPER(TRIM(rTipo))=""EXACTA"",
UPPER(TRIM(AG504))=UPPER(TRIM(rPatron))
),
AND(
OR(
UPPER(TRIM(rTipo))=""CONTIENE"",
UPPER(TRIM(rTipo))=""COINCIDENCIA""
),
ISNUMBER(SEARCH(UPPER(TRIM(rPatron)),UPPER(TRIM(D504))))
)
)
),
rConc"&amp;"epto,
""""
)
)
),
MAP(
reglas!$B$2:$B$240,
reglas!$C$2:$C$240,
reglas!$D$2:$D$240,
reglas!$E$2:$E$240,
LAMBDA(rEmisor,rPatron,rConcepto,rTipo,
IF(
AND(
OR(
UPPER(TRIM(rEmisor))=UPPER(TRIM(C504)),
UPPER(TRIM(rEmisor))=""CUALQUIERA""
),
OR(
UPPER(TRIM(rTipo"&amp;"))=""SOLO EMISOR"",
AND(
UPPER(TRIM(rTipo))=""EXACTA"",
UPPER(TRIM(D504))=UPPER(TRIM(rPatron))
),
AND(
OR(
UPPER(TRIM(rTipo))=""CONTIENE"",
UPPER(TRIM(rTipo))=""COINCIDENCIA""
),
ISNUMBER(SEARCH(UPPER(TRIM(rPatron)),UPPER(TRIM(D504))))
)
)
),
rConcepto,
"&amp;"""""
)
)
)&lt;&gt;""""
),
1
),
""""
)"),"MANIOBRAS")</f>
        <v>MANIOBRAS</v>
      </c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</row>
    <row r="505">
      <c r="A505" s="32"/>
      <c r="B505" s="28" t="s">
        <v>29</v>
      </c>
      <c r="C505" s="29" t="s">
        <v>131</v>
      </c>
      <c r="D505" s="29" t="s">
        <v>134</v>
      </c>
      <c r="E505" s="28">
        <v>129.31</v>
      </c>
      <c r="F505" s="28">
        <v>0.0</v>
      </c>
      <c r="G505" s="28" t="s">
        <v>74</v>
      </c>
      <c r="H505" s="28">
        <f t="array" ref="H505">INDEX(CC!C:C,MATCH(1,(CC!A:A=G505)*(CC!B:B=I505),0))</f>
        <v>1502</v>
      </c>
      <c r="I505" s="28" t="s">
        <v>25</v>
      </c>
      <c r="J505" s="31">
        <v>129.31</v>
      </c>
      <c r="K505" s="28" t="str">
        <f>IFERROR(__xludf.DUMMYFUNCTION("IFERROR(
INDEX(
FILTER(
MAP(
reglas!$B$2:$B$240,
reglas!$C$2:$C$240,
reglas!$D$2:$D$240,
reglas!$E$2:$E$240,
LAMBDA(rEmisor,rPatron,rConcepto,rTipo,
IF(
AND(
OR(
UPPER(TRIM(rEmisor))=UPPER(TRIM(C505)),
UPPER(TRIM(rEmisor))=""CUALQUIERA""
),
OR(
UPPER(TRIM"&amp;"(rTipo))=""SOLO EMISOR"",
AND(
UPPER(TRIM(rTipo))=""EXACTA"",
UPPER(TRIM(AG505))=UPPER(TRIM(rPatron))
),
AND(
OR(
UPPER(TRIM(rTipo))=""CONTIENE"",
UPPER(TRIM(rTipo))=""COINCIDENCIA""
),
ISNUMBER(SEARCH(UPPER(TRIM(rPatron)),UPPER(TRIM(D505))))
)
)
),
rConc"&amp;"epto,
""""
)
)
),
MAP(
reglas!$B$2:$B$240,
reglas!$C$2:$C$240,
reglas!$D$2:$D$240,
reglas!$E$2:$E$240,
LAMBDA(rEmisor,rPatron,rConcepto,rTipo,
IF(
AND(
OR(
UPPER(TRIM(rEmisor))=UPPER(TRIM(C505)),
UPPER(TRIM(rEmisor))=""CUALQUIERA""
),
OR(
UPPER(TRIM(rTipo"&amp;"))=""SOLO EMISOR"",
AND(
UPPER(TRIM(rTipo))=""EXACTA"",
UPPER(TRIM(D505))=UPPER(TRIM(rPatron))
),
AND(
OR(
UPPER(TRIM(rTipo))=""CONTIENE"",
UPPER(TRIM(rTipo))=""COINCIDENCIA""
),
ISNUMBER(SEARCH(UPPER(TRIM(rPatron)),UPPER(TRIM(D505))))
)
)
),
rConcepto,
"&amp;"""""
)
)
)&lt;&gt;""""
),
1
),
""""
)"),"SANITARIOS")</f>
        <v>SANITARIOS</v>
      </c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</row>
    <row r="506">
      <c r="A506" s="28">
        <v>1.0</v>
      </c>
      <c r="B506" s="28" t="s">
        <v>29</v>
      </c>
      <c r="C506" s="29" t="s">
        <v>89</v>
      </c>
      <c r="D506" s="29" t="s">
        <v>91</v>
      </c>
      <c r="E506" s="28">
        <v>1283.04</v>
      </c>
      <c r="F506" s="28">
        <v>0.0</v>
      </c>
      <c r="G506" s="28" t="s">
        <v>601</v>
      </c>
      <c r="H506" s="28">
        <f t="array" ref="H506">INDEX(CC!C:C,MATCH(1,(CC!A:A=G506)*(CC!B:B=I506),0))</f>
        <v>403</v>
      </c>
      <c r="I506" s="28" t="s">
        <v>44</v>
      </c>
      <c r="J506" s="31">
        <v>1283.04</v>
      </c>
      <c r="K506" s="28" t="str">
        <f>IFERROR(__xludf.DUMMYFUNCTION("IFERROR(
INDEX(
FILTER(
MAP(
reglas!$B$2:$B$240,
reglas!$C$2:$C$240,
reglas!$D$2:$D$240,
reglas!$E$2:$E$240,
LAMBDA(rEmisor,rPatron,rConcepto,rTipo,
IF(
AND(
OR(
UPPER(TRIM(rEmisor))=UPPER(TRIM(C506)),
UPPER(TRIM(rEmisor))=""CUALQUIERA""
),
OR(
UPPER(TRIM"&amp;"(rTipo))=""SOLO EMISOR"",
AND(
UPPER(TRIM(rTipo))=""EXACTA"",
UPPER(TRIM(AG506))=UPPER(TRIM(rPatron))
),
AND(
OR(
UPPER(TRIM(rTipo))=""CONTIENE"",
UPPER(TRIM(rTipo))=""COINCIDENCIA""
),
ISNUMBER(SEARCH(UPPER(TRIM(rPatron)),UPPER(TRIM(D506))))
)
)
),
rConc"&amp;"epto,
""""
)
)
),
MAP(
reglas!$B$2:$B$240,
reglas!$C$2:$C$240,
reglas!$D$2:$D$240,
reglas!$E$2:$E$240,
LAMBDA(rEmisor,rPatron,rConcepto,rTipo,
IF(
AND(
OR(
UPPER(TRIM(rEmisor))=UPPER(TRIM(C506)),
UPPER(TRIM(rEmisor))=""CUALQUIERA""
),
OR(
UPPER(TRIM(rTipo"&amp;"))=""SOLO EMISOR"",
AND(
UPPER(TRIM(rTipo))=""EXACTA"",
UPPER(TRIM(D506))=UPPER(TRIM(rPatron))
),
AND(
OR(
UPPER(TRIM(rTipo))=""CONTIENE"",
UPPER(TRIM(rTipo))=""COINCIDENCIA""
),
ISNUMBER(SEARCH(UPPER(TRIM(rPatron)),UPPER(TRIM(D506))))
)
)
),
rConcepto,
"&amp;"""""
)
)
)&lt;&gt;""""
),
1
),
""""
)"),"MANIOBRAS")</f>
        <v>MANIOBRAS</v>
      </c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</row>
    <row r="507">
      <c r="A507" s="32"/>
      <c r="B507" s="28" t="s">
        <v>29</v>
      </c>
      <c r="C507" s="29" t="s">
        <v>331</v>
      </c>
      <c r="D507" s="29" t="s">
        <v>33</v>
      </c>
      <c r="E507" s="28">
        <v>0.01</v>
      </c>
      <c r="F507" s="28">
        <v>0.0</v>
      </c>
      <c r="G507" s="28" t="s">
        <v>385</v>
      </c>
      <c r="H507" s="28">
        <f t="array" ref="H507">INDEX(CC!C:C,MATCH(1,(CC!A:A=G507)*(CC!B:B=I507),0))</f>
        <v>502</v>
      </c>
      <c r="I507" s="28" t="s">
        <v>25</v>
      </c>
      <c r="J507" s="31">
        <v>0.01</v>
      </c>
      <c r="K507" s="28" t="str">
        <f>IFERROR(__xludf.DUMMYFUNCTION("IFERROR(
INDEX(
FILTER(
MAP(
reglas!$B$2:$B$240,
reglas!$C$2:$C$240,
reglas!$D$2:$D$240,
reglas!$E$2:$E$240,
LAMBDA(rEmisor,rPatron,rConcepto,rTipo,
IF(
AND(
OR(
UPPER(TRIM(rEmisor))=UPPER(TRIM(C507)),
UPPER(TRIM(rEmisor))=""CUALQUIERA""
),
OR(
UPPER(TRIM"&amp;"(rTipo))=""SOLO EMISOR"",
AND(
UPPER(TRIM(rTipo))=""EXACTA"",
UPPER(TRIM(AG507))=UPPER(TRIM(rPatron))
),
AND(
OR(
UPPER(TRIM(rTipo))=""CONTIENE"",
UPPER(TRIM(rTipo))=""COINCIDENCIA""
),
ISNUMBER(SEARCH(UPPER(TRIM(rPatron)),UPPER(TRIM(D507))))
)
)
),
rConc"&amp;"epto,
""""
)
)
),
MAP(
reglas!$B$2:$B$240,
reglas!$C$2:$C$240,
reglas!$D$2:$D$240,
reglas!$E$2:$E$240,
LAMBDA(rEmisor,rPatron,rConcepto,rTipo,
IF(
AND(
OR(
UPPER(TRIM(rEmisor))=UPPER(TRIM(C507)),
UPPER(TRIM(rEmisor))=""CUALQUIERA""
),
OR(
UPPER(TRIM(rTipo"&amp;"))=""SOLO EMISOR"",
AND(
UPPER(TRIM(rTipo))=""EXACTA"",
UPPER(TRIM(D507))=UPPER(TRIM(rPatron))
),
AND(
OR(
UPPER(TRIM(rTipo))=""CONTIENE"",
UPPER(TRIM(rTipo))=""COINCIDENCIA""
),
ISNUMBER(SEARCH(UPPER(TRIM(rPatron)),UPPER(TRIM(D507))))
)
)
),
rConcepto,
"&amp;"""""
)
)
)&lt;&gt;""""
),
1
),
""""
)"),"N/A")</f>
        <v>N/A</v>
      </c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</row>
    <row r="508">
      <c r="A508" s="28">
        <v>1.0</v>
      </c>
      <c r="B508" s="28" t="s">
        <v>29</v>
      </c>
      <c r="C508" s="29" t="s">
        <v>271</v>
      </c>
      <c r="D508" s="29" t="s">
        <v>585</v>
      </c>
      <c r="E508" s="28">
        <v>629.54</v>
      </c>
      <c r="F508" s="28">
        <v>0.0</v>
      </c>
      <c r="G508" s="28" t="s">
        <v>84</v>
      </c>
      <c r="H508" s="28">
        <f t="array" ref="H508">INDEX(CC!C:C,MATCH(1,(CC!A:A=G508)*(CC!B:B=I508),0))</f>
        <v>1002</v>
      </c>
      <c r="I508" s="28" t="s">
        <v>25</v>
      </c>
      <c r="J508" s="31">
        <v>629.54</v>
      </c>
      <c r="K508" s="28" t="str">
        <f>IFERROR(__xludf.DUMMYFUNCTION("IFERROR(
INDEX(
FILTER(
MAP(
reglas!$B$2:$B$240,
reglas!$C$2:$C$240,
reglas!$D$2:$D$240,
reglas!$E$2:$E$240,
LAMBDA(rEmisor,rPatron,rConcepto,rTipo,
IF(
AND(
OR(
UPPER(TRIM(rEmisor))=UPPER(TRIM(C508)),
UPPER(TRIM(rEmisor))=""CUALQUIERA""
),
OR(
UPPER(TRIM"&amp;"(rTipo))=""SOLO EMISOR"",
AND(
UPPER(TRIM(rTipo))=""EXACTA"",
UPPER(TRIM(AG508))=UPPER(TRIM(rPatron))
),
AND(
OR(
UPPER(TRIM(rTipo))=""CONTIENE"",
UPPER(TRIM(rTipo))=""COINCIDENCIA""
),
ISNUMBER(SEARCH(UPPER(TRIM(rPatron)),UPPER(TRIM(D508))))
)
)
),
rConc"&amp;"epto,
""""
)
)
),
MAP(
reglas!$B$2:$B$240,
reglas!$C$2:$C$240,
reglas!$D$2:$D$240,
reglas!$E$2:$E$240,
LAMBDA(rEmisor,rPatron,rConcepto,rTipo,
IF(
AND(
OR(
UPPER(TRIM(rEmisor))=UPPER(TRIM(C508)),
UPPER(TRIM(rEmisor))=""CUALQUIERA""
),
OR(
UPPER(TRIM(rTipo"&amp;"))=""SOLO EMISOR"",
AND(
UPPER(TRIM(rTipo))=""EXACTA"",
UPPER(TRIM(D508))=UPPER(TRIM(rPatron))
),
AND(
OR(
UPPER(TRIM(rTipo))=""CONTIENE"",
UPPER(TRIM(rTipo))=""COINCIDENCIA""
),
ISNUMBER(SEARCH(UPPER(TRIM(rPatron)),UPPER(TRIM(D508))))
)
)
),
rConcepto,
"&amp;"""""
)
)
)&lt;&gt;""""
),
1
),
""""
)"),"MANIOBRAS")</f>
        <v>MANIOBRAS</v>
      </c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</row>
    <row r="509">
      <c r="A509" s="32"/>
      <c r="B509" s="32"/>
      <c r="C509" s="29" t="s">
        <v>271</v>
      </c>
      <c r="D509" s="29" t="s">
        <v>587</v>
      </c>
      <c r="E509" s="28">
        <v>575.99</v>
      </c>
      <c r="F509" s="28">
        <v>0.0</v>
      </c>
      <c r="G509" s="28" t="s">
        <v>84</v>
      </c>
      <c r="H509" s="28">
        <f t="array" ref="H509">INDEX(CC!C:C,MATCH(1,(CC!A:A=G509)*(CC!B:B=I509),0))</f>
        <v>1002</v>
      </c>
      <c r="I509" s="28" t="s">
        <v>25</v>
      </c>
      <c r="J509" s="31">
        <v>575.99</v>
      </c>
      <c r="K509" s="28" t="str">
        <f>IFERROR(__xludf.DUMMYFUNCTION("IFERROR(
INDEX(
FILTER(
MAP(
reglas!$B$2:$B$240,
reglas!$C$2:$C$240,
reglas!$D$2:$D$240,
reglas!$E$2:$E$240,
LAMBDA(rEmisor,rPatron,rConcepto,rTipo,
IF(
AND(
OR(
UPPER(TRIM(rEmisor))=UPPER(TRIM(C509)),
UPPER(TRIM(rEmisor))=""CUALQUIERA""
),
OR(
UPPER(TRIM"&amp;"(rTipo))=""SOLO EMISOR"",
AND(
UPPER(TRIM(rTipo))=""EXACTA"",
UPPER(TRIM(AG509))=UPPER(TRIM(rPatron))
),
AND(
OR(
UPPER(TRIM(rTipo))=""CONTIENE"",
UPPER(TRIM(rTipo))=""COINCIDENCIA""
),
ISNUMBER(SEARCH(UPPER(TRIM(rPatron)),UPPER(TRIM(D509))))
)
)
),
rConc"&amp;"epto,
""""
)
)
),
MAP(
reglas!$B$2:$B$240,
reglas!$C$2:$C$240,
reglas!$D$2:$D$240,
reglas!$E$2:$E$240,
LAMBDA(rEmisor,rPatron,rConcepto,rTipo,
IF(
AND(
OR(
UPPER(TRIM(rEmisor))=UPPER(TRIM(C509)),
UPPER(TRIM(rEmisor))=""CUALQUIERA""
),
OR(
UPPER(TRIM(rTipo"&amp;"))=""SOLO EMISOR"",
AND(
UPPER(TRIM(rTipo))=""EXACTA"",
UPPER(TRIM(D509))=UPPER(TRIM(rPatron))
),
AND(
OR(
UPPER(TRIM(rTipo))=""CONTIENE"",
UPPER(TRIM(rTipo))=""COINCIDENCIA""
),
ISNUMBER(SEARCH(UPPER(TRIM(rPatron)),UPPER(TRIM(D509))))
)
)
),
rConcepto,
"&amp;"""""
)
)
)&lt;&gt;""""
),
1
),
""""
)"),"MANIOBRAS")</f>
        <v>MANIOBRAS</v>
      </c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</row>
    <row r="510">
      <c r="A510" s="32"/>
      <c r="B510" s="32"/>
      <c r="C510" s="29" t="s">
        <v>271</v>
      </c>
      <c r="D510" s="29" t="s">
        <v>586</v>
      </c>
      <c r="E510" s="28">
        <v>629.89</v>
      </c>
      <c r="F510" s="28">
        <v>0.0</v>
      </c>
      <c r="G510" s="28" t="s">
        <v>84</v>
      </c>
      <c r="H510" s="28">
        <f t="array" ref="H510">INDEX(CC!C:C,MATCH(1,(CC!A:A=G510)*(CC!B:B=I510),0))</f>
        <v>1002</v>
      </c>
      <c r="I510" s="28" t="s">
        <v>25</v>
      </c>
      <c r="J510" s="31">
        <v>629.89</v>
      </c>
      <c r="K510" s="28" t="str">
        <f>IFERROR(__xludf.DUMMYFUNCTION("IFERROR(
INDEX(
FILTER(
MAP(
reglas!$B$2:$B$240,
reglas!$C$2:$C$240,
reglas!$D$2:$D$240,
reglas!$E$2:$E$240,
LAMBDA(rEmisor,rPatron,rConcepto,rTipo,
IF(
AND(
OR(
UPPER(TRIM(rEmisor))=UPPER(TRIM(C510)),
UPPER(TRIM(rEmisor))=""CUALQUIERA""
),
OR(
UPPER(TRIM"&amp;"(rTipo))=""SOLO EMISOR"",
AND(
UPPER(TRIM(rTipo))=""EXACTA"",
UPPER(TRIM(AG510))=UPPER(TRIM(rPatron))
),
AND(
OR(
UPPER(TRIM(rTipo))=""CONTIENE"",
UPPER(TRIM(rTipo))=""COINCIDENCIA""
),
ISNUMBER(SEARCH(UPPER(TRIM(rPatron)),UPPER(TRIM(D510))))
)
)
),
rConc"&amp;"epto,
""""
)
)
),
MAP(
reglas!$B$2:$B$240,
reglas!$C$2:$C$240,
reglas!$D$2:$D$240,
reglas!$E$2:$E$240,
LAMBDA(rEmisor,rPatron,rConcepto,rTipo,
IF(
AND(
OR(
UPPER(TRIM(rEmisor))=UPPER(TRIM(C510)),
UPPER(TRIM(rEmisor))=""CUALQUIERA""
),
OR(
UPPER(TRIM(rTipo"&amp;"))=""SOLO EMISOR"",
AND(
UPPER(TRIM(rTipo))=""EXACTA"",
UPPER(TRIM(D510))=UPPER(TRIM(rPatron))
),
AND(
OR(
UPPER(TRIM(rTipo))=""CONTIENE"",
UPPER(TRIM(rTipo))=""COINCIDENCIA""
),
ISNUMBER(SEARCH(UPPER(TRIM(rPatron)),UPPER(TRIM(D510))))
)
)
),
rConcepto,
"&amp;"""""
)
)
)&lt;&gt;""""
),
1
),
""""
)"),"MANIOBRAS")</f>
        <v>MANIOBRAS</v>
      </c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</row>
    <row r="511">
      <c r="A511" s="32"/>
      <c r="B511" s="32"/>
      <c r="C511" s="29" t="s">
        <v>271</v>
      </c>
      <c r="D511" s="29" t="s">
        <v>589</v>
      </c>
      <c r="E511" s="28">
        <v>629.89</v>
      </c>
      <c r="F511" s="28">
        <v>0.0</v>
      </c>
      <c r="G511" s="28" t="s">
        <v>84</v>
      </c>
      <c r="H511" s="28">
        <f t="array" ref="H511">INDEX(CC!C:C,MATCH(1,(CC!A:A=G511)*(CC!B:B=I511),0))</f>
        <v>1002</v>
      </c>
      <c r="I511" s="28" t="s">
        <v>25</v>
      </c>
      <c r="J511" s="31">
        <v>629.89</v>
      </c>
      <c r="K511" s="28" t="str">
        <f>IFERROR(__xludf.DUMMYFUNCTION("IFERROR(
INDEX(
FILTER(
MAP(
reglas!$B$2:$B$240,
reglas!$C$2:$C$240,
reglas!$D$2:$D$240,
reglas!$E$2:$E$240,
LAMBDA(rEmisor,rPatron,rConcepto,rTipo,
IF(
AND(
OR(
UPPER(TRIM(rEmisor))=UPPER(TRIM(C511)),
UPPER(TRIM(rEmisor))=""CUALQUIERA""
),
OR(
UPPER(TRIM"&amp;"(rTipo))=""SOLO EMISOR"",
AND(
UPPER(TRIM(rTipo))=""EXACTA"",
UPPER(TRIM(AG511))=UPPER(TRIM(rPatron))
),
AND(
OR(
UPPER(TRIM(rTipo))=""CONTIENE"",
UPPER(TRIM(rTipo))=""COINCIDENCIA""
),
ISNUMBER(SEARCH(UPPER(TRIM(rPatron)),UPPER(TRIM(D511))))
)
)
),
rConc"&amp;"epto,
""""
)
)
),
MAP(
reglas!$B$2:$B$240,
reglas!$C$2:$C$240,
reglas!$D$2:$D$240,
reglas!$E$2:$E$240,
LAMBDA(rEmisor,rPatron,rConcepto,rTipo,
IF(
AND(
OR(
UPPER(TRIM(rEmisor))=UPPER(TRIM(C511)),
UPPER(TRIM(rEmisor))=""CUALQUIERA""
),
OR(
UPPER(TRIM(rTipo"&amp;"))=""SOLO EMISOR"",
AND(
UPPER(TRIM(rTipo))=""EXACTA"",
UPPER(TRIM(D511))=UPPER(TRIM(rPatron))
),
AND(
OR(
UPPER(TRIM(rTipo))=""CONTIENE"",
UPPER(TRIM(rTipo))=""COINCIDENCIA""
),
ISNUMBER(SEARCH(UPPER(TRIM(rPatron)),UPPER(TRIM(D511))))
)
)
),
rConcepto,
"&amp;"""""
)
)
)&lt;&gt;""""
),
1
),
""""
)"),"MANIOBRAS")</f>
        <v>MANIOBRAS</v>
      </c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</row>
    <row r="512">
      <c r="A512" s="32"/>
      <c r="B512" s="32"/>
      <c r="C512" s="29" t="s">
        <v>271</v>
      </c>
      <c r="D512" s="29" t="s">
        <v>593</v>
      </c>
      <c r="E512" s="28">
        <v>452.01</v>
      </c>
      <c r="F512" s="28">
        <v>0.0</v>
      </c>
      <c r="G512" s="28" t="s">
        <v>84</v>
      </c>
      <c r="H512" s="28">
        <f t="array" ref="H512">INDEX(CC!C:C,MATCH(1,(CC!A:A=G512)*(CC!B:B=I512),0))</f>
        <v>1002</v>
      </c>
      <c r="I512" s="28" t="s">
        <v>25</v>
      </c>
      <c r="J512" s="31">
        <v>452.01</v>
      </c>
      <c r="K512" s="28" t="str">
        <f>IFERROR(__xludf.DUMMYFUNCTION("IFERROR(
INDEX(
FILTER(
MAP(
reglas!$B$2:$B$240,
reglas!$C$2:$C$240,
reglas!$D$2:$D$240,
reglas!$E$2:$E$240,
LAMBDA(rEmisor,rPatron,rConcepto,rTipo,
IF(
AND(
OR(
UPPER(TRIM(rEmisor))=UPPER(TRIM(C512)),
UPPER(TRIM(rEmisor))=""CUALQUIERA""
),
OR(
UPPER(TRIM"&amp;"(rTipo))=""SOLO EMISOR"",
AND(
UPPER(TRIM(rTipo))=""EXACTA"",
UPPER(TRIM(AG512))=UPPER(TRIM(rPatron))
),
AND(
OR(
UPPER(TRIM(rTipo))=""CONTIENE"",
UPPER(TRIM(rTipo))=""COINCIDENCIA""
),
ISNUMBER(SEARCH(UPPER(TRIM(rPatron)),UPPER(TRIM(D512))))
)
)
),
rConc"&amp;"epto,
""""
)
)
),
MAP(
reglas!$B$2:$B$240,
reglas!$C$2:$C$240,
reglas!$D$2:$D$240,
reglas!$E$2:$E$240,
LAMBDA(rEmisor,rPatron,rConcepto,rTipo,
IF(
AND(
OR(
UPPER(TRIM(rEmisor))=UPPER(TRIM(C512)),
UPPER(TRIM(rEmisor))=""CUALQUIERA""
),
OR(
UPPER(TRIM(rTipo"&amp;"))=""SOLO EMISOR"",
AND(
UPPER(TRIM(rTipo))=""EXACTA"",
UPPER(TRIM(D512))=UPPER(TRIM(rPatron))
),
AND(
OR(
UPPER(TRIM(rTipo))=""CONTIENE"",
UPPER(TRIM(rTipo))=""COINCIDENCIA""
),
ISNUMBER(SEARCH(UPPER(TRIM(rPatron)),UPPER(TRIM(D512))))
)
)
),
rConcepto,
"&amp;"""""
)
)
)&lt;&gt;""""
),
1
),
""""
)"),"MANIOBRAS")</f>
        <v>MANIOBRAS</v>
      </c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</row>
    <row r="513">
      <c r="A513" s="32"/>
      <c r="B513" s="32"/>
      <c r="C513" s="29" t="s">
        <v>271</v>
      </c>
      <c r="D513" s="29" t="s">
        <v>596</v>
      </c>
      <c r="E513" s="28">
        <v>660.88</v>
      </c>
      <c r="F513" s="28">
        <v>0.0</v>
      </c>
      <c r="G513" s="28" t="s">
        <v>84</v>
      </c>
      <c r="H513" s="28">
        <f t="array" ref="H513">INDEX(CC!C:C,MATCH(1,(CC!A:A=G513)*(CC!B:B=I513),0))</f>
        <v>1002</v>
      </c>
      <c r="I513" s="28" t="s">
        <v>25</v>
      </c>
      <c r="J513" s="31">
        <v>660.88</v>
      </c>
      <c r="K513" s="28" t="str">
        <f>IFERROR(__xludf.DUMMYFUNCTION("IFERROR(
INDEX(
FILTER(
MAP(
reglas!$B$2:$B$240,
reglas!$C$2:$C$240,
reglas!$D$2:$D$240,
reglas!$E$2:$E$240,
LAMBDA(rEmisor,rPatron,rConcepto,rTipo,
IF(
AND(
OR(
UPPER(TRIM(rEmisor))=UPPER(TRIM(C513)),
UPPER(TRIM(rEmisor))=""CUALQUIERA""
),
OR(
UPPER(TRIM"&amp;"(rTipo))=""SOLO EMISOR"",
AND(
UPPER(TRIM(rTipo))=""EXACTA"",
UPPER(TRIM(AG513))=UPPER(TRIM(rPatron))
),
AND(
OR(
UPPER(TRIM(rTipo))=""CONTIENE"",
UPPER(TRIM(rTipo))=""COINCIDENCIA""
),
ISNUMBER(SEARCH(UPPER(TRIM(rPatron)),UPPER(TRIM(D513))))
)
)
),
rConc"&amp;"epto,
""""
)
)
),
MAP(
reglas!$B$2:$B$240,
reglas!$C$2:$C$240,
reglas!$D$2:$D$240,
reglas!$E$2:$E$240,
LAMBDA(rEmisor,rPatron,rConcepto,rTipo,
IF(
AND(
OR(
UPPER(TRIM(rEmisor))=UPPER(TRIM(C513)),
UPPER(TRIM(rEmisor))=""CUALQUIERA""
),
OR(
UPPER(TRIM(rTipo"&amp;"))=""SOLO EMISOR"",
AND(
UPPER(TRIM(rTipo))=""EXACTA"",
UPPER(TRIM(D513))=UPPER(TRIM(rPatron))
),
AND(
OR(
UPPER(TRIM(rTipo))=""CONTIENE"",
UPPER(TRIM(rTipo))=""COINCIDENCIA""
),
ISNUMBER(SEARCH(UPPER(TRIM(rPatron)),UPPER(TRIM(D513))))
)
)
),
rConcepto,
"&amp;"""""
)
)
)&lt;&gt;""""
),
1
),
""""
)"),"MANIOBRAS")</f>
        <v>MANIOBRAS</v>
      </c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</row>
    <row r="514">
      <c r="A514" s="28">
        <v>1.0</v>
      </c>
      <c r="B514" s="28" t="s">
        <v>29</v>
      </c>
      <c r="C514" s="29" t="s">
        <v>271</v>
      </c>
      <c r="D514" s="29" t="s">
        <v>589</v>
      </c>
      <c r="E514" s="28">
        <v>626.93</v>
      </c>
      <c r="F514" s="28">
        <v>0.0</v>
      </c>
      <c r="G514" s="28" t="s">
        <v>84</v>
      </c>
      <c r="H514" s="28">
        <f t="array" ref="H514">INDEX(CC!C:C,MATCH(1,(CC!A:A=G514)*(CC!B:B=I514),0))</f>
        <v>1002</v>
      </c>
      <c r="I514" s="28" t="s">
        <v>25</v>
      </c>
      <c r="J514" s="31">
        <v>626.93</v>
      </c>
      <c r="K514" s="28" t="str">
        <f>IFERROR(__xludf.DUMMYFUNCTION("IFERROR(
INDEX(
FILTER(
MAP(
reglas!$B$2:$B$240,
reglas!$C$2:$C$240,
reglas!$D$2:$D$240,
reglas!$E$2:$E$240,
LAMBDA(rEmisor,rPatron,rConcepto,rTipo,
IF(
AND(
OR(
UPPER(TRIM(rEmisor))=UPPER(TRIM(C514)),
UPPER(TRIM(rEmisor))=""CUALQUIERA""
),
OR(
UPPER(TRIM"&amp;"(rTipo))=""SOLO EMISOR"",
AND(
UPPER(TRIM(rTipo))=""EXACTA"",
UPPER(TRIM(AG514))=UPPER(TRIM(rPatron))
),
AND(
OR(
UPPER(TRIM(rTipo))=""CONTIENE"",
UPPER(TRIM(rTipo))=""COINCIDENCIA""
),
ISNUMBER(SEARCH(UPPER(TRIM(rPatron)),UPPER(TRIM(D514))))
)
)
),
rConc"&amp;"epto,
""""
)
)
),
MAP(
reglas!$B$2:$B$240,
reglas!$C$2:$C$240,
reglas!$D$2:$D$240,
reglas!$E$2:$E$240,
LAMBDA(rEmisor,rPatron,rConcepto,rTipo,
IF(
AND(
OR(
UPPER(TRIM(rEmisor))=UPPER(TRIM(C514)),
UPPER(TRIM(rEmisor))=""CUALQUIERA""
),
OR(
UPPER(TRIM(rTipo"&amp;"))=""SOLO EMISOR"",
AND(
UPPER(TRIM(rTipo))=""EXACTA"",
UPPER(TRIM(D514))=UPPER(TRIM(rPatron))
),
AND(
OR(
UPPER(TRIM(rTipo))=""CONTIENE"",
UPPER(TRIM(rTipo))=""COINCIDENCIA""
),
ISNUMBER(SEARCH(UPPER(TRIM(rPatron)),UPPER(TRIM(D514))))
)
)
),
rConcepto,
"&amp;"""""
)
)
)&lt;&gt;""""
),
1
),
""""
)"),"MANIOBRAS")</f>
        <v>MANIOBRAS</v>
      </c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</row>
    <row r="515">
      <c r="A515" s="32"/>
      <c r="B515" s="28" t="s">
        <v>29</v>
      </c>
      <c r="C515" s="29" t="s">
        <v>259</v>
      </c>
      <c r="D515" s="29" t="s">
        <v>969</v>
      </c>
      <c r="E515" s="28">
        <v>5172.41</v>
      </c>
      <c r="F515" s="28">
        <v>0.0</v>
      </c>
      <c r="G515" s="28" t="s">
        <v>581</v>
      </c>
      <c r="H515" s="28">
        <f t="array" ref="H515">INDEX(CC!C:C,MATCH(1,(CC!A:A=G515)*(CC!B:B=I515),0))</f>
        <v>202</v>
      </c>
      <c r="I515" s="28" t="s">
        <v>25</v>
      </c>
      <c r="J515" s="31">
        <v>5172.41</v>
      </c>
      <c r="K515" s="28" t="str">
        <f>IFERROR(__xludf.DUMMYFUNCTION("IFERROR(
INDEX(
FILTER(
MAP(
reglas!$B$2:$B$240,
reglas!$C$2:$C$240,
reglas!$D$2:$D$240,
reglas!$E$2:$E$240,
LAMBDA(rEmisor,rPatron,rConcepto,rTipo,
IF(
AND(
OR(
UPPER(TRIM(rEmisor))=UPPER(TRIM(C515)),
UPPER(TRIM(rEmisor))=""CUALQUIERA""
),
OR(
UPPER(TRIM"&amp;"(rTipo))=""SOLO EMISOR"",
AND(
UPPER(TRIM(rTipo))=""EXACTA"",
UPPER(TRIM(AG515))=UPPER(TRIM(rPatron))
),
AND(
OR(
UPPER(TRIM(rTipo))=""CONTIENE"",
UPPER(TRIM(rTipo))=""COINCIDENCIA""
),
ISNUMBER(SEARCH(UPPER(TRIM(rPatron)),UPPER(TRIM(D515))))
)
)
),
rConc"&amp;"epto,
""""
)
)
),
MAP(
reglas!$B$2:$B$240,
reglas!$C$2:$C$240,
reglas!$D$2:$D$240,
reglas!$E$2:$E$240,
LAMBDA(rEmisor,rPatron,rConcepto,rTipo,
IF(
AND(
OR(
UPPER(TRIM(rEmisor))=UPPER(TRIM(C515)),
UPPER(TRIM(rEmisor))=""CUALQUIERA""
),
OR(
UPPER(TRIM(rTipo"&amp;"))=""SOLO EMISOR"",
AND(
UPPER(TRIM(rTipo))=""EXACTA"",
UPPER(TRIM(D515))=UPPER(TRIM(rPatron))
),
AND(
OR(
UPPER(TRIM(rTipo))=""CONTIENE"",
UPPER(TRIM(rTipo))=""COINCIDENCIA""
),
ISNUMBER(SEARCH(UPPER(TRIM(rPatron)),UPPER(TRIM(D515))))
)
)
),
rConcepto,
"&amp;"""""
)
)
)&lt;&gt;""""
),
1
),
""""
)"),"COMBUSTIBLES Y LUBRICANTES")</f>
        <v>COMBUSTIBLES Y LUBRICANTES</v>
      </c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</row>
    <row r="516">
      <c r="A516" s="32"/>
      <c r="B516" s="28" t="s">
        <v>29</v>
      </c>
      <c r="C516" s="29" t="s">
        <v>331</v>
      </c>
      <c r="D516" s="29" t="s">
        <v>33</v>
      </c>
      <c r="E516" s="28">
        <v>0.01</v>
      </c>
      <c r="F516" s="28">
        <v>0.0</v>
      </c>
      <c r="G516" s="28" t="s">
        <v>385</v>
      </c>
      <c r="H516" s="28">
        <f t="array" ref="H516">INDEX(CC!C:C,MATCH(1,(CC!A:A=G516)*(CC!B:B=I516),0))</f>
        <v>502</v>
      </c>
      <c r="I516" s="28" t="s">
        <v>25</v>
      </c>
      <c r="J516" s="31">
        <v>0.01</v>
      </c>
      <c r="K516" s="28" t="str">
        <f>IFERROR(__xludf.DUMMYFUNCTION("IFERROR(
INDEX(
FILTER(
MAP(
reglas!$B$2:$B$240,
reglas!$C$2:$C$240,
reglas!$D$2:$D$240,
reglas!$E$2:$E$240,
LAMBDA(rEmisor,rPatron,rConcepto,rTipo,
IF(
AND(
OR(
UPPER(TRIM(rEmisor))=UPPER(TRIM(C516)),
UPPER(TRIM(rEmisor))=""CUALQUIERA""
),
OR(
UPPER(TRIM"&amp;"(rTipo))=""SOLO EMISOR"",
AND(
UPPER(TRIM(rTipo))=""EXACTA"",
UPPER(TRIM(AG516))=UPPER(TRIM(rPatron))
),
AND(
OR(
UPPER(TRIM(rTipo))=""CONTIENE"",
UPPER(TRIM(rTipo))=""COINCIDENCIA""
),
ISNUMBER(SEARCH(UPPER(TRIM(rPatron)),UPPER(TRIM(D516))))
)
)
),
rConc"&amp;"epto,
""""
)
)
),
MAP(
reglas!$B$2:$B$240,
reglas!$C$2:$C$240,
reglas!$D$2:$D$240,
reglas!$E$2:$E$240,
LAMBDA(rEmisor,rPatron,rConcepto,rTipo,
IF(
AND(
OR(
UPPER(TRIM(rEmisor))=UPPER(TRIM(C516)),
UPPER(TRIM(rEmisor))=""CUALQUIERA""
),
OR(
UPPER(TRIM(rTipo"&amp;"))=""SOLO EMISOR"",
AND(
UPPER(TRIM(rTipo))=""EXACTA"",
UPPER(TRIM(D516))=UPPER(TRIM(rPatron))
),
AND(
OR(
UPPER(TRIM(rTipo))=""CONTIENE"",
UPPER(TRIM(rTipo))=""COINCIDENCIA""
),
ISNUMBER(SEARCH(UPPER(TRIM(rPatron)),UPPER(TRIM(D516))))
)
)
),
rConcepto,
"&amp;"""""
)
)
)&lt;&gt;""""
),
1
),
""""
)"),"N/A")</f>
        <v>N/A</v>
      </c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</row>
    <row r="517">
      <c r="A517" s="32"/>
      <c r="B517" s="28" t="s">
        <v>29</v>
      </c>
      <c r="C517" s="29" t="s">
        <v>278</v>
      </c>
      <c r="D517" s="29" t="s">
        <v>560</v>
      </c>
      <c r="E517" s="28">
        <v>3500.0</v>
      </c>
      <c r="F517" s="28">
        <v>0.0</v>
      </c>
      <c r="G517" s="28" t="s">
        <v>250</v>
      </c>
      <c r="H517" s="28">
        <f t="array" ref="H517">INDEX(CC!C:C,MATCH(1,(CC!A:A=G517)*(CC!B:B=I517),0))</f>
        <v>1402</v>
      </c>
      <c r="I517" s="28" t="s">
        <v>25</v>
      </c>
      <c r="J517" s="31">
        <v>3500.0</v>
      </c>
      <c r="K517" s="28" t="str">
        <f>IFERROR(__xludf.DUMMYFUNCTION("IFERROR(
INDEX(
FILTER(
MAP(
reglas!$B$2:$B$240,
reglas!$C$2:$C$240,
reglas!$D$2:$D$240,
reglas!$E$2:$E$240,
LAMBDA(rEmisor,rPatron,rConcepto,rTipo,
IF(
AND(
OR(
UPPER(TRIM(rEmisor))=UPPER(TRIM(C517)),
UPPER(TRIM(rEmisor))=""CUALQUIERA""
),
OR(
UPPER(TRIM"&amp;"(rTipo))=""SOLO EMISOR"",
AND(
UPPER(TRIM(rTipo))=""EXACTA"",
UPPER(TRIM(AG517))=UPPER(TRIM(rPatron))
),
AND(
OR(
UPPER(TRIM(rTipo))=""CONTIENE"",
UPPER(TRIM(rTipo))=""COINCIDENCIA""
),
ISNUMBER(SEARCH(UPPER(TRIM(rPatron)),UPPER(TRIM(D517))))
)
)
),
rConc"&amp;"epto,
""""
)
)
),
MAP(
reglas!$B$2:$B$240,
reglas!$C$2:$C$240,
reglas!$D$2:$D$240,
reglas!$E$2:$E$240,
LAMBDA(rEmisor,rPatron,rConcepto,rTipo,
IF(
AND(
OR(
UPPER(TRIM(rEmisor))=UPPER(TRIM(C517)),
UPPER(TRIM(rEmisor))=""CUALQUIERA""
),
OR(
UPPER(TRIM(rTipo"&amp;"))=""SOLO EMISOR"",
AND(
UPPER(TRIM(rTipo))=""EXACTA"",
UPPER(TRIM(D517))=UPPER(TRIM(rPatron))
),
AND(
OR(
UPPER(TRIM(rTipo))=""CONTIENE"",
UPPER(TRIM(rTipo))=""COINCIDENCIA""
),
ISNUMBER(SEARCH(UPPER(TRIM(rPatron)),UPPER(TRIM(D517))))
)
)
),
rConcepto,
"&amp;"""""
)
)
)&lt;&gt;""""
),
1
),
""""
)"),"MANIOBRAS")</f>
        <v>MANIOBRAS</v>
      </c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</row>
    <row r="518">
      <c r="A518" s="28">
        <v>1.0</v>
      </c>
      <c r="B518" s="28" t="s">
        <v>29</v>
      </c>
      <c r="C518" s="29" t="s">
        <v>462</v>
      </c>
      <c r="D518" s="29" t="s">
        <v>1631</v>
      </c>
      <c r="E518" s="28">
        <v>2149.0</v>
      </c>
      <c r="F518" s="28">
        <v>0.0</v>
      </c>
      <c r="G518" s="28" t="s">
        <v>395</v>
      </c>
      <c r="H518" s="28">
        <f t="array" ref="H518">INDEX(CC!C:C,MATCH(1,(CC!A:A=G518)*(CC!B:B=I518),0))</f>
        <v>1103</v>
      </c>
      <c r="I518" s="28" t="s">
        <v>44</v>
      </c>
      <c r="J518" s="31">
        <v>2149.0</v>
      </c>
      <c r="K518" s="28" t="str">
        <f>IFERROR(__xludf.DUMMYFUNCTION("IFERROR(
INDEX(
FILTER(
MAP(
reglas!$B$2:$B$240,
reglas!$C$2:$C$240,
reglas!$D$2:$D$240,
reglas!$E$2:$E$240,
LAMBDA(rEmisor,rPatron,rConcepto,rTipo,
IF(
AND(
OR(
UPPER(TRIM(rEmisor))=UPPER(TRIM(C518)),
UPPER(TRIM(rEmisor))=""CUALQUIERA""
),
OR(
UPPER(TRIM"&amp;"(rTipo))=""SOLO EMISOR"",
AND(
UPPER(TRIM(rTipo))=""EXACTA"",
UPPER(TRIM(AG518))=UPPER(TRIM(rPatron))
),
AND(
OR(
UPPER(TRIM(rTipo))=""CONTIENE"",
UPPER(TRIM(rTipo))=""COINCIDENCIA""
),
ISNUMBER(SEARCH(UPPER(TRIM(rPatron)),UPPER(TRIM(D518))))
)
)
),
rConc"&amp;"epto,
""""
)
)
),
MAP(
reglas!$B$2:$B$240,
reglas!$C$2:$C$240,
reglas!$D$2:$D$240,
reglas!$E$2:$E$240,
LAMBDA(rEmisor,rPatron,rConcepto,rTipo,
IF(
AND(
OR(
UPPER(TRIM(rEmisor))=UPPER(TRIM(C518)),
UPPER(TRIM(rEmisor))=""CUALQUIERA""
),
OR(
UPPER(TRIM(rTipo"&amp;"))=""SOLO EMISOR"",
AND(
UPPER(TRIM(rTipo))=""EXACTA"",
UPPER(TRIM(D518))=UPPER(TRIM(rPatron))
),
AND(
OR(
UPPER(TRIM(rTipo))=""CONTIENE"",
UPPER(TRIM(rTipo))=""COINCIDENCIA""
),
ISNUMBER(SEARCH(UPPER(TRIM(rPatron)),UPPER(TRIM(D518))))
)
)
),
rConcepto,
"&amp;"""""
)
)
)&lt;&gt;""""
),
1
),
""""
)"),"MANIOBRAS")</f>
        <v>MANIOBRAS</v>
      </c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</row>
    <row r="519">
      <c r="A519" s="28">
        <v>1.0</v>
      </c>
      <c r="B519" s="28" t="s">
        <v>29</v>
      </c>
      <c r="C519" s="29" t="s">
        <v>462</v>
      </c>
      <c r="D519" s="29" t="s">
        <v>1632</v>
      </c>
      <c r="E519" s="28">
        <v>2149.0</v>
      </c>
      <c r="F519" s="28">
        <v>0.0</v>
      </c>
      <c r="G519" s="28" t="s">
        <v>395</v>
      </c>
      <c r="H519" s="28">
        <f t="array" ref="H519">INDEX(CC!C:C,MATCH(1,(CC!A:A=G519)*(CC!B:B=I519),0))</f>
        <v>1103</v>
      </c>
      <c r="I519" s="28" t="s">
        <v>44</v>
      </c>
      <c r="J519" s="31">
        <v>2149.0</v>
      </c>
      <c r="K519" s="28" t="str">
        <f>IFERROR(__xludf.DUMMYFUNCTION("IFERROR(
INDEX(
FILTER(
MAP(
reglas!$B$2:$B$240,
reglas!$C$2:$C$240,
reglas!$D$2:$D$240,
reglas!$E$2:$E$240,
LAMBDA(rEmisor,rPatron,rConcepto,rTipo,
IF(
AND(
OR(
UPPER(TRIM(rEmisor))=UPPER(TRIM(C519)),
UPPER(TRIM(rEmisor))=""CUALQUIERA""
),
OR(
UPPER(TRIM"&amp;"(rTipo))=""SOLO EMISOR"",
AND(
UPPER(TRIM(rTipo))=""EXACTA"",
UPPER(TRIM(AG519))=UPPER(TRIM(rPatron))
),
AND(
OR(
UPPER(TRIM(rTipo))=""CONTIENE"",
UPPER(TRIM(rTipo))=""COINCIDENCIA""
),
ISNUMBER(SEARCH(UPPER(TRIM(rPatron)),UPPER(TRIM(D519))))
)
)
),
rConc"&amp;"epto,
""""
)
)
),
MAP(
reglas!$B$2:$B$240,
reglas!$C$2:$C$240,
reglas!$D$2:$D$240,
reglas!$E$2:$E$240,
LAMBDA(rEmisor,rPatron,rConcepto,rTipo,
IF(
AND(
OR(
UPPER(TRIM(rEmisor))=UPPER(TRIM(C519)),
UPPER(TRIM(rEmisor))=""CUALQUIERA""
),
OR(
UPPER(TRIM(rTipo"&amp;"))=""SOLO EMISOR"",
AND(
UPPER(TRIM(rTipo))=""EXACTA"",
UPPER(TRIM(D519))=UPPER(TRIM(rPatron))
),
AND(
OR(
UPPER(TRIM(rTipo))=""CONTIENE"",
UPPER(TRIM(rTipo))=""COINCIDENCIA""
),
ISNUMBER(SEARCH(UPPER(TRIM(rPatron)),UPPER(TRIM(D519))))
)
)
),
rConcepto,
"&amp;"""""
)
)
)&lt;&gt;""""
),
1
),
""""
)"),"MANIOBRAS")</f>
        <v>MANIOBRAS</v>
      </c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</row>
    <row r="520">
      <c r="A520" s="32"/>
      <c r="B520" s="28" t="s">
        <v>29</v>
      </c>
      <c r="C520" s="29" t="s">
        <v>174</v>
      </c>
      <c r="D520" s="29" t="s">
        <v>1633</v>
      </c>
      <c r="E520" s="28">
        <v>1600.0</v>
      </c>
      <c r="F520" s="28">
        <v>0.0</v>
      </c>
      <c r="G520" s="28" t="s">
        <v>40</v>
      </c>
      <c r="H520" s="28">
        <f t="array" ref="H520">INDEX(CC!C:C,MATCH(1,(CC!A:A=G520)*(CC!B:B=I520),0))</f>
        <v>602</v>
      </c>
      <c r="I520" s="28" t="s">
        <v>25</v>
      </c>
      <c r="J520" s="31">
        <v>1600.0</v>
      </c>
      <c r="K520" s="28" t="str">
        <f>IFERROR(__xludf.DUMMYFUNCTION("IFERROR(
INDEX(
FILTER(
MAP(
reglas!$B$2:$B$240,
reglas!$C$2:$C$240,
reglas!$D$2:$D$240,
reglas!$E$2:$E$240,
LAMBDA(rEmisor,rPatron,rConcepto,rTipo,
IF(
AND(
OR(
UPPER(TRIM(rEmisor))=UPPER(TRIM(C520)),
UPPER(TRIM(rEmisor))=""CUALQUIERA""
),
OR(
UPPER(TRIM"&amp;"(rTipo))=""SOLO EMISOR"",
AND(
UPPER(TRIM(rTipo))=""EXACTA"",
UPPER(TRIM(AG520))=UPPER(TRIM(rPatron))
),
AND(
OR(
UPPER(TRIM(rTipo))=""CONTIENE"",
UPPER(TRIM(rTipo))=""COINCIDENCIA""
),
ISNUMBER(SEARCH(UPPER(TRIM(rPatron)),UPPER(TRIM(D520))))
)
)
),
rConc"&amp;"epto,
""""
)
)
),
MAP(
reglas!$B$2:$B$240,
reglas!$C$2:$C$240,
reglas!$D$2:$D$240,
reglas!$E$2:$E$240,
LAMBDA(rEmisor,rPatron,rConcepto,rTipo,
IF(
AND(
OR(
UPPER(TRIM(rEmisor))=UPPER(TRIM(C520)),
UPPER(TRIM(rEmisor))=""CUALQUIERA""
),
OR(
UPPER(TRIM(rTipo"&amp;"))=""SOLO EMISOR"",
AND(
UPPER(TRIM(rTipo))=""EXACTA"",
UPPER(TRIM(D520))=UPPER(TRIM(rPatron))
),
AND(
OR(
UPPER(TRIM(rTipo))=""CONTIENE"",
UPPER(TRIM(rTipo))=""COINCIDENCIA""
),
ISNUMBER(SEARCH(UPPER(TRIM(rPatron)),UPPER(TRIM(D520))))
)
)
),
rConcepto,
"&amp;"""""
)
)
)&lt;&gt;""""
),
1
),
""""
)"),"TRANSPORTE")</f>
        <v>TRANSPORTE</v>
      </c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</row>
    <row r="521">
      <c r="A521" s="32"/>
      <c r="B521" s="28" t="s">
        <v>29</v>
      </c>
      <c r="C521" s="29" t="s">
        <v>163</v>
      </c>
      <c r="D521" s="29" t="s">
        <v>1634</v>
      </c>
      <c r="E521" s="28">
        <v>262.93</v>
      </c>
      <c r="F521" s="28">
        <v>0.0</v>
      </c>
      <c r="G521" s="28" t="s">
        <v>385</v>
      </c>
      <c r="H521" s="28">
        <f t="array" ref="H521">INDEX(CC!C:C,MATCH(1,(CC!A:A=G521)*(CC!B:B=I521),0))</f>
        <v>502</v>
      </c>
      <c r="I521" s="28" t="s">
        <v>25</v>
      </c>
      <c r="J521" s="31">
        <v>262.93</v>
      </c>
      <c r="K521" s="28" t="str">
        <f>IFERROR(__xludf.DUMMYFUNCTION("IFERROR(
INDEX(
FILTER(
MAP(
reglas!$B$2:$B$240,
reglas!$C$2:$C$240,
reglas!$D$2:$D$240,
reglas!$E$2:$E$240,
LAMBDA(rEmisor,rPatron,rConcepto,rTipo,
IF(
AND(
OR(
UPPER(TRIM(rEmisor))=UPPER(TRIM(C521)),
UPPER(TRIM(rEmisor))=""CUALQUIERA""
),
OR(
UPPER(TRIM"&amp;"(rTipo))=""SOLO EMISOR"",
AND(
UPPER(TRIM(rTipo))=""EXACTA"",
UPPER(TRIM(AG521))=UPPER(TRIM(rPatron))
),
AND(
OR(
UPPER(TRIM(rTipo))=""CONTIENE"",
UPPER(TRIM(rTipo))=""COINCIDENCIA""
),
ISNUMBER(SEARCH(UPPER(TRIM(rPatron)),UPPER(TRIM(D521))))
)
)
),
rConc"&amp;"epto,
""""
)
)
),
MAP(
reglas!$B$2:$B$240,
reglas!$C$2:$C$240,
reglas!$D$2:$D$240,
reglas!$E$2:$E$240,
LAMBDA(rEmisor,rPatron,rConcepto,rTipo,
IF(
AND(
OR(
UPPER(TRIM(rEmisor))=UPPER(TRIM(C521)),
UPPER(TRIM(rEmisor))=""CUALQUIERA""
),
OR(
UPPER(TRIM(rTipo"&amp;"))=""SOLO EMISOR"",
AND(
UPPER(TRIM(rTipo))=""EXACTA"",
UPPER(TRIM(D521))=UPPER(TRIM(rPatron))
),
AND(
OR(
UPPER(TRIM(rTipo))=""CONTIENE"",
UPPER(TRIM(rTipo))=""COINCIDENCIA""
),
ISNUMBER(SEARCH(UPPER(TRIM(rPatron)),UPPER(TRIM(D521))))
)
)
),
rConcepto,
"&amp;"""""
)
)
)&lt;&gt;""""
),
1
),
""""
)"),"PATIO REGULADOR")</f>
        <v>PATIO REGULADOR</v>
      </c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</row>
    <row r="522">
      <c r="A522" s="28">
        <v>1.0</v>
      </c>
      <c r="B522" s="28" t="s">
        <v>29</v>
      </c>
      <c r="C522" s="29" t="s">
        <v>271</v>
      </c>
      <c r="D522" s="29" t="s">
        <v>585</v>
      </c>
      <c r="E522" s="28">
        <v>629.54</v>
      </c>
      <c r="F522" s="28">
        <v>0.0</v>
      </c>
      <c r="G522" s="28" t="s">
        <v>84</v>
      </c>
      <c r="H522" s="28">
        <f t="array" ref="H522">INDEX(CC!C:C,MATCH(1,(CC!A:A=G522)*(CC!B:B=I522),0))</f>
        <v>1002</v>
      </c>
      <c r="I522" s="28" t="s">
        <v>25</v>
      </c>
      <c r="J522" s="31">
        <v>629.54</v>
      </c>
      <c r="K522" s="28" t="str">
        <f>IFERROR(__xludf.DUMMYFUNCTION("IFERROR(
INDEX(
FILTER(
MAP(
reglas!$B$2:$B$240,
reglas!$C$2:$C$240,
reglas!$D$2:$D$240,
reglas!$E$2:$E$240,
LAMBDA(rEmisor,rPatron,rConcepto,rTipo,
IF(
AND(
OR(
UPPER(TRIM(rEmisor))=UPPER(TRIM(C522)),
UPPER(TRIM(rEmisor))=""CUALQUIERA""
),
OR(
UPPER(TRIM"&amp;"(rTipo))=""SOLO EMISOR"",
AND(
UPPER(TRIM(rTipo))=""EXACTA"",
UPPER(TRIM(AG522))=UPPER(TRIM(rPatron))
),
AND(
OR(
UPPER(TRIM(rTipo))=""CONTIENE"",
UPPER(TRIM(rTipo))=""COINCIDENCIA""
),
ISNUMBER(SEARCH(UPPER(TRIM(rPatron)),UPPER(TRIM(D522))))
)
)
),
rConc"&amp;"epto,
""""
)
)
),
MAP(
reglas!$B$2:$B$240,
reglas!$C$2:$C$240,
reglas!$D$2:$D$240,
reglas!$E$2:$E$240,
LAMBDA(rEmisor,rPatron,rConcepto,rTipo,
IF(
AND(
OR(
UPPER(TRIM(rEmisor))=UPPER(TRIM(C522)),
UPPER(TRIM(rEmisor))=""CUALQUIERA""
),
OR(
UPPER(TRIM(rTipo"&amp;"))=""SOLO EMISOR"",
AND(
UPPER(TRIM(rTipo))=""EXACTA"",
UPPER(TRIM(D522))=UPPER(TRIM(rPatron))
),
AND(
OR(
UPPER(TRIM(rTipo))=""CONTIENE"",
UPPER(TRIM(rTipo))=""COINCIDENCIA""
),
ISNUMBER(SEARCH(UPPER(TRIM(rPatron)),UPPER(TRIM(D522))))
)
)
),
rConcepto,
"&amp;"""""
)
)
)&lt;&gt;""""
),
1
),
""""
)"),"MANIOBRAS")</f>
        <v>MANIOBRAS</v>
      </c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</row>
    <row r="523">
      <c r="A523" s="32"/>
      <c r="B523" s="32"/>
      <c r="C523" s="29" t="s">
        <v>271</v>
      </c>
      <c r="D523" s="29" t="s">
        <v>587</v>
      </c>
      <c r="E523" s="28">
        <v>575.99</v>
      </c>
      <c r="F523" s="28">
        <v>0.0</v>
      </c>
      <c r="G523" s="28" t="s">
        <v>84</v>
      </c>
      <c r="H523" s="28">
        <f t="array" ref="H523">INDEX(CC!C:C,MATCH(1,(CC!A:A=G523)*(CC!B:B=I523),0))</f>
        <v>1002</v>
      </c>
      <c r="I523" s="28" t="s">
        <v>25</v>
      </c>
      <c r="J523" s="31">
        <v>575.99</v>
      </c>
      <c r="K523" s="28" t="str">
        <f>IFERROR(__xludf.DUMMYFUNCTION("IFERROR(
INDEX(
FILTER(
MAP(
reglas!$B$2:$B$240,
reglas!$C$2:$C$240,
reglas!$D$2:$D$240,
reglas!$E$2:$E$240,
LAMBDA(rEmisor,rPatron,rConcepto,rTipo,
IF(
AND(
OR(
UPPER(TRIM(rEmisor))=UPPER(TRIM(C523)),
UPPER(TRIM(rEmisor))=""CUALQUIERA""
),
OR(
UPPER(TRIM"&amp;"(rTipo))=""SOLO EMISOR"",
AND(
UPPER(TRIM(rTipo))=""EXACTA"",
UPPER(TRIM(AG523))=UPPER(TRIM(rPatron))
),
AND(
OR(
UPPER(TRIM(rTipo))=""CONTIENE"",
UPPER(TRIM(rTipo))=""COINCIDENCIA""
),
ISNUMBER(SEARCH(UPPER(TRIM(rPatron)),UPPER(TRIM(D523))))
)
)
),
rConc"&amp;"epto,
""""
)
)
),
MAP(
reglas!$B$2:$B$240,
reglas!$C$2:$C$240,
reglas!$D$2:$D$240,
reglas!$E$2:$E$240,
LAMBDA(rEmisor,rPatron,rConcepto,rTipo,
IF(
AND(
OR(
UPPER(TRIM(rEmisor))=UPPER(TRIM(C523)),
UPPER(TRIM(rEmisor))=""CUALQUIERA""
),
OR(
UPPER(TRIM(rTipo"&amp;"))=""SOLO EMISOR"",
AND(
UPPER(TRIM(rTipo))=""EXACTA"",
UPPER(TRIM(D523))=UPPER(TRIM(rPatron))
),
AND(
OR(
UPPER(TRIM(rTipo))=""CONTIENE"",
UPPER(TRIM(rTipo))=""COINCIDENCIA""
),
ISNUMBER(SEARCH(UPPER(TRIM(rPatron)),UPPER(TRIM(D523))))
)
)
),
rConcepto,
"&amp;"""""
)
)
)&lt;&gt;""""
),
1
),
""""
)"),"MANIOBRAS")</f>
        <v>MANIOBRAS</v>
      </c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</row>
    <row r="524">
      <c r="A524" s="32"/>
      <c r="B524" s="32"/>
      <c r="C524" s="29" t="s">
        <v>271</v>
      </c>
      <c r="D524" s="29" t="s">
        <v>586</v>
      </c>
      <c r="E524" s="28">
        <v>629.89</v>
      </c>
      <c r="F524" s="28">
        <v>0.0</v>
      </c>
      <c r="G524" s="28" t="s">
        <v>84</v>
      </c>
      <c r="H524" s="28">
        <f t="array" ref="H524">INDEX(CC!C:C,MATCH(1,(CC!A:A=G524)*(CC!B:B=I524),0))</f>
        <v>1002</v>
      </c>
      <c r="I524" s="28" t="s">
        <v>25</v>
      </c>
      <c r="J524" s="31">
        <v>629.89</v>
      </c>
      <c r="K524" s="28" t="str">
        <f>IFERROR(__xludf.DUMMYFUNCTION("IFERROR(
INDEX(
FILTER(
MAP(
reglas!$B$2:$B$240,
reglas!$C$2:$C$240,
reglas!$D$2:$D$240,
reglas!$E$2:$E$240,
LAMBDA(rEmisor,rPatron,rConcepto,rTipo,
IF(
AND(
OR(
UPPER(TRIM(rEmisor))=UPPER(TRIM(C524)),
UPPER(TRIM(rEmisor))=""CUALQUIERA""
),
OR(
UPPER(TRIM"&amp;"(rTipo))=""SOLO EMISOR"",
AND(
UPPER(TRIM(rTipo))=""EXACTA"",
UPPER(TRIM(AG524))=UPPER(TRIM(rPatron))
),
AND(
OR(
UPPER(TRIM(rTipo))=""CONTIENE"",
UPPER(TRIM(rTipo))=""COINCIDENCIA""
),
ISNUMBER(SEARCH(UPPER(TRIM(rPatron)),UPPER(TRIM(D524))))
)
)
),
rConc"&amp;"epto,
""""
)
)
),
MAP(
reglas!$B$2:$B$240,
reglas!$C$2:$C$240,
reglas!$D$2:$D$240,
reglas!$E$2:$E$240,
LAMBDA(rEmisor,rPatron,rConcepto,rTipo,
IF(
AND(
OR(
UPPER(TRIM(rEmisor))=UPPER(TRIM(C524)),
UPPER(TRIM(rEmisor))=""CUALQUIERA""
),
OR(
UPPER(TRIM(rTipo"&amp;"))=""SOLO EMISOR"",
AND(
UPPER(TRIM(rTipo))=""EXACTA"",
UPPER(TRIM(D524))=UPPER(TRIM(rPatron))
),
AND(
OR(
UPPER(TRIM(rTipo))=""CONTIENE"",
UPPER(TRIM(rTipo))=""COINCIDENCIA""
),
ISNUMBER(SEARCH(UPPER(TRIM(rPatron)),UPPER(TRIM(D524))))
)
)
),
rConcepto,
"&amp;"""""
)
)
)&lt;&gt;""""
),
1
),
""""
)"),"MANIOBRAS")</f>
        <v>MANIOBRAS</v>
      </c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</row>
    <row r="525">
      <c r="A525" s="32"/>
      <c r="B525" s="32"/>
      <c r="C525" s="29" t="s">
        <v>271</v>
      </c>
      <c r="D525" s="29" t="s">
        <v>589</v>
      </c>
      <c r="E525" s="28">
        <v>629.89</v>
      </c>
      <c r="F525" s="28">
        <v>0.0</v>
      </c>
      <c r="G525" s="28" t="s">
        <v>84</v>
      </c>
      <c r="H525" s="28">
        <f t="array" ref="H525">INDEX(CC!C:C,MATCH(1,(CC!A:A=G525)*(CC!B:B=I525),0))</f>
        <v>1002</v>
      </c>
      <c r="I525" s="28" t="s">
        <v>25</v>
      </c>
      <c r="J525" s="31">
        <v>629.89</v>
      </c>
      <c r="K525" s="28" t="str">
        <f>IFERROR(__xludf.DUMMYFUNCTION("IFERROR(
INDEX(
FILTER(
MAP(
reglas!$B$2:$B$240,
reglas!$C$2:$C$240,
reglas!$D$2:$D$240,
reglas!$E$2:$E$240,
LAMBDA(rEmisor,rPatron,rConcepto,rTipo,
IF(
AND(
OR(
UPPER(TRIM(rEmisor))=UPPER(TRIM(C525)),
UPPER(TRIM(rEmisor))=""CUALQUIERA""
),
OR(
UPPER(TRIM"&amp;"(rTipo))=""SOLO EMISOR"",
AND(
UPPER(TRIM(rTipo))=""EXACTA"",
UPPER(TRIM(AG525))=UPPER(TRIM(rPatron))
),
AND(
OR(
UPPER(TRIM(rTipo))=""CONTIENE"",
UPPER(TRIM(rTipo))=""COINCIDENCIA""
),
ISNUMBER(SEARCH(UPPER(TRIM(rPatron)),UPPER(TRIM(D525))))
)
)
),
rConc"&amp;"epto,
""""
)
)
),
MAP(
reglas!$B$2:$B$240,
reglas!$C$2:$C$240,
reglas!$D$2:$D$240,
reglas!$E$2:$E$240,
LAMBDA(rEmisor,rPatron,rConcepto,rTipo,
IF(
AND(
OR(
UPPER(TRIM(rEmisor))=UPPER(TRIM(C525)),
UPPER(TRIM(rEmisor))=""CUALQUIERA""
),
OR(
UPPER(TRIM(rTipo"&amp;"))=""SOLO EMISOR"",
AND(
UPPER(TRIM(rTipo))=""EXACTA"",
UPPER(TRIM(D525))=UPPER(TRIM(rPatron))
),
AND(
OR(
UPPER(TRIM(rTipo))=""CONTIENE"",
UPPER(TRIM(rTipo))=""COINCIDENCIA""
),
ISNUMBER(SEARCH(UPPER(TRIM(rPatron)),UPPER(TRIM(D525))))
)
)
),
rConcepto,
"&amp;"""""
)
)
)&lt;&gt;""""
),
1
),
""""
)"),"MANIOBRAS")</f>
        <v>MANIOBRAS</v>
      </c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</row>
    <row r="526">
      <c r="A526" s="32"/>
      <c r="B526" s="32"/>
      <c r="C526" s="29" t="s">
        <v>271</v>
      </c>
      <c r="D526" s="29" t="s">
        <v>593</v>
      </c>
      <c r="E526" s="28">
        <v>357.65</v>
      </c>
      <c r="F526" s="28">
        <v>0.0</v>
      </c>
      <c r="G526" s="28" t="s">
        <v>84</v>
      </c>
      <c r="H526" s="28">
        <f t="array" ref="H526">INDEX(CC!C:C,MATCH(1,(CC!A:A=G526)*(CC!B:B=I526),0))</f>
        <v>1002</v>
      </c>
      <c r="I526" s="28" t="s">
        <v>25</v>
      </c>
      <c r="J526" s="31">
        <v>357.65</v>
      </c>
      <c r="K526" s="28" t="str">
        <f>IFERROR(__xludf.DUMMYFUNCTION("IFERROR(
INDEX(
FILTER(
MAP(
reglas!$B$2:$B$240,
reglas!$C$2:$C$240,
reglas!$D$2:$D$240,
reglas!$E$2:$E$240,
LAMBDA(rEmisor,rPatron,rConcepto,rTipo,
IF(
AND(
OR(
UPPER(TRIM(rEmisor))=UPPER(TRIM(C526)),
UPPER(TRIM(rEmisor))=""CUALQUIERA""
),
OR(
UPPER(TRIM"&amp;"(rTipo))=""SOLO EMISOR"",
AND(
UPPER(TRIM(rTipo))=""EXACTA"",
UPPER(TRIM(AG526))=UPPER(TRIM(rPatron))
),
AND(
OR(
UPPER(TRIM(rTipo))=""CONTIENE"",
UPPER(TRIM(rTipo))=""COINCIDENCIA""
),
ISNUMBER(SEARCH(UPPER(TRIM(rPatron)),UPPER(TRIM(D526))))
)
)
),
rConc"&amp;"epto,
""""
)
)
),
MAP(
reglas!$B$2:$B$240,
reglas!$C$2:$C$240,
reglas!$D$2:$D$240,
reglas!$E$2:$E$240,
LAMBDA(rEmisor,rPatron,rConcepto,rTipo,
IF(
AND(
OR(
UPPER(TRIM(rEmisor))=UPPER(TRIM(C526)),
UPPER(TRIM(rEmisor))=""CUALQUIERA""
),
OR(
UPPER(TRIM(rTipo"&amp;"))=""SOLO EMISOR"",
AND(
UPPER(TRIM(rTipo))=""EXACTA"",
UPPER(TRIM(D526))=UPPER(TRIM(rPatron))
),
AND(
OR(
UPPER(TRIM(rTipo))=""CONTIENE"",
UPPER(TRIM(rTipo))=""COINCIDENCIA""
),
ISNUMBER(SEARCH(UPPER(TRIM(rPatron)),UPPER(TRIM(D526))))
)
)
),
rConcepto,
"&amp;"""""
)
)
)&lt;&gt;""""
),
1
),
""""
)"),"MANIOBRAS")</f>
        <v>MANIOBRAS</v>
      </c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</row>
    <row r="527">
      <c r="A527" s="32"/>
      <c r="B527" s="32"/>
      <c r="C527" s="29" t="s">
        <v>271</v>
      </c>
      <c r="D527" s="29" t="s">
        <v>596</v>
      </c>
      <c r="E527" s="28">
        <v>660.88</v>
      </c>
      <c r="F527" s="28">
        <v>0.0</v>
      </c>
      <c r="G527" s="28" t="s">
        <v>84</v>
      </c>
      <c r="H527" s="28">
        <f t="array" ref="H527">INDEX(CC!C:C,MATCH(1,(CC!A:A=G527)*(CC!B:B=I527),0))</f>
        <v>1002</v>
      </c>
      <c r="I527" s="28" t="s">
        <v>25</v>
      </c>
      <c r="J527" s="31">
        <v>660.88</v>
      </c>
      <c r="K527" s="28" t="str">
        <f>IFERROR(__xludf.DUMMYFUNCTION("IFERROR(
INDEX(
FILTER(
MAP(
reglas!$B$2:$B$240,
reglas!$C$2:$C$240,
reglas!$D$2:$D$240,
reglas!$E$2:$E$240,
LAMBDA(rEmisor,rPatron,rConcepto,rTipo,
IF(
AND(
OR(
UPPER(TRIM(rEmisor))=UPPER(TRIM(C527)),
UPPER(TRIM(rEmisor))=""CUALQUIERA""
),
OR(
UPPER(TRIM"&amp;"(rTipo))=""SOLO EMISOR"",
AND(
UPPER(TRIM(rTipo))=""EXACTA"",
UPPER(TRIM(AG527))=UPPER(TRIM(rPatron))
),
AND(
OR(
UPPER(TRIM(rTipo))=""CONTIENE"",
UPPER(TRIM(rTipo))=""COINCIDENCIA""
),
ISNUMBER(SEARCH(UPPER(TRIM(rPatron)),UPPER(TRIM(D527))))
)
)
),
rConc"&amp;"epto,
""""
)
)
),
MAP(
reglas!$B$2:$B$240,
reglas!$C$2:$C$240,
reglas!$D$2:$D$240,
reglas!$E$2:$E$240,
LAMBDA(rEmisor,rPatron,rConcepto,rTipo,
IF(
AND(
OR(
UPPER(TRIM(rEmisor))=UPPER(TRIM(C527)),
UPPER(TRIM(rEmisor))=""CUALQUIERA""
),
OR(
UPPER(TRIM(rTipo"&amp;"))=""SOLO EMISOR"",
AND(
UPPER(TRIM(rTipo))=""EXACTA"",
UPPER(TRIM(D527))=UPPER(TRIM(rPatron))
),
AND(
OR(
UPPER(TRIM(rTipo))=""CONTIENE"",
UPPER(TRIM(rTipo))=""COINCIDENCIA""
),
ISNUMBER(SEARCH(UPPER(TRIM(rPatron)),UPPER(TRIM(D527))))
)
)
),
rConcepto,
"&amp;"""""
)
)
)&lt;&gt;""""
),
1
),
""""
)"),"MANIOBRAS")</f>
        <v>MANIOBRAS</v>
      </c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</row>
    <row r="528">
      <c r="A528" s="32"/>
      <c r="B528" s="28" t="s">
        <v>29</v>
      </c>
      <c r="C528" s="29" t="s">
        <v>476</v>
      </c>
      <c r="D528" s="29" t="s">
        <v>1635</v>
      </c>
      <c r="E528" s="28">
        <v>2640.0</v>
      </c>
      <c r="F528" s="28">
        <v>0.0</v>
      </c>
      <c r="G528" s="28" t="s">
        <v>395</v>
      </c>
      <c r="H528" s="28">
        <f t="array" ref="H528">INDEX(CC!C:C,MATCH(1,(CC!A:A=G528)*(CC!B:B=I528),0))</f>
        <v>1103</v>
      </c>
      <c r="I528" s="28" t="s">
        <v>44</v>
      </c>
      <c r="J528" s="31">
        <v>2640.0</v>
      </c>
      <c r="K528" s="28" t="str">
        <f>IFERROR(__xludf.DUMMYFUNCTION("IFERROR(
INDEX(
FILTER(
MAP(
reglas!$B$2:$B$240,
reglas!$C$2:$C$240,
reglas!$D$2:$D$240,
reglas!$E$2:$E$240,
LAMBDA(rEmisor,rPatron,rConcepto,rTipo,
IF(
AND(
OR(
UPPER(TRIM(rEmisor))=UPPER(TRIM(C528)),
UPPER(TRIM(rEmisor))=""CUALQUIERA""
),
OR(
UPPER(TRIM"&amp;"(rTipo))=""SOLO EMISOR"",
AND(
UPPER(TRIM(rTipo))=""EXACTA"",
UPPER(TRIM(AG528))=UPPER(TRIM(rPatron))
),
AND(
OR(
UPPER(TRIM(rTipo))=""CONTIENE"",
UPPER(TRIM(rTipo))=""COINCIDENCIA""
),
ISNUMBER(SEARCH(UPPER(TRIM(rPatron)),UPPER(TRIM(D528))))
)
)
),
rConc"&amp;"epto,
""""
)
)
),
MAP(
reglas!$B$2:$B$240,
reglas!$C$2:$C$240,
reglas!$D$2:$D$240,
reglas!$E$2:$E$240,
LAMBDA(rEmisor,rPatron,rConcepto,rTipo,
IF(
AND(
OR(
UPPER(TRIM(rEmisor))=UPPER(TRIM(C528)),
UPPER(TRIM(rEmisor))=""CUALQUIERA""
),
OR(
UPPER(TRIM(rTipo"&amp;"))=""SOLO EMISOR"",
AND(
UPPER(TRIM(rTipo))=""EXACTA"",
UPPER(TRIM(D528))=UPPER(TRIM(rPatron))
),
AND(
OR(
UPPER(TRIM(rTipo))=""CONTIENE"",
UPPER(TRIM(rTipo))=""COINCIDENCIA""
),
ISNUMBER(SEARCH(UPPER(TRIM(rPatron)),UPPER(TRIM(D528))))
)
)
),
rConcepto,
"&amp;"""""
)
)
)&lt;&gt;""""
),
1
),
""""
)"),"MANIOBRAS")</f>
        <v>MANIOBRAS</v>
      </c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</row>
    <row r="529">
      <c r="A529" s="28">
        <v>1.0</v>
      </c>
      <c r="B529" s="28" t="s">
        <v>29</v>
      </c>
      <c r="C529" s="29" t="s">
        <v>197</v>
      </c>
      <c r="D529" s="29" t="s">
        <v>1636</v>
      </c>
      <c r="E529" s="28">
        <v>1175.0</v>
      </c>
      <c r="F529" s="28">
        <v>0.0</v>
      </c>
      <c r="G529" s="28" t="s">
        <v>84</v>
      </c>
      <c r="H529" s="28">
        <f t="array" ref="H529">INDEX(CC!C:C,MATCH(1,(CC!A:A=G529)*(CC!B:B=I529),0))</f>
        <v>1002</v>
      </c>
      <c r="I529" s="28" t="s">
        <v>25</v>
      </c>
      <c r="J529" s="31">
        <v>1175.0</v>
      </c>
      <c r="K529" s="28" t="str">
        <f>IFERROR(__xludf.DUMMYFUNCTION("IFERROR(
INDEX(
FILTER(
MAP(
reglas!$B$2:$B$240,
reglas!$C$2:$C$240,
reglas!$D$2:$D$240,
reglas!$E$2:$E$240,
LAMBDA(rEmisor,rPatron,rConcepto,rTipo,
IF(
AND(
OR(
UPPER(TRIM(rEmisor))=UPPER(TRIM(C529)),
UPPER(TRIM(rEmisor))=""CUALQUIERA""
),
OR(
UPPER(TRIM"&amp;"(rTipo))=""SOLO EMISOR"",
AND(
UPPER(TRIM(rTipo))=""EXACTA"",
UPPER(TRIM(AG529))=UPPER(TRIM(rPatron))
),
AND(
OR(
UPPER(TRIM(rTipo))=""CONTIENE"",
UPPER(TRIM(rTipo))=""COINCIDENCIA""
),
ISNUMBER(SEARCH(UPPER(TRIM(rPatron)),UPPER(TRIM(D529))))
)
)
),
rConc"&amp;"epto,
""""
)
)
),
MAP(
reglas!$B$2:$B$240,
reglas!$C$2:$C$240,
reglas!$D$2:$D$240,
reglas!$E$2:$E$240,
LAMBDA(rEmisor,rPatron,rConcepto,rTipo,
IF(
AND(
OR(
UPPER(TRIM(rEmisor))=UPPER(TRIM(C529)),
UPPER(TRIM(rEmisor))=""CUALQUIERA""
),
OR(
UPPER(TRIM(rTipo"&amp;"))=""SOLO EMISOR"",
AND(
UPPER(TRIM(rTipo))=""EXACTA"",
UPPER(TRIM(D529))=UPPER(TRIM(rPatron))
),
AND(
OR(
UPPER(TRIM(rTipo))=""CONTIENE"",
UPPER(TRIM(rTipo))=""COINCIDENCIA""
),
ISNUMBER(SEARCH(UPPER(TRIM(rPatron)),UPPER(TRIM(D529))))
)
)
),
rConcepto,
"&amp;"""""
)
)
)&lt;&gt;""""
),
1
),
""""
)"),"LICENCIAS DE COMPUTO")</f>
        <v>LICENCIAS DE COMPUTO</v>
      </c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</row>
    <row r="530">
      <c r="A530" s="32"/>
      <c r="B530" s="32"/>
      <c r="C530" s="29" t="s">
        <v>197</v>
      </c>
      <c r="D530" s="29" t="s">
        <v>1637</v>
      </c>
      <c r="E530" s="28">
        <v>370.0</v>
      </c>
      <c r="F530" s="28">
        <v>0.0</v>
      </c>
      <c r="G530" s="28" t="s">
        <v>84</v>
      </c>
      <c r="H530" s="28">
        <f t="array" ref="H530">INDEX(CC!C:C,MATCH(1,(CC!A:A=G530)*(CC!B:B=I530),0))</f>
        <v>1002</v>
      </c>
      <c r="I530" s="28" t="s">
        <v>25</v>
      </c>
      <c r="J530" s="31">
        <v>370.0</v>
      </c>
      <c r="K530" s="28" t="str">
        <f>IFERROR(__xludf.DUMMYFUNCTION("IFERROR(
INDEX(
FILTER(
MAP(
reglas!$B$2:$B$240,
reglas!$C$2:$C$240,
reglas!$D$2:$D$240,
reglas!$E$2:$E$240,
LAMBDA(rEmisor,rPatron,rConcepto,rTipo,
IF(
AND(
OR(
UPPER(TRIM(rEmisor))=UPPER(TRIM(C530)),
UPPER(TRIM(rEmisor))=""CUALQUIERA""
),
OR(
UPPER(TRIM"&amp;"(rTipo))=""SOLO EMISOR"",
AND(
UPPER(TRIM(rTipo))=""EXACTA"",
UPPER(TRIM(AG530))=UPPER(TRIM(rPatron))
),
AND(
OR(
UPPER(TRIM(rTipo))=""CONTIENE"",
UPPER(TRIM(rTipo))=""COINCIDENCIA""
),
ISNUMBER(SEARCH(UPPER(TRIM(rPatron)),UPPER(TRIM(D530))))
)
)
),
rConc"&amp;"epto,
""""
)
)
),
MAP(
reglas!$B$2:$B$240,
reglas!$C$2:$C$240,
reglas!$D$2:$D$240,
reglas!$E$2:$E$240,
LAMBDA(rEmisor,rPatron,rConcepto,rTipo,
IF(
AND(
OR(
UPPER(TRIM(rEmisor))=UPPER(TRIM(C530)),
UPPER(TRIM(rEmisor))=""CUALQUIERA""
),
OR(
UPPER(TRIM(rTipo"&amp;"))=""SOLO EMISOR"",
AND(
UPPER(TRIM(rTipo))=""EXACTA"",
UPPER(TRIM(D530))=UPPER(TRIM(rPatron))
),
AND(
OR(
UPPER(TRIM(rTipo))=""CONTIENE"",
UPPER(TRIM(rTipo))=""COINCIDENCIA""
),
ISNUMBER(SEARCH(UPPER(TRIM(rPatron)),UPPER(TRIM(D530))))
)
)
),
rConcepto,
"&amp;"""""
)
)
)&lt;&gt;""""
),
1
),
""""
)"),"LICENCIAS DE COMPUTO")</f>
        <v>LICENCIAS DE COMPUTO</v>
      </c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</row>
    <row r="531">
      <c r="A531" s="32"/>
      <c r="B531" s="32"/>
      <c r="C531" s="29" t="s">
        <v>197</v>
      </c>
      <c r="D531" s="29" t="s">
        <v>1638</v>
      </c>
      <c r="E531" s="28">
        <v>240.0</v>
      </c>
      <c r="F531" s="28">
        <v>0.0</v>
      </c>
      <c r="G531" s="28" t="s">
        <v>84</v>
      </c>
      <c r="H531" s="28">
        <f t="array" ref="H531">INDEX(CC!C:C,MATCH(1,(CC!A:A=G531)*(CC!B:B=I531),0))</f>
        <v>1002</v>
      </c>
      <c r="I531" s="28" t="s">
        <v>25</v>
      </c>
      <c r="J531" s="31">
        <v>240.0</v>
      </c>
      <c r="K531" s="28" t="str">
        <f>IFERROR(__xludf.DUMMYFUNCTION("IFERROR(
INDEX(
FILTER(
MAP(
reglas!$B$2:$B$240,
reglas!$C$2:$C$240,
reglas!$D$2:$D$240,
reglas!$E$2:$E$240,
LAMBDA(rEmisor,rPatron,rConcepto,rTipo,
IF(
AND(
OR(
UPPER(TRIM(rEmisor))=UPPER(TRIM(C531)),
UPPER(TRIM(rEmisor))=""CUALQUIERA""
),
OR(
UPPER(TRIM"&amp;"(rTipo))=""SOLO EMISOR"",
AND(
UPPER(TRIM(rTipo))=""EXACTA"",
UPPER(TRIM(AG531))=UPPER(TRIM(rPatron))
),
AND(
OR(
UPPER(TRIM(rTipo))=""CONTIENE"",
UPPER(TRIM(rTipo))=""COINCIDENCIA""
),
ISNUMBER(SEARCH(UPPER(TRIM(rPatron)),UPPER(TRIM(D531))))
)
)
),
rConc"&amp;"epto,
""""
)
)
),
MAP(
reglas!$B$2:$B$240,
reglas!$C$2:$C$240,
reglas!$D$2:$D$240,
reglas!$E$2:$E$240,
LAMBDA(rEmisor,rPatron,rConcepto,rTipo,
IF(
AND(
OR(
UPPER(TRIM(rEmisor))=UPPER(TRIM(C531)),
UPPER(TRIM(rEmisor))=""CUALQUIERA""
),
OR(
UPPER(TRIM(rTipo"&amp;"))=""SOLO EMISOR"",
AND(
UPPER(TRIM(rTipo))=""EXACTA"",
UPPER(TRIM(D531))=UPPER(TRIM(rPatron))
),
AND(
OR(
UPPER(TRIM(rTipo))=""CONTIENE"",
UPPER(TRIM(rTipo))=""COINCIDENCIA""
),
ISNUMBER(SEARCH(UPPER(TRIM(rPatron)),UPPER(TRIM(D531))))
)
)
),
rConcepto,
"&amp;"""""
)
)
)&lt;&gt;""""
),
1
),
""""
)"),"LICENCIAS DE COMPUTO")</f>
        <v>LICENCIAS DE COMPUTO</v>
      </c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</row>
    <row r="532">
      <c r="A532" s="32"/>
      <c r="B532" s="32"/>
      <c r="C532" s="29" t="s">
        <v>197</v>
      </c>
      <c r="D532" s="29" t="s">
        <v>1639</v>
      </c>
      <c r="E532" s="28">
        <v>1030.0</v>
      </c>
      <c r="F532" s="28">
        <v>0.0</v>
      </c>
      <c r="G532" s="28" t="s">
        <v>84</v>
      </c>
      <c r="H532" s="28">
        <f t="array" ref="H532">INDEX(CC!C:C,MATCH(1,(CC!A:A=G532)*(CC!B:B=I532),0))</f>
        <v>1002</v>
      </c>
      <c r="I532" s="28" t="s">
        <v>25</v>
      </c>
      <c r="J532" s="31">
        <v>1030.0</v>
      </c>
      <c r="K532" s="28" t="str">
        <f>IFERROR(__xludf.DUMMYFUNCTION("IFERROR(
INDEX(
FILTER(
MAP(
reglas!$B$2:$B$240,
reglas!$C$2:$C$240,
reglas!$D$2:$D$240,
reglas!$E$2:$E$240,
LAMBDA(rEmisor,rPatron,rConcepto,rTipo,
IF(
AND(
OR(
UPPER(TRIM(rEmisor))=UPPER(TRIM(C532)),
UPPER(TRIM(rEmisor))=""CUALQUIERA""
),
OR(
UPPER(TRIM"&amp;"(rTipo))=""SOLO EMISOR"",
AND(
UPPER(TRIM(rTipo))=""EXACTA"",
UPPER(TRIM(AG532))=UPPER(TRIM(rPatron))
),
AND(
OR(
UPPER(TRIM(rTipo))=""CONTIENE"",
UPPER(TRIM(rTipo))=""COINCIDENCIA""
),
ISNUMBER(SEARCH(UPPER(TRIM(rPatron)),UPPER(TRIM(D532))))
)
)
),
rConc"&amp;"epto,
""""
)
)
),
MAP(
reglas!$B$2:$B$240,
reglas!$C$2:$C$240,
reglas!$D$2:$D$240,
reglas!$E$2:$E$240,
LAMBDA(rEmisor,rPatron,rConcepto,rTipo,
IF(
AND(
OR(
UPPER(TRIM(rEmisor))=UPPER(TRIM(C532)),
UPPER(TRIM(rEmisor))=""CUALQUIERA""
),
OR(
UPPER(TRIM(rTipo"&amp;"))=""SOLO EMISOR"",
AND(
UPPER(TRIM(rTipo))=""EXACTA"",
UPPER(TRIM(D532))=UPPER(TRIM(rPatron))
),
AND(
OR(
UPPER(TRIM(rTipo))=""CONTIENE"",
UPPER(TRIM(rTipo))=""COINCIDENCIA""
),
ISNUMBER(SEARCH(UPPER(TRIM(rPatron)),UPPER(TRIM(D532))))
)
)
),
rConcepto,
"&amp;"""""
)
)
)&lt;&gt;""""
),
1
),
""""
)"),"LICENCIAS DE COMPUTO")</f>
        <v>LICENCIAS DE COMPUTO</v>
      </c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</row>
    <row r="533">
      <c r="A533" s="32"/>
      <c r="B533" s="32"/>
      <c r="C533" s="29" t="s">
        <v>197</v>
      </c>
      <c r="D533" s="29" t="s">
        <v>1640</v>
      </c>
      <c r="E533" s="28">
        <v>770.0</v>
      </c>
      <c r="F533" s="28">
        <v>0.0</v>
      </c>
      <c r="G533" s="28" t="s">
        <v>84</v>
      </c>
      <c r="H533" s="28">
        <f t="array" ref="H533">INDEX(CC!C:C,MATCH(1,(CC!A:A=G533)*(CC!B:B=I533),0))</f>
        <v>1002</v>
      </c>
      <c r="I533" s="28" t="s">
        <v>25</v>
      </c>
      <c r="J533" s="31">
        <v>770.0</v>
      </c>
      <c r="K533" s="28" t="str">
        <f>IFERROR(__xludf.DUMMYFUNCTION("IFERROR(
INDEX(
FILTER(
MAP(
reglas!$B$2:$B$240,
reglas!$C$2:$C$240,
reglas!$D$2:$D$240,
reglas!$E$2:$E$240,
LAMBDA(rEmisor,rPatron,rConcepto,rTipo,
IF(
AND(
OR(
UPPER(TRIM(rEmisor))=UPPER(TRIM(C533)),
UPPER(TRIM(rEmisor))=""CUALQUIERA""
),
OR(
UPPER(TRIM"&amp;"(rTipo))=""SOLO EMISOR"",
AND(
UPPER(TRIM(rTipo))=""EXACTA"",
UPPER(TRIM(AG533))=UPPER(TRIM(rPatron))
),
AND(
OR(
UPPER(TRIM(rTipo))=""CONTIENE"",
UPPER(TRIM(rTipo))=""COINCIDENCIA""
),
ISNUMBER(SEARCH(UPPER(TRIM(rPatron)),UPPER(TRIM(D533))))
)
)
),
rConc"&amp;"epto,
""""
)
)
),
MAP(
reglas!$B$2:$B$240,
reglas!$C$2:$C$240,
reglas!$D$2:$D$240,
reglas!$E$2:$E$240,
LAMBDA(rEmisor,rPatron,rConcepto,rTipo,
IF(
AND(
OR(
UPPER(TRIM(rEmisor))=UPPER(TRIM(C533)),
UPPER(TRIM(rEmisor))=""CUALQUIERA""
),
OR(
UPPER(TRIM(rTipo"&amp;"))=""SOLO EMISOR"",
AND(
UPPER(TRIM(rTipo))=""EXACTA"",
UPPER(TRIM(D533))=UPPER(TRIM(rPatron))
),
AND(
OR(
UPPER(TRIM(rTipo))=""CONTIENE"",
UPPER(TRIM(rTipo))=""COINCIDENCIA""
),
ISNUMBER(SEARCH(UPPER(TRIM(rPatron)),UPPER(TRIM(D533))))
)
)
),
rConcepto,
"&amp;"""""
)
)
)&lt;&gt;""""
),
1
),
""""
)"),"LICENCIAS DE COMPUTO")</f>
        <v>LICENCIAS DE COMPUTO</v>
      </c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</row>
    <row r="534">
      <c r="A534" s="32"/>
      <c r="B534" s="32"/>
      <c r="C534" s="29" t="s">
        <v>197</v>
      </c>
      <c r="D534" s="29" t="s">
        <v>1641</v>
      </c>
      <c r="E534" s="28">
        <v>1175.0</v>
      </c>
      <c r="F534" s="28">
        <v>0.0</v>
      </c>
      <c r="G534" s="28" t="s">
        <v>74</v>
      </c>
      <c r="H534" s="28">
        <f t="array" ref="H534">INDEX(CC!C:C,MATCH(1,(CC!A:A=G534)*(CC!B:B=I534),0))</f>
        <v>1502</v>
      </c>
      <c r="I534" s="28" t="s">
        <v>25</v>
      </c>
      <c r="J534" s="31">
        <v>1175.0</v>
      </c>
      <c r="K534" s="28" t="str">
        <f>IFERROR(__xludf.DUMMYFUNCTION("IFERROR(
INDEX(
FILTER(
MAP(
reglas!$B$2:$B$240,
reglas!$C$2:$C$240,
reglas!$D$2:$D$240,
reglas!$E$2:$E$240,
LAMBDA(rEmisor,rPatron,rConcepto,rTipo,
IF(
AND(
OR(
UPPER(TRIM(rEmisor))=UPPER(TRIM(C534)),
UPPER(TRIM(rEmisor))=""CUALQUIERA""
),
OR(
UPPER(TRIM"&amp;"(rTipo))=""SOLO EMISOR"",
AND(
UPPER(TRIM(rTipo))=""EXACTA"",
UPPER(TRIM(AG534))=UPPER(TRIM(rPatron))
),
AND(
OR(
UPPER(TRIM(rTipo))=""CONTIENE"",
UPPER(TRIM(rTipo))=""COINCIDENCIA""
),
ISNUMBER(SEARCH(UPPER(TRIM(rPatron)),UPPER(TRIM(D534))))
)
)
),
rConc"&amp;"epto,
""""
)
)
),
MAP(
reglas!$B$2:$B$240,
reglas!$C$2:$C$240,
reglas!$D$2:$D$240,
reglas!$E$2:$E$240,
LAMBDA(rEmisor,rPatron,rConcepto,rTipo,
IF(
AND(
OR(
UPPER(TRIM(rEmisor))=UPPER(TRIM(C534)),
UPPER(TRIM(rEmisor))=""CUALQUIERA""
),
OR(
UPPER(TRIM(rTipo"&amp;"))=""SOLO EMISOR"",
AND(
UPPER(TRIM(rTipo))=""EXACTA"",
UPPER(TRIM(D534))=UPPER(TRIM(rPatron))
),
AND(
OR(
UPPER(TRIM(rTipo))=""CONTIENE"",
UPPER(TRIM(rTipo))=""COINCIDENCIA""
),
ISNUMBER(SEARCH(UPPER(TRIM(rPatron)),UPPER(TRIM(D534))))
)
)
),
rConcepto,
"&amp;"""""
)
)
)&lt;&gt;""""
),
1
),
""""
)"),"LICENCIAS DE COMPUTO")</f>
        <v>LICENCIAS DE COMPUTO</v>
      </c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</row>
    <row r="535">
      <c r="A535" s="32"/>
      <c r="B535" s="32"/>
      <c r="C535" s="29" t="s">
        <v>197</v>
      </c>
      <c r="D535" s="29" t="s">
        <v>1642</v>
      </c>
      <c r="E535" s="28">
        <v>370.0</v>
      </c>
      <c r="F535" s="28">
        <v>0.0</v>
      </c>
      <c r="G535" s="28" t="s">
        <v>74</v>
      </c>
      <c r="H535" s="28">
        <f t="array" ref="H535">INDEX(CC!C:C,MATCH(1,(CC!A:A=G535)*(CC!B:B=I535),0))</f>
        <v>1502</v>
      </c>
      <c r="I535" s="28" t="s">
        <v>25</v>
      </c>
      <c r="J535" s="31">
        <v>370.0</v>
      </c>
      <c r="K535" s="28" t="str">
        <f>IFERROR(__xludf.DUMMYFUNCTION("IFERROR(
INDEX(
FILTER(
MAP(
reglas!$B$2:$B$240,
reglas!$C$2:$C$240,
reglas!$D$2:$D$240,
reglas!$E$2:$E$240,
LAMBDA(rEmisor,rPatron,rConcepto,rTipo,
IF(
AND(
OR(
UPPER(TRIM(rEmisor))=UPPER(TRIM(C535)),
UPPER(TRIM(rEmisor))=""CUALQUIERA""
),
OR(
UPPER(TRIM"&amp;"(rTipo))=""SOLO EMISOR"",
AND(
UPPER(TRIM(rTipo))=""EXACTA"",
UPPER(TRIM(AG535))=UPPER(TRIM(rPatron))
),
AND(
OR(
UPPER(TRIM(rTipo))=""CONTIENE"",
UPPER(TRIM(rTipo))=""COINCIDENCIA""
),
ISNUMBER(SEARCH(UPPER(TRIM(rPatron)),UPPER(TRIM(D535))))
)
)
),
rConc"&amp;"epto,
""""
)
)
),
MAP(
reglas!$B$2:$B$240,
reglas!$C$2:$C$240,
reglas!$D$2:$D$240,
reglas!$E$2:$E$240,
LAMBDA(rEmisor,rPatron,rConcepto,rTipo,
IF(
AND(
OR(
UPPER(TRIM(rEmisor))=UPPER(TRIM(C535)),
UPPER(TRIM(rEmisor))=""CUALQUIERA""
),
OR(
UPPER(TRIM(rTipo"&amp;"))=""SOLO EMISOR"",
AND(
UPPER(TRIM(rTipo))=""EXACTA"",
UPPER(TRIM(D535))=UPPER(TRIM(rPatron))
),
AND(
OR(
UPPER(TRIM(rTipo))=""CONTIENE"",
UPPER(TRIM(rTipo))=""COINCIDENCIA""
),
ISNUMBER(SEARCH(UPPER(TRIM(rPatron)),UPPER(TRIM(D535))))
)
)
),
rConcepto,
"&amp;"""""
)
)
)&lt;&gt;""""
),
1
),
""""
)"),"LICENCIAS DE COMPUTO")</f>
        <v>LICENCIAS DE COMPUTO</v>
      </c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</row>
    <row r="536">
      <c r="A536" s="32"/>
      <c r="B536" s="32"/>
      <c r="C536" s="29" t="s">
        <v>197</v>
      </c>
      <c r="D536" s="29" t="s">
        <v>1643</v>
      </c>
      <c r="E536" s="28">
        <v>240.0</v>
      </c>
      <c r="F536" s="28">
        <v>0.0</v>
      </c>
      <c r="G536" s="28" t="s">
        <v>74</v>
      </c>
      <c r="H536" s="28">
        <f t="array" ref="H536">INDEX(CC!C:C,MATCH(1,(CC!A:A=G536)*(CC!B:B=I536),0))</f>
        <v>1502</v>
      </c>
      <c r="I536" s="28" t="s">
        <v>25</v>
      </c>
      <c r="J536" s="31">
        <v>240.0</v>
      </c>
      <c r="K536" s="28" t="str">
        <f>IFERROR(__xludf.DUMMYFUNCTION("IFERROR(
INDEX(
FILTER(
MAP(
reglas!$B$2:$B$240,
reglas!$C$2:$C$240,
reglas!$D$2:$D$240,
reglas!$E$2:$E$240,
LAMBDA(rEmisor,rPatron,rConcepto,rTipo,
IF(
AND(
OR(
UPPER(TRIM(rEmisor))=UPPER(TRIM(C536)),
UPPER(TRIM(rEmisor))=""CUALQUIERA""
),
OR(
UPPER(TRIM"&amp;"(rTipo))=""SOLO EMISOR"",
AND(
UPPER(TRIM(rTipo))=""EXACTA"",
UPPER(TRIM(AG536))=UPPER(TRIM(rPatron))
),
AND(
OR(
UPPER(TRIM(rTipo))=""CONTIENE"",
UPPER(TRIM(rTipo))=""COINCIDENCIA""
),
ISNUMBER(SEARCH(UPPER(TRIM(rPatron)),UPPER(TRIM(D536))))
)
)
),
rConc"&amp;"epto,
""""
)
)
),
MAP(
reglas!$B$2:$B$240,
reglas!$C$2:$C$240,
reglas!$D$2:$D$240,
reglas!$E$2:$E$240,
LAMBDA(rEmisor,rPatron,rConcepto,rTipo,
IF(
AND(
OR(
UPPER(TRIM(rEmisor))=UPPER(TRIM(C536)),
UPPER(TRIM(rEmisor))=""CUALQUIERA""
),
OR(
UPPER(TRIM(rTipo"&amp;"))=""SOLO EMISOR"",
AND(
UPPER(TRIM(rTipo))=""EXACTA"",
UPPER(TRIM(D536))=UPPER(TRIM(rPatron))
),
AND(
OR(
UPPER(TRIM(rTipo))=""CONTIENE"",
UPPER(TRIM(rTipo))=""COINCIDENCIA""
),
ISNUMBER(SEARCH(UPPER(TRIM(rPatron)),UPPER(TRIM(D536))))
)
)
),
rConcepto,
"&amp;"""""
)
)
)&lt;&gt;""""
),
1
),
""""
)"),"LICENCIAS DE COMPUTO")</f>
        <v>LICENCIAS DE COMPUTO</v>
      </c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</row>
    <row r="537">
      <c r="A537" s="32"/>
      <c r="B537" s="32"/>
      <c r="C537" s="29" t="s">
        <v>197</v>
      </c>
      <c r="D537" s="29" t="s">
        <v>1644</v>
      </c>
      <c r="E537" s="28">
        <v>770.0</v>
      </c>
      <c r="F537" s="28">
        <v>0.0</v>
      </c>
      <c r="G537" s="28" t="s">
        <v>74</v>
      </c>
      <c r="H537" s="28">
        <f t="array" ref="H537">INDEX(CC!C:C,MATCH(1,(CC!A:A=G537)*(CC!B:B=I537),0))</f>
        <v>1502</v>
      </c>
      <c r="I537" s="28" t="s">
        <v>25</v>
      </c>
      <c r="J537" s="31">
        <v>770.0</v>
      </c>
      <c r="K537" s="28" t="str">
        <f>IFERROR(__xludf.DUMMYFUNCTION("IFERROR(
INDEX(
FILTER(
MAP(
reglas!$B$2:$B$240,
reglas!$C$2:$C$240,
reglas!$D$2:$D$240,
reglas!$E$2:$E$240,
LAMBDA(rEmisor,rPatron,rConcepto,rTipo,
IF(
AND(
OR(
UPPER(TRIM(rEmisor))=UPPER(TRIM(C537)),
UPPER(TRIM(rEmisor))=""CUALQUIERA""
),
OR(
UPPER(TRIM"&amp;"(rTipo))=""SOLO EMISOR"",
AND(
UPPER(TRIM(rTipo))=""EXACTA"",
UPPER(TRIM(AG537))=UPPER(TRIM(rPatron))
),
AND(
OR(
UPPER(TRIM(rTipo))=""CONTIENE"",
UPPER(TRIM(rTipo))=""COINCIDENCIA""
),
ISNUMBER(SEARCH(UPPER(TRIM(rPatron)),UPPER(TRIM(D537))))
)
)
),
rConc"&amp;"epto,
""""
)
)
),
MAP(
reglas!$B$2:$B$240,
reglas!$C$2:$C$240,
reglas!$D$2:$D$240,
reglas!$E$2:$E$240,
LAMBDA(rEmisor,rPatron,rConcepto,rTipo,
IF(
AND(
OR(
UPPER(TRIM(rEmisor))=UPPER(TRIM(C537)),
UPPER(TRIM(rEmisor))=""CUALQUIERA""
),
OR(
UPPER(TRIM(rTipo"&amp;"))=""SOLO EMISOR"",
AND(
UPPER(TRIM(rTipo))=""EXACTA"",
UPPER(TRIM(D537))=UPPER(TRIM(rPatron))
),
AND(
OR(
UPPER(TRIM(rTipo))=""CONTIENE"",
UPPER(TRIM(rTipo))=""COINCIDENCIA""
),
ISNUMBER(SEARCH(UPPER(TRIM(rPatron)),UPPER(TRIM(D537))))
)
)
),
rConcepto,
"&amp;"""""
)
)
)&lt;&gt;""""
),
1
),
""""
)"),"LICENCIAS DE COMPUTO")</f>
        <v>LICENCIAS DE COMPUTO</v>
      </c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</row>
    <row r="538">
      <c r="A538" s="32"/>
      <c r="B538" s="32"/>
      <c r="C538" s="29" t="s">
        <v>197</v>
      </c>
      <c r="D538" s="29" t="s">
        <v>1645</v>
      </c>
      <c r="E538" s="28">
        <v>1030.0</v>
      </c>
      <c r="F538" s="28">
        <v>0.0</v>
      </c>
      <c r="G538" s="28" t="s">
        <v>74</v>
      </c>
      <c r="H538" s="28">
        <f t="array" ref="H538">INDEX(CC!C:C,MATCH(1,(CC!A:A=G538)*(CC!B:B=I538),0))</f>
        <v>1502</v>
      </c>
      <c r="I538" s="28" t="s">
        <v>25</v>
      </c>
      <c r="J538" s="31">
        <v>1030.0</v>
      </c>
      <c r="K538" s="28" t="str">
        <f>IFERROR(__xludf.DUMMYFUNCTION("IFERROR(
INDEX(
FILTER(
MAP(
reglas!$B$2:$B$240,
reglas!$C$2:$C$240,
reglas!$D$2:$D$240,
reglas!$E$2:$E$240,
LAMBDA(rEmisor,rPatron,rConcepto,rTipo,
IF(
AND(
OR(
UPPER(TRIM(rEmisor))=UPPER(TRIM(C538)),
UPPER(TRIM(rEmisor))=""CUALQUIERA""
),
OR(
UPPER(TRIM"&amp;"(rTipo))=""SOLO EMISOR"",
AND(
UPPER(TRIM(rTipo))=""EXACTA"",
UPPER(TRIM(AG538))=UPPER(TRIM(rPatron))
),
AND(
OR(
UPPER(TRIM(rTipo))=""CONTIENE"",
UPPER(TRIM(rTipo))=""COINCIDENCIA""
),
ISNUMBER(SEARCH(UPPER(TRIM(rPatron)),UPPER(TRIM(D538))))
)
)
),
rConc"&amp;"epto,
""""
)
)
),
MAP(
reglas!$B$2:$B$240,
reglas!$C$2:$C$240,
reglas!$D$2:$D$240,
reglas!$E$2:$E$240,
LAMBDA(rEmisor,rPatron,rConcepto,rTipo,
IF(
AND(
OR(
UPPER(TRIM(rEmisor))=UPPER(TRIM(C538)),
UPPER(TRIM(rEmisor))=""CUALQUIERA""
),
OR(
UPPER(TRIM(rTipo"&amp;"))=""SOLO EMISOR"",
AND(
UPPER(TRIM(rTipo))=""EXACTA"",
UPPER(TRIM(D538))=UPPER(TRIM(rPatron))
),
AND(
OR(
UPPER(TRIM(rTipo))=""CONTIENE"",
UPPER(TRIM(rTipo))=""COINCIDENCIA""
),
ISNUMBER(SEARCH(UPPER(TRIM(rPatron)),UPPER(TRIM(D538))))
)
)
),
rConcepto,
"&amp;"""""
)
)
)&lt;&gt;""""
),
1
),
""""
)"),"LICENCIAS DE COMPUTO")</f>
        <v>LICENCIAS DE COMPUTO</v>
      </c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</row>
    <row r="539">
      <c r="A539" s="32"/>
      <c r="B539" s="32"/>
      <c r="C539" s="29" t="s">
        <v>197</v>
      </c>
      <c r="D539" s="29" t="s">
        <v>1646</v>
      </c>
      <c r="E539" s="28">
        <v>1175.0</v>
      </c>
      <c r="F539" s="28">
        <v>0.0</v>
      </c>
      <c r="G539" s="28" t="s">
        <v>539</v>
      </c>
      <c r="H539" s="28">
        <f t="array" ref="H539">INDEX(CC!C:C,MATCH(1,(CC!A:A=G539)*(CC!B:B=I539),0))</f>
        <v>1302</v>
      </c>
      <c r="I539" s="28" t="s">
        <v>25</v>
      </c>
      <c r="J539" s="31">
        <v>1175.0</v>
      </c>
      <c r="K539" s="28" t="str">
        <f>IFERROR(__xludf.DUMMYFUNCTION("IFERROR(
INDEX(
FILTER(
MAP(
reglas!$B$2:$B$240,
reglas!$C$2:$C$240,
reglas!$D$2:$D$240,
reglas!$E$2:$E$240,
LAMBDA(rEmisor,rPatron,rConcepto,rTipo,
IF(
AND(
OR(
UPPER(TRIM(rEmisor))=UPPER(TRIM(C539)),
UPPER(TRIM(rEmisor))=""CUALQUIERA""
),
OR(
UPPER(TRIM"&amp;"(rTipo))=""SOLO EMISOR"",
AND(
UPPER(TRIM(rTipo))=""EXACTA"",
UPPER(TRIM(AG539))=UPPER(TRIM(rPatron))
),
AND(
OR(
UPPER(TRIM(rTipo))=""CONTIENE"",
UPPER(TRIM(rTipo))=""COINCIDENCIA""
),
ISNUMBER(SEARCH(UPPER(TRIM(rPatron)),UPPER(TRIM(D539))))
)
)
),
rConc"&amp;"epto,
""""
)
)
),
MAP(
reglas!$B$2:$B$240,
reglas!$C$2:$C$240,
reglas!$D$2:$D$240,
reglas!$E$2:$E$240,
LAMBDA(rEmisor,rPatron,rConcepto,rTipo,
IF(
AND(
OR(
UPPER(TRIM(rEmisor))=UPPER(TRIM(C539)),
UPPER(TRIM(rEmisor))=""CUALQUIERA""
),
OR(
UPPER(TRIM(rTipo"&amp;"))=""SOLO EMISOR"",
AND(
UPPER(TRIM(rTipo))=""EXACTA"",
UPPER(TRIM(D539))=UPPER(TRIM(rPatron))
),
AND(
OR(
UPPER(TRIM(rTipo))=""CONTIENE"",
UPPER(TRIM(rTipo))=""COINCIDENCIA""
),
ISNUMBER(SEARCH(UPPER(TRIM(rPatron)),UPPER(TRIM(D539))))
)
)
),
rConcepto,
"&amp;"""""
)
)
)&lt;&gt;""""
),
1
),
""""
)"),"LICENCIAS DE COMPUTO")</f>
        <v>LICENCIAS DE COMPUTO</v>
      </c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</row>
    <row r="540">
      <c r="A540" s="32"/>
      <c r="B540" s="32"/>
      <c r="C540" s="29" t="s">
        <v>197</v>
      </c>
      <c r="D540" s="29" t="s">
        <v>1647</v>
      </c>
      <c r="E540" s="28">
        <v>370.0</v>
      </c>
      <c r="F540" s="28">
        <v>0.0</v>
      </c>
      <c r="G540" s="28" t="s">
        <v>539</v>
      </c>
      <c r="H540" s="28">
        <f t="array" ref="H540">INDEX(CC!C:C,MATCH(1,(CC!A:A=G540)*(CC!B:B=I540),0))</f>
        <v>1302</v>
      </c>
      <c r="I540" s="28" t="s">
        <v>25</v>
      </c>
      <c r="J540" s="31">
        <v>370.0</v>
      </c>
      <c r="K540" s="28" t="str">
        <f>IFERROR(__xludf.DUMMYFUNCTION("IFERROR(
INDEX(
FILTER(
MAP(
reglas!$B$2:$B$240,
reglas!$C$2:$C$240,
reglas!$D$2:$D$240,
reglas!$E$2:$E$240,
LAMBDA(rEmisor,rPatron,rConcepto,rTipo,
IF(
AND(
OR(
UPPER(TRIM(rEmisor))=UPPER(TRIM(C540)),
UPPER(TRIM(rEmisor))=""CUALQUIERA""
),
OR(
UPPER(TRIM"&amp;"(rTipo))=""SOLO EMISOR"",
AND(
UPPER(TRIM(rTipo))=""EXACTA"",
UPPER(TRIM(AG540))=UPPER(TRIM(rPatron))
),
AND(
OR(
UPPER(TRIM(rTipo))=""CONTIENE"",
UPPER(TRIM(rTipo))=""COINCIDENCIA""
),
ISNUMBER(SEARCH(UPPER(TRIM(rPatron)),UPPER(TRIM(D540))))
)
)
),
rConc"&amp;"epto,
""""
)
)
),
MAP(
reglas!$B$2:$B$240,
reglas!$C$2:$C$240,
reglas!$D$2:$D$240,
reglas!$E$2:$E$240,
LAMBDA(rEmisor,rPatron,rConcepto,rTipo,
IF(
AND(
OR(
UPPER(TRIM(rEmisor))=UPPER(TRIM(C540)),
UPPER(TRIM(rEmisor))=""CUALQUIERA""
),
OR(
UPPER(TRIM(rTipo"&amp;"))=""SOLO EMISOR"",
AND(
UPPER(TRIM(rTipo))=""EXACTA"",
UPPER(TRIM(D540))=UPPER(TRIM(rPatron))
),
AND(
OR(
UPPER(TRIM(rTipo))=""CONTIENE"",
UPPER(TRIM(rTipo))=""COINCIDENCIA""
),
ISNUMBER(SEARCH(UPPER(TRIM(rPatron)),UPPER(TRIM(D540))))
)
)
),
rConcepto,
"&amp;"""""
)
)
)&lt;&gt;""""
),
1
),
""""
)"),"LICENCIAS DE COMPUTO")</f>
        <v>LICENCIAS DE COMPUTO</v>
      </c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</row>
    <row r="541">
      <c r="A541" s="32"/>
      <c r="B541" s="32"/>
      <c r="C541" s="29" t="s">
        <v>197</v>
      </c>
      <c r="D541" s="29" t="s">
        <v>1648</v>
      </c>
      <c r="E541" s="28">
        <v>240.0</v>
      </c>
      <c r="F541" s="28">
        <v>0.0</v>
      </c>
      <c r="G541" s="28" t="s">
        <v>1649</v>
      </c>
      <c r="H541" s="28">
        <f t="array" ref="H541">INDEX(CC!C:C,MATCH(1,(CC!A:A=G541)*(CC!B:B=I541),0))</f>
        <v>1902</v>
      </c>
      <c r="I541" s="28" t="s">
        <v>25</v>
      </c>
      <c r="J541" s="31">
        <v>240.0</v>
      </c>
      <c r="K541" s="28" t="str">
        <f>IFERROR(__xludf.DUMMYFUNCTION("IFERROR(
INDEX(
FILTER(
MAP(
reglas!$B$2:$B$240,
reglas!$C$2:$C$240,
reglas!$D$2:$D$240,
reglas!$E$2:$E$240,
LAMBDA(rEmisor,rPatron,rConcepto,rTipo,
IF(
AND(
OR(
UPPER(TRIM(rEmisor))=UPPER(TRIM(C541)),
UPPER(TRIM(rEmisor))=""CUALQUIERA""
),
OR(
UPPER(TRIM"&amp;"(rTipo))=""SOLO EMISOR"",
AND(
UPPER(TRIM(rTipo))=""EXACTA"",
UPPER(TRIM(AG541))=UPPER(TRIM(rPatron))
),
AND(
OR(
UPPER(TRIM(rTipo))=""CONTIENE"",
UPPER(TRIM(rTipo))=""COINCIDENCIA""
),
ISNUMBER(SEARCH(UPPER(TRIM(rPatron)),UPPER(TRIM(D541))))
)
)
),
rConc"&amp;"epto,
""""
)
)
),
MAP(
reglas!$B$2:$B$240,
reglas!$C$2:$C$240,
reglas!$D$2:$D$240,
reglas!$E$2:$E$240,
LAMBDA(rEmisor,rPatron,rConcepto,rTipo,
IF(
AND(
OR(
UPPER(TRIM(rEmisor))=UPPER(TRIM(C541)),
UPPER(TRIM(rEmisor))=""CUALQUIERA""
),
OR(
UPPER(TRIM(rTipo"&amp;"))=""SOLO EMISOR"",
AND(
UPPER(TRIM(rTipo))=""EXACTA"",
UPPER(TRIM(D541))=UPPER(TRIM(rPatron))
),
AND(
OR(
UPPER(TRIM(rTipo))=""CONTIENE"",
UPPER(TRIM(rTipo))=""COINCIDENCIA""
),
ISNUMBER(SEARCH(UPPER(TRIM(rPatron)),UPPER(TRIM(D541))))
)
)
),
rConcepto,
"&amp;"""""
)
)
)&lt;&gt;""""
),
1
),
""""
)"),"LICENCIAS DE COMPUTO")</f>
        <v>LICENCIAS DE COMPUTO</v>
      </c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</row>
    <row r="542">
      <c r="A542" s="32"/>
      <c r="B542" s="32"/>
      <c r="C542" s="29" t="s">
        <v>197</v>
      </c>
      <c r="D542" s="29" t="s">
        <v>1650</v>
      </c>
      <c r="E542" s="28">
        <v>1030.0</v>
      </c>
      <c r="F542" s="28">
        <v>0.0</v>
      </c>
      <c r="G542" s="28" t="s">
        <v>1649</v>
      </c>
      <c r="H542" s="28">
        <f t="array" ref="H542">INDEX(CC!C:C,MATCH(1,(CC!A:A=G542)*(CC!B:B=I542),0))</f>
        <v>1902</v>
      </c>
      <c r="I542" s="28" t="s">
        <v>25</v>
      </c>
      <c r="J542" s="31">
        <v>1030.0</v>
      </c>
      <c r="K542" s="28" t="str">
        <f>IFERROR(__xludf.DUMMYFUNCTION("IFERROR(
INDEX(
FILTER(
MAP(
reglas!$B$2:$B$240,
reglas!$C$2:$C$240,
reglas!$D$2:$D$240,
reglas!$E$2:$E$240,
LAMBDA(rEmisor,rPatron,rConcepto,rTipo,
IF(
AND(
OR(
UPPER(TRIM(rEmisor))=UPPER(TRIM(C542)),
UPPER(TRIM(rEmisor))=""CUALQUIERA""
),
OR(
UPPER(TRIM"&amp;"(rTipo))=""SOLO EMISOR"",
AND(
UPPER(TRIM(rTipo))=""EXACTA"",
UPPER(TRIM(AG542))=UPPER(TRIM(rPatron))
),
AND(
OR(
UPPER(TRIM(rTipo))=""CONTIENE"",
UPPER(TRIM(rTipo))=""COINCIDENCIA""
),
ISNUMBER(SEARCH(UPPER(TRIM(rPatron)),UPPER(TRIM(D542))))
)
)
),
rConc"&amp;"epto,
""""
)
)
),
MAP(
reglas!$B$2:$B$240,
reglas!$C$2:$C$240,
reglas!$D$2:$D$240,
reglas!$E$2:$E$240,
LAMBDA(rEmisor,rPatron,rConcepto,rTipo,
IF(
AND(
OR(
UPPER(TRIM(rEmisor))=UPPER(TRIM(C542)),
UPPER(TRIM(rEmisor))=""CUALQUIERA""
),
OR(
UPPER(TRIM(rTipo"&amp;"))=""SOLO EMISOR"",
AND(
UPPER(TRIM(rTipo))=""EXACTA"",
UPPER(TRIM(D542))=UPPER(TRIM(rPatron))
),
AND(
OR(
UPPER(TRIM(rTipo))=""CONTIENE"",
UPPER(TRIM(rTipo))=""COINCIDENCIA""
),
ISNUMBER(SEARCH(UPPER(TRIM(rPatron)),UPPER(TRIM(D542))))
)
)
),
rConcepto,
"&amp;"""""
)
)
)&lt;&gt;""""
),
1
),
""""
)"),"LICENCIAS DE COMPUTO")</f>
        <v>LICENCIAS DE COMPUTO</v>
      </c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</row>
    <row r="543">
      <c r="A543" s="32"/>
      <c r="B543" s="32"/>
      <c r="C543" s="29" t="s">
        <v>197</v>
      </c>
      <c r="D543" s="29" t="s">
        <v>1651</v>
      </c>
      <c r="E543" s="28">
        <v>770.0</v>
      </c>
      <c r="F543" s="28">
        <v>0.0</v>
      </c>
      <c r="G543" s="28" t="s">
        <v>539</v>
      </c>
      <c r="H543" s="28">
        <f t="array" ref="H543">INDEX(CC!C:C,MATCH(1,(CC!A:A=G543)*(CC!B:B=I543),0))</f>
        <v>1302</v>
      </c>
      <c r="I543" s="28" t="s">
        <v>25</v>
      </c>
      <c r="J543" s="31">
        <v>770.0</v>
      </c>
      <c r="K543" s="28" t="str">
        <f>IFERROR(__xludf.DUMMYFUNCTION("IFERROR(
INDEX(
FILTER(
MAP(
reglas!$B$2:$B$240,
reglas!$C$2:$C$240,
reglas!$D$2:$D$240,
reglas!$E$2:$E$240,
LAMBDA(rEmisor,rPatron,rConcepto,rTipo,
IF(
AND(
OR(
UPPER(TRIM(rEmisor))=UPPER(TRIM(C543)),
UPPER(TRIM(rEmisor))=""CUALQUIERA""
),
OR(
UPPER(TRIM"&amp;"(rTipo))=""SOLO EMISOR"",
AND(
UPPER(TRIM(rTipo))=""EXACTA"",
UPPER(TRIM(AG543))=UPPER(TRIM(rPatron))
),
AND(
OR(
UPPER(TRIM(rTipo))=""CONTIENE"",
UPPER(TRIM(rTipo))=""COINCIDENCIA""
),
ISNUMBER(SEARCH(UPPER(TRIM(rPatron)),UPPER(TRIM(D543))))
)
)
),
rConc"&amp;"epto,
""""
)
)
),
MAP(
reglas!$B$2:$B$240,
reglas!$C$2:$C$240,
reglas!$D$2:$D$240,
reglas!$E$2:$E$240,
LAMBDA(rEmisor,rPatron,rConcepto,rTipo,
IF(
AND(
OR(
UPPER(TRIM(rEmisor))=UPPER(TRIM(C543)),
UPPER(TRIM(rEmisor))=""CUALQUIERA""
),
OR(
UPPER(TRIM(rTipo"&amp;"))=""SOLO EMISOR"",
AND(
UPPER(TRIM(rTipo))=""EXACTA"",
UPPER(TRIM(D543))=UPPER(TRIM(rPatron))
),
AND(
OR(
UPPER(TRIM(rTipo))=""CONTIENE"",
UPPER(TRIM(rTipo))=""COINCIDENCIA""
),
ISNUMBER(SEARCH(UPPER(TRIM(rPatron)),UPPER(TRIM(D543))))
)
)
),
rConcepto,
"&amp;"""""
)
)
)&lt;&gt;""""
),
1
),
""""
)"),"LICENCIAS DE COMPUTO")</f>
        <v>LICENCIAS DE COMPUTO</v>
      </c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</row>
    <row r="544">
      <c r="A544" s="32"/>
      <c r="B544" s="32"/>
      <c r="C544" s="29" t="s">
        <v>197</v>
      </c>
      <c r="D544" s="29" t="s">
        <v>1652</v>
      </c>
      <c r="E544" s="28">
        <v>770.0</v>
      </c>
      <c r="F544" s="28">
        <v>0.0</v>
      </c>
      <c r="G544" s="28" t="s">
        <v>551</v>
      </c>
      <c r="H544" s="28">
        <f t="array" ref="H544">INDEX(CC!C:C,MATCH(1,(CC!A:A=G544)*(CC!B:B=I544),0))</f>
        <v>1202</v>
      </c>
      <c r="I544" s="28" t="s">
        <v>25</v>
      </c>
      <c r="J544" s="31">
        <v>385.0</v>
      </c>
      <c r="K544" s="28" t="str">
        <f>IFERROR(__xludf.DUMMYFUNCTION("IFERROR(
INDEX(
FILTER(
MAP(
reglas!$B$2:$B$240,
reglas!$C$2:$C$240,
reglas!$D$2:$D$240,
reglas!$E$2:$E$240,
LAMBDA(rEmisor,rPatron,rConcepto,rTipo,
IF(
AND(
OR(
UPPER(TRIM(rEmisor))=UPPER(TRIM(C544)),
UPPER(TRIM(rEmisor))=""CUALQUIERA""
),
OR(
UPPER(TRIM"&amp;"(rTipo))=""SOLO EMISOR"",
AND(
UPPER(TRIM(rTipo))=""EXACTA"",
UPPER(TRIM(AG544))=UPPER(TRIM(rPatron))
),
AND(
OR(
UPPER(TRIM(rTipo))=""CONTIENE"",
UPPER(TRIM(rTipo))=""COINCIDENCIA""
),
ISNUMBER(SEARCH(UPPER(TRIM(rPatron)),UPPER(TRIM(D544))))
)
)
),
rConc"&amp;"epto,
""""
)
)
),
MAP(
reglas!$B$2:$B$240,
reglas!$C$2:$C$240,
reglas!$D$2:$D$240,
reglas!$E$2:$E$240,
LAMBDA(rEmisor,rPatron,rConcepto,rTipo,
IF(
AND(
OR(
UPPER(TRIM(rEmisor))=UPPER(TRIM(C544)),
UPPER(TRIM(rEmisor))=""CUALQUIERA""
),
OR(
UPPER(TRIM(rTipo"&amp;"))=""SOLO EMISOR"",
AND(
UPPER(TRIM(rTipo))=""EXACTA"",
UPPER(TRIM(D544))=UPPER(TRIM(rPatron))
),
AND(
OR(
UPPER(TRIM(rTipo))=""CONTIENE"",
UPPER(TRIM(rTipo))=""COINCIDENCIA""
),
ISNUMBER(SEARCH(UPPER(TRIM(rPatron)),UPPER(TRIM(D544))))
)
)
),
rConcepto,
"&amp;"""""
)
)
)&lt;&gt;""""
),
1
),
""""
)"),"LICENCIAS DE COMPUTO")</f>
        <v>LICENCIAS DE COMPUTO</v>
      </c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</row>
    <row r="545">
      <c r="A545" s="32"/>
      <c r="B545" s="32"/>
      <c r="C545" s="29" t="s">
        <v>197</v>
      </c>
      <c r="D545" s="32"/>
      <c r="E545" s="32"/>
      <c r="F545" s="32"/>
      <c r="G545" s="28" t="s">
        <v>395</v>
      </c>
      <c r="H545" s="28">
        <f t="array" ref="H545">INDEX(CC!C:C,MATCH(1,(CC!A:A=G545)*(CC!B:B=I545),0))</f>
        <v>1102</v>
      </c>
      <c r="I545" s="28" t="s">
        <v>25</v>
      </c>
      <c r="J545" s="31">
        <v>385.0</v>
      </c>
      <c r="K545" s="28" t="str">
        <f>IFERROR(__xludf.DUMMYFUNCTION("IFERROR(
INDEX(
FILTER(
MAP(
reglas!$B$2:$B$240,
reglas!$C$2:$C$240,
reglas!$D$2:$D$240,
reglas!$E$2:$E$240,
LAMBDA(rEmisor,rPatron,rConcepto,rTipo,
IF(
AND(
OR(
UPPER(TRIM(rEmisor))=UPPER(TRIM(C545)),
UPPER(TRIM(rEmisor))=""CUALQUIERA""
),
OR(
UPPER(TRIM"&amp;"(rTipo))=""SOLO EMISOR"",
AND(
UPPER(TRIM(rTipo))=""EXACTA"",
UPPER(TRIM(AG545))=UPPER(TRIM(rPatron))
),
AND(
OR(
UPPER(TRIM(rTipo))=""CONTIENE"",
UPPER(TRIM(rTipo))=""COINCIDENCIA""
),
ISNUMBER(SEARCH(UPPER(TRIM(rPatron)),UPPER(TRIM(D545))))
)
)
),
rConc"&amp;"epto,
""""
)
)
),
MAP(
reglas!$B$2:$B$240,
reglas!$C$2:$C$240,
reglas!$D$2:$D$240,
reglas!$E$2:$E$240,
LAMBDA(rEmisor,rPatron,rConcepto,rTipo,
IF(
AND(
OR(
UPPER(TRIM(rEmisor))=UPPER(TRIM(C545)),
UPPER(TRIM(rEmisor))=""CUALQUIERA""
),
OR(
UPPER(TRIM(rTipo"&amp;"))=""SOLO EMISOR"",
AND(
UPPER(TRIM(rTipo))=""EXACTA"",
UPPER(TRIM(D545))=UPPER(TRIM(rPatron))
),
AND(
OR(
UPPER(TRIM(rTipo))=""CONTIENE"",
UPPER(TRIM(rTipo))=""COINCIDENCIA""
),
ISNUMBER(SEARCH(UPPER(TRIM(rPatron)),UPPER(TRIM(D545))))
)
)
),
rConcepto,
"&amp;"""""
)
)
)&lt;&gt;""""
),
1
),
""""
)"),"LICENCIAS DE COMPUTO")</f>
        <v>LICENCIAS DE COMPUTO</v>
      </c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</row>
    <row r="546">
      <c r="A546" s="32"/>
      <c r="B546" s="32"/>
      <c r="C546" s="29" t="s">
        <v>197</v>
      </c>
      <c r="D546" s="29" t="s">
        <v>1653</v>
      </c>
      <c r="E546" s="28">
        <v>1175.0</v>
      </c>
      <c r="F546" s="28">
        <v>0.0</v>
      </c>
      <c r="G546" s="28" t="s">
        <v>554</v>
      </c>
      <c r="H546" s="28">
        <f t="array" ref="H546">INDEX(CC!C:C,MATCH(1,(CC!A:A=G546)*(CC!B:B=I546),0))</f>
        <v>1702</v>
      </c>
      <c r="I546" s="28" t="s">
        <v>25</v>
      </c>
      <c r="J546" s="31">
        <v>1175.0</v>
      </c>
      <c r="K546" s="28" t="str">
        <f>IFERROR(__xludf.DUMMYFUNCTION("IFERROR(
INDEX(
FILTER(
MAP(
reglas!$B$2:$B$240,
reglas!$C$2:$C$240,
reglas!$D$2:$D$240,
reglas!$E$2:$E$240,
LAMBDA(rEmisor,rPatron,rConcepto,rTipo,
IF(
AND(
OR(
UPPER(TRIM(rEmisor))=UPPER(TRIM(C546)),
UPPER(TRIM(rEmisor))=""CUALQUIERA""
),
OR(
UPPER(TRIM"&amp;"(rTipo))=""SOLO EMISOR"",
AND(
UPPER(TRIM(rTipo))=""EXACTA"",
UPPER(TRIM(AG546))=UPPER(TRIM(rPatron))
),
AND(
OR(
UPPER(TRIM(rTipo))=""CONTIENE"",
UPPER(TRIM(rTipo))=""COINCIDENCIA""
),
ISNUMBER(SEARCH(UPPER(TRIM(rPatron)),UPPER(TRIM(D546))))
)
)
),
rConc"&amp;"epto,
""""
)
)
),
MAP(
reglas!$B$2:$B$240,
reglas!$C$2:$C$240,
reglas!$D$2:$D$240,
reglas!$E$2:$E$240,
LAMBDA(rEmisor,rPatron,rConcepto,rTipo,
IF(
AND(
OR(
UPPER(TRIM(rEmisor))=UPPER(TRIM(C546)),
UPPER(TRIM(rEmisor))=""CUALQUIERA""
),
OR(
UPPER(TRIM(rTipo"&amp;"))=""SOLO EMISOR"",
AND(
UPPER(TRIM(rTipo))=""EXACTA"",
UPPER(TRIM(D546))=UPPER(TRIM(rPatron))
),
AND(
OR(
UPPER(TRIM(rTipo))=""CONTIENE"",
UPPER(TRIM(rTipo))=""COINCIDENCIA""
),
ISNUMBER(SEARCH(UPPER(TRIM(rPatron)),UPPER(TRIM(D546))))
)
)
),
rConcepto,
"&amp;"""""
)
)
)&lt;&gt;""""
),
1
),
""""
)"),"LICENCIAS DE COMPUTO")</f>
        <v>LICENCIAS DE COMPUTO</v>
      </c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</row>
    <row r="547">
      <c r="A547" s="32"/>
      <c r="B547" s="32"/>
      <c r="C547" s="29" t="s">
        <v>197</v>
      </c>
      <c r="D547" s="29" t="s">
        <v>1654</v>
      </c>
      <c r="E547" s="28">
        <v>370.0</v>
      </c>
      <c r="F547" s="28">
        <v>0.0</v>
      </c>
      <c r="G547" s="28" t="s">
        <v>554</v>
      </c>
      <c r="H547" s="28">
        <f t="array" ref="H547">INDEX(CC!C:C,MATCH(1,(CC!A:A=G547)*(CC!B:B=I547),0))</f>
        <v>1702</v>
      </c>
      <c r="I547" s="28" t="s">
        <v>25</v>
      </c>
      <c r="J547" s="31">
        <v>370.0</v>
      </c>
      <c r="K547" s="28" t="str">
        <f>IFERROR(__xludf.DUMMYFUNCTION("IFERROR(
INDEX(
FILTER(
MAP(
reglas!$B$2:$B$240,
reglas!$C$2:$C$240,
reglas!$D$2:$D$240,
reglas!$E$2:$E$240,
LAMBDA(rEmisor,rPatron,rConcepto,rTipo,
IF(
AND(
OR(
UPPER(TRIM(rEmisor))=UPPER(TRIM(C547)),
UPPER(TRIM(rEmisor))=""CUALQUIERA""
),
OR(
UPPER(TRIM"&amp;"(rTipo))=""SOLO EMISOR"",
AND(
UPPER(TRIM(rTipo))=""EXACTA"",
UPPER(TRIM(AG547))=UPPER(TRIM(rPatron))
),
AND(
OR(
UPPER(TRIM(rTipo))=""CONTIENE"",
UPPER(TRIM(rTipo))=""COINCIDENCIA""
),
ISNUMBER(SEARCH(UPPER(TRIM(rPatron)),UPPER(TRIM(D547))))
)
)
),
rConc"&amp;"epto,
""""
)
)
),
MAP(
reglas!$B$2:$B$240,
reglas!$C$2:$C$240,
reglas!$D$2:$D$240,
reglas!$E$2:$E$240,
LAMBDA(rEmisor,rPatron,rConcepto,rTipo,
IF(
AND(
OR(
UPPER(TRIM(rEmisor))=UPPER(TRIM(C547)),
UPPER(TRIM(rEmisor))=""CUALQUIERA""
),
OR(
UPPER(TRIM(rTipo"&amp;"))=""SOLO EMISOR"",
AND(
UPPER(TRIM(rTipo))=""EXACTA"",
UPPER(TRIM(D547))=UPPER(TRIM(rPatron))
),
AND(
OR(
UPPER(TRIM(rTipo))=""CONTIENE"",
UPPER(TRIM(rTipo))=""COINCIDENCIA""
),
ISNUMBER(SEARCH(UPPER(TRIM(rPatron)),UPPER(TRIM(D547))))
)
)
),
rConcepto,
"&amp;"""""
)
)
)&lt;&gt;""""
),
1
),
""""
)"),"LICENCIAS DE COMPUTO")</f>
        <v>LICENCIAS DE COMPUTO</v>
      </c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</row>
    <row r="548">
      <c r="A548" s="32"/>
      <c r="B548" s="32"/>
      <c r="C548" s="29" t="s">
        <v>197</v>
      </c>
      <c r="D548" s="29" t="s">
        <v>1655</v>
      </c>
      <c r="E548" s="28">
        <v>240.0</v>
      </c>
      <c r="F548" s="28">
        <v>0.0</v>
      </c>
      <c r="G548" s="28" t="s">
        <v>554</v>
      </c>
      <c r="H548" s="28">
        <f t="array" ref="H548">INDEX(CC!C:C,MATCH(1,(CC!A:A=G548)*(CC!B:B=I548),0))</f>
        <v>1702</v>
      </c>
      <c r="I548" s="28" t="s">
        <v>25</v>
      </c>
      <c r="J548" s="31">
        <v>240.0</v>
      </c>
      <c r="K548" s="28" t="str">
        <f>IFERROR(__xludf.DUMMYFUNCTION("IFERROR(
INDEX(
FILTER(
MAP(
reglas!$B$2:$B$240,
reglas!$C$2:$C$240,
reglas!$D$2:$D$240,
reglas!$E$2:$E$240,
LAMBDA(rEmisor,rPatron,rConcepto,rTipo,
IF(
AND(
OR(
UPPER(TRIM(rEmisor))=UPPER(TRIM(C548)),
UPPER(TRIM(rEmisor))=""CUALQUIERA""
),
OR(
UPPER(TRIM"&amp;"(rTipo))=""SOLO EMISOR"",
AND(
UPPER(TRIM(rTipo))=""EXACTA"",
UPPER(TRIM(AG548))=UPPER(TRIM(rPatron))
),
AND(
OR(
UPPER(TRIM(rTipo))=""CONTIENE"",
UPPER(TRIM(rTipo))=""COINCIDENCIA""
),
ISNUMBER(SEARCH(UPPER(TRIM(rPatron)),UPPER(TRIM(D548))))
)
)
),
rConc"&amp;"epto,
""""
)
)
),
MAP(
reglas!$B$2:$B$240,
reglas!$C$2:$C$240,
reglas!$D$2:$D$240,
reglas!$E$2:$E$240,
LAMBDA(rEmisor,rPatron,rConcepto,rTipo,
IF(
AND(
OR(
UPPER(TRIM(rEmisor))=UPPER(TRIM(C548)),
UPPER(TRIM(rEmisor))=""CUALQUIERA""
),
OR(
UPPER(TRIM(rTipo"&amp;"))=""SOLO EMISOR"",
AND(
UPPER(TRIM(rTipo))=""EXACTA"",
UPPER(TRIM(D548))=UPPER(TRIM(rPatron))
),
AND(
OR(
UPPER(TRIM(rTipo))=""CONTIENE"",
UPPER(TRIM(rTipo))=""COINCIDENCIA""
),
ISNUMBER(SEARCH(UPPER(TRIM(rPatron)),UPPER(TRIM(D548))))
)
)
),
rConcepto,
"&amp;"""""
)
)
)&lt;&gt;""""
),
1
),
""""
)"),"LICENCIAS DE COMPUTO")</f>
        <v>LICENCIAS DE COMPUTO</v>
      </c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</row>
    <row r="549">
      <c r="A549" s="32"/>
      <c r="B549" s="32"/>
      <c r="C549" s="29" t="s">
        <v>197</v>
      </c>
      <c r="D549" s="29" t="s">
        <v>1656</v>
      </c>
      <c r="E549" s="28">
        <v>770.0</v>
      </c>
      <c r="F549" s="28">
        <v>0.0</v>
      </c>
      <c r="G549" s="28" t="s">
        <v>554</v>
      </c>
      <c r="H549" s="28">
        <f t="array" ref="H549">INDEX(CC!C:C,MATCH(1,(CC!A:A=G549)*(CC!B:B=I549),0))</f>
        <v>1702</v>
      </c>
      <c r="I549" s="28" t="s">
        <v>25</v>
      </c>
      <c r="J549" s="31">
        <v>770.0</v>
      </c>
      <c r="K549" s="28" t="str">
        <f>IFERROR(__xludf.DUMMYFUNCTION("IFERROR(
INDEX(
FILTER(
MAP(
reglas!$B$2:$B$240,
reglas!$C$2:$C$240,
reglas!$D$2:$D$240,
reglas!$E$2:$E$240,
LAMBDA(rEmisor,rPatron,rConcepto,rTipo,
IF(
AND(
OR(
UPPER(TRIM(rEmisor))=UPPER(TRIM(C549)),
UPPER(TRIM(rEmisor))=""CUALQUIERA""
),
OR(
UPPER(TRIM"&amp;"(rTipo))=""SOLO EMISOR"",
AND(
UPPER(TRIM(rTipo))=""EXACTA"",
UPPER(TRIM(AG549))=UPPER(TRIM(rPatron))
),
AND(
OR(
UPPER(TRIM(rTipo))=""CONTIENE"",
UPPER(TRIM(rTipo))=""COINCIDENCIA""
),
ISNUMBER(SEARCH(UPPER(TRIM(rPatron)),UPPER(TRIM(D549))))
)
)
),
rConc"&amp;"epto,
""""
)
)
),
MAP(
reglas!$B$2:$B$240,
reglas!$C$2:$C$240,
reglas!$D$2:$D$240,
reglas!$E$2:$E$240,
LAMBDA(rEmisor,rPatron,rConcepto,rTipo,
IF(
AND(
OR(
UPPER(TRIM(rEmisor))=UPPER(TRIM(C549)),
UPPER(TRIM(rEmisor))=""CUALQUIERA""
),
OR(
UPPER(TRIM(rTipo"&amp;"))=""SOLO EMISOR"",
AND(
UPPER(TRIM(rTipo))=""EXACTA"",
UPPER(TRIM(D549))=UPPER(TRIM(rPatron))
),
AND(
OR(
UPPER(TRIM(rTipo))=""CONTIENE"",
UPPER(TRIM(rTipo))=""COINCIDENCIA""
),
ISNUMBER(SEARCH(UPPER(TRIM(rPatron)),UPPER(TRIM(D549))))
)
)
),
rConcepto,
"&amp;"""""
)
)
)&lt;&gt;""""
),
1
),
""""
)"),"LICENCIAS DE COMPUTO")</f>
        <v>LICENCIAS DE COMPUTO</v>
      </c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</row>
    <row r="550">
      <c r="A550" s="32"/>
      <c r="B550" s="32"/>
      <c r="C550" s="29" t="s">
        <v>197</v>
      </c>
      <c r="D550" s="29" t="s">
        <v>1657</v>
      </c>
      <c r="E550" s="28">
        <v>1030.0</v>
      </c>
      <c r="F550" s="28">
        <v>0.0</v>
      </c>
      <c r="G550" s="28" t="s">
        <v>554</v>
      </c>
      <c r="H550" s="28">
        <f t="array" ref="H550">INDEX(CC!C:C,MATCH(1,(CC!A:A=G550)*(CC!B:B=I550),0))</f>
        <v>1702</v>
      </c>
      <c r="I550" s="28" t="s">
        <v>25</v>
      </c>
      <c r="J550" s="31">
        <v>1030.0</v>
      </c>
      <c r="K550" s="28" t="str">
        <f>IFERROR(__xludf.DUMMYFUNCTION("IFERROR(
INDEX(
FILTER(
MAP(
reglas!$B$2:$B$240,
reglas!$C$2:$C$240,
reglas!$D$2:$D$240,
reglas!$E$2:$E$240,
LAMBDA(rEmisor,rPatron,rConcepto,rTipo,
IF(
AND(
OR(
UPPER(TRIM(rEmisor))=UPPER(TRIM(C550)),
UPPER(TRIM(rEmisor))=""CUALQUIERA""
),
OR(
UPPER(TRIM"&amp;"(rTipo))=""SOLO EMISOR"",
AND(
UPPER(TRIM(rTipo))=""EXACTA"",
UPPER(TRIM(AG550))=UPPER(TRIM(rPatron))
),
AND(
OR(
UPPER(TRIM(rTipo))=""CONTIENE"",
UPPER(TRIM(rTipo))=""COINCIDENCIA""
),
ISNUMBER(SEARCH(UPPER(TRIM(rPatron)),UPPER(TRIM(D550))))
)
)
),
rConc"&amp;"epto,
""""
)
)
),
MAP(
reglas!$B$2:$B$240,
reglas!$C$2:$C$240,
reglas!$D$2:$D$240,
reglas!$E$2:$E$240,
LAMBDA(rEmisor,rPatron,rConcepto,rTipo,
IF(
AND(
OR(
UPPER(TRIM(rEmisor))=UPPER(TRIM(C550)),
UPPER(TRIM(rEmisor))=""CUALQUIERA""
),
OR(
UPPER(TRIM(rTipo"&amp;"))=""SOLO EMISOR"",
AND(
UPPER(TRIM(rTipo))=""EXACTA"",
UPPER(TRIM(D550))=UPPER(TRIM(rPatron))
),
AND(
OR(
UPPER(TRIM(rTipo))=""CONTIENE"",
UPPER(TRIM(rTipo))=""COINCIDENCIA""
),
ISNUMBER(SEARCH(UPPER(TRIM(rPatron)),UPPER(TRIM(D550))))
)
)
),
rConcepto,
"&amp;"""""
)
)
)&lt;&gt;""""
),
1
),
""""
)"),"LICENCIAS DE COMPUTO")</f>
        <v>LICENCIAS DE COMPUTO</v>
      </c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</row>
    <row r="551">
      <c r="A551" s="32"/>
      <c r="B551" s="32"/>
      <c r="C551" s="29" t="s">
        <v>197</v>
      </c>
      <c r="D551" s="29" t="s">
        <v>1658</v>
      </c>
      <c r="E551" s="28">
        <v>1175.0</v>
      </c>
      <c r="F551" s="28">
        <v>0.0</v>
      </c>
      <c r="G551" s="28" t="s">
        <v>55</v>
      </c>
      <c r="H551" s="28">
        <f t="array" ref="H551">INDEX(CC!C:C,MATCH(1,(CC!A:A=G551)*(CC!B:B=I551),0))</f>
        <v>902</v>
      </c>
      <c r="I551" s="28" t="s">
        <v>25</v>
      </c>
      <c r="J551" s="31">
        <v>1175.0</v>
      </c>
      <c r="K551" s="28" t="str">
        <f>IFERROR(__xludf.DUMMYFUNCTION("IFERROR(
INDEX(
FILTER(
MAP(
reglas!$B$2:$B$240,
reglas!$C$2:$C$240,
reglas!$D$2:$D$240,
reglas!$E$2:$E$240,
LAMBDA(rEmisor,rPatron,rConcepto,rTipo,
IF(
AND(
OR(
UPPER(TRIM(rEmisor))=UPPER(TRIM(C551)),
UPPER(TRIM(rEmisor))=""CUALQUIERA""
),
OR(
UPPER(TRIM"&amp;"(rTipo))=""SOLO EMISOR"",
AND(
UPPER(TRIM(rTipo))=""EXACTA"",
UPPER(TRIM(AG551))=UPPER(TRIM(rPatron))
),
AND(
OR(
UPPER(TRIM(rTipo))=""CONTIENE"",
UPPER(TRIM(rTipo))=""COINCIDENCIA""
),
ISNUMBER(SEARCH(UPPER(TRIM(rPatron)),UPPER(TRIM(D551))))
)
)
),
rConc"&amp;"epto,
""""
)
)
),
MAP(
reglas!$B$2:$B$240,
reglas!$C$2:$C$240,
reglas!$D$2:$D$240,
reglas!$E$2:$E$240,
LAMBDA(rEmisor,rPatron,rConcepto,rTipo,
IF(
AND(
OR(
UPPER(TRIM(rEmisor))=UPPER(TRIM(C551)),
UPPER(TRIM(rEmisor))=""CUALQUIERA""
),
OR(
UPPER(TRIM(rTipo"&amp;"))=""SOLO EMISOR"",
AND(
UPPER(TRIM(rTipo))=""EXACTA"",
UPPER(TRIM(D551))=UPPER(TRIM(rPatron))
),
AND(
OR(
UPPER(TRIM(rTipo))=""CONTIENE"",
UPPER(TRIM(rTipo))=""COINCIDENCIA""
),
ISNUMBER(SEARCH(UPPER(TRIM(rPatron)),UPPER(TRIM(D551))))
)
)
),
rConcepto,
"&amp;"""""
)
)
)&lt;&gt;""""
),
1
),
""""
)"),"LICENCIAS DE COMPUTO")</f>
        <v>LICENCIAS DE COMPUTO</v>
      </c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</row>
    <row r="552">
      <c r="A552" s="32"/>
      <c r="B552" s="32"/>
      <c r="C552" s="29" t="s">
        <v>197</v>
      </c>
      <c r="D552" s="29" t="s">
        <v>1659</v>
      </c>
      <c r="E552" s="28">
        <v>370.0</v>
      </c>
      <c r="F552" s="28">
        <v>0.0</v>
      </c>
      <c r="G552" s="28" t="s">
        <v>55</v>
      </c>
      <c r="H552" s="28">
        <f t="array" ref="H552">INDEX(CC!C:C,MATCH(1,(CC!A:A=G552)*(CC!B:B=I552),0))</f>
        <v>902</v>
      </c>
      <c r="I552" s="28" t="s">
        <v>25</v>
      </c>
      <c r="J552" s="31">
        <v>370.0</v>
      </c>
      <c r="K552" s="28" t="str">
        <f>IFERROR(__xludf.DUMMYFUNCTION("IFERROR(
INDEX(
FILTER(
MAP(
reglas!$B$2:$B$240,
reglas!$C$2:$C$240,
reglas!$D$2:$D$240,
reglas!$E$2:$E$240,
LAMBDA(rEmisor,rPatron,rConcepto,rTipo,
IF(
AND(
OR(
UPPER(TRIM(rEmisor))=UPPER(TRIM(C552)),
UPPER(TRIM(rEmisor))=""CUALQUIERA""
),
OR(
UPPER(TRIM"&amp;"(rTipo))=""SOLO EMISOR"",
AND(
UPPER(TRIM(rTipo))=""EXACTA"",
UPPER(TRIM(AG552))=UPPER(TRIM(rPatron))
),
AND(
OR(
UPPER(TRIM(rTipo))=""CONTIENE"",
UPPER(TRIM(rTipo))=""COINCIDENCIA""
),
ISNUMBER(SEARCH(UPPER(TRIM(rPatron)),UPPER(TRIM(D552))))
)
)
),
rConc"&amp;"epto,
""""
)
)
),
MAP(
reglas!$B$2:$B$240,
reglas!$C$2:$C$240,
reglas!$D$2:$D$240,
reglas!$E$2:$E$240,
LAMBDA(rEmisor,rPatron,rConcepto,rTipo,
IF(
AND(
OR(
UPPER(TRIM(rEmisor))=UPPER(TRIM(C552)),
UPPER(TRIM(rEmisor))=""CUALQUIERA""
),
OR(
UPPER(TRIM(rTipo"&amp;"))=""SOLO EMISOR"",
AND(
UPPER(TRIM(rTipo))=""EXACTA"",
UPPER(TRIM(D552))=UPPER(TRIM(rPatron))
),
AND(
OR(
UPPER(TRIM(rTipo))=""CONTIENE"",
UPPER(TRIM(rTipo))=""COINCIDENCIA""
),
ISNUMBER(SEARCH(UPPER(TRIM(rPatron)),UPPER(TRIM(D552))))
)
)
),
rConcepto,
"&amp;"""""
)
)
)&lt;&gt;""""
),
1
),
""""
)"),"LICENCIAS DE COMPUTO")</f>
        <v>LICENCIAS DE COMPUTO</v>
      </c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</row>
    <row r="553">
      <c r="A553" s="32"/>
      <c r="B553" s="32"/>
      <c r="C553" s="29" t="s">
        <v>197</v>
      </c>
      <c r="D553" s="29" t="s">
        <v>1660</v>
      </c>
      <c r="E553" s="28">
        <v>240.0</v>
      </c>
      <c r="F553" s="28">
        <v>0.0</v>
      </c>
      <c r="G553" s="28" t="s">
        <v>55</v>
      </c>
      <c r="H553" s="28">
        <f t="array" ref="H553">INDEX(CC!C:C,MATCH(1,(CC!A:A=G553)*(CC!B:B=I553),0))</f>
        <v>902</v>
      </c>
      <c r="I553" s="28" t="s">
        <v>25</v>
      </c>
      <c r="J553" s="31">
        <v>240.0</v>
      </c>
      <c r="K553" s="28" t="str">
        <f>IFERROR(__xludf.DUMMYFUNCTION("IFERROR(
INDEX(
FILTER(
MAP(
reglas!$B$2:$B$240,
reglas!$C$2:$C$240,
reglas!$D$2:$D$240,
reglas!$E$2:$E$240,
LAMBDA(rEmisor,rPatron,rConcepto,rTipo,
IF(
AND(
OR(
UPPER(TRIM(rEmisor))=UPPER(TRIM(C553)),
UPPER(TRIM(rEmisor))=""CUALQUIERA""
),
OR(
UPPER(TRIM"&amp;"(rTipo))=""SOLO EMISOR"",
AND(
UPPER(TRIM(rTipo))=""EXACTA"",
UPPER(TRIM(AG553))=UPPER(TRIM(rPatron))
),
AND(
OR(
UPPER(TRIM(rTipo))=""CONTIENE"",
UPPER(TRIM(rTipo))=""COINCIDENCIA""
),
ISNUMBER(SEARCH(UPPER(TRIM(rPatron)),UPPER(TRIM(D553))))
)
)
),
rConc"&amp;"epto,
""""
)
)
),
MAP(
reglas!$B$2:$B$240,
reglas!$C$2:$C$240,
reglas!$D$2:$D$240,
reglas!$E$2:$E$240,
LAMBDA(rEmisor,rPatron,rConcepto,rTipo,
IF(
AND(
OR(
UPPER(TRIM(rEmisor))=UPPER(TRIM(C553)),
UPPER(TRIM(rEmisor))=""CUALQUIERA""
),
OR(
UPPER(TRIM(rTipo"&amp;"))=""SOLO EMISOR"",
AND(
UPPER(TRIM(rTipo))=""EXACTA"",
UPPER(TRIM(D553))=UPPER(TRIM(rPatron))
),
AND(
OR(
UPPER(TRIM(rTipo))=""CONTIENE"",
UPPER(TRIM(rTipo))=""COINCIDENCIA""
),
ISNUMBER(SEARCH(UPPER(TRIM(rPatron)),UPPER(TRIM(D553))))
)
)
),
rConcepto,
"&amp;"""""
)
)
)&lt;&gt;""""
),
1
),
""""
)"),"LICENCIAS DE COMPUTO")</f>
        <v>LICENCIAS DE COMPUTO</v>
      </c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</row>
    <row r="554">
      <c r="A554" s="32"/>
      <c r="B554" s="32"/>
      <c r="C554" s="29" t="s">
        <v>197</v>
      </c>
      <c r="D554" s="29" t="s">
        <v>1661</v>
      </c>
      <c r="E554" s="28">
        <v>1030.0</v>
      </c>
      <c r="F554" s="28">
        <v>0.0</v>
      </c>
      <c r="G554" s="28" t="s">
        <v>55</v>
      </c>
      <c r="H554" s="28">
        <f t="array" ref="H554">INDEX(CC!C:C,MATCH(1,(CC!A:A=G554)*(CC!B:B=I554),0))</f>
        <v>902</v>
      </c>
      <c r="I554" s="28" t="s">
        <v>25</v>
      </c>
      <c r="J554" s="31">
        <v>1030.0</v>
      </c>
      <c r="K554" s="28" t="str">
        <f>IFERROR(__xludf.DUMMYFUNCTION("IFERROR(
INDEX(
FILTER(
MAP(
reglas!$B$2:$B$240,
reglas!$C$2:$C$240,
reglas!$D$2:$D$240,
reglas!$E$2:$E$240,
LAMBDA(rEmisor,rPatron,rConcepto,rTipo,
IF(
AND(
OR(
UPPER(TRIM(rEmisor))=UPPER(TRIM(C554)),
UPPER(TRIM(rEmisor))=""CUALQUIERA""
),
OR(
UPPER(TRIM"&amp;"(rTipo))=""SOLO EMISOR"",
AND(
UPPER(TRIM(rTipo))=""EXACTA"",
UPPER(TRIM(AG554))=UPPER(TRIM(rPatron))
),
AND(
OR(
UPPER(TRIM(rTipo))=""CONTIENE"",
UPPER(TRIM(rTipo))=""COINCIDENCIA""
),
ISNUMBER(SEARCH(UPPER(TRIM(rPatron)),UPPER(TRIM(D554))))
)
)
),
rConc"&amp;"epto,
""""
)
)
),
MAP(
reglas!$B$2:$B$240,
reglas!$C$2:$C$240,
reglas!$D$2:$D$240,
reglas!$E$2:$E$240,
LAMBDA(rEmisor,rPatron,rConcepto,rTipo,
IF(
AND(
OR(
UPPER(TRIM(rEmisor))=UPPER(TRIM(C554)),
UPPER(TRIM(rEmisor))=""CUALQUIERA""
),
OR(
UPPER(TRIM(rTipo"&amp;"))=""SOLO EMISOR"",
AND(
UPPER(TRIM(rTipo))=""EXACTA"",
UPPER(TRIM(D554))=UPPER(TRIM(rPatron))
),
AND(
OR(
UPPER(TRIM(rTipo))=""CONTIENE"",
UPPER(TRIM(rTipo))=""COINCIDENCIA""
),
ISNUMBER(SEARCH(UPPER(TRIM(rPatron)),UPPER(TRIM(D554))))
)
)
),
rConcepto,
"&amp;"""""
)
)
)&lt;&gt;""""
),
1
),
""""
)"),"LICENCIAS DE COMPUTO")</f>
        <v>LICENCIAS DE COMPUTO</v>
      </c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</row>
    <row r="555">
      <c r="A555" s="32"/>
      <c r="B555" s="32"/>
      <c r="C555" s="29" t="s">
        <v>197</v>
      </c>
      <c r="D555" s="29" t="s">
        <v>1662</v>
      </c>
      <c r="E555" s="28">
        <v>770.0</v>
      </c>
      <c r="F555" s="28">
        <v>0.0</v>
      </c>
      <c r="G555" s="28" t="s">
        <v>55</v>
      </c>
      <c r="H555" s="28">
        <f t="array" ref="H555">INDEX(CC!C:C,MATCH(1,(CC!A:A=G555)*(CC!B:B=I555),0))</f>
        <v>902</v>
      </c>
      <c r="I555" s="28" t="s">
        <v>25</v>
      </c>
      <c r="J555" s="31">
        <v>770.0</v>
      </c>
      <c r="K555" s="28" t="str">
        <f>IFERROR(__xludf.DUMMYFUNCTION("IFERROR(
INDEX(
FILTER(
MAP(
reglas!$B$2:$B$240,
reglas!$C$2:$C$240,
reglas!$D$2:$D$240,
reglas!$E$2:$E$240,
LAMBDA(rEmisor,rPatron,rConcepto,rTipo,
IF(
AND(
OR(
UPPER(TRIM(rEmisor))=UPPER(TRIM(C555)),
UPPER(TRIM(rEmisor))=""CUALQUIERA""
),
OR(
UPPER(TRIM"&amp;"(rTipo))=""SOLO EMISOR"",
AND(
UPPER(TRIM(rTipo))=""EXACTA"",
UPPER(TRIM(AG555))=UPPER(TRIM(rPatron))
),
AND(
OR(
UPPER(TRIM(rTipo))=""CONTIENE"",
UPPER(TRIM(rTipo))=""COINCIDENCIA""
),
ISNUMBER(SEARCH(UPPER(TRIM(rPatron)),UPPER(TRIM(D555))))
)
)
),
rConc"&amp;"epto,
""""
)
)
),
MAP(
reglas!$B$2:$B$240,
reglas!$C$2:$C$240,
reglas!$D$2:$D$240,
reglas!$E$2:$E$240,
LAMBDA(rEmisor,rPatron,rConcepto,rTipo,
IF(
AND(
OR(
UPPER(TRIM(rEmisor))=UPPER(TRIM(C555)),
UPPER(TRIM(rEmisor))=""CUALQUIERA""
),
OR(
UPPER(TRIM(rTipo"&amp;"))=""SOLO EMISOR"",
AND(
UPPER(TRIM(rTipo))=""EXACTA"",
UPPER(TRIM(D555))=UPPER(TRIM(rPatron))
),
AND(
OR(
UPPER(TRIM(rTipo))=""CONTIENE"",
UPPER(TRIM(rTipo))=""COINCIDENCIA""
),
ISNUMBER(SEARCH(UPPER(TRIM(rPatron)),UPPER(TRIM(D555))))
)
)
),
rConcepto,
"&amp;"""""
)
)
)&lt;&gt;""""
),
1
),
""""
)"),"LICENCIAS DE COMPUTO")</f>
        <v>LICENCIAS DE COMPUTO</v>
      </c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</row>
    <row r="556">
      <c r="A556" s="32"/>
      <c r="B556" s="32"/>
      <c r="C556" s="29" t="s">
        <v>197</v>
      </c>
      <c r="D556" s="29" t="s">
        <v>1663</v>
      </c>
      <c r="E556" s="28">
        <v>240.0</v>
      </c>
      <c r="F556" s="28">
        <v>0.0</v>
      </c>
      <c r="G556" s="28" t="s">
        <v>551</v>
      </c>
      <c r="H556" s="28">
        <f t="array" ref="H556">INDEX(CC!C:C,MATCH(1,(CC!A:A=G556)*(CC!B:B=I556),0))</f>
        <v>1202</v>
      </c>
      <c r="I556" s="28" t="s">
        <v>25</v>
      </c>
      <c r="J556" s="31">
        <v>240.0</v>
      </c>
      <c r="K556" s="28" t="str">
        <f>IFERROR(__xludf.DUMMYFUNCTION("IFERROR(
INDEX(
FILTER(
MAP(
reglas!$B$2:$B$240,
reglas!$C$2:$C$240,
reglas!$D$2:$D$240,
reglas!$E$2:$E$240,
LAMBDA(rEmisor,rPatron,rConcepto,rTipo,
IF(
AND(
OR(
UPPER(TRIM(rEmisor))=UPPER(TRIM(C556)),
UPPER(TRIM(rEmisor))=""CUALQUIERA""
),
OR(
UPPER(TRIM"&amp;"(rTipo))=""SOLO EMISOR"",
AND(
UPPER(TRIM(rTipo))=""EXACTA"",
UPPER(TRIM(AG556))=UPPER(TRIM(rPatron))
),
AND(
OR(
UPPER(TRIM(rTipo))=""CONTIENE"",
UPPER(TRIM(rTipo))=""COINCIDENCIA""
),
ISNUMBER(SEARCH(UPPER(TRIM(rPatron)),UPPER(TRIM(D556))))
)
)
),
rConc"&amp;"epto,
""""
)
)
),
MAP(
reglas!$B$2:$B$240,
reglas!$C$2:$C$240,
reglas!$D$2:$D$240,
reglas!$E$2:$E$240,
LAMBDA(rEmisor,rPatron,rConcepto,rTipo,
IF(
AND(
OR(
UPPER(TRIM(rEmisor))=UPPER(TRIM(C556)),
UPPER(TRIM(rEmisor))=""CUALQUIERA""
),
OR(
UPPER(TRIM(rTipo"&amp;"))=""SOLO EMISOR"",
AND(
UPPER(TRIM(rTipo))=""EXACTA"",
UPPER(TRIM(D556))=UPPER(TRIM(rPatron))
),
AND(
OR(
UPPER(TRIM(rTipo))=""CONTIENE"",
UPPER(TRIM(rTipo))=""COINCIDENCIA""
),
ISNUMBER(SEARCH(UPPER(TRIM(rPatron)),UPPER(TRIM(D556))))
)
)
),
rConcepto,
"&amp;"""""
)
)
)&lt;&gt;""""
),
1
),
""""
)"),"LICENCIAS DE COMPUTO")</f>
        <v>LICENCIAS DE COMPUTO</v>
      </c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</row>
    <row r="557">
      <c r="A557" s="32"/>
      <c r="B557" s="32"/>
      <c r="C557" s="29" t="s">
        <v>197</v>
      </c>
      <c r="D557" s="29" t="s">
        <v>1664</v>
      </c>
      <c r="E557" s="28">
        <v>240.0</v>
      </c>
      <c r="F557" s="28">
        <v>0.0</v>
      </c>
      <c r="G557" s="28" t="s">
        <v>554</v>
      </c>
      <c r="H557" s="28">
        <f t="array" ref="H557">INDEX(CC!C:C,MATCH(1,(CC!A:A=G557)*(CC!B:B=I557),0))</f>
        <v>1702</v>
      </c>
      <c r="I557" s="28" t="s">
        <v>25</v>
      </c>
      <c r="J557" s="31">
        <v>240.0</v>
      </c>
      <c r="K557" s="28" t="str">
        <f>IFERROR(__xludf.DUMMYFUNCTION("IFERROR(
INDEX(
FILTER(
MAP(
reglas!$B$2:$B$240,
reglas!$C$2:$C$240,
reglas!$D$2:$D$240,
reglas!$E$2:$E$240,
LAMBDA(rEmisor,rPatron,rConcepto,rTipo,
IF(
AND(
OR(
UPPER(TRIM(rEmisor))=UPPER(TRIM(C557)),
UPPER(TRIM(rEmisor))=""CUALQUIERA""
),
OR(
UPPER(TRIM"&amp;"(rTipo))=""SOLO EMISOR"",
AND(
UPPER(TRIM(rTipo))=""EXACTA"",
UPPER(TRIM(AG557))=UPPER(TRIM(rPatron))
),
AND(
OR(
UPPER(TRIM(rTipo))=""CONTIENE"",
UPPER(TRIM(rTipo))=""COINCIDENCIA""
),
ISNUMBER(SEARCH(UPPER(TRIM(rPatron)),UPPER(TRIM(D557))))
)
)
),
rConc"&amp;"epto,
""""
)
)
),
MAP(
reglas!$B$2:$B$240,
reglas!$C$2:$C$240,
reglas!$D$2:$D$240,
reglas!$E$2:$E$240,
LAMBDA(rEmisor,rPatron,rConcepto,rTipo,
IF(
AND(
OR(
UPPER(TRIM(rEmisor))=UPPER(TRIM(C557)),
UPPER(TRIM(rEmisor))=""CUALQUIERA""
),
OR(
UPPER(TRIM(rTipo"&amp;"))=""SOLO EMISOR"",
AND(
UPPER(TRIM(rTipo))=""EXACTA"",
UPPER(TRIM(D557))=UPPER(TRIM(rPatron))
),
AND(
OR(
UPPER(TRIM(rTipo))=""CONTIENE"",
UPPER(TRIM(rTipo))=""COINCIDENCIA""
),
ISNUMBER(SEARCH(UPPER(TRIM(rPatron)),UPPER(TRIM(D557))))
)
)
),
rConcepto,
"&amp;"""""
)
)
)&lt;&gt;""""
),
1
),
""""
)"),"LICENCIAS DE COMPUTO")</f>
        <v>LICENCIAS DE COMPUTO</v>
      </c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</row>
    <row r="558">
      <c r="A558" s="32"/>
      <c r="B558" s="32"/>
      <c r="C558" s="29" t="s">
        <v>197</v>
      </c>
      <c r="D558" s="29" t="s">
        <v>1665</v>
      </c>
      <c r="E558" s="28">
        <v>1175.0</v>
      </c>
      <c r="F558" s="28">
        <v>0.0</v>
      </c>
      <c r="G558" s="28" t="s">
        <v>250</v>
      </c>
      <c r="H558" s="28">
        <f t="array" ref="H558">INDEX(CC!C:C,MATCH(1,(CC!A:A=G558)*(CC!B:B=I558),0))</f>
        <v>1402</v>
      </c>
      <c r="I558" s="28" t="s">
        <v>25</v>
      </c>
      <c r="J558" s="31">
        <v>1175.0</v>
      </c>
      <c r="K558" s="28" t="str">
        <f>IFERROR(__xludf.DUMMYFUNCTION("IFERROR(
INDEX(
FILTER(
MAP(
reglas!$B$2:$B$240,
reglas!$C$2:$C$240,
reglas!$D$2:$D$240,
reglas!$E$2:$E$240,
LAMBDA(rEmisor,rPatron,rConcepto,rTipo,
IF(
AND(
OR(
UPPER(TRIM(rEmisor))=UPPER(TRIM(C558)),
UPPER(TRIM(rEmisor))=""CUALQUIERA""
),
OR(
UPPER(TRIM"&amp;"(rTipo))=""SOLO EMISOR"",
AND(
UPPER(TRIM(rTipo))=""EXACTA"",
UPPER(TRIM(AG558))=UPPER(TRIM(rPatron))
),
AND(
OR(
UPPER(TRIM(rTipo))=""CONTIENE"",
UPPER(TRIM(rTipo))=""COINCIDENCIA""
),
ISNUMBER(SEARCH(UPPER(TRIM(rPatron)),UPPER(TRIM(D558))))
)
)
),
rConc"&amp;"epto,
""""
)
)
),
MAP(
reglas!$B$2:$B$240,
reglas!$C$2:$C$240,
reglas!$D$2:$D$240,
reglas!$E$2:$E$240,
LAMBDA(rEmisor,rPatron,rConcepto,rTipo,
IF(
AND(
OR(
UPPER(TRIM(rEmisor))=UPPER(TRIM(C558)),
UPPER(TRIM(rEmisor))=""CUALQUIERA""
),
OR(
UPPER(TRIM(rTipo"&amp;"))=""SOLO EMISOR"",
AND(
UPPER(TRIM(rTipo))=""EXACTA"",
UPPER(TRIM(D558))=UPPER(TRIM(rPatron))
),
AND(
OR(
UPPER(TRIM(rTipo))=""CONTIENE"",
UPPER(TRIM(rTipo))=""COINCIDENCIA""
),
ISNUMBER(SEARCH(UPPER(TRIM(rPatron)),UPPER(TRIM(D558))))
)
)
),
rConcepto,
"&amp;"""""
)
)
)&lt;&gt;""""
),
1
),
""""
)"),"LICENCIAS DE COMPUTO")</f>
        <v>LICENCIAS DE COMPUTO</v>
      </c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</row>
    <row r="559">
      <c r="A559" s="32"/>
      <c r="B559" s="32"/>
      <c r="C559" s="29" t="s">
        <v>197</v>
      </c>
      <c r="D559" s="29" t="s">
        <v>1666</v>
      </c>
      <c r="E559" s="28">
        <v>370.0</v>
      </c>
      <c r="F559" s="28">
        <v>0.0</v>
      </c>
      <c r="G559" s="28" t="s">
        <v>250</v>
      </c>
      <c r="H559" s="28">
        <f t="array" ref="H559">INDEX(CC!C:C,MATCH(1,(CC!A:A=G559)*(CC!B:B=I559),0))</f>
        <v>1402</v>
      </c>
      <c r="I559" s="28" t="s">
        <v>25</v>
      </c>
      <c r="J559" s="31">
        <v>370.0</v>
      </c>
      <c r="K559" s="28" t="str">
        <f>IFERROR(__xludf.DUMMYFUNCTION("IFERROR(
INDEX(
FILTER(
MAP(
reglas!$B$2:$B$240,
reglas!$C$2:$C$240,
reglas!$D$2:$D$240,
reglas!$E$2:$E$240,
LAMBDA(rEmisor,rPatron,rConcepto,rTipo,
IF(
AND(
OR(
UPPER(TRIM(rEmisor))=UPPER(TRIM(C559)),
UPPER(TRIM(rEmisor))=""CUALQUIERA""
),
OR(
UPPER(TRIM"&amp;"(rTipo))=""SOLO EMISOR"",
AND(
UPPER(TRIM(rTipo))=""EXACTA"",
UPPER(TRIM(AG559))=UPPER(TRIM(rPatron))
),
AND(
OR(
UPPER(TRIM(rTipo))=""CONTIENE"",
UPPER(TRIM(rTipo))=""COINCIDENCIA""
),
ISNUMBER(SEARCH(UPPER(TRIM(rPatron)),UPPER(TRIM(D559))))
)
)
),
rConc"&amp;"epto,
""""
)
)
),
MAP(
reglas!$B$2:$B$240,
reglas!$C$2:$C$240,
reglas!$D$2:$D$240,
reglas!$E$2:$E$240,
LAMBDA(rEmisor,rPatron,rConcepto,rTipo,
IF(
AND(
OR(
UPPER(TRIM(rEmisor))=UPPER(TRIM(C559)),
UPPER(TRIM(rEmisor))=""CUALQUIERA""
),
OR(
UPPER(TRIM(rTipo"&amp;"))=""SOLO EMISOR"",
AND(
UPPER(TRIM(rTipo))=""EXACTA"",
UPPER(TRIM(D559))=UPPER(TRIM(rPatron))
),
AND(
OR(
UPPER(TRIM(rTipo))=""CONTIENE"",
UPPER(TRIM(rTipo))=""COINCIDENCIA""
),
ISNUMBER(SEARCH(UPPER(TRIM(rPatron)),UPPER(TRIM(D559))))
)
)
),
rConcepto,
"&amp;"""""
)
)
)&lt;&gt;""""
),
1
),
""""
)"),"LICENCIAS DE COMPUTO")</f>
        <v>LICENCIAS DE COMPUTO</v>
      </c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</row>
    <row r="560">
      <c r="A560" s="32"/>
      <c r="B560" s="32"/>
      <c r="C560" s="29" t="s">
        <v>197</v>
      </c>
      <c r="D560" s="29" t="s">
        <v>1667</v>
      </c>
      <c r="E560" s="28">
        <v>1030.0</v>
      </c>
      <c r="F560" s="28">
        <v>0.0</v>
      </c>
      <c r="G560" s="28" t="s">
        <v>250</v>
      </c>
      <c r="H560" s="28">
        <f t="array" ref="H560">INDEX(CC!C:C,MATCH(1,(CC!A:A=G560)*(CC!B:B=I560),0))</f>
        <v>1402</v>
      </c>
      <c r="I560" s="28" t="s">
        <v>25</v>
      </c>
      <c r="J560" s="31">
        <v>1030.0</v>
      </c>
      <c r="K560" s="28" t="str">
        <f>IFERROR(__xludf.DUMMYFUNCTION("IFERROR(
INDEX(
FILTER(
MAP(
reglas!$B$2:$B$240,
reglas!$C$2:$C$240,
reglas!$D$2:$D$240,
reglas!$E$2:$E$240,
LAMBDA(rEmisor,rPatron,rConcepto,rTipo,
IF(
AND(
OR(
UPPER(TRIM(rEmisor))=UPPER(TRIM(C560)),
UPPER(TRIM(rEmisor))=""CUALQUIERA""
),
OR(
UPPER(TRIM"&amp;"(rTipo))=""SOLO EMISOR"",
AND(
UPPER(TRIM(rTipo))=""EXACTA"",
UPPER(TRIM(AG560))=UPPER(TRIM(rPatron))
),
AND(
OR(
UPPER(TRIM(rTipo))=""CONTIENE"",
UPPER(TRIM(rTipo))=""COINCIDENCIA""
),
ISNUMBER(SEARCH(UPPER(TRIM(rPatron)),UPPER(TRIM(D560))))
)
)
),
rConc"&amp;"epto,
""""
)
)
),
MAP(
reglas!$B$2:$B$240,
reglas!$C$2:$C$240,
reglas!$D$2:$D$240,
reglas!$E$2:$E$240,
LAMBDA(rEmisor,rPatron,rConcepto,rTipo,
IF(
AND(
OR(
UPPER(TRIM(rEmisor))=UPPER(TRIM(C560)),
UPPER(TRIM(rEmisor))=""CUALQUIERA""
),
OR(
UPPER(TRIM(rTipo"&amp;"))=""SOLO EMISOR"",
AND(
UPPER(TRIM(rTipo))=""EXACTA"",
UPPER(TRIM(D560))=UPPER(TRIM(rPatron))
),
AND(
OR(
UPPER(TRIM(rTipo))=""CONTIENE"",
UPPER(TRIM(rTipo))=""COINCIDENCIA""
),
ISNUMBER(SEARCH(UPPER(TRIM(rPatron)),UPPER(TRIM(D560))))
)
)
),
rConcepto,
"&amp;"""""
)
)
)&lt;&gt;""""
),
1
),
""""
)"),"LICENCIAS DE COMPUTO")</f>
        <v>LICENCIAS DE COMPUTO</v>
      </c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</row>
    <row r="561">
      <c r="A561" s="32"/>
      <c r="B561" s="32"/>
      <c r="C561" s="29" t="s">
        <v>197</v>
      </c>
      <c r="D561" s="29" t="s">
        <v>1668</v>
      </c>
      <c r="E561" s="28">
        <v>240.0</v>
      </c>
      <c r="F561" s="28">
        <v>0.0</v>
      </c>
      <c r="G561" s="28" t="s">
        <v>250</v>
      </c>
      <c r="H561" s="28">
        <f t="array" ref="H561">INDEX(CC!C:C,MATCH(1,(CC!A:A=G561)*(CC!B:B=I561),0))</f>
        <v>1402</v>
      </c>
      <c r="I561" s="28" t="s">
        <v>25</v>
      </c>
      <c r="J561" s="31">
        <v>240.0</v>
      </c>
      <c r="K561" s="28" t="str">
        <f>IFERROR(__xludf.DUMMYFUNCTION("IFERROR(
INDEX(
FILTER(
MAP(
reglas!$B$2:$B$240,
reglas!$C$2:$C$240,
reglas!$D$2:$D$240,
reglas!$E$2:$E$240,
LAMBDA(rEmisor,rPatron,rConcepto,rTipo,
IF(
AND(
OR(
UPPER(TRIM(rEmisor))=UPPER(TRIM(C561)),
UPPER(TRIM(rEmisor))=""CUALQUIERA""
),
OR(
UPPER(TRIM"&amp;"(rTipo))=""SOLO EMISOR"",
AND(
UPPER(TRIM(rTipo))=""EXACTA"",
UPPER(TRIM(AG561))=UPPER(TRIM(rPatron))
),
AND(
OR(
UPPER(TRIM(rTipo))=""CONTIENE"",
UPPER(TRIM(rTipo))=""COINCIDENCIA""
),
ISNUMBER(SEARCH(UPPER(TRIM(rPatron)),UPPER(TRIM(D561))))
)
)
),
rConc"&amp;"epto,
""""
)
)
),
MAP(
reglas!$B$2:$B$240,
reglas!$C$2:$C$240,
reglas!$D$2:$D$240,
reglas!$E$2:$E$240,
LAMBDA(rEmisor,rPatron,rConcepto,rTipo,
IF(
AND(
OR(
UPPER(TRIM(rEmisor))=UPPER(TRIM(C561)),
UPPER(TRIM(rEmisor))=""CUALQUIERA""
),
OR(
UPPER(TRIM(rTipo"&amp;"))=""SOLO EMISOR"",
AND(
UPPER(TRIM(rTipo))=""EXACTA"",
UPPER(TRIM(D561))=UPPER(TRIM(rPatron))
),
AND(
OR(
UPPER(TRIM(rTipo))=""CONTIENE"",
UPPER(TRIM(rTipo))=""COINCIDENCIA""
),
ISNUMBER(SEARCH(UPPER(TRIM(rPatron)),UPPER(TRIM(D561))))
)
)
),
rConcepto,
"&amp;"""""
)
)
)&lt;&gt;""""
),
1
),
""""
)"),"LICENCIAS DE COMPUTO")</f>
        <v>LICENCIAS DE COMPUTO</v>
      </c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</row>
    <row r="562">
      <c r="A562" s="32"/>
      <c r="B562" s="32"/>
      <c r="C562" s="29" t="s">
        <v>197</v>
      </c>
      <c r="D562" s="29" t="s">
        <v>1669</v>
      </c>
      <c r="E562" s="28">
        <v>1175.0</v>
      </c>
      <c r="F562" s="28">
        <v>0.0</v>
      </c>
      <c r="G562" s="28" t="s">
        <v>539</v>
      </c>
      <c r="H562" s="28">
        <f t="array" ref="H562">INDEX(CC!C:C,MATCH(1,(CC!A:A=G562)*(CC!B:B=I562),0))</f>
        <v>1302</v>
      </c>
      <c r="I562" s="28" t="s">
        <v>25</v>
      </c>
      <c r="J562" s="31">
        <v>1175.0</v>
      </c>
      <c r="K562" s="28" t="str">
        <f>IFERROR(__xludf.DUMMYFUNCTION("IFERROR(
INDEX(
FILTER(
MAP(
reglas!$B$2:$B$240,
reglas!$C$2:$C$240,
reglas!$D$2:$D$240,
reglas!$E$2:$E$240,
LAMBDA(rEmisor,rPatron,rConcepto,rTipo,
IF(
AND(
OR(
UPPER(TRIM(rEmisor))=UPPER(TRIM(C562)),
UPPER(TRIM(rEmisor))=""CUALQUIERA""
),
OR(
UPPER(TRIM"&amp;"(rTipo))=""SOLO EMISOR"",
AND(
UPPER(TRIM(rTipo))=""EXACTA"",
UPPER(TRIM(AG562))=UPPER(TRIM(rPatron))
),
AND(
OR(
UPPER(TRIM(rTipo))=""CONTIENE"",
UPPER(TRIM(rTipo))=""COINCIDENCIA""
),
ISNUMBER(SEARCH(UPPER(TRIM(rPatron)),UPPER(TRIM(D562))))
)
)
),
rConc"&amp;"epto,
""""
)
)
),
MAP(
reglas!$B$2:$B$240,
reglas!$C$2:$C$240,
reglas!$D$2:$D$240,
reglas!$E$2:$E$240,
LAMBDA(rEmisor,rPatron,rConcepto,rTipo,
IF(
AND(
OR(
UPPER(TRIM(rEmisor))=UPPER(TRIM(C562)),
UPPER(TRIM(rEmisor))=""CUALQUIERA""
),
OR(
UPPER(TRIM(rTipo"&amp;"))=""SOLO EMISOR"",
AND(
UPPER(TRIM(rTipo))=""EXACTA"",
UPPER(TRIM(D562))=UPPER(TRIM(rPatron))
),
AND(
OR(
UPPER(TRIM(rTipo))=""CONTIENE"",
UPPER(TRIM(rTipo))=""COINCIDENCIA""
),
ISNUMBER(SEARCH(UPPER(TRIM(rPatron)),UPPER(TRIM(D562))))
)
)
),
rConcepto,
"&amp;"""""
)
)
)&lt;&gt;""""
),
1
),
""""
)"),"LICENCIAS DE COMPUTO")</f>
        <v>LICENCIAS DE COMPUTO</v>
      </c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</row>
    <row r="563">
      <c r="A563" s="32"/>
      <c r="B563" s="32"/>
      <c r="C563" s="29" t="s">
        <v>197</v>
      </c>
      <c r="D563" s="29" t="s">
        <v>1670</v>
      </c>
      <c r="E563" s="28">
        <v>370.0</v>
      </c>
      <c r="F563" s="28">
        <v>0.0</v>
      </c>
      <c r="G563" s="28" t="s">
        <v>539</v>
      </c>
      <c r="H563" s="28">
        <f t="array" ref="H563">INDEX(CC!C:C,MATCH(1,(CC!A:A=G563)*(CC!B:B=I563),0))</f>
        <v>1302</v>
      </c>
      <c r="I563" s="28" t="s">
        <v>25</v>
      </c>
      <c r="J563" s="31">
        <v>370.0</v>
      </c>
      <c r="K563" s="28" t="str">
        <f>IFERROR(__xludf.DUMMYFUNCTION("IFERROR(
INDEX(
FILTER(
MAP(
reglas!$B$2:$B$240,
reglas!$C$2:$C$240,
reglas!$D$2:$D$240,
reglas!$E$2:$E$240,
LAMBDA(rEmisor,rPatron,rConcepto,rTipo,
IF(
AND(
OR(
UPPER(TRIM(rEmisor))=UPPER(TRIM(C563)),
UPPER(TRIM(rEmisor))=""CUALQUIERA""
),
OR(
UPPER(TRIM"&amp;"(rTipo))=""SOLO EMISOR"",
AND(
UPPER(TRIM(rTipo))=""EXACTA"",
UPPER(TRIM(AG563))=UPPER(TRIM(rPatron))
),
AND(
OR(
UPPER(TRIM(rTipo))=""CONTIENE"",
UPPER(TRIM(rTipo))=""COINCIDENCIA""
),
ISNUMBER(SEARCH(UPPER(TRIM(rPatron)),UPPER(TRIM(D563))))
)
)
),
rConc"&amp;"epto,
""""
)
)
),
MAP(
reglas!$B$2:$B$240,
reglas!$C$2:$C$240,
reglas!$D$2:$D$240,
reglas!$E$2:$E$240,
LAMBDA(rEmisor,rPatron,rConcepto,rTipo,
IF(
AND(
OR(
UPPER(TRIM(rEmisor))=UPPER(TRIM(C563)),
UPPER(TRIM(rEmisor))=""CUALQUIERA""
),
OR(
UPPER(TRIM(rTipo"&amp;"))=""SOLO EMISOR"",
AND(
UPPER(TRIM(rTipo))=""EXACTA"",
UPPER(TRIM(D563))=UPPER(TRIM(rPatron))
),
AND(
OR(
UPPER(TRIM(rTipo))=""CONTIENE"",
UPPER(TRIM(rTipo))=""COINCIDENCIA""
),
ISNUMBER(SEARCH(UPPER(TRIM(rPatron)),UPPER(TRIM(D563))))
)
)
),
rConcepto,
"&amp;"""""
)
)
)&lt;&gt;""""
),
1
),
""""
)"),"LICENCIAS DE COMPUTO")</f>
        <v>LICENCIAS DE COMPUTO</v>
      </c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</row>
    <row r="564">
      <c r="A564" s="32"/>
      <c r="B564" s="32"/>
      <c r="C564" s="29" t="s">
        <v>197</v>
      </c>
      <c r="D564" s="29" t="s">
        <v>1671</v>
      </c>
      <c r="E564" s="28">
        <v>240.0</v>
      </c>
      <c r="F564" s="28">
        <v>0.0</v>
      </c>
      <c r="G564" s="28" t="s">
        <v>539</v>
      </c>
      <c r="H564" s="28">
        <f t="array" ref="H564">INDEX(CC!C:C,MATCH(1,(CC!A:A=G564)*(CC!B:B=I564),0))</f>
        <v>1302</v>
      </c>
      <c r="I564" s="28" t="s">
        <v>25</v>
      </c>
      <c r="J564" s="31">
        <v>240.0</v>
      </c>
      <c r="K564" s="28" t="str">
        <f>IFERROR(__xludf.DUMMYFUNCTION("IFERROR(
INDEX(
FILTER(
MAP(
reglas!$B$2:$B$240,
reglas!$C$2:$C$240,
reglas!$D$2:$D$240,
reglas!$E$2:$E$240,
LAMBDA(rEmisor,rPatron,rConcepto,rTipo,
IF(
AND(
OR(
UPPER(TRIM(rEmisor))=UPPER(TRIM(C564)),
UPPER(TRIM(rEmisor))=""CUALQUIERA""
),
OR(
UPPER(TRIM"&amp;"(rTipo))=""SOLO EMISOR"",
AND(
UPPER(TRIM(rTipo))=""EXACTA"",
UPPER(TRIM(AG564))=UPPER(TRIM(rPatron))
),
AND(
OR(
UPPER(TRIM(rTipo))=""CONTIENE"",
UPPER(TRIM(rTipo))=""COINCIDENCIA""
),
ISNUMBER(SEARCH(UPPER(TRIM(rPatron)),UPPER(TRIM(D564))))
)
)
),
rConc"&amp;"epto,
""""
)
)
),
MAP(
reglas!$B$2:$B$240,
reglas!$C$2:$C$240,
reglas!$D$2:$D$240,
reglas!$E$2:$E$240,
LAMBDA(rEmisor,rPatron,rConcepto,rTipo,
IF(
AND(
OR(
UPPER(TRIM(rEmisor))=UPPER(TRIM(C564)),
UPPER(TRIM(rEmisor))=""CUALQUIERA""
),
OR(
UPPER(TRIM(rTipo"&amp;"))=""SOLO EMISOR"",
AND(
UPPER(TRIM(rTipo))=""EXACTA"",
UPPER(TRIM(D564))=UPPER(TRIM(rPatron))
),
AND(
OR(
UPPER(TRIM(rTipo))=""CONTIENE"",
UPPER(TRIM(rTipo))=""COINCIDENCIA""
),
ISNUMBER(SEARCH(UPPER(TRIM(rPatron)),UPPER(TRIM(D564))))
)
)
),
rConcepto,
"&amp;"""""
)
)
)&lt;&gt;""""
),
1
),
""""
)"),"LICENCIAS DE COMPUTO")</f>
        <v>LICENCIAS DE COMPUTO</v>
      </c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</row>
    <row r="565">
      <c r="A565" s="32"/>
      <c r="B565" s="32"/>
      <c r="C565" s="29" t="s">
        <v>197</v>
      </c>
      <c r="D565" s="29" t="s">
        <v>1672</v>
      </c>
      <c r="E565" s="28">
        <v>1175.0</v>
      </c>
      <c r="F565" s="28">
        <v>0.0</v>
      </c>
      <c r="G565" s="28" t="s">
        <v>601</v>
      </c>
      <c r="H565" s="28">
        <f t="array" ref="H565">INDEX(CC!C:C,MATCH(1,(CC!A:A=G565)*(CC!B:B=I565),0))</f>
        <v>402</v>
      </c>
      <c r="I565" s="28" t="s">
        <v>25</v>
      </c>
      <c r="J565" s="31">
        <v>1175.0</v>
      </c>
      <c r="K565" s="28" t="str">
        <f>IFERROR(__xludf.DUMMYFUNCTION("IFERROR(
INDEX(
FILTER(
MAP(
reglas!$B$2:$B$240,
reglas!$C$2:$C$240,
reglas!$D$2:$D$240,
reglas!$E$2:$E$240,
LAMBDA(rEmisor,rPatron,rConcepto,rTipo,
IF(
AND(
OR(
UPPER(TRIM(rEmisor))=UPPER(TRIM(C565)),
UPPER(TRIM(rEmisor))=""CUALQUIERA""
),
OR(
UPPER(TRIM"&amp;"(rTipo))=""SOLO EMISOR"",
AND(
UPPER(TRIM(rTipo))=""EXACTA"",
UPPER(TRIM(AG565))=UPPER(TRIM(rPatron))
),
AND(
OR(
UPPER(TRIM(rTipo))=""CONTIENE"",
UPPER(TRIM(rTipo))=""COINCIDENCIA""
),
ISNUMBER(SEARCH(UPPER(TRIM(rPatron)),UPPER(TRIM(D565))))
)
)
),
rConc"&amp;"epto,
""""
)
)
),
MAP(
reglas!$B$2:$B$240,
reglas!$C$2:$C$240,
reglas!$D$2:$D$240,
reglas!$E$2:$E$240,
LAMBDA(rEmisor,rPatron,rConcepto,rTipo,
IF(
AND(
OR(
UPPER(TRIM(rEmisor))=UPPER(TRIM(C565)),
UPPER(TRIM(rEmisor))=""CUALQUIERA""
),
OR(
UPPER(TRIM(rTipo"&amp;"))=""SOLO EMISOR"",
AND(
UPPER(TRIM(rTipo))=""EXACTA"",
UPPER(TRIM(D565))=UPPER(TRIM(rPatron))
),
AND(
OR(
UPPER(TRIM(rTipo))=""CONTIENE"",
UPPER(TRIM(rTipo))=""COINCIDENCIA""
),
ISNUMBER(SEARCH(UPPER(TRIM(rPatron)),UPPER(TRIM(D565))))
)
)
),
rConcepto,
"&amp;"""""
)
)
)&lt;&gt;""""
),
1
),
""""
)"),"LICENCIAS DE COMPUTO")</f>
        <v>LICENCIAS DE COMPUTO</v>
      </c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</row>
    <row r="566">
      <c r="A566" s="32"/>
      <c r="B566" s="32"/>
      <c r="C566" s="29" t="s">
        <v>197</v>
      </c>
      <c r="D566" s="29" t="s">
        <v>1673</v>
      </c>
      <c r="E566" s="28">
        <v>370.0</v>
      </c>
      <c r="F566" s="28">
        <v>0.0</v>
      </c>
      <c r="G566" s="28" t="s">
        <v>601</v>
      </c>
      <c r="H566" s="28">
        <f t="array" ref="H566">INDEX(CC!C:C,MATCH(1,(CC!A:A=G566)*(CC!B:B=I566),0))</f>
        <v>402</v>
      </c>
      <c r="I566" s="28" t="s">
        <v>25</v>
      </c>
      <c r="J566" s="31">
        <v>370.0</v>
      </c>
      <c r="K566" s="28" t="str">
        <f>IFERROR(__xludf.DUMMYFUNCTION("IFERROR(
INDEX(
FILTER(
MAP(
reglas!$B$2:$B$240,
reglas!$C$2:$C$240,
reglas!$D$2:$D$240,
reglas!$E$2:$E$240,
LAMBDA(rEmisor,rPatron,rConcepto,rTipo,
IF(
AND(
OR(
UPPER(TRIM(rEmisor))=UPPER(TRIM(C566)),
UPPER(TRIM(rEmisor))=""CUALQUIERA""
),
OR(
UPPER(TRIM"&amp;"(rTipo))=""SOLO EMISOR"",
AND(
UPPER(TRIM(rTipo))=""EXACTA"",
UPPER(TRIM(AG566))=UPPER(TRIM(rPatron))
),
AND(
OR(
UPPER(TRIM(rTipo))=""CONTIENE"",
UPPER(TRIM(rTipo))=""COINCIDENCIA""
),
ISNUMBER(SEARCH(UPPER(TRIM(rPatron)),UPPER(TRIM(D566))))
)
)
),
rConc"&amp;"epto,
""""
)
)
),
MAP(
reglas!$B$2:$B$240,
reglas!$C$2:$C$240,
reglas!$D$2:$D$240,
reglas!$E$2:$E$240,
LAMBDA(rEmisor,rPatron,rConcepto,rTipo,
IF(
AND(
OR(
UPPER(TRIM(rEmisor))=UPPER(TRIM(C566)),
UPPER(TRIM(rEmisor))=""CUALQUIERA""
),
OR(
UPPER(TRIM(rTipo"&amp;"))=""SOLO EMISOR"",
AND(
UPPER(TRIM(rTipo))=""EXACTA"",
UPPER(TRIM(D566))=UPPER(TRIM(rPatron))
),
AND(
OR(
UPPER(TRIM(rTipo))=""CONTIENE"",
UPPER(TRIM(rTipo))=""COINCIDENCIA""
),
ISNUMBER(SEARCH(UPPER(TRIM(rPatron)),UPPER(TRIM(D566))))
)
)
),
rConcepto,
"&amp;"""""
)
)
)&lt;&gt;""""
),
1
),
""""
)"),"LICENCIAS DE COMPUTO")</f>
        <v>LICENCIAS DE COMPUTO</v>
      </c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</row>
    <row r="567">
      <c r="A567" s="32"/>
      <c r="B567" s="32"/>
      <c r="C567" s="29" t="s">
        <v>197</v>
      </c>
      <c r="D567" s="29" t="s">
        <v>1674</v>
      </c>
      <c r="E567" s="28">
        <v>240.0</v>
      </c>
      <c r="F567" s="28">
        <v>0.0</v>
      </c>
      <c r="G567" s="28" t="s">
        <v>601</v>
      </c>
      <c r="H567" s="28">
        <f t="array" ref="H567">INDEX(CC!C:C,MATCH(1,(CC!A:A=G567)*(CC!B:B=I567),0))</f>
        <v>402</v>
      </c>
      <c r="I567" s="28" t="s">
        <v>25</v>
      </c>
      <c r="J567" s="31">
        <v>240.0</v>
      </c>
      <c r="K567" s="28" t="str">
        <f>IFERROR(__xludf.DUMMYFUNCTION("IFERROR(
INDEX(
FILTER(
MAP(
reglas!$B$2:$B$240,
reglas!$C$2:$C$240,
reglas!$D$2:$D$240,
reglas!$E$2:$E$240,
LAMBDA(rEmisor,rPatron,rConcepto,rTipo,
IF(
AND(
OR(
UPPER(TRIM(rEmisor))=UPPER(TRIM(C567)),
UPPER(TRIM(rEmisor))=""CUALQUIERA""
),
OR(
UPPER(TRIM"&amp;"(rTipo))=""SOLO EMISOR"",
AND(
UPPER(TRIM(rTipo))=""EXACTA"",
UPPER(TRIM(AG567))=UPPER(TRIM(rPatron))
),
AND(
OR(
UPPER(TRIM(rTipo))=""CONTIENE"",
UPPER(TRIM(rTipo))=""COINCIDENCIA""
),
ISNUMBER(SEARCH(UPPER(TRIM(rPatron)),UPPER(TRIM(D567))))
)
)
),
rConc"&amp;"epto,
""""
)
)
),
MAP(
reglas!$B$2:$B$240,
reglas!$C$2:$C$240,
reglas!$D$2:$D$240,
reglas!$E$2:$E$240,
LAMBDA(rEmisor,rPatron,rConcepto,rTipo,
IF(
AND(
OR(
UPPER(TRIM(rEmisor))=UPPER(TRIM(C567)),
UPPER(TRIM(rEmisor))=""CUALQUIERA""
),
OR(
UPPER(TRIM(rTipo"&amp;"))=""SOLO EMISOR"",
AND(
UPPER(TRIM(rTipo))=""EXACTA"",
UPPER(TRIM(D567))=UPPER(TRIM(rPatron))
),
AND(
OR(
UPPER(TRIM(rTipo))=""CONTIENE"",
UPPER(TRIM(rTipo))=""COINCIDENCIA""
),
ISNUMBER(SEARCH(UPPER(TRIM(rPatron)),UPPER(TRIM(D567))))
)
)
),
rConcepto,
"&amp;"""""
)
)
)&lt;&gt;""""
),
1
),
""""
)"),"LICENCIAS DE COMPUTO")</f>
        <v>LICENCIAS DE COMPUTO</v>
      </c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</row>
    <row r="568">
      <c r="A568" s="28">
        <v>1.0</v>
      </c>
      <c r="B568" s="28" t="s">
        <v>29</v>
      </c>
      <c r="C568" s="29" t="s">
        <v>271</v>
      </c>
      <c r="D568" s="29" t="s">
        <v>589</v>
      </c>
      <c r="E568" s="28">
        <v>626.93</v>
      </c>
      <c r="F568" s="28">
        <v>0.0</v>
      </c>
      <c r="G568" s="28" t="s">
        <v>84</v>
      </c>
      <c r="H568" s="28">
        <f t="array" ref="H568">INDEX(CC!C:C,MATCH(1,(CC!A:A=G568)*(CC!B:B=I568),0))</f>
        <v>1002</v>
      </c>
      <c r="I568" s="28" t="s">
        <v>25</v>
      </c>
      <c r="J568" s="31">
        <v>626.93</v>
      </c>
      <c r="K568" s="28" t="str">
        <f>IFERROR(__xludf.DUMMYFUNCTION("IFERROR(
INDEX(
FILTER(
MAP(
reglas!$B$2:$B$240,
reglas!$C$2:$C$240,
reglas!$D$2:$D$240,
reglas!$E$2:$E$240,
LAMBDA(rEmisor,rPatron,rConcepto,rTipo,
IF(
AND(
OR(
UPPER(TRIM(rEmisor))=UPPER(TRIM(C568)),
UPPER(TRIM(rEmisor))=""CUALQUIERA""
),
OR(
UPPER(TRIM"&amp;"(rTipo))=""SOLO EMISOR"",
AND(
UPPER(TRIM(rTipo))=""EXACTA"",
UPPER(TRIM(AG568))=UPPER(TRIM(rPatron))
),
AND(
OR(
UPPER(TRIM(rTipo))=""CONTIENE"",
UPPER(TRIM(rTipo))=""COINCIDENCIA""
),
ISNUMBER(SEARCH(UPPER(TRIM(rPatron)),UPPER(TRIM(D568))))
)
)
),
rConc"&amp;"epto,
""""
)
)
),
MAP(
reglas!$B$2:$B$240,
reglas!$C$2:$C$240,
reglas!$D$2:$D$240,
reglas!$E$2:$E$240,
LAMBDA(rEmisor,rPatron,rConcepto,rTipo,
IF(
AND(
OR(
UPPER(TRIM(rEmisor))=UPPER(TRIM(C568)),
UPPER(TRIM(rEmisor))=""CUALQUIERA""
),
OR(
UPPER(TRIM(rTipo"&amp;"))=""SOLO EMISOR"",
AND(
UPPER(TRIM(rTipo))=""EXACTA"",
UPPER(TRIM(D568))=UPPER(TRIM(rPatron))
),
AND(
OR(
UPPER(TRIM(rTipo))=""CONTIENE"",
UPPER(TRIM(rTipo))=""COINCIDENCIA""
),
ISNUMBER(SEARCH(UPPER(TRIM(rPatron)),UPPER(TRIM(D568))))
)
)
),
rConcepto,
"&amp;"""""
)
)
)&lt;&gt;""""
),
1
),
""""
)"),"MANIOBRAS")</f>
        <v>MANIOBRAS</v>
      </c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</row>
    <row r="569">
      <c r="A569" s="32"/>
      <c r="B569" s="28" t="s">
        <v>29</v>
      </c>
      <c r="C569" s="29" t="s">
        <v>278</v>
      </c>
      <c r="D569" s="29" t="s">
        <v>560</v>
      </c>
      <c r="E569" s="28">
        <v>3500.0</v>
      </c>
      <c r="F569" s="28">
        <v>0.0</v>
      </c>
      <c r="G569" s="28" t="s">
        <v>250</v>
      </c>
      <c r="H569" s="28">
        <f t="array" ref="H569">INDEX(CC!C:C,MATCH(1,(CC!A:A=G569)*(CC!B:B=I569),0))</f>
        <v>1402</v>
      </c>
      <c r="I569" s="28" t="s">
        <v>25</v>
      </c>
      <c r="J569" s="31">
        <v>3500.0</v>
      </c>
      <c r="K569" s="28" t="str">
        <f>IFERROR(__xludf.DUMMYFUNCTION("IFERROR(
INDEX(
FILTER(
MAP(
reglas!$B$2:$B$240,
reglas!$C$2:$C$240,
reglas!$D$2:$D$240,
reglas!$E$2:$E$240,
LAMBDA(rEmisor,rPatron,rConcepto,rTipo,
IF(
AND(
OR(
UPPER(TRIM(rEmisor))=UPPER(TRIM(C569)),
UPPER(TRIM(rEmisor))=""CUALQUIERA""
),
OR(
UPPER(TRIM"&amp;"(rTipo))=""SOLO EMISOR"",
AND(
UPPER(TRIM(rTipo))=""EXACTA"",
UPPER(TRIM(AG569))=UPPER(TRIM(rPatron))
),
AND(
OR(
UPPER(TRIM(rTipo))=""CONTIENE"",
UPPER(TRIM(rTipo))=""COINCIDENCIA""
),
ISNUMBER(SEARCH(UPPER(TRIM(rPatron)),UPPER(TRIM(D569))))
)
)
),
rConc"&amp;"epto,
""""
)
)
),
MAP(
reglas!$B$2:$B$240,
reglas!$C$2:$C$240,
reglas!$D$2:$D$240,
reglas!$E$2:$E$240,
LAMBDA(rEmisor,rPatron,rConcepto,rTipo,
IF(
AND(
OR(
UPPER(TRIM(rEmisor))=UPPER(TRIM(C569)),
UPPER(TRIM(rEmisor))=""CUALQUIERA""
),
OR(
UPPER(TRIM(rTipo"&amp;"))=""SOLO EMISOR"",
AND(
UPPER(TRIM(rTipo))=""EXACTA"",
UPPER(TRIM(D569))=UPPER(TRIM(rPatron))
),
AND(
OR(
UPPER(TRIM(rTipo))=""CONTIENE"",
UPPER(TRIM(rTipo))=""COINCIDENCIA""
),
ISNUMBER(SEARCH(UPPER(TRIM(rPatron)),UPPER(TRIM(D569))))
)
)
),
rConcepto,
"&amp;"""""
)
)
)&lt;&gt;""""
),
1
),
""""
)"),"MANIOBRAS")</f>
        <v>MANIOBRAS</v>
      </c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</row>
    <row r="570">
      <c r="A570" s="32"/>
      <c r="B570" s="28" t="s">
        <v>29</v>
      </c>
      <c r="C570" s="29" t="s">
        <v>169</v>
      </c>
      <c r="D570" s="29" t="s">
        <v>1675</v>
      </c>
      <c r="E570" s="28">
        <v>11500.0</v>
      </c>
      <c r="F570" s="28">
        <v>0.0</v>
      </c>
      <c r="G570" s="28" t="s">
        <v>250</v>
      </c>
      <c r="H570" s="28">
        <f t="array" ref="H570">INDEX(CC!C:C,MATCH(1,(CC!A:A=G570)*(CC!B:B=I570),0))</f>
        <v>1403</v>
      </c>
      <c r="I570" s="28" t="s">
        <v>44</v>
      </c>
      <c r="J570" s="31">
        <v>11500.0</v>
      </c>
      <c r="K570" s="28" t="str">
        <f>IFERROR(__xludf.DUMMYFUNCTION("IFERROR(
INDEX(
FILTER(
MAP(
reglas!$B$2:$B$240,
reglas!$C$2:$C$240,
reglas!$D$2:$D$240,
reglas!$E$2:$E$240,
LAMBDA(rEmisor,rPatron,rConcepto,rTipo,
IF(
AND(
OR(
UPPER(TRIM(rEmisor))=UPPER(TRIM(C570)),
UPPER(TRIM(rEmisor))=""CUALQUIERA""
),
OR(
UPPER(TRIM"&amp;"(rTipo))=""SOLO EMISOR"",
AND(
UPPER(TRIM(rTipo))=""EXACTA"",
UPPER(TRIM(AG570))=UPPER(TRIM(rPatron))
),
AND(
OR(
UPPER(TRIM(rTipo))=""CONTIENE"",
UPPER(TRIM(rTipo))=""COINCIDENCIA""
),
ISNUMBER(SEARCH(UPPER(TRIM(rPatron)),UPPER(TRIM(D570))))
)
)
),
rConc"&amp;"epto,
""""
)
)
),
MAP(
reglas!$B$2:$B$240,
reglas!$C$2:$C$240,
reglas!$D$2:$D$240,
reglas!$E$2:$E$240,
LAMBDA(rEmisor,rPatron,rConcepto,rTipo,
IF(
AND(
OR(
UPPER(TRIM(rEmisor))=UPPER(TRIM(C570)),
UPPER(TRIM(rEmisor))=""CUALQUIERA""
),
OR(
UPPER(TRIM(rTipo"&amp;"))=""SOLO EMISOR"",
AND(
UPPER(TRIM(rTipo))=""EXACTA"",
UPPER(TRIM(D570))=UPPER(TRIM(rPatron))
),
AND(
OR(
UPPER(TRIM(rTipo))=""CONTIENE"",
UPPER(TRIM(rTipo))=""COINCIDENCIA""
),
ISNUMBER(SEARCH(UPPER(TRIM(rPatron)),UPPER(TRIM(D570))))
)
)
),
rConcepto,
"&amp;"""""
)
)
)&lt;&gt;""""
),
1
),
""""
)"),"TRANSPORTE")</f>
        <v>TRANSPORTE</v>
      </c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</row>
    <row r="571">
      <c r="A571" s="28">
        <v>1.0</v>
      </c>
      <c r="B571" s="28" t="s">
        <v>29</v>
      </c>
      <c r="C571" s="29" t="s">
        <v>437</v>
      </c>
      <c r="D571" s="29" t="s">
        <v>1676</v>
      </c>
      <c r="E571" s="28">
        <v>1015.6</v>
      </c>
      <c r="F571" s="28">
        <v>0.0</v>
      </c>
      <c r="G571" s="28" t="s">
        <v>250</v>
      </c>
      <c r="H571" s="28">
        <f t="array" ref="H571">INDEX(CC!C:C,MATCH(1,(CC!A:A=G571)*(CC!B:B=I571),0))</f>
        <v>1402</v>
      </c>
      <c r="I571" s="28" t="s">
        <v>25</v>
      </c>
      <c r="J571" s="31">
        <v>1015.6</v>
      </c>
      <c r="K571" s="28" t="str">
        <f>IFERROR(__xludf.DUMMYFUNCTION("IFERROR(
INDEX(
FILTER(
MAP(
reglas!$B$2:$B$240,
reglas!$C$2:$C$240,
reglas!$D$2:$D$240,
reglas!$E$2:$E$240,
LAMBDA(rEmisor,rPatron,rConcepto,rTipo,
IF(
AND(
OR(
UPPER(TRIM(rEmisor))=UPPER(TRIM(C571)),
UPPER(TRIM(rEmisor))=""CUALQUIERA""
),
OR(
UPPER(TRIM"&amp;"(rTipo))=""SOLO EMISOR"",
AND(
UPPER(TRIM(rTipo))=""EXACTA"",
UPPER(TRIM(AG571))=UPPER(TRIM(rPatron))
),
AND(
OR(
UPPER(TRIM(rTipo))=""CONTIENE"",
UPPER(TRIM(rTipo))=""COINCIDENCIA""
),
ISNUMBER(SEARCH(UPPER(TRIM(rPatron)),UPPER(TRIM(D571))))
)
)
),
rConc"&amp;"epto,
""""
)
)
),
MAP(
reglas!$B$2:$B$240,
reglas!$C$2:$C$240,
reglas!$D$2:$D$240,
reglas!$E$2:$E$240,
LAMBDA(rEmisor,rPatron,rConcepto,rTipo,
IF(
AND(
OR(
UPPER(TRIM(rEmisor))=UPPER(TRIM(C571)),
UPPER(TRIM(rEmisor))=""CUALQUIERA""
),
OR(
UPPER(TRIM(rTipo"&amp;"))=""SOLO EMISOR"",
AND(
UPPER(TRIM(rTipo))=""EXACTA"",
UPPER(TRIM(D571))=UPPER(TRIM(rPatron))
),
AND(
OR(
UPPER(TRIM(rTipo))=""CONTIENE"",
UPPER(TRIM(rTipo))=""COINCIDENCIA""
),
ISNUMBER(SEARCH(UPPER(TRIM(rPatron)),UPPER(TRIM(D571))))
)
)
),
rConcepto,
"&amp;"""""
)
)
)&lt;&gt;""""
),
1
),
""""
)"),"MANIOBRAS")</f>
        <v>MANIOBRAS</v>
      </c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</row>
    <row r="572">
      <c r="A572" s="32"/>
      <c r="B572" s="28" t="s">
        <v>29</v>
      </c>
      <c r="C572" s="29" t="s">
        <v>1051</v>
      </c>
      <c r="D572" s="29" t="s">
        <v>1052</v>
      </c>
      <c r="E572" s="28">
        <v>129.26</v>
      </c>
      <c r="F572" s="28">
        <v>0.0</v>
      </c>
      <c r="G572" s="28" t="s">
        <v>225</v>
      </c>
      <c r="H572" s="28">
        <f t="array" ref="H572">INDEX(CC!C:C,MATCH(1,(CC!A:A=G572)*(CC!B:B=I572),0))</f>
        <v>102</v>
      </c>
      <c r="I572" s="28" t="s">
        <v>25</v>
      </c>
      <c r="J572" s="31">
        <v>129.26</v>
      </c>
      <c r="K572" s="28" t="str">
        <f>IFERROR(__xludf.DUMMYFUNCTION("IFERROR(
INDEX(
FILTER(
MAP(
reglas!$B$2:$B$240,
reglas!$C$2:$C$240,
reglas!$D$2:$D$240,
reglas!$E$2:$E$240,
LAMBDA(rEmisor,rPatron,rConcepto,rTipo,
IF(
AND(
OR(
UPPER(TRIM(rEmisor))=UPPER(TRIM(C572)),
UPPER(TRIM(rEmisor))=""CUALQUIERA""
),
OR(
UPPER(TRIM"&amp;"(rTipo))=""SOLO EMISOR"",
AND(
UPPER(TRIM(rTipo))=""EXACTA"",
UPPER(TRIM(AG572))=UPPER(TRIM(rPatron))
),
AND(
OR(
UPPER(TRIM(rTipo))=""CONTIENE"",
UPPER(TRIM(rTipo))=""COINCIDENCIA""
),
ISNUMBER(SEARCH(UPPER(TRIM(rPatron)),UPPER(TRIM(D572))))
)
)
),
rConc"&amp;"epto,
""""
)
)
),
MAP(
reglas!$B$2:$B$240,
reglas!$C$2:$C$240,
reglas!$D$2:$D$240,
reglas!$E$2:$E$240,
LAMBDA(rEmisor,rPatron,rConcepto,rTipo,
IF(
AND(
OR(
UPPER(TRIM(rEmisor))=UPPER(TRIM(C572)),
UPPER(TRIM(rEmisor))=""CUALQUIERA""
),
OR(
UPPER(TRIM(rTipo"&amp;"))=""SOLO EMISOR"",
AND(
UPPER(TRIM(rTipo))=""EXACTA"",
UPPER(TRIM(D572))=UPPER(TRIM(rPatron))
),
AND(
OR(
UPPER(TRIM(rTipo))=""CONTIENE"",
UPPER(TRIM(rTipo))=""COINCIDENCIA""
),
ISNUMBER(SEARCH(UPPER(TRIM(rPatron)),UPPER(TRIM(D572))))
)
)
),
rConcepto,
"&amp;"""""
)
)
)&lt;&gt;""""
),
1
),
""""
)"),"")</f>
        <v/>
      </c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</row>
    <row r="573">
      <c r="A573" s="28">
        <v>1.0</v>
      </c>
      <c r="B573" s="28" t="s">
        <v>29</v>
      </c>
      <c r="C573" s="29" t="s">
        <v>271</v>
      </c>
      <c r="D573" s="29" t="s">
        <v>585</v>
      </c>
      <c r="E573" s="28">
        <v>629.54</v>
      </c>
      <c r="F573" s="28">
        <v>0.0</v>
      </c>
      <c r="G573" s="28" t="s">
        <v>84</v>
      </c>
      <c r="H573" s="28">
        <f t="array" ref="H573">INDEX(CC!C:C,MATCH(1,(CC!A:A=G573)*(CC!B:B=I573),0))</f>
        <v>1002</v>
      </c>
      <c r="I573" s="28" t="s">
        <v>25</v>
      </c>
      <c r="J573" s="31">
        <v>629.54</v>
      </c>
      <c r="K573" s="28" t="str">
        <f>IFERROR(__xludf.DUMMYFUNCTION("IFERROR(
INDEX(
FILTER(
MAP(
reglas!$B$2:$B$240,
reglas!$C$2:$C$240,
reglas!$D$2:$D$240,
reglas!$E$2:$E$240,
LAMBDA(rEmisor,rPatron,rConcepto,rTipo,
IF(
AND(
OR(
UPPER(TRIM(rEmisor))=UPPER(TRIM(C573)),
UPPER(TRIM(rEmisor))=""CUALQUIERA""
),
OR(
UPPER(TRIM"&amp;"(rTipo))=""SOLO EMISOR"",
AND(
UPPER(TRIM(rTipo))=""EXACTA"",
UPPER(TRIM(AG573))=UPPER(TRIM(rPatron))
),
AND(
OR(
UPPER(TRIM(rTipo))=""CONTIENE"",
UPPER(TRIM(rTipo))=""COINCIDENCIA""
),
ISNUMBER(SEARCH(UPPER(TRIM(rPatron)),UPPER(TRIM(D573))))
)
)
),
rConc"&amp;"epto,
""""
)
)
),
MAP(
reglas!$B$2:$B$240,
reglas!$C$2:$C$240,
reglas!$D$2:$D$240,
reglas!$E$2:$E$240,
LAMBDA(rEmisor,rPatron,rConcepto,rTipo,
IF(
AND(
OR(
UPPER(TRIM(rEmisor))=UPPER(TRIM(C573)),
UPPER(TRIM(rEmisor))=""CUALQUIERA""
),
OR(
UPPER(TRIM(rTipo"&amp;"))=""SOLO EMISOR"",
AND(
UPPER(TRIM(rTipo))=""EXACTA"",
UPPER(TRIM(D573))=UPPER(TRIM(rPatron))
),
AND(
OR(
UPPER(TRIM(rTipo))=""CONTIENE"",
UPPER(TRIM(rTipo))=""COINCIDENCIA""
),
ISNUMBER(SEARCH(UPPER(TRIM(rPatron)),UPPER(TRIM(D573))))
)
)
),
rConcepto,
"&amp;"""""
)
)
)&lt;&gt;""""
),
1
),
""""
)"),"MANIOBRAS")</f>
        <v>MANIOBRAS</v>
      </c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</row>
    <row r="574">
      <c r="A574" s="32"/>
      <c r="B574" s="32"/>
      <c r="C574" s="29" t="s">
        <v>271</v>
      </c>
      <c r="D574" s="29" t="s">
        <v>587</v>
      </c>
      <c r="E574" s="28">
        <v>575.99</v>
      </c>
      <c r="F574" s="28">
        <v>0.0</v>
      </c>
      <c r="G574" s="28" t="s">
        <v>84</v>
      </c>
      <c r="H574" s="28">
        <f t="array" ref="H574">INDEX(CC!C:C,MATCH(1,(CC!A:A=G574)*(CC!B:B=I574),0))</f>
        <v>1002</v>
      </c>
      <c r="I574" s="28" t="s">
        <v>25</v>
      </c>
      <c r="J574" s="31">
        <v>575.99</v>
      </c>
      <c r="K574" s="28" t="str">
        <f>IFERROR(__xludf.DUMMYFUNCTION("IFERROR(
INDEX(
FILTER(
MAP(
reglas!$B$2:$B$240,
reglas!$C$2:$C$240,
reglas!$D$2:$D$240,
reglas!$E$2:$E$240,
LAMBDA(rEmisor,rPatron,rConcepto,rTipo,
IF(
AND(
OR(
UPPER(TRIM(rEmisor))=UPPER(TRIM(C574)),
UPPER(TRIM(rEmisor))=""CUALQUIERA""
),
OR(
UPPER(TRIM"&amp;"(rTipo))=""SOLO EMISOR"",
AND(
UPPER(TRIM(rTipo))=""EXACTA"",
UPPER(TRIM(AG574))=UPPER(TRIM(rPatron))
),
AND(
OR(
UPPER(TRIM(rTipo))=""CONTIENE"",
UPPER(TRIM(rTipo))=""COINCIDENCIA""
),
ISNUMBER(SEARCH(UPPER(TRIM(rPatron)),UPPER(TRIM(D574))))
)
)
),
rConc"&amp;"epto,
""""
)
)
),
MAP(
reglas!$B$2:$B$240,
reglas!$C$2:$C$240,
reglas!$D$2:$D$240,
reglas!$E$2:$E$240,
LAMBDA(rEmisor,rPatron,rConcepto,rTipo,
IF(
AND(
OR(
UPPER(TRIM(rEmisor))=UPPER(TRIM(C574)),
UPPER(TRIM(rEmisor))=""CUALQUIERA""
),
OR(
UPPER(TRIM(rTipo"&amp;"))=""SOLO EMISOR"",
AND(
UPPER(TRIM(rTipo))=""EXACTA"",
UPPER(TRIM(D574))=UPPER(TRIM(rPatron))
),
AND(
OR(
UPPER(TRIM(rTipo))=""CONTIENE"",
UPPER(TRIM(rTipo))=""COINCIDENCIA""
),
ISNUMBER(SEARCH(UPPER(TRIM(rPatron)),UPPER(TRIM(D574))))
)
)
),
rConcepto,
"&amp;"""""
)
)
)&lt;&gt;""""
),
1
),
""""
)"),"MANIOBRAS")</f>
        <v>MANIOBRAS</v>
      </c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</row>
    <row r="575">
      <c r="A575" s="32"/>
      <c r="B575" s="32"/>
      <c r="C575" s="29" t="s">
        <v>271</v>
      </c>
      <c r="D575" s="29" t="s">
        <v>589</v>
      </c>
      <c r="E575" s="28">
        <v>629.89</v>
      </c>
      <c r="F575" s="28">
        <v>0.0</v>
      </c>
      <c r="G575" s="28" t="s">
        <v>84</v>
      </c>
      <c r="H575" s="28">
        <f t="array" ref="H575">INDEX(CC!C:C,MATCH(1,(CC!A:A=G575)*(CC!B:B=I575),0))</f>
        <v>1002</v>
      </c>
      <c r="I575" s="28" t="s">
        <v>25</v>
      </c>
      <c r="J575" s="31">
        <v>629.89</v>
      </c>
      <c r="K575" s="28" t="str">
        <f>IFERROR(__xludf.DUMMYFUNCTION("IFERROR(
INDEX(
FILTER(
MAP(
reglas!$B$2:$B$240,
reglas!$C$2:$C$240,
reglas!$D$2:$D$240,
reglas!$E$2:$E$240,
LAMBDA(rEmisor,rPatron,rConcepto,rTipo,
IF(
AND(
OR(
UPPER(TRIM(rEmisor))=UPPER(TRIM(C575)),
UPPER(TRIM(rEmisor))=""CUALQUIERA""
),
OR(
UPPER(TRIM"&amp;"(rTipo))=""SOLO EMISOR"",
AND(
UPPER(TRIM(rTipo))=""EXACTA"",
UPPER(TRIM(AG575))=UPPER(TRIM(rPatron))
),
AND(
OR(
UPPER(TRIM(rTipo))=""CONTIENE"",
UPPER(TRIM(rTipo))=""COINCIDENCIA""
),
ISNUMBER(SEARCH(UPPER(TRIM(rPatron)),UPPER(TRIM(D575))))
)
)
),
rConc"&amp;"epto,
""""
)
)
),
MAP(
reglas!$B$2:$B$240,
reglas!$C$2:$C$240,
reglas!$D$2:$D$240,
reglas!$E$2:$E$240,
LAMBDA(rEmisor,rPatron,rConcepto,rTipo,
IF(
AND(
OR(
UPPER(TRIM(rEmisor))=UPPER(TRIM(C575)),
UPPER(TRIM(rEmisor))=""CUALQUIERA""
),
OR(
UPPER(TRIM(rTipo"&amp;"))=""SOLO EMISOR"",
AND(
UPPER(TRIM(rTipo))=""EXACTA"",
UPPER(TRIM(D575))=UPPER(TRIM(rPatron))
),
AND(
OR(
UPPER(TRIM(rTipo))=""CONTIENE"",
UPPER(TRIM(rTipo))=""COINCIDENCIA""
),
ISNUMBER(SEARCH(UPPER(TRIM(rPatron)),UPPER(TRIM(D575))))
)
)
),
rConcepto,
"&amp;"""""
)
)
)&lt;&gt;""""
),
1
),
""""
)"),"MANIOBRAS")</f>
        <v>MANIOBRAS</v>
      </c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</row>
    <row r="576">
      <c r="A576" s="32"/>
      <c r="B576" s="32"/>
      <c r="C576" s="29" t="s">
        <v>271</v>
      </c>
      <c r="D576" s="29" t="s">
        <v>596</v>
      </c>
      <c r="E576" s="28">
        <v>660.88</v>
      </c>
      <c r="F576" s="28">
        <v>0.0</v>
      </c>
      <c r="G576" s="28" t="s">
        <v>84</v>
      </c>
      <c r="H576" s="28">
        <f t="array" ref="H576">INDEX(CC!C:C,MATCH(1,(CC!A:A=G576)*(CC!B:B=I576),0))</f>
        <v>1002</v>
      </c>
      <c r="I576" s="28" t="s">
        <v>25</v>
      </c>
      <c r="J576" s="31">
        <v>660.88</v>
      </c>
      <c r="K576" s="28" t="str">
        <f>IFERROR(__xludf.DUMMYFUNCTION("IFERROR(
INDEX(
FILTER(
MAP(
reglas!$B$2:$B$240,
reglas!$C$2:$C$240,
reglas!$D$2:$D$240,
reglas!$E$2:$E$240,
LAMBDA(rEmisor,rPatron,rConcepto,rTipo,
IF(
AND(
OR(
UPPER(TRIM(rEmisor))=UPPER(TRIM(C576)),
UPPER(TRIM(rEmisor))=""CUALQUIERA""
),
OR(
UPPER(TRIM"&amp;"(rTipo))=""SOLO EMISOR"",
AND(
UPPER(TRIM(rTipo))=""EXACTA"",
UPPER(TRIM(AG576))=UPPER(TRIM(rPatron))
),
AND(
OR(
UPPER(TRIM(rTipo))=""CONTIENE"",
UPPER(TRIM(rTipo))=""COINCIDENCIA""
),
ISNUMBER(SEARCH(UPPER(TRIM(rPatron)),UPPER(TRIM(D576))))
)
)
),
rConc"&amp;"epto,
""""
)
)
),
MAP(
reglas!$B$2:$B$240,
reglas!$C$2:$C$240,
reglas!$D$2:$D$240,
reglas!$E$2:$E$240,
LAMBDA(rEmisor,rPatron,rConcepto,rTipo,
IF(
AND(
OR(
UPPER(TRIM(rEmisor))=UPPER(TRIM(C576)),
UPPER(TRIM(rEmisor))=""CUALQUIERA""
),
OR(
UPPER(TRIM(rTipo"&amp;"))=""SOLO EMISOR"",
AND(
UPPER(TRIM(rTipo))=""EXACTA"",
UPPER(TRIM(D576))=UPPER(TRIM(rPatron))
),
AND(
OR(
UPPER(TRIM(rTipo))=""CONTIENE"",
UPPER(TRIM(rTipo))=""COINCIDENCIA""
),
ISNUMBER(SEARCH(UPPER(TRIM(rPatron)),UPPER(TRIM(D576))))
)
)
),
rConcepto,
"&amp;"""""
)
)
)&lt;&gt;""""
),
1
),
""""
)"),"MANIOBRAS")</f>
        <v>MANIOBRAS</v>
      </c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</row>
    <row r="577">
      <c r="A577" s="32"/>
      <c r="B577" s="28" t="s">
        <v>29</v>
      </c>
      <c r="C577" s="29" t="s">
        <v>278</v>
      </c>
      <c r="D577" s="29" t="s">
        <v>560</v>
      </c>
      <c r="E577" s="28">
        <v>3500.0</v>
      </c>
      <c r="F577" s="28">
        <v>0.0</v>
      </c>
      <c r="G577" s="28" t="s">
        <v>250</v>
      </c>
      <c r="H577" s="28">
        <f t="array" ref="H577">INDEX(CC!C:C,MATCH(1,(CC!A:A=G577)*(CC!B:B=I577),0))</f>
        <v>1402</v>
      </c>
      <c r="I577" s="28" t="s">
        <v>25</v>
      </c>
      <c r="J577" s="31">
        <v>3500.0</v>
      </c>
      <c r="K577" s="28" t="str">
        <f>IFERROR(__xludf.DUMMYFUNCTION("IFERROR(
INDEX(
FILTER(
MAP(
reglas!$B$2:$B$240,
reglas!$C$2:$C$240,
reglas!$D$2:$D$240,
reglas!$E$2:$E$240,
LAMBDA(rEmisor,rPatron,rConcepto,rTipo,
IF(
AND(
OR(
UPPER(TRIM(rEmisor))=UPPER(TRIM(C577)),
UPPER(TRIM(rEmisor))=""CUALQUIERA""
),
OR(
UPPER(TRIM"&amp;"(rTipo))=""SOLO EMISOR"",
AND(
UPPER(TRIM(rTipo))=""EXACTA"",
UPPER(TRIM(AG577))=UPPER(TRIM(rPatron))
),
AND(
OR(
UPPER(TRIM(rTipo))=""CONTIENE"",
UPPER(TRIM(rTipo))=""COINCIDENCIA""
),
ISNUMBER(SEARCH(UPPER(TRIM(rPatron)),UPPER(TRIM(D577))))
)
)
),
rConc"&amp;"epto,
""""
)
)
),
MAP(
reglas!$B$2:$B$240,
reglas!$C$2:$C$240,
reglas!$D$2:$D$240,
reglas!$E$2:$E$240,
LAMBDA(rEmisor,rPatron,rConcepto,rTipo,
IF(
AND(
OR(
UPPER(TRIM(rEmisor))=UPPER(TRIM(C577)),
UPPER(TRIM(rEmisor))=""CUALQUIERA""
),
OR(
UPPER(TRIM(rTipo"&amp;"))=""SOLO EMISOR"",
AND(
UPPER(TRIM(rTipo))=""EXACTA"",
UPPER(TRIM(D577))=UPPER(TRIM(rPatron))
),
AND(
OR(
UPPER(TRIM(rTipo))=""CONTIENE"",
UPPER(TRIM(rTipo))=""COINCIDENCIA""
),
ISNUMBER(SEARCH(UPPER(TRIM(rPatron)),UPPER(TRIM(D577))))
)
)
),
rConcepto,
"&amp;"""""
)
)
)&lt;&gt;""""
),
1
),
""""
)"),"MANIOBRAS")</f>
        <v>MANIOBRAS</v>
      </c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</row>
    <row r="578">
      <c r="A578" s="32"/>
      <c r="B578" s="28" t="s">
        <v>29</v>
      </c>
      <c r="C578" s="29" t="s">
        <v>410</v>
      </c>
      <c r="D578" s="29" t="s">
        <v>411</v>
      </c>
      <c r="E578" s="28">
        <v>31500.0</v>
      </c>
      <c r="F578" s="28">
        <v>0.0</v>
      </c>
      <c r="G578" s="28" t="s">
        <v>250</v>
      </c>
      <c r="H578" s="28">
        <f t="array" ref="H578">INDEX(CC!C:C,MATCH(1,(CC!A:A=G578)*(CC!B:B=I578),0))</f>
        <v>1402</v>
      </c>
      <c r="I578" s="28" t="s">
        <v>25</v>
      </c>
      <c r="J578" s="31">
        <v>31500.0</v>
      </c>
      <c r="K578" s="28" t="str">
        <f>IFERROR(__xludf.DUMMYFUNCTION("IFERROR(
INDEX(
FILTER(
MAP(
reglas!$B$2:$B$240,
reglas!$C$2:$C$240,
reglas!$D$2:$D$240,
reglas!$E$2:$E$240,
LAMBDA(rEmisor,rPatron,rConcepto,rTipo,
IF(
AND(
OR(
UPPER(TRIM(rEmisor))=UPPER(TRIM(C578)),
UPPER(TRIM(rEmisor))=""CUALQUIERA""
),
OR(
UPPER(TRIM"&amp;"(rTipo))=""SOLO EMISOR"",
AND(
UPPER(TRIM(rTipo))=""EXACTA"",
UPPER(TRIM(AG578))=UPPER(TRIM(rPatron))
),
AND(
OR(
UPPER(TRIM(rTipo))=""CONTIENE"",
UPPER(TRIM(rTipo))=""COINCIDENCIA""
),
ISNUMBER(SEARCH(UPPER(TRIM(rPatron)),UPPER(TRIM(D578))))
)
)
),
rConc"&amp;"epto,
""""
)
)
),
MAP(
reglas!$B$2:$B$240,
reglas!$C$2:$C$240,
reglas!$D$2:$D$240,
reglas!$E$2:$E$240,
LAMBDA(rEmisor,rPatron,rConcepto,rTipo,
IF(
AND(
OR(
UPPER(TRIM(rEmisor))=UPPER(TRIM(C578)),
UPPER(TRIM(rEmisor))=""CUALQUIERA""
),
OR(
UPPER(TRIM(rTipo"&amp;"))=""SOLO EMISOR"",
AND(
UPPER(TRIM(rTipo))=""EXACTA"",
UPPER(TRIM(D578))=UPPER(TRIM(rPatron))
),
AND(
OR(
UPPER(TRIM(rTipo))=""CONTIENE"",
UPPER(TRIM(rTipo))=""COINCIDENCIA""
),
ISNUMBER(SEARCH(UPPER(TRIM(rPatron)),UPPER(TRIM(D578))))
)
)
),
rConcepto,
"&amp;"""""
)
)
)&lt;&gt;""""
),
1
),
""""
)"),"CAJA CHICA")</f>
        <v>CAJA CHICA</v>
      </c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</row>
    <row r="579">
      <c r="A579" s="28">
        <v>1.0</v>
      </c>
      <c r="B579" s="28" t="s">
        <v>29</v>
      </c>
      <c r="C579" s="29" t="s">
        <v>466</v>
      </c>
      <c r="D579" s="29" t="s">
        <v>1053</v>
      </c>
      <c r="E579" s="28">
        <v>3000.0</v>
      </c>
      <c r="F579" s="28">
        <v>0.0</v>
      </c>
      <c r="G579" s="28" t="s">
        <v>551</v>
      </c>
      <c r="H579" s="28">
        <f t="array" ref="H579">INDEX(CC!C:C,MATCH(1,(CC!A:A=G579)*(CC!B:B=I579),0))</f>
        <v>1203</v>
      </c>
      <c r="I579" s="28" t="s">
        <v>44</v>
      </c>
      <c r="J579" s="31">
        <v>3000.0</v>
      </c>
      <c r="K579" s="28" t="str">
        <f>IFERROR(__xludf.DUMMYFUNCTION("IFERROR(
INDEX(
FILTER(
MAP(
reglas!$B$2:$B$240,
reglas!$C$2:$C$240,
reglas!$D$2:$D$240,
reglas!$E$2:$E$240,
LAMBDA(rEmisor,rPatron,rConcepto,rTipo,
IF(
AND(
OR(
UPPER(TRIM(rEmisor))=UPPER(TRIM(C579)),
UPPER(TRIM(rEmisor))=""CUALQUIERA""
),
OR(
UPPER(TRIM"&amp;"(rTipo))=""SOLO EMISOR"",
AND(
UPPER(TRIM(rTipo))=""EXACTA"",
UPPER(TRIM(AG579))=UPPER(TRIM(rPatron))
),
AND(
OR(
UPPER(TRIM(rTipo))=""CONTIENE"",
UPPER(TRIM(rTipo))=""COINCIDENCIA""
),
ISNUMBER(SEARCH(UPPER(TRIM(rPatron)),UPPER(TRIM(D579))))
)
)
),
rConc"&amp;"epto,
""""
)
)
),
MAP(
reglas!$B$2:$B$240,
reglas!$C$2:$C$240,
reglas!$D$2:$D$240,
reglas!$E$2:$E$240,
LAMBDA(rEmisor,rPatron,rConcepto,rTipo,
IF(
AND(
OR(
UPPER(TRIM(rEmisor))=UPPER(TRIM(C579)),
UPPER(TRIM(rEmisor))=""CUALQUIERA""
),
OR(
UPPER(TRIM(rTipo"&amp;"))=""SOLO EMISOR"",
AND(
UPPER(TRIM(rTipo))=""EXACTA"",
UPPER(TRIM(D579))=UPPER(TRIM(rPatron))
),
AND(
OR(
UPPER(TRIM(rTipo))=""CONTIENE"",
UPPER(TRIM(rTipo))=""COINCIDENCIA""
),
ISNUMBER(SEARCH(UPPER(TRIM(rPatron)),UPPER(TRIM(D579))))
)
)
),
rConcepto,
"&amp;"""""
)
)
)&lt;&gt;""""
),
1
),
""""
)"),"MANIOBRAS")</f>
        <v>MANIOBRAS</v>
      </c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</row>
    <row r="580">
      <c r="A580" s="28">
        <v>1.0</v>
      </c>
      <c r="B580" s="28" t="s">
        <v>29</v>
      </c>
      <c r="C580" s="29" t="s">
        <v>89</v>
      </c>
      <c r="D580" s="29" t="s">
        <v>91</v>
      </c>
      <c r="E580" s="28">
        <v>1283.04</v>
      </c>
      <c r="F580" s="28">
        <v>0.0</v>
      </c>
      <c r="G580" s="28" t="s">
        <v>601</v>
      </c>
      <c r="H580" s="28">
        <f t="array" ref="H580">INDEX(CC!C:C,MATCH(1,(CC!A:A=G580)*(CC!B:B=I580),0))</f>
        <v>403</v>
      </c>
      <c r="I580" s="28" t="s">
        <v>44</v>
      </c>
      <c r="J580" s="31">
        <v>1283.04</v>
      </c>
      <c r="K580" s="28" t="str">
        <f>IFERROR(__xludf.DUMMYFUNCTION("IFERROR(
INDEX(
FILTER(
MAP(
reglas!$B$2:$B$240,
reglas!$C$2:$C$240,
reglas!$D$2:$D$240,
reglas!$E$2:$E$240,
LAMBDA(rEmisor,rPatron,rConcepto,rTipo,
IF(
AND(
OR(
UPPER(TRIM(rEmisor))=UPPER(TRIM(C580)),
UPPER(TRIM(rEmisor))=""CUALQUIERA""
),
OR(
UPPER(TRIM"&amp;"(rTipo))=""SOLO EMISOR"",
AND(
UPPER(TRIM(rTipo))=""EXACTA"",
UPPER(TRIM(AG580))=UPPER(TRIM(rPatron))
),
AND(
OR(
UPPER(TRIM(rTipo))=""CONTIENE"",
UPPER(TRIM(rTipo))=""COINCIDENCIA""
),
ISNUMBER(SEARCH(UPPER(TRIM(rPatron)),UPPER(TRIM(D580))))
)
)
),
rConc"&amp;"epto,
""""
)
)
),
MAP(
reglas!$B$2:$B$240,
reglas!$C$2:$C$240,
reglas!$D$2:$D$240,
reglas!$E$2:$E$240,
LAMBDA(rEmisor,rPatron,rConcepto,rTipo,
IF(
AND(
OR(
UPPER(TRIM(rEmisor))=UPPER(TRIM(C580)),
UPPER(TRIM(rEmisor))=""CUALQUIERA""
),
OR(
UPPER(TRIM(rTipo"&amp;"))=""SOLO EMISOR"",
AND(
UPPER(TRIM(rTipo))=""EXACTA"",
UPPER(TRIM(D580))=UPPER(TRIM(rPatron))
),
AND(
OR(
UPPER(TRIM(rTipo))=""CONTIENE"",
UPPER(TRIM(rTipo))=""COINCIDENCIA""
),
ISNUMBER(SEARCH(UPPER(TRIM(rPatron)),UPPER(TRIM(D580))))
)
)
),
rConcepto,
"&amp;"""""
)
)
)&lt;&gt;""""
),
1
),
""""
)"),"MANIOBRAS")</f>
        <v>MANIOBRAS</v>
      </c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</row>
    <row r="581">
      <c r="A581" s="28">
        <v>1.0</v>
      </c>
      <c r="B581" s="28" t="s">
        <v>29</v>
      </c>
      <c r="C581" s="29" t="s">
        <v>437</v>
      </c>
      <c r="D581" s="29" t="s">
        <v>1677</v>
      </c>
      <c r="E581" s="28">
        <v>1015.6</v>
      </c>
      <c r="F581" s="28">
        <v>0.0</v>
      </c>
      <c r="G581" s="28" t="s">
        <v>250</v>
      </c>
      <c r="H581" s="28">
        <f t="array" ref="H581">INDEX(CC!C:C,MATCH(1,(CC!A:A=G581)*(CC!B:B=I581),0))</f>
        <v>1402</v>
      </c>
      <c r="I581" s="28" t="s">
        <v>25</v>
      </c>
      <c r="J581" s="31">
        <v>1015.6</v>
      </c>
      <c r="K581" s="28" t="str">
        <f>IFERROR(__xludf.DUMMYFUNCTION("IFERROR(
INDEX(
FILTER(
MAP(
reglas!$B$2:$B$240,
reglas!$C$2:$C$240,
reglas!$D$2:$D$240,
reglas!$E$2:$E$240,
LAMBDA(rEmisor,rPatron,rConcepto,rTipo,
IF(
AND(
OR(
UPPER(TRIM(rEmisor))=UPPER(TRIM(C581)),
UPPER(TRIM(rEmisor))=""CUALQUIERA""
),
OR(
UPPER(TRIM"&amp;"(rTipo))=""SOLO EMISOR"",
AND(
UPPER(TRIM(rTipo))=""EXACTA"",
UPPER(TRIM(AG581))=UPPER(TRIM(rPatron))
),
AND(
OR(
UPPER(TRIM(rTipo))=""CONTIENE"",
UPPER(TRIM(rTipo))=""COINCIDENCIA""
),
ISNUMBER(SEARCH(UPPER(TRIM(rPatron)),UPPER(TRIM(D581))))
)
)
),
rConc"&amp;"epto,
""""
)
)
),
MAP(
reglas!$B$2:$B$240,
reglas!$C$2:$C$240,
reglas!$D$2:$D$240,
reglas!$E$2:$E$240,
LAMBDA(rEmisor,rPatron,rConcepto,rTipo,
IF(
AND(
OR(
UPPER(TRIM(rEmisor))=UPPER(TRIM(C581)),
UPPER(TRIM(rEmisor))=""CUALQUIERA""
),
OR(
UPPER(TRIM(rTipo"&amp;"))=""SOLO EMISOR"",
AND(
UPPER(TRIM(rTipo))=""EXACTA"",
UPPER(TRIM(D581))=UPPER(TRIM(rPatron))
),
AND(
OR(
UPPER(TRIM(rTipo))=""CONTIENE"",
UPPER(TRIM(rTipo))=""COINCIDENCIA""
),
ISNUMBER(SEARCH(UPPER(TRIM(rPatron)),UPPER(TRIM(D581))))
)
)
),
rConcepto,
"&amp;"""""
)
)
)&lt;&gt;""""
),
1
),
""""
)"),"MANIOBRAS")</f>
        <v>MANIOBRAS</v>
      </c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</row>
    <row r="582">
      <c r="A582" s="32"/>
      <c r="B582" s="28" t="s">
        <v>29</v>
      </c>
      <c r="C582" s="29" t="s">
        <v>169</v>
      </c>
      <c r="D582" s="29" t="s">
        <v>1678</v>
      </c>
      <c r="E582" s="28">
        <v>11500.0</v>
      </c>
      <c r="F582" s="28">
        <v>0.0</v>
      </c>
      <c r="G582" s="28" t="s">
        <v>250</v>
      </c>
      <c r="H582" s="28">
        <f t="array" ref="H582">INDEX(CC!C:C,MATCH(1,(CC!A:A=G582)*(CC!B:B=I582),0))</f>
        <v>1403</v>
      </c>
      <c r="I582" s="28" t="s">
        <v>44</v>
      </c>
      <c r="J582" s="31">
        <v>11500.0</v>
      </c>
      <c r="K582" s="28" t="str">
        <f>IFERROR(__xludf.DUMMYFUNCTION("IFERROR(
INDEX(
FILTER(
MAP(
reglas!$B$2:$B$240,
reglas!$C$2:$C$240,
reglas!$D$2:$D$240,
reglas!$E$2:$E$240,
LAMBDA(rEmisor,rPatron,rConcepto,rTipo,
IF(
AND(
OR(
UPPER(TRIM(rEmisor))=UPPER(TRIM(C582)),
UPPER(TRIM(rEmisor))=""CUALQUIERA""
),
OR(
UPPER(TRIM"&amp;"(rTipo))=""SOLO EMISOR"",
AND(
UPPER(TRIM(rTipo))=""EXACTA"",
UPPER(TRIM(AG582))=UPPER(TRIM(rPatron))
),
AND(
OR(
UPPER(TRIM(rTipo))=""CONTIENE"",
UPPER(TRIM(rTipo))=""COINCIDENCIA""
),
ISNUMBER(SEARCH(UPPER(TRIM(rPatron)),UPPER(TRIM(D582))))
)
)
),
rConc"&amp;"epto,
""""
)
)
),
MAP(
reglas!$B$2:$B$240,
reglas!$C$2:$C$240,
reglas!$D$2:$D$240,
reglas!$E$2:$E$240,
LAMBDA(rEmisor,rPatron,rConcepto,rTipo,
IF(
AND(
OR(
UPPER(TRIM(rEmisor))=UPPER(TRIM(C582)),
UPPER(TRIM(rEmisor))=""CUALQUIERA""
),
OR(
UPPER(TRIM(rTipo"&amp;"))=""SOLO EMISOR"",
AND(
UPPER(TRIM(rTipo))=""EXACTA"",
UPPER(TRIM(D582))=UPPER(TRIM(rPatron))
),
AND(
OR(
UPPER(TRIM(rTipo))=""CONTIENE"",
UPPER(TRIM(rTipo))=""COINCIDENCIA""
),
ISNUMBER(SEARCH(UPPER(TRIM(rPatron)),UPPER(TRIM(D582))))
)
)
),
rConcepto,
"&amp;"""""
)
)
)&lt;&gt;""""
),
1
),
""""
)"),"TRANSPORTE")</f>
        <v>TRANSPORTE</v>
      </c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</row>
    <row r="583">
      <c r="A583" s="32"/>
      <c r="B583" s="28" t="s">
        <v>29</v>
      </c>
      <c r="C583" s="29" t="s">
        <v>478</v>
      </c>
      <c r="D583" s="29" t="s">
        <v>479</v>
      </c>
      <c r="E583" s="28">
        <v>120.689655</v>
      </c>
      <c r="F583" s="28">
        <v>0.0</v>
      </c>
      <c r="G583" s="28" t="s">
        <v>225</v>
      </c>
      <c r="H583" s="28">
        <f t="array" ref="H583">INDEX(CC!C:C,MATCH(1,(CC!A:A=G583)*(CC!B:B=I583),0))</f>
        <v>102</v>
      </c>
      <c r="I583" s="28" t="s">
        <v>25</v>
      </c>
      <c r="J583" s="31">
        <v>120.69</v>
      </c>
      <c r="K583" s="28" t="str">
        <f>IFERROR(__xludf.DUMMYFUNCTION("IFERROR(
INDEX(
FILTER(
MAP(
reglas!$B$2:$B$240,
reglas!$C$2:$C$240,
reglas!$D$2:$D$240,
reglas!$E$2:$E$240,
LAMBDA(rEmisor,rPatron,rConcepto,rTipo,
IF(
AND(
OR(
UPPER(TRIM(rEmisor))=UPPER(TRIM(C583)),
UPPER(TRIM(rEmisor))=""CUALQUIERA""
),
OR(
UPPER(TRIM"&amp;"(rTipo))=""SOLO EMISOR"",
AND(
UPPER(TRIM(rTipo))=""EXACTA"",
UPPER(TRIM(AG583))=UPPER(TRIM(rPatron))
),
AND(
OR(
UPPER(TRIM(rTipo))=""CONTIENE"",
UPPER(TRIM(rTipo))=""COINCIDENCIA""
),
ISNUMBER(SEARCH(UPPER(TRIM(rPatron)),UPPER(TRIM(D583))))
)
)
),
rConc"&amp;"epto,
""""
)
)
),
MAP(
reglas!$B$2:$B$240,
reglas!$C$2:$C$240,
reglas!$D$2:$D$240,
reglas!$E$2:$E$240,
LAMBDA(rEmisor,rPatron,rConcepto,rTipo,
IF(
AND(
OR(
UPPER(TRIM(rEmisor))=UPPER(TRIM(C583)),
UPPER(TRIM(rEmisor))=""CUALQUIERA""
),
OR(
UPPER(TRIM(rTipo"&amp;"))=""SOLO EMISOR"",
AND(
UPPER(TRIM(rTipo))=""EXACTA"",
UPPER(TRIM(D583))=UPPER(TRIM(rPatron))
),
AND(
OR(
UPPER(TRIM(rTipo))=""CONTIENE"",
UPPER(TRIM(rTipo))=""COINCIDENCIA""
),
ISNUMBER(SEARCH(UPPER(TRIM(rPatron)),UPPER(TRIM(D583))))
)
)
),
rConcepto,
"&amp;"""""
)
)
)&lt;&gt;""""
),
1
),
""""
)"),"OTROS GASTOS")</f>
        <v>OTROS GASTOS</v>
      </c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</row>
    <row r="584">
      <c r="A584" s="32"/>
      <c r="B584" s="28" t="s">
        <v>29</v>
      </c>
      <c r="C584" s="29" t="s">
        <v>278</v>
      </c>
      <c r="D584" s="29" t="s">
        <v>560</v>
      </c>
      <c r="E584" s="28">
        <v>3500.0</v>
      </c>
      <c r="F584" s="28">
        <v>0.0</v>
      </c>
      <c r="G584" s="28" t="s">
        <v>250</v>
      </c>
      <c r="H584" s="28">
        <f t="array" ref="H584">INDEX(CC!C:C,MATCH(1,(CC!A:A=G584)*(CC!B:B=I584),0))</f>
        <v>1402</v>
      </c>
      <c r="I584" s="28" t="s">
        <v>25</v>
      </c>
      <c r="J584" s="31">
        <v>3500.0</v>
      </c>
      <c r="K584" s="28" t="str">
        <f>IFERROR(__xludf.DUMMYFUNCTION("IFERROR(
INDEX(
FILTER(
MAP(
reglas!$B$2:$B$240,
reglas!$C$2:$C$240,
reglas!$D$2:$D$240,
reglas!$E$2:$E$240,
LAMBDA(rEmisor,rPatron,rConcepto,rTipo,
IF(
AND(
OR(
UPPER(TRIM(rEmisor))=UPPER(TRIM(C584)),
UPPER(TRIM(rEmisor))=""CUALQUIERA""
),
OR(
UPPER(TRIM"&amp;"(rTipo))=""SOLO EMISOR"",
AND(
UPPER(TRIM(rTipo))=""EXACTA"",
UPPER(TRIM(AG584))=UPPER(TRIM(rPatron))
),
AND(
OR(
UPPER(TRIM(rTipo))=""CONTIENE"",
UPPER(TRIM(rTipo))=""COINCIDENCIA""
),
ISNUMBER(SEARCH(UPPER(TRIM(rPatron)),UPPER(TRIM(D584))))
)
)
),
rConc"&amp;"epto,
""""
)
)
),
MAP(
reglas!$B$2:$B$240,
reglas!$C$2:$C$240,
reglas!$D$2:$D$240,
reglas!$E$2:$E$240,
LAMBDA(rEmisor,rPatron,rConcepto,rTipo,
IF(
AND(
OR(
UPPER(TRIM(rEmisor))=UPPER(TRIM(C584)),
UPPER(TRIM(rEmisor))=""CUALQUIERA""
),
OR(
UPPER(TRIM(rTipo"&amp;"))=""SOLO EMISOR"",
AND(
UPPER(TRIM(rTipo))=""EXACTA"",
UPPER(TRIM(D584))=UPPER(TRIM(rPatron))
),
AND(
OR(
UPPER(TRIM(rTipo))=""CONTIENE"",
UPPER(TRIM(rTipo))=""COINCIDENCIA""
),
ISNUMBER(SEARCH(UPPER(TRIM(rPatron)),UPPER(TRIM(D584))))
)
)
),
rConcepto,
"&amp;"""""
)
)
)&lt;&gt;""""
),
1
),
""""
)"),"MANIOBRAS")</f>
        <v>MANIOBRAS</v>
      </c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</row>
    <row r="585">
      <c r="A585" s="32"/>
      <c r="B585" s="28" t="s">
        <v>29</v>
      </c>
      <c r="C585" s="29" t="s">
        <v>163</v>
      </c>
      <c r="D585" s="29" t="s">
        <v>1679</v>
      </c>
      <c r="E585" s="28">
        <v>262.93</v>
      </c>
      <c r="F585" s="28">
        <v>0.0</v>
      </c>
      <c r="G585" s="28" t="s">
        <v>385</v>
      </c>
      <c r="H585" s="28">
        <f t="array" ref="H585">INDEX(CC!C:C,MATCH(1,(CC!A:A=G585)*(CC!B:B=I585),0))</f>
        <v>502</v>
      </c>
      <c r="I585" s="28" t="s">
        <v>25</v>
      </c>
      <c r="J585" s="31">
        <v>262.93</v>
      </c>
      <c r="K585" s="28" t="str">
        <f>IFERROR(__xludf.DUMMYFUNCTION("IFERROR(
INDEX(
FILTER(
MAP(
reglas!$B$2:$B$240,
reglas!$C$2:$C$240,
reglas!$D$2:$D$240,
reglas!$E$2:$E$240,
LAMBDA(rEmisor,rPatron,rConcepto,rTipo,
IF(
AND(
OR(
UPPER(TRIM(rEmisor))=UPPER(TRIM(C585)),
UPPER(TRIM(rEmisor))=""CUALQUIERA""
),
OR(
UPPER(TRIM"&amp;"(rTipo))=""SOLO EMISOR"",
AND(
UPPER(TRIM(rTipo))=""EXACTA"",
UPPER(TRIM(AG585))=UPPER(TRIM(rPatron))
),
AND(
OR(
UPPER(TRIM(rTipo))=""CONTIENE"",
UPPER(TRIM(rTipo))=""COINCIDENCIA""
),
ISNUMBER(SEARCH(UPPER(TRIM(rPatron)),UPPER(TRIM(D585))))
)
)
),
rConc"&amp;"epto,
""""
)
)
),
MAP(
reglas!$B$2:$B$240,
reglas!$C$2:$C$240,
reglas!$D$2:$D$240,
reglas!$E$2:$E$240,
LAMBDA(rEmisor,rPatron,rConcepto,rTipo,
IF(
AND(
OR(
UPPER(TRIM(rEmisor))=UPPER(TRIM(C585)),
UPPER(TRIM(rEmisor))=""CUALQUIERA""
),
OR(
UPPER(TRIM(rTipo"&amp;"))=""SOLO EMISOR"",
AND(
UPPER(TRIM(rTipo))=""EXACTA"",
UPPER(TRIM(D585))=UPPER(TRIM(rPatron))
),
AND(
OR(
UPPER(TRIM(rTipo))=""CONTIENE"",
UPPER(TRIM(rTipo))=""COINCIDENCIA""
),
ISNUMBER(SEARCH(UPPER(TRIM(rPatron)),UPPER(TRIM(D585))))
)
)
),
rConcepto,
"&amp;"""""
)
)
)&lt;&gt;""""
),
1
),
""""
)"),"PATIO REGULADOR")</f>
        <v>PATIO REGULADOR</v>
      </c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</row>
    <row r="586">
      <c r="A586" s="28">
        <v>1.0</v>
      </c>
      <c r="B586" s="28" t="s">
        <v>29</v>
      </c>
      <c r="C586" s="29" t="s">
        <v>271</v>
      </c>
      <c r="D586" s="29" t="s">
        <v>1680</v>
      </c>
      <c r="E586" s="28">
        <v>2547.67</v>
      </c>
      <c r="F586" s="28">
        <v>0.0</v>
      </c>
      <c r="G586" s="28" t="s">
        <v>84</v>
      </c>
      <c r="H586" s="28">
        <f t="array" ref="H586">INDEX(CC!C:C,MATCH(1,(CC!A:A=G586)*(CC!B:B=I586),0))</f>
        <v>1002</v>
      </c>
      <c r="I586" s="28" t="s">
        <v>25</v>
      </c>
      <c r="J586" s="31">
        <v>2547.67</v>
      </c>
      <c r="K586" s="28" t="str">
        <f>IFERROR(__xludf.DUMMYFUNCTION("IFERROR(
INDEX(
FILTER(
MAP(
reglas!$B$2:$B$240,
reglas!$C$2:$C$240,
reglas!$D$2:$D$240,
reglas!$E$2:$E$240,
LAMBDA(rEmisor,rPatron,rConcepto,rTipo,
IF(
AND(
OR(
UPPER(TRIM(rEmisor))=UPPER(TRIM(C586)),
UPPER(TRIM(rEmisor))=""CUALQUIERA""
),
OR(
UPPER(TRIM"&amp;"(rTipo))=""SOLO EMISOR"",
AND(
UPPER(TRIM(rTipo))=""EXACTA"",
UPPER(TRIM(AG586))=UPPER(TRIM(rPatron))
),
AND(
OR(
UPPER(TRIM(rTipo))=""CONTIENE"",
UPPER(TRIM(rTipo))=""COINCIDENCIA""
),
ISNUMBER(SEARCH(UPPER(TRIM(rPatron)),UPPER(TRIM(D586))))
)
)
),
rConc"&amp;"epto,
""""
)
)
),
MAP(
reglas!$B$2:$B$240,
reglas!$C$2:$C$240,
reglas!$D$2:$D$240,
reglas!$E$2:$E$240,
LAMBDA(rEmisor,rPatron,rConcepto,rTipo,
IF(
AND(
OR(
UPPER(TRIM(rEmisor))=UPPER(TRIM(C586)),
UPPER(TRIM(rEmisor))=""CUALQUIERA""
),
OR(
UPPER(TRIM(rTipo"&amp;"))=""SOLO EMISOR"",
AND(
UPPER(TRIM(rTipo))=""EXACTA"",
UPPER(TRIM(D586))=UPPER(TRIM(rPatron))
),
AND(
OR(
UPPER(TRIM(rTipo))=""CONTIENE"",
UPPER(TRIM(rTipo))=""COINCIDENCIA""
),
ISNUMBER(SEARCH(UPPER(TRIM(rPatron)),UPPER(TRIM(D586))))
)
)
),
rConcepto,
"&amp;"""""
)
)
)&lt;&gt;""""
),
1
),
""""
)"),"MANIOBRAS")</f>
        <v>MANIOBRAS</v>
      </c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</row>
    <row r="587">
      <c r="A587" s="32"/>
      <c r="B587" s="28" t="s">
        <v>29</v>
      </c>
      <c r="C587" s="29" t="s">
        <v>276</v>
      </c>
      <c r="D587" s="29" t="s">
        <v>1619</v>
      </c>
      <c r="E587" s="28">
        <v>538.0</v>
      </c>
      <c r="F587" s="28">
        <v>0.0</v>
      </c>
      <c r="G587" s="28" t="s">
        <v>74</v>
      </c>
      <c r="H587" s="28">
        <f t="array" ref="H587">INDEX(CC!C:C,MATCH(1,(CC!A:A=G587)*(CC!B:B=I587),0))</f>
        <v>1503</v>
      </c>
      <c r="I587" s="28" t="s">
        <v>44</v>
      </c>
      <c r="J587" s="31">
        <v>538.0</v>
      </c>
      <c r="K587" s="28" t="str">
        <f>IFERROR(__xludf.DUMMYFUNCTION("IFERROR(
INDEX(
FILTER(
MAP(
reglas!$B$2:$B$240,
reglas!$C$2:$C$240,
reglas!$D$2:$D$240,
reglas!$E$2:$E$240,
LAMBDA(rEmisor,rPatron,rConcepto,rTipo,
IF(
AND(
OR(
UPPER(TRIM(rEmisor))=UPPER(TRIM(C587)),
UPPER(TRIM(rEmisor))=""CUALQUIERA""
),
OR(
UPPER(TRIM"&amp;"(rTipo))=""SOLO EMISOR"",
AND(
UPPER(TRIM(rTipo))=""EXACTA"",
UPPER(TRIM(AG587))=UPPER(TRIM(rPatron))
),
AND(
OR(
UPPER(TRIM(rTipo))=""CONTIENE"",
UPPER(TRIM(rTipo))=""COINCIDENCIA""
),
ISNUMBER(SEARCH(UPPER(TRIM(rPatron)),UPPER(TRIM(D587))))
)
)
),
rConc"&amp;"epto,
""""
)
)
),
MAP(
reglas!$B$2:$B$240,
reglas!$C$2:$C$240,
reglas!$D$2:$D$240,
reglas!$E$2:$E$240,
LAMBDA(rEmisor,rPatron,rConcepto,rTipo,
IF(
AND(
OR(
UPPER(TRIM(rEmisor))=UPPER(TRIM(C587)),
UPPER(TRIM(rEmisor))=""CUALQUIERA""
),
OR(
UPPER(TRIM(rTipo"&amp;"))=""SOLO EMISOR"",
AND(
UPPER(TRIM(rTipo))=""EXACTA"",
UPPER(TRIM(D587))=UPPER(TRIM(rPatron))
),
AND(
OR(
UPPER(TRIM(rTipo))=""CONTIENE"",
UPPER(TRIM(rTipo))=""COINCIDENCIA""
),
ISNUMBER(SEARCH(UPPER(TRIM(rPatron)),UPPER(TRIM(D587))))
)
)
),
rConcepto,
"&amp;"""""
)
)
)&lt;&gt;""""
),
1
),
""""
)"),"MANIOBRAS")</f>
        <v>MANIOBRAS</v>
      </c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</row>
    <row r="588">
      <c r="A588" s="28">
        <v>1.0</v>
      </c>
      <c r="B588" s="28" t="s">
        <v>29</v>
      </c>
      <c r="C588" s="29" t="s">
        <v>271</v>
      </c>
      <c r="D588" s="29" t="s">
        <v>585</v>
      </c>
      <c r="E588" s="28">
        <v>629.54</v>
      </c>
      <c r="F588" s="28">
        <v>0.0</v>
      </c>
      <c r="G588" s="28" t="s">
        <v>84</v>
      </c>
      <c r="H588" s="28">
        <f t="array" ref="H588">INDEX(CC!C:C,MATCH(1,(CC!A:A=G588)*(CC!B:B=I588),0))</f>
        <v>1002</v>
      </c>
      <c r="I588" s="28" t="s">
        <v>25</v>
      </c>
      <c r="J588" s="31">
        <v>629.54</v>
      </c>
      <c r="K588" s="28" t="str">
        <f>IFERROR(__xludf.DUMMYFUNCTION("IFERROR(
INDEX(
FILTER(
MAP(
reglas!$B$2:$B$240,
reglas!$C$2:$C$240,
reglas!$D$2:$D$240,
reglas!$E$2:$E$240,
LAMBDA(rEmisor,rPatron,rConcepto,rTipo,
IF(
AND(
OR(
UPPER(TRIM(rEmisor))=UPPER(TRIM(C588)),
UPPER(TRIM(rEmisor))=""CUALQUIERA""
),
OR(
UPPER(TRIM"&amp;"(rTipo))=""SOLO EMISOR"",
AND(
UPPER(TRIM(rTipo))=""EXACTA"",
UPPER(TRIM(AG588))=UPPER(TRIM(rPatron))
),
AND(
OR(
UPPER(TRIM(rTipo))=""CONTIENE"",
UPPER(TRIM(rTipo))=""COINCIDENCIA""
),
ISNUMBER(SEARCH(UPPER(TRIM(rPatron)),UPPER(TRIM(D588))))
)
)
),
rConc"&amp;"epto,
""""
)
)
),
MAP(
reglas!$B$2:$B$240,
reglas!$C$2:$C$240,
reglas!$D$2:$D$240,
reglas!$E$2:$E$240,
LAMBDA(rEmisor,rPatron,rConcepto,rTipo,
IF(
AND(
OR(
UPPER(TRIM(rEmisor))=UPPER(TRIM(C588)),
UPPER(TRIM(rEmisor))=""CUALQUIERA""
),
OR(
UPPER(TRIM(rTipo"&amp;"))=""SOLO EMISOR"",
AND(
UPPER(TRIM(rTipo))=""EXACTA"",
UPPER(TRIM(D588))=UPPER(TRIM(rPatron))
),
AND(
OR(
UPPER(TRIM(rTipo))=""CONTIENE"",
UPPER(TRIM(rTipo))=""COINCIDENCIA""
),
ISNUMBER(SEARCH(UPPER(TRIM(rPatron)),UPPER(TRIM(D588))))
)
)
),
rConcepto,
"&amp;"""""
)
)
)&lt;&gt;""""
),
1
),
""""
)"),"MANIOBRAS")</f>
        <v>MANIOBRAS</v>
      </c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</row>
    <row r="589">
      <c r="A589" s="32"/>
      <c r="B589" s="32"/>
      <c r="C589" s="29" t="s">
        <v>271</v>
      </c>
      <c r="D589" s="29" t="s">
        <v>586</v>
      </c>
      <c r="E589" s="28">
        <v>629.89</v>
      </c>
      <c r="F589" s="28">
        <v>0.0</v>
      </c>
      <c r="G589" s="28" t="s">
        <v>84</v>
      </c>
      <c r="H589" s="28">
        <f t="array" ref="H589">INDEX(CC!C:C,MATCH(1,(CC!A:A=G589)*(CC!B:B=I589),0))</f>
        <v>1002</v>
      </c>
      <c r="I589" s="28" t="s">
        <v>25</v>
      </c>
      <c r="J589" s="31">
        <v>629.89</v>
      </c>
      <c r="K589" s="28" t="str">
        <f>IFERROR(__xludf.DUMMYFUNCTION("IFERROR(
INDEX(
FILTER(
MAP(
reglas!$B$2:$B$240,
reglas!$C$2:$C$240,
reglas!$D$2:$D$240,
reglas!$E$2:$E$240,
LAMBDA(rEmisor,rPatron,rConcepto,rTipo,
IF(
AND(
OR(
UPPER(TRIM(rEmisor))=UPPER(TRIM(C589)),
UPPER(TRIM(rEmisor))=""CUALQUIERA""
),
OR(
UPPER(TRIM"&amp;"(rTipo))=""SOLO EMISOR"",
AND(
UPPER(TRIM(rTipo))=""EXACTA"",
UPPER(TRIM(AG589))=UPPER(TRIM(rPatron))
),
AND(
OR(
UPPER(TRIM(rTipo))=""CONTIENE"",
UPPER(TRIM(rTipo))=""COINCIDENCIA""
),
ISNUMBER(SEARCH(UPPER(TRIM(rPatron)),UPPER(TRIM(D589))))
)
)
),
rConc"&amp;"epto,
""""
)
)
),
MAP(
reglas!$B$2:$B$240,
reglas!$C$2:$C$240,
reglas!$D$2:$D$240,
reglas!$E$2:$E$240,
LAMBDA(rEmisor,rPatron,rConcepto,rTipo,
IF(
AND(
OR(
UPPER(TRIM(rEmisor))=UPPER(TRIM(C589)),
UPPER(TRIM(rEmisor))=""CUALQUIERA""
),
OR(
UPPER(TRIM(rTipo"&amp;"))=""SOLO EMISOR"",
AND(
UPPER(TRIM(rTipo))=""EXACTA"",
UPPER(TRIM(D589))=UPPER(TRIM(rPatron))
),
AND(
OR(
UPPER(TRIM(rTipo))=""CONTIENE"",
UPPER(TRIM(rTipo))=""COINCIDENCIA""
),
ISNUMBER(SEARCH(UPPER(TRIM(rPatron)),UPPER(TRIM(D589))))
)
)
),
rConcepto,
"&amp;"""""
)
)
)&lt;&gt;""""
),
1
),
""""
)"),"MANIOBRAS")</f>
        <v>MANIOBRAS</v>
      </c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</row>
    <row r="590">
      <c r="A590" s="32"/>
      <c r="B590" s="32"/>
      <c r="C590" s="29" t="s">
        <v>271</v>
      </c>
      <c r="D590" s="29" t="s">
        <v>587</v>
      </c>
      <c r="E590" s="28">
        <v>575.99</v>
      </c>
      <c r="F590" s="28">
        <v>0.0</v>
      </c>
      <c r="G590" s="28" t="s">
        <v>84</v>
      </c>
      <c r="H590" s="28">
        <f t="array" ref="H590">INDEX(CC!C:C,MATCH(1,(CC!A:A=G590)*(CC!B:B=I590),0))</f>
        <v>1002</v>
      </c>
      <c r="I590" s="28" t="s">
        <v>25</v>
      </c>
      <c r="J590" s="31">
        <v>575.99</v>
      </c>
      <c r="K590" s="28" t="str">
        <f>IFERROR(__xludf.DUMMYFUNCTION("IFERROR(
INDEX(
FILTER(
MAP(
reglas!$B$2:$B$240,
reglas!$C$2:$C$240,
reglas!$D$2:$D$240,
reglas!$E$2:$E$240,
LAMBDA(rEmisor,rPatron,rConcepto,rTipo,
IF(
AND(
OR(
UPPER(TRIM(rEmisor))=UPPER(TRIM(C590)),
UPPER(TRIM(rEmisor))=""CUALQUIERA""
),
OR(
UPPER(TRIM"&amp;"(rTipo))=""SOLO EMISOR"",
AND(
UPPER(TRIM(rTipo))=""EXACTA"",
UPPER(TRIM(AG590))=UPPER(TRIM(rPatron))
),
AND(
OR(
UPPER(TRIM(rTipo))=""CONTIENE"",
UPPER(TRIM(rTipo))=""COINCIDENCIA""
),
ISNUMBER(SEARCH(UPPER(TRIM(rPatron)),UPPER(TRIM(D590))))
)
)
),
rConc"&amp;"epto,
""""
)
)
),
MAP(
reglas!$B$2:$B$240,
reglas!$C$2:$C$240,
reglas!$D$2:$D$240,
reglas!$E$2:$E$240,
LAMBDA(rEmisor,rPatron,rConcepto,rTipo,
IF(
AND(
OR(
UPPER(TRIM(rEmisor))=UPPER(TRIM(C590)),
UPPER(TRIM(rEmisor))=""CUALQUIERA""
),
OR(
UPPER(TRIM(rTipo"&amp;"))=""SOLO EMISOR"",
AND(
UPPER(TRIM(rTipo))=""EXACTA"",
UPPER(TRIM(D590))=UPPER(TRIM(rPatron))
),
AND(
OR(
UPPER(TRIM(rTipo))=""CONTIENE"",
UPPER(TRIM(rTipo))=""COINCIDENCIA""
),
ISNUMBER(SEARCH(UPPER(TRIM(rPatron)),UPPER(TRIM(D590))))
)
)
),
rConcepto,
"&amp;"""""
)
)
)&lt;&gt;""""
),
1
),
""""
)"),"MANIOBRAS")</f>
        <v>MANIOBRAS</v>
      </c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</row>
    <row r="591">
      <c r="A591" s="32"/>
      <c r="B591" s="32"/>
      <c r="C591" s="29" t="s">
        <v>271</v>
      </c>
      <c r="D591" s="29" t="s">
        <v>589</v>
      </c>
      <c r="E591" s="28">
        <v>629.89</v>
      </c>
      <c r="F591" s="28">
        <v>0.0</v>
      </c>
      <c r="G591" s="28" t="s">
        <v>84</v>
      </c>
      <c r="H591" s="28">
        <f t="array" ref="H591">INDEX(CC!C:C,MATCH(1,(CC!A:A=G591)*(CC!B:B=I591),0))</f>
        <v>1002</v>
      </c>
      <c r="I591" s="28" t="s">
        <v>25</v>
      </c>
      <c r="J591" s="31">
        <v>629.89</v>
      </c>
      <c r="K591" s="28" t="str">
        <f>IFERROR(__xludf.DUMMYFUNCTION("IFERROR(
INDEX(
FILTER(
MAP(
reglas!$B$2:$B$240,
reglas!$C$2:$C$240,
reglas!$D$2:$D$240,
reglas!$E$2:$E$240,
LAMBDA(rEmisor,rPatron,rConcepto,rTipo,
IF(
AND(
OR(
UPPER(TRIM(rEmisor))=UPPER(TRIM(C591)),
UPPER(TRIM(rEmisor))=""CUALQUIERA""
),
OR(
UPPER(TRIM"&amp;"(rTipo))=""SOLO EMISOR"",
AND(
UPPER(TRIM(rTipo))=""EXACTA"",
UPPER(TRIM(AG591))=UPPER(TRIM(rPatron))
),
AND(
OR(
UPPER(TRIM(rTipo))=""CONTIENE"",
UPPER(TRIM(rTipo))=""COINCIDENCIA""
),
ISNUMBER(SEARCH(UPPER(TRIM(rPatron)),UPPER(TRIM(D591))))
)
)
),
rConc"&amp;"epto,
""""
)
)
),
MAP(
reglas!$B$2:$B$240,
reglas!$C$2:$C$240,
reglas!$D$2:$D$240,
reglas!$E$2:$E$240,
LAMBDA(rEmisor,rPatron,rConcepto,rTipo,
IF(
AND(
OR(
UPPER(TRIM(rEmisor))=UPPER(TRIM(C591)),
UPPER(TRIM(rEmisor))=""CUALQUIERA""
),
OR(
UPPER(TRIM(rTipo"&amp;"))=""SOLO EMISOR"",
AND(
UPPER(TRIM(rTipo))=""EXACTA"",
UPPER(TRIM(D591))=UPPER(TRIM(rPatron))
),
AND(
OR(
UPPER(TRIM(rTipo))=""CONTIENE"",
UPPER(TRIM(rTipo))=""COINCIDENCIA""
),
ISNUMBER(SEARCH(UPPER(TRIM(rPatron)),UPPER(TRIM(D591))))
)
)
),
rConcepto,
"&amp;"""""
)
)
)&lt;&gt;""""
),
1
),
""""
)"),"MANIOBRAS")</f>
        <v>MANIOBRAS</v>
      </c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</row>
    <row r="592">
      <c r="A592" s="32"/>
      <c r="B592" s="32"/>
      <c r="C592" s="29" t="s">
        <v>271</v>
      </c>
      <c r="D592" s="29" t="s">
        <v>593</v>
      </c>
      <c r="E592" s="28">
        <v>414.3</v>
      </c>
      <c r="F592" s="28">
        <v>0.0</v>
      </c>
      <c r="G592" s="28" t="s">
        <v>84</v>
      </c>
      <c r="H592" s="28">
        <f t="array" ref="H592">INDEX(CC!C:C,MATCH(1,(CC!A:A=G592)*(CC!B:B=I592),0))</f>
        <v>1002</v>
      </c>
      <c r="I592" s="28" t="s">
        <v>25</v>
      </c>
      <c r="J592" s="31">
        <v>414.3</v>
      </c>
      <c r="K592" s="28" t="str">
        <f>IFERROR(__xludf.DUMMYFUNCTION("IFERROR(
INDEX(
FILTER(
MAP(
reglas!$B$2:$B$240,
reglas!$C$2:$C$240,
reglas!$D$2:$D$240,
reglas!$E$2:$E$240,
LAMBDA(rEmisor,rPatron,rConcepto,rTipo,
IF(
AND(
OR(
UPPER(TRIM(rEmisor))=UPPER(TRIM(C592)),
UPPER(TRIM(rEmisor))=""CUALQUIERA""
),
OR(
UPPER(TRIM"&amp;"(rTipo))=""SOLO EMISOR"",
AND(
UPPER(TRIM(rTipo))=""EXACTA"",
UPPER(TRIM(AG592))=UPPER(TRIM(rPatron))
),
AND(
OR(
UPPER(TRIM(rTipo))=""CONTIENE"",
UPPER(TRIM(rTipo))=""COINCIDENCIA""
),
ISNUMBER(SEARCH(UPPER(TRIM(rPatron)),UPPER(TRIM(D592))))
)
)
),
rConc"&amp;"epto,
""""
)
)
),
MAP(
reglas!$B$2:$B$240,
reglas!$C$2:$C$240,
reglas!$D$2:$D$240,
reglas!$E$2:$E$240,
LAMBDA(rEmisor,rPatron,rConcepto,rTipo,
IF(
AND(
OR(
UPPER(TRIM(rEmisor))=UPPER(TRIM(C592)),
UPPER(TRIM(rEmisor))=""CUALQUIERA""
),
OR(
UPPER(TRIM(rTipo"&amp;"))=""SOLO EMISOR"",
AND(
UPPER(TRIM(rTipo))=""EXACTA"",
UPPER(TRIM(D592))=UPPER(TRIM(rPatron))
),
AND(
OR(
UPPER(TRIM(rTipo))=""CONTIENE"",
UPPER(TRIM(rTipo))=""COINCIDENCIA""
),
ISNUMBER(SEARCH(UPPER(TRIM(rPatron)),UPPER(TRIM(D592))))
)
)
),
rConcepto,
"&amp;"""""
)
)
)&lt;&gt;""""
),
1
),
""""
)"),"MANIOBRAS")</f>
        <v>MANIOBRAS</v>
      </c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</row>
    <row r="593">
      <c r="A593" s="32"/>
      <c r="B593" s="32"/>
      <c r="C593" s="29" t="s">
        <v>271</v>
      </c>
      <c r="D593" s="29" t="s">
        <v>596</v>
      </c>
      <c r="E593" s="28">
        <v>660.88</v>
      </c>
      <c r="F593" s="28">
        <v>0.0</v>
      </c>
      <c r="G593" s="28" t="s">
        <v>84</v>
      </c>
      <c r="H593" s="28">
        <f t="array" ref="H593">INDEX(CC!C:C,MATCH(1,(CC!A:A=G593)*(CC!B:B=I593),0))</f>
        <v>1002</v>
      </c>
      <c r="I593" s="28" t="s">
        <v>25</v>
      </c>
      <c r="J593" s="31">
        <v>660.88</v>
      </c>
      <c r="K593" s="28" t="str">
        <f>IFERROR(__xludf.DUMMYFUNCTION("IFERROR(
INDEX(
FILTER(
MAP(
reglas!$B$2:$B$240,
reglas!$C$2:$C$240,
reglas!$D$2:$D$240,
reglas!$E$2:$E$240,
LAMBDA(rEmisor,rPatron,rConcepto,rTipo,
IF(
AND(
OR(
UPPER(TRIM(rEmisor))=UPPER(TRIM(C593)),
UPPER(TRIM(rEmisor))=""CUALQUIERA""
),
OR(
UPPER(TRIM"&amp;"(rTipo))=""SOLO EMISOR"",
AND(
UPPER(TRIM(rTipo))=""EXACTA"",
UPPER(TRIM(AG593))=UPPER(TRIM(rPatron))
),
AND(
OR(
UPPER(TRIM(rTipo))=""CONTIENE"",
UPPER(TRIM(rTipo))=""COINCIDENCIA""
),
ISNUMBER(SEARCH(UPPER(TRIM(rPatron)),UPPER(TRIM(D593))))
)
)
),
rConc"&amp;"epto,
""""
)
)
),
MAP(
reglas!$B$2:$B$240,
reglas!$C$2:$C$240,
reglas!$D$2:$D$240,
reglas!$E$2:$E$240,
LAMBDA(rEmisor,rPatron,rConcepto,rTipo,
IF(
AND(
OR(
UPPER(TRIM(rEmisor))=UPPER(TRIM(C593)),
UPPER(TRIM(rEmisor))=""CUALQUIERA""
),
OR(
UPPER(TRIM(rTipo"&amp;"))=""SOLO EMISOR"",
AND(
UPPER(TRIM(rTipo))=""EXACTA"",
UPPER(TRIM(D593))=UPPER(TRIM(rPatron))
),
AND(
OR(
UPPER(TRIM(rTipo))=""CONTIENE"",
UPPER(TRIM(rTipo))=""COINCIDENCIA""
),
ISNUMBER(SEARCH(UPPER(TRIM(rPatron)),UPPER(TRIM(D593))))
)
)
),
rConcepto,
"&amp;"""""
)
)
)&lt;&gt;""""
),
1
),
""""
)"),"MANIOBRAS")</f>
        <v>MANIOBRAS</v>
      </c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</row>
    <row r="594">
      <c r="A594" s="28">
        <v>1.0</v>
      </c>
      <c r="B594" s="28" t="s">
        <v>29</v>
      </c>
      <c r="C594" s="29" t="s">
        <v>271</v>
      </c>
      <c r="D594" s="29" t="s">
        <v>587</v>
      </c>
      <c r="E594" s="28">
        <v>573.29</v>
      </c>
      <c r="F594" s="28">
        <v>0.0</v>
      </c>
      <c r="G594" s="28" t="s">
        <v>84</v>
      </c>
      <c r="H594" s="28">
        <f t="array" ref="H594">INDEX(CC!C:C,MATCH(1,(CC!A:A=G594)*(CC!B:B=I594),0))</f>
        <v>1002</v>
      </c>
      <c r="I594" s="28" t="s">
        <v>25</v>
      </c>
      <c r="J594" s="31">
        <v>573.29</v>
      </c>
      <c r="K594" s="28" t="str">
        <f>IFERROR(__xludf.DUMMYFUNCTION("IFERROR(
INDEX(
FILTER(
MAP(
reglas!$B$2:$B$240,
reglas!$C$2:$C$240,
reglas!$D$2:$D$240,
reglas!$E$2:$E$240,
LAMBDA(rEmisor,rPatron,rConcepto,rTipo,
IF(
AND(
OR(
UPPER(TRIM(rEmisor))=UPPER(TRIM(C594)),
UPPER(TRIM(rEmisor))=""CUALQUIERA""
),
OR(
UPPER(TRIM"&amp;"(rTipo))=""SOLO EMISOR"",
AND(
UPPER(TRIM(rTipo))=""EXACTA"",
UPPER(TRIM(AG594))=UPPER(TRIM(rPatron))
),
AND(
OR(
UPPER(TRIM(rTipo))=""CONTIENE"",
UPPER(TRIM(rTipo))=""COINCIDENCIA""
),
ISNUMBER(SEARCH(UPPER(TRIM(rPatron)),UPPER(TRIM(D594))))
)
)
),
rConc"&amp;"epto,
""""
)
)
),
MAP(
reglas!$B$2:$B$240,
reglas!$C$2:$C$240,
reglas!$D$2:$D$240,
reglas!$E$2:$E$240,
LAMBDA(rEmisor,rPatron,rConcepto,rTipo,
IF(
AND(
OR(
UPPER(TRIM(rEmisor))=UPPER(TRIM(C594)),
UPPER(TRIM(rEmisor))=""CUALQUIERA""
),
OR(
UPPER(TRIM(rTipo"&amp;"))=""SOLO EMISOR"",
AND(
UPPER(TRIM(rTipo))=""EXACTA"",
UPPER(TRIM(D594))=UPPER(TRIM(rPatron))
),
AND(
OR(
UPPER(TRIM(rTipo))=""CONTIENE"",
UPPER(TRIM(rTipo))=""COINCIDENCIA""
),
ISNUMBER(SEARCH(UPPER(TRIM(rPatron)),UPPER(TRIM(D594))))
)
)
),
rConcepto,
"&amp;"""""
)
)
)&lt;&gt;""""
),
1
),
""""
)"),"MANIOBRAS")</f>
        <v>MANIOBRAS</v>
      </c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</row>
    <row r="595">
      <c r="A595" s="32"/>
      <c r="B595" s="32"/>
      <c r="C595" s="29" t="s">
        <v>271</v>
      </c>
      <c r="D595" s="29" t="s">
        <v>589</v>
      </c>
      <c r="E595" s="28">
        <v>626.93</v>
      </c>
      <c r="F595" s="28">
        <v>0.0</v>
      </c>
      <c r="G595" s="28" t="s">
        <v>84</v>
      </c>
      <c r="H595" s="28">
        <f t="array" ref="H595">INDEX(CC!C:C,MATCH(1,(CC!A:A=G595)*(CC!B:B=I595),0))</f>
        <v>1002</v>
      </c>
      <c r="I595" s="28" t="s">
        <v>25</v>
      </c>
      <c r="J595" s="31">
        <v>626.93</v>
      </c>
      <c r="K595" s="28" t="str">
        <f>IFERROR(__xludf.DUMMYFUNCTION("IFERROR(
INDEX(
FILTER(
MAP(
reglas!$B$2:$B$240,
reglas!$C$2:$C$240,
reglas!$D$2:$D$240,
reglas!$E$2:$E$240,
LAMBDA(rEmisor,rPatron,rConcepto,rTipo,
IF(
AND(
OR(
UPPER(TRIM(rEmisor))=UPPER(TRIM(C595)),
UPPER(TRIM(rEmisor))=""CUALQUIERA""
),
OR(
UPPER(TRIM"&amp;"(rTipo))=""SOLO EMISOR"",
AND(
UPPER(TRIM(rTipo))=""EXACTA"",
UPPER(TRIM(AG595))=UPPER(TRIM(rPatron))
),
AND(
OR(
UPPER(TRIM(rTipo))=""CONTIENE"",
UPPER(TRIM(rTipo))=""COINCIDENCIA""
),
ISNUMBER(SEARCH(UPPER(TRIM(rPatron)),UPPER(TRIM(D595))))
)
)
),
rConc"&amp;"epto,
""""
)
)
),
MAP(
reglas!$B$2:$B$240,
reglas!$C$2:$C$240,
reglas!$D$2:$D$240,
reglas!$E$2:$E$240,
LAMBDA(rEmisor,rPatron,rConcepto,rTipo,
IF(
AND(
OR(
UPPER(TRIM(rEmisor))=UPPER(TRIM(C595)),
UPPER(TRIM(rEmisor))=""CUALQUIERA""
),
OR(
UPPER(TRIM(rTipo"&amp;"))=""SOLO EMISOR"",
AND(
UPPER(TRIM(rTipo))=""EXACTA"",
UPPER(TRIM(D595))=UPPER(TRIM(rPatron))
),
AND(
OR(
UPPER(TRIM(rTipo))=""CONTIENE"",
UPPER(TRIM(rTipo))=""COINCIDENCIA""
),
ISNUMBER(SEARCH(UPPER(TRIM(rPatron)),UPPER(TRIM(D595))))
)
)
),
rConcepto,
"&amp;"""""
)
)
)&lt;&gt;""""
),
1
),
""""
)"),"MANIOBRAS")</f>
        <v>MANIOBRAS</v>
      </c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</row>
    <row r="596">
      <c r="A596" s="32"/>
      <c r="B596" s="32"/>
      <c r="C596" s="29" t="s">
        <v>271</v>
      </c>
      <c r="D596" s="29" t="s">
        <v>596</v>
      </c>
      <c r="E596" s="28">
        <v>657.78</v>
      </c>
      <c r="F596" s="28">
        <v>0.0</v>
      </c>
      <c r="G596" s="28" t="s">
        <v>84</v>
      </c>
      <c r="H596" s="28">
        <f t="array" ref="H596">INDEX(CC!C:C,MATCH(1,(CC!A:A=G596)*(CC!B:B=I596),0))</f>
        <v>1002</v>
      </c>
      <c r="I596" s="28" t="s">
        <v>25</v>
      </c>
      <c r="J596" s="31">
        <v>657.78</v>
      </c>
      <c r="K596" s="28" t="str">
        <f>IFERROR(__xludf.DUMMYFUNCTION("IFERROR(
INDEX(
FILTER(
MAP(
reglas!$B$2:$B$240,
reglas!$C$2:$C$240,
reglas!$D$2:$D$240,
reglas!$E$2:$E$240,
LAMBDA(rEmisor,rPatron,rConcepto,rTipo,
IF(
AND(
OR(
UPPER(TRIM(rEmisor))=UPPER(TRIM(C596)),
UPPER(TRIM(rEmisor))=""CUALQUIERA""
),
OR(
UPPER(TRIM"&amp;"(rTipo))=""SOLO EMISOR"",
AND(
UPPER(TRIM(rTipo))=""EXACTA"",
UPPER(TRIM(AG596))=UPPER(TRIM(rPatron))
),
AND(
OR(
UPPER(TRIM(rTipo))=""CONTIENE"",
UPPER(TRIM(rTipo))=""COINCIDENCIA""
),
ISNUMBER(SEARCH(UPPER(TRIM(rPatron)),UPPER(TRIM(D596))))
)
)
),
rConc"&amp;"epto,
""""
)
)
),
MAP(
reglas!$B$2:$B$240,
reglas!$C$2:$C$240,
reglas!$D$2:$D$240,
reglas!$E$2:$E$240,
LAMBDA(rEmisor,rPatron,rConcepto,rTipo,
IF(
AND(
OR(
UPPER(TRIM(rEmisor))=UPPER(TRIM(C596)),
UPPER(TRIM(rEmisor))=""CUALQUIERA""
),
OR(
UPPER(TRIM(rTipo"&amp;"))=""SOLO EMISOR"",
AND(
UPPER(TRIM(rTipo))=""EXACTA"",
UPPER(TRIM(D596))=UPPER(TRIM(rPatron))
),
AND(
OR(
UPPER(TRIM(rTipo))=""CONTIENE"",
UPPER(TRIM(rTipo))=""COINCIDENCIA""
),
ISNUMBER(SEARCH(UPPER(TRIM(rPatron)),UPPER(TRIM(D596))))
)
)
),
rConcepto,
"&amp;"""""
)
)
)&lt;&gt;""""
),
1
),
""""
)"),"MANIOBRAS")</f>
        <v>MANIOBRAS</v>
      </c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</row>
    <row r="597">
      <c r="A597" s="32"/>
      <c r="B597" s="28" t="s">
        <v>29</v>
      </c>
      <c r="C597" s="29" t="s">
        <v>331</v>
      </c>
      <c r="D597" s="29" t="s">
        <v>33</v>
      </c>
      <c r="E597" s="28">
        <v>0.01</v>
      </c>
      <c r="F597" s="28">
        <v>0.0</v>
      </c>
      <c r="G597" s="28" t="s">
        <v>385</v>
      </c>
      <c r="H597" s="28">
        <f t="array" ref="H597">INDEX(CC!C:C,MATCH(1,(CC!A:A=G597)*(CC!B:B=I597),0))</f>
        <v>502</v>
      </c>
      <c r="I597" s="28" t="s">
        <v>25</v>
      </c>
      <c r="J597" s="31">
        <v>0.01</v>
      </c>
      <c r="K597" s="28" t="str">
        <f>IFERROR(__xludf.DUMMYFUNCTION("IFERROR(
INDEX(
FILTER(
MAP(
reglas!$B$2:$B$240,
reglas!$C$2:$C$240,
reglas!$D$2:$D$240,
reglas!$E$2:$E$240,
LAMBDA(rEmisor,rPatron,rConcepto,rTipo,
IF(
AND(
OR(
UPPER(TRIM(rEmisor))=UPPER(TRIM(C597)),
UPPER(TRIM(rEmisor))=""CUALQUIERA""
),
OR(
UPPER(TRIM"&amp;"(rTipo))=""SOLO EMISOR"",
AND(
UPPER(TRIM(rTipo))=""EXACTA"",
UPPER(TRIM(AG597))=UPPER(TRIM(rPatron))
),
AND(
OR(
UPPER(TRIM(rTipo))=""CONTIENE"",
UPPER(TRIM(rTipo))=""COINCIDENCIA""
),
ISNUMBER(SEARCH(UPPER(TRIM(rPatron)),UPPER(TRIM(D597))))
)
)
),
rConc"&amp;"epto,
""""
)
)
),
MAP(
reglas!$B$2:$B$240,
reglas!$C$2:$C$240,
reglas!$D$2:$D$240,
reglas!$E$2:$E$240,
LAMBDA(rEmisor,rPatron,rConcepto,rTipo,
IF(
AND(
OR(
UPPER(TRIM(rEmisor))=UPPER(TRIM(C597)),
UPPER(TRIM(rEmisor))=""CUALQUIERA""
),
OR(
UPPER(TRIM(rTipo"&amp;"))=""SOLO EMISOR"",
AND(
UPPER(TRIM(rTipo))=""EXACTA"",
UPPER(TRIM(D597))=UPPER(TRIM(rPatron))
),
AND(
OR(
UPPER(TRIM(rTipo))=""CONTIENE"",
UPPER(TRIM(rTipo))=""COINCIDENCIA""
),
ISNUMBER(SEARCH(UPPER(TRIM(rPatron)),UPPER(TRIM(D597))))
)
)
),
rConcepto,
"&amp;"""""
)
)
)&lt;&gt;""""
),
1
),
""""
)"),"N/A")</f>
        <v>N/A</v>
      </c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</row>
    <row r="598">
      <c r="A598" s="32"/>
      <c r="B598" s="28" t="s">
        <v>29</v>
      </c>
      <c r="C598" s="29" t="s">
        <v>172</v>
      </c>
      <c r="D598" s="29" t="s">
        <v>1681</v>
      </c>
      <c r="E598" s="28">
        <v>11500.0</v>
      </c>
      <c r="F598" s="28">
        <v>0.0</v>
      </c>
      <c r="G598" s="28" t="s">
        <v>250</v>
      </c>
      <c r="H598" s="28">
        <f t="array" ref="H598">INDEX(CC!C:C,MATCH(1,(CC!A:A=G598)*(CC!B:B=I598),0))</f>
        <v>1402</v>
      </c>
      <c r="I598" s="28" t="s">
        <v>25</v>
      </c>
      <c r="J598" s="31">
        <v>11500.0</v>
      </c>
      <c r="K598" s="28" t="str">
        <f>IFERROR(__xludf.DUMMYFUNCTION("IFERROR(
INDEX(
FILTER(
MAP(
reglas!$B$2:$B$240,
reglas!$C$2:$C$240,
reglas!$D$2:$D$240,
reglas!$E$2:$E$240,
LAMBDA(rEmisor,rPatron,rConcepto,rTipo,
IF(
AND(
OR(
UPPER(TRIM(rEmisor))=UPPER(TRIM(C598)),
UPPER(TRIM(rEmisor))=""CUALQUIERA""
),
OR(
UPPER(TRIM"&amp;"(rTipo))=""SOLO EMISOR"",
AND(
UPPER(TRIM(rTipo))=""EXACTA"",
UPPER(TRIM(AG598))=UPPER(TRIM(rPatron))
),
AND(
OR(
UPPER(TRIM(rTipo))=""CONTIENE"",
UPPER(TRIM(rTipo))=""COINCIDENCIA""
),
ISNUMBER(SEARCH(UPPER(TRIM(rPatron)),UPPER(TRIM(D598))))
)
)
),
rConc"&amp;"epto,
""""
)
)
),
MAP(
reglas!$B$2:$B$240,
reglas!$C$2:$C$240,
reglas!$D$2:$D$240,
reglas!$E$2:$E$240,
LAMBDA(rEmisor,rPatron,rConcepto,rTipo,
IF(
AND(
OR(
UPPER(TRIM(rEmisor))=UPPER(TRIM(C598)),
UPPER(TRIM(rEmisor))=""CUALQUIERA""
),
OR(
UPPER(TRIM(rTipo"&amp;"))=""SOLO EMISOR"",
AND(
UPPER(TRIM(rTipo))=""EXACTA"",
UPPER(TRIM(D598))=UPPER(TRIM(rPatron))
),
AND(
OR(
UPPER(TRIM(rTipo))=""CONTIENE"",
UPPER(TRIM(rTipo))=""COINCIDENCIA""
),
ISNUMBER(SEARCH(UPPER(TRIM(rPatron)),UPPER(TRIM(D598))))
)
)
),
rConcepto,
"&amp;"""""
)
)
)&lt;&gt;""""
),
1
),
""""
)"),"TRANSPORTE")</f>
        <v>TRANSPORTE</v>
      </c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</row>
    <row r="599">
      <c r="A599" s="32"/>
      <c r="B599" s="28" t="s">
        <v>29</v>
      </c>
      <c r="C599" s="29" t="s">
        <v>278</v>
      </c>
      <c r="D599" s="29" t="s">
        <v>560</v>
      </c>
      <c r="E599" s="28">
        <v>3500.0</v>
      </c>
      <c r="F599" s="28">
        <v>0.0</v>
      </c>
      <c r="G599" s="28" t="s">
        <v>250</v>
      </c>
      <c r="H599" s="28">
        <f t="array" ref="H599">INDEX(CC!C:C,MATCH(1,(CC!A:A=G599)*(CC!B:B=I599),0))</f>
        <v>1402</v>
      </c>
      <c r="I599" s="28" t="s">
        <v>25</v>
      </c>
      <c r="J599" s="31">
        <v>3500.0</v>
      </c>
      <c r="K599" s="28" t="str">
        <f>IFERROR(__xludf.DUMMYFUNCTION("IFERROR(
INDEX(
FILTER(
MAP(
reglas!$B$2:$B$240,
reglas!$C$2:$C$240,
reglas!$D$2:$D$240,
reglas!$E$2:$E$240,
LAMBDA(rEmisor,rPatron,rConcepto,rTipo,
IF(
AND(
OR(
UPPER(TRIM(rEmisor))=UPPER(TRIM(C599)),
UPPER(TRIM(rEmisor))=""CUALQUIERA""
),
OR(
UPPER(TRIM"&amp;"(rTipo))=""SOLO EMISOR"",
AND(
UPPER(TRIM(rTipo))=""EXACTA"",
UPPER(TRIM(AG599))=UPPER(TRIM(rPatron))
),
AND(
OR(
UPPER(TRIM(rTipo))=""CONTIENE"",
UPPER(TRIM(rTipo))=""COINCIDENCIA""
),
ISNUMBER(SEARCH(UPPER(TRIM(rPatron)),UPPER(TRIM(D599))))
)
)
),
rConc"&amp;"epto,
""""
)
)
),
MAP(
reglas!$B$2:$B$240,
reglas!$C$2:$C$240,
reglas!$D$2:$D$240,
reglas!$E$2:$E$240,
LAMBDA(rEmisor,rPatron,rConcepto,rTipo,
IF(
AND(
OR(
UPPER(TRIM(rEmisor))=UPPER(TRIM(C599)),
UPPER(TRIM(rEmisor))=""CUALQUIERA""
),
OR(
UPPER(TRIM(rTipo"&amp;"))=""SOLO EMISOR"",
AND(
UPPER(TRIM(rTipo))=""EXACTA"",
UPPER(TRIM(D599))=UPPER(TRIM(rPatron))
),
AND(
OR(
UPPER(TRIM(rTipo))=""CONTIENE"",
UPPER(TRIM(rTipo))=""COINCIDENCIA""
),
ISNUMBER(SEARCH(UPPER(TRIM(rPatron)),UPPER(TRIM(D599))))
)
)
),
rConcepto,
"&amp;"""""
)
)
)&lt;&gt;""""
),
1
),
""""
)"),"MANIOBRAS")</f>
        <v>MANIOBRAS</v>
      </c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</row>
    <row r="600">
      <c r="A600" s="32"/>
      <c r="B600" s="28" t="s">
        <v>29</v>
      </c>
      <c r="C600" s="29" t="s">
        <v>163</v>
      </c>
      <c r="D600" s="29" t="s">
        <v>1682</v>
      </c>
      <c r="E600" s="28">
        <v>366.38</v>
      </c>
      <c r="F600" s="28">
        <v>0.0</v>
      </c>
      <c r="G600" s="28" t="s">
        <v>385</v>
      </c>
      <c r="H600" s="28">
        <f t="array" ref="H600">INDEX(CC!C:C,MATCH(1,(CC!A:A=G600)*(CC!B:B=I600),0))</f>
        <v>502</v>
      </c>
      <c r="I600" s="28" t="s">
        <v>25</v>
      </c>
      <c r="J600" s="31">
        <v>366.38</v>
      </c>
      <c r="K600" s="28" t="str">
        <f>IFERROR(__xludf.DUMMYFUNCTION("IFERROR(
INDEX(
FILTER(
MAP(
reglas!$B$2:$B$240,
reglas!$C$2:$C$240,
reglas!$D$2:$D$240,
reglas!$E$2:$E$240,
LAMBDA(rEmisor,rPatron,rConcepto,rTipo,
IF(
AND(
OR(
UPPER(TRIM(rEmisor))=UPPER(TRIM(C600)),
UPPER(TRIM(rEmisor))=""CUALQUIERA""
),
OR(
UPPER(TRIM"&amp;"(rTipo))=""SOLO EMISOR"",
AND(
UPPER(TRIM(rTipo))=""EXACTA"",
UPPER(TRIM(AG600))=UPPER(TRIM(rPatron))
),
AND(
OR(
UPPER(TRIM(rTipo))=""CONTIENE"",
UPPER(TRIM(rTipo))=""COINCIDENCIA""
),
ISNUMBER(SEARCH(UPPER(TRIM(rPatron)),UPPER(TRIM(D600))))
)
)
),
rConc"&amp;"epto,
""""
)
)
),
MAP(
reglas!$B$2:$B$240,
reglas!$C$2:$C$240,
reglas!$D$2:$D$240,
reglas!$E$2:$E$240,
LAMBDA(rEmisor,rPatron,rConcepto,rTipo,
IF(
AND(
OR(
UPPER(TRIM(rEmisor))=UPPER(TRIM(C600)),
UPPER(TRIM(rEmisor))=""CUALQUIERA""
),
OR(
UPPER(TRIM(rTipo"&amp;"))=""SOLO EMISOR"",
AND(
UPPER(TRIM(rTipo))=""EXACTA"",
UPPER(TRIM(D600))=UPPER(TRIM(rPatron))
),
AND(
OR(
UPPER(TRIM(rTipo))=""CONTIENE"",
UPPER(TRIM(rTipo))=""COINCIDENCIA""
),
ISNUMBER(SEARCH(UPPER(TRIM(rPatron)),UPPER(TRIM(D600))))
)
)
),
rConcepto,
"&amp;"""""
)
)
)&lt;&gt;""""
),
1
),
""""
)"),"PATIO REGULADOR")</f>
        <v>PATIO REGULADOR</v>
      </c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</row>
    <row r="601">
      <c r="A601" s="32"/>
      <c r="B601" s="28" t="s">
        <v>29</v>
      </c>
      <c r="C601" s="29" t="s">
        <v>174</v>
      </c>
      <c r="D601" s="29" t="s">
        <v>1683</v>
      </c>
      <c r="E601" s="28">
        <v>3500.0</v>
      </c>
      <c r="F601" s="28">
        <v>0.0</v>
      </c>
      <c r="G601" s="28" t="s">
        <v>40</v>
      </c>
      <c r="H601" s="28">
        <f t="array" ref="H601">INDEX(CC!C:C,MATCH(1,(CC!A:A=G601)*(CC!B:B=I601),0))</f>
        <v>602</v>
      </c>
      <c r="I601" s="28" t="s">
        <v>25</v>
      </c>
      <c r="J601" s="31">
        <v>3500.0</v>
      </c>
      <c r="K601" s="28" t="str">
        <f>IFERROR(__xludf.DUMMYFUNCTION("IFERROR(
INDEX(
FILTER(
MAP(
reglas!$B$2:$B$240,
reglas!$C$2:$C$240,
reglas!$D$2:$D$240,
reglas!$E$2:$E$240,
LAMBDA(rEmisor,rPatron,rConcepto,rTipo,
IF(
AND(
OR(
UPPER(TRIM(rEmisor))=UPPER(TRIM(C601)),
UPPER(TRIM(rEmisor))=""CUALQUIERA""
),
OR(
UPPER(TRIM"&amp;"(rTipo))=""SOLO EMISOR"",
AND(
UPPER(TRIM(rTipo))=""EXACTA"",
UPPER(TRIM(AG601))=UPPER(TRIM(rPatron))
),
AND(
OR(
UPPER(TRIM(rTipo))=""CONTIENE"",
UPPER(TRIM(rTipo))=""COINCIDENCIA""
),
ISNUMBER(SEARCH(UPPER(TRIM(rPatron)),UPPER(TRIM(D601))))
)
)
),
rConc"&amp;"epto,
""""
)
)
),
MAP(
reglas!$B$2:$B$240,
reglas!$C$2:$C$240,
reglas!$D$2:$D$240,
reglas!$E$2:$E$240,
LAMBDA(rEmisor,rPatron,rConcepto,rTipo,
IF(
AND(
OR(
UPPER(TRIM(rEmisor))=UPPER(TRIM(C601)),
UPPER(TRIM(rEmisor))=""CUALQUIERA""
),
OR(
UPPER(TRIM(rTipo"&amp;"))=""SOLO EMISOR"",
AND(
UPPER(TRIM(rTipo))=""EXACTA"",
UPPER(TRIM(D601))=UPPER(TRIM(rPatron))
),
AND(
OR(
UPPER(TRIM(rTipo))=""CONTIENE"",
UPPER(TRIM(rTipo))=""COINCIDENCIA""
),
ISNUMBER(SEARCH(UPPER(TRIM(rPatron)),UPPER(TRIM(D601))))
)
)
),
rConcepto,
"&amp;"""""
)
)
)&lt;&gt;""""
),
1
),
""""
)"),"TRANSPORTE")</f>
        <v>TRANSPORTE</v>
      </c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</row>
    <row r="602">
      <c r="A602" s="32"/>
      <c r="B602" s="32"/>
      <c r="C602" s="29" t="s">
        <v>174</v>
      </c>
      <c r="D602" s="29" t="s">
        <v>1684</v>
      </c>
      <c r="E602" s="28">
        <v>305.0</v>
      </c>
      <c r="F602" s="28">
        <v>0.0</v>
      </c>
      <c r="G602" s="28" t="s">
        <v>40</v>
      </c>
      <c r="H602" s="28">
        <f t="array" ref="H602">INDEX(CC!C:C,MATCH(1,(CC!A:A=G602)*(CC!B:B=I602),0))</f>
        <v>602</v>
      </c>
      <c r="I602" s="28" t="s">
        <v>25</v>
      </c>
      <c r="J602" s="31">
        <v>305.0</v>
      </c>
      <c r="K602" s="28" t="str">
        <f>IFERROR(__xludf.DUMMYFUNCTION("IFERROR(
INDEX(
FILTER(
MAP(
reglas!$B$2:$B$240,
reglas!$C$2:$C$240,
reglas!$D$2:$D$240,
reglas!$E$2:$E$240,
LAMBDA(rEmisor,rPatron,rConcepto,rTipo,
IF(
AND(
OR(
UPPER(TRIM(rEmisor))=UPPER(TRIM(C602)),
UPPER(TRIM(rEmisor))=""CUALQUIERA""
),
OR(
UPPER(TRIM"&amp;"(rTipo))=""SOLO EMISOR"",
AND(
UPPER(TRIM(rTipo))=""EXACTA"",
UPPER(TRIM(AG602))=UPPER(TRIM(rPatron))
),
AND(
OR(
UPPER(TRIM(rTipo))=""CONTIENE"",
UPPER(TRIM(rTipo))=""COINCIDENCIA""
),
ISNUMBER(SEARCH(UPPER(TRIM(rPatron)),UPPER(TRIM(D602))))
)
)
),
rConc"&amp;"epto,
""""
)
)
),
MAP(
reglas!$B$2:$B$240,
reglas!$C$2:$C$240,
reglas!$D$2:$D$240,
reglas!$E$2:$E$240,
LAMBDA(rEmisor,rPatron,rConcepto,rTipo,
IF(
AND(
OR(
UPPER(TRIM(rEmisor))=UPPER(TRIM(C602)),
UPPER(TRIM(rEmisor))=""CUALQUIERA""
),
OR(
UPPER(TRIM(rTipo"&amp;"))=""SOLO EMISOR"",
AND(
UPPER(TRIM(rTipo))=""EXACTA"",
UPPER(TRIM(D602))=UPPER(TRIM(rPatron))
),
AND(
OR(
UPPER(TRIM(rTipo))=""CONTIENE"",
UPPER(TRIM(rTipo))=""COINCIDENCIA""
),
ISNUMBER(SEARCH(UPPER(TRIM(rPatron)),UPPER(TRIM(D602))))
)
)
),
rConcepto,
"&amp;"""""
)
)
)&lt;&gt;""""
),
1
),
""""
)"),"PATIO REGULADOR")</f>
        <v>PATIO REGULADOR</v>
      </c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</row>
    <row r="603">
      <c r="A603" s="32"/>
      <c r="B603" s="28" t="s">
        <v>29</v>
      </c>
      <c r="C603" s="29" t="s">
        <v>278</v>
      </c>
      <c r="D603" s="29" t="s">
        <v>560</v>
      </c>
      <c r="E603" s="28">
        <v>3500.0</v>
      </c>
      <c r="F603" s="28">
        <v>0.0</v>
      </c>
      <c r="G603" s="28" t="s">
        <v>250</v>
      </c>
      <c r="H603" s="28">
        <f t="array" ref="H603">INDEX(CC!C:C,MATCH(1,(CC!A:A=G603)*(CC!B:B=I603),0))</f>
        <v>1402</v>
      </c>
      <c r="I603" s="28" t="s">
        <v>25</v>
      </c>
      <c r="J603" s="31">
        <v>3500.0</v>
      </c>
      <c r="K603" s="28" t="str">
        <f>IFERROR(__xludf.DUMMYFUNCTION("IFERROR(
INDEX(
FILTER(
MAP(
reglas!$B$2:$B$240,
reglas!$C$2:$C$240,
reglas!$D$2:$D$240,
reglas!$E$2:$E$240,
LAMBDA(rEmisor,rPatron,rConcepto,rTipo,
IF(
AND(
OR(
UPPER(TRIM(rEmisor))=UPPER(TRIM(C603)),
UPPER(TRIM(rEmisor))=""CUALQUIERA""
),
OR(
UPPER(TRIM"&amp;"(rTipo))=""SOLO EMISOR"",
AND(
UPPER(TRIM(rTipo))=""EXACTA"",
UPPER(TRIM(AG603))=UPPER(TRIM(rPatron))
),
AND(
OR(
UPPER(TRIM(rTipo))=""CONTIENE"",
UPPER(TRIM(rTipo))=""COINCIDENCIA""
),
ISNUMBER(SEARCH(UPPER(TRIM(rPatron)),UPPER(TRIM(D603))))
)
)
),
rConc"&amp;"epto,
""""
)
)
),
MAP(
reglas!$B$2:$B$240,
reglas!$C$2:$C$240,
reglas!$D$2:$D$240,
reglas!$E$2:$E$240,
LAMBDA(rEmisor,rPatron,rConcepto,rTipo,
IF(
AND(
OR(
UPPER(TRIM(rEmisor))=UPPER(TRIM(C603)),
UPPER(TRIM(rEmisor))=""CUALQUIERA""
),
OR(
UPPER(TRIM(rTipo"&amp;"))=""SOLO EMISOR"",
AND(
UPPER(TRIM(rTipo))=""EXACTA"",
UPPER(TRIM(D603))=UPPER(TRIM(rPatron))
),
AND(
OR(
UPPER(TRIM(rTipo))=""CONTIENE"",
UPPER(TRIM(rTipo))=""COINCIDENCIA""
),
ISNUMBER(SEARCH(UPPER(TRIM(rPatron)),UPPER(TRIM(D603))))
)
)
),
rConcepto,
"&amp;"""""
)
)
)&lt;&gt;""""
),
1
),
""""
)"),"MANIOBRAS")</f>
        <v>MANIOBRAS</v>
      </c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</row>
    <row r="604">
      <c r="A604" s="32"/>
      <c r="B604" s="28" t="s">
        <v>29</v>
      </c>
      <c r="C604" s="29" t="s">
        <v>172</v>
      </c>
      <c r="D604" s="29" t="s">
        <v>1685</v>
      </c>
      <c r="E604" s="28">
        <v>305.0</v>
      </c>
      <c r="F604" s="28">
        <v>0.0</v>
      </c>
      <c r="G604" s="28" t="s">
        <v>250</v>
      </c>
      <c r="H604" s="28">
        <f t="array" ref="H604">INDEX(CC!C:C,MATCH(1,(CC!A:A=G604)*(CC!B:B=I604),0))</f>
        <v>1402</v>
      </c>
      <c r="I604" s="28" t="s">
        <v>25</v>
      </c>
      <c r="J604" s="31">
        <v>305.0</v>
      </c>
      <c r="K604" s="28" t="str">
        <f>IFERROR(__xludf.DUMMYFUNCTION("IFERROR(
INDEX(
FILTER(
MAP(
reglas!$B$2:$B$240,
reglas!$C$2:$C$240,
reglas!$D$2:$D$240,
reglas!$E$2:$E$240,
LAMBDA(rEmisor,rPatron,rConcepto,rTipo,
IF(
AND(
OR(
UPPER(TRIM(rEmisor))=UPPER(TRIM(C604)),
UPPER(TRIM(rEmisor))=""CUALQUIERA""
),
OR(
UPPER(TRIM"&amp;"(rTipo))=""SOLO EMISOR"",
AND(
UPPER(TRIM(rTipo))=""EXACTA"",
UPPER(TRIM(AG604))=UPPER(TRIM(rPatron))
),
AND(
OR(
UPPER(TRIM(rTipo))=""CONTIENE"",
UPPER(TRIM(rTipo))=""COINCIDENCIA""
),
ISNUMBER(SEARCH(UPPER(TRIM(rPatron)),UPPER(TRIM(D604))))
)
)
),
rConc"&amp;"epto,
""""
)
)
),
MAP(
reglas!$B$2:$B$240,
reglas!$C$2:$C$240,
reglas!$D$2:$D$240,
reglas!$E$2:$E$240,
LAMBDA(rEmisor,rPatron,rConcepto,rTipo,
IF(
AND(
OR(
UPPER(TRIM(rEmisor))=UPPER(TRIM(C604)),
UPPER(TRIM(rEmisor))=""CUALQUIERA""
),
OR(
UPPER(TRIM(rTipo"&amp;"))=""SOLO EMISOR"",
AND(
UPPER(TRIM(rTipo))=""EXACTA"",
UPPER(TRIM(D604))=UPPER(TRIM(rPatron))
),
AND(
OR(
UPPER(TRIM(rTipo))=""CONTIENE"",
UPPER(TRIM(rTipo))=""COINCIDENCIA""
),
ISNUMBER(SEARCH(UPPER(TRIM(rPatron)),UPPER(TRIM(D604))))
)
)
),
rConcepto,
"&amp;"""""
)
)
)&lt;&gt;""""
),
1
),
""""
)"),"PATIO REGULADOR")</f>
        <v>PATIO REGULADOR</v>
      </c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</row>
    <row r="605">
      <c r="A605" s="32"/>
      <c r="B605" s="32"/>
      <c r="C605" s="29" t="s">
        <v>172</v>
      </c>
      <c r="D605" s="29" t="s">
        <v>1686</v>
      </c>
      <c r="E605" s="28">
        <v>305.0</v>
      </c>
      <c r="F605" s="28">
        <v>0.0</v>
      </c>
      <c r="G605" s="28" t="s">
        <v>250</v>
      </c>
      <c r="H605" s="28">
        <f t="array" ref="H605">INDEX(CC!C:C,MATCH(1,(CC!A:A=G605)*(CC!B:B=I605),0))</f>
        <v>1402</v>
      </c>
      <c r="I605" s="28" t="s">
        <v>25</v>
      </c>
      <c r="J605" s="31">
        <v>305.0</v>
      </c>
      <c r="K605" s="28" t="str">
        <f>IFERROR(__xludf.DUMMYFUNCTION("IFERROR(
INDEX(
FILTER(
MAP(
reglas!$B$2:$B$240,
reglas!$C$2:$C$240,
reglas!$D$2:$D$240,
reglas!$E$2:$E$240,
LAMBDA(rEmisor,rPatron,rConcepto,rTipo,
IF(
AND(
OR(
UPPER(TRIM(rEmisor))=UPPER(TRIM(C605)),
UPPER(TRIM(rEmisor))=""CUALQUIERA""
),
OR(
UPPER(TRIM"&amp;"(rTipo))=""SOLO EMISOR"",
AND(
UPPER(TRIM(rTipo))=""EXACTA"",
UPPER(TRIM(AG605))=UPPER(TRIM(rPatron))
),
AND(
OR(
UPPER(TRIM(rTipo))=""CONTIENE"",
UPPER(TRIM(rTipo))=""COINCIDENCIA""
),
ISNUMBER(SEARCH(UPPER(TRIM(rPatron)),UPPER(TRIM(D605))))
)
)
),
rConc"&amp;"epto,
""""
)
)
),
MAP(
reglas!$B$2:$B$240,
reglas!$C$2:$C$240,
reglas!$D$2:$D$240,
reglas!$E$2:$E$240,
LAMBDA(rEmisor,rPatron,rConcepto,rTipo,
IF(
AND(
OR(
UPPER(TRIM(rEmisor))=UPPER(TRIM(C605)),
UPPER(TRIM(rEmisor))=""CUALQUIERA""
),
OR(
UPPER(TRIM(rTipo"&amp;"))=""SOLO EMISOR"",
AND(
UPPER(TRIM(rTipo))=""EXACTA"",
UPPER(TRIM(D605))=UPPER(TRIM(rPatron))
),
AND(
OR(
UPPER(TRIM(rTipo))=""CONTIENE"",
UPPER(TRIM(rTipo))=""COINCIDENCIA""
),
ISNUMBER(SEARCH(UPPER(TRIM(rPatron)),UPPER(TRIM(D605))))
)
)
),
rConcepto,
"&amp;"""""
)
)
)&lt;&gt;""""
),
1
),
""""
)"),"PATIO REGULADOR")</f>
        <v>PATIO REGULADOR</v>
      </c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</row>
    <row r="606">
      <c r="A606" s="32"/>
      <c r="B606" s="32"/>
      <c r="C606" s="29" t="s">
        <v>172</v>
      </c>
      <c r="D606" s="29" t="s">
        <v>1687</v>
      </c>
      <c r="E606" s="28">
        <v>665.0</v>
      </c>
      <c r="F606" s="28">
        <v>0.0</v>
      </c>
      <c r="G606" s="28" t="s">
        <v>250</v>
      </c>
      <c r="H606" s="28">
        <f t="array" ref="H606">INDEX(CC!C:C,MATCH(1,(CC!A:A=G606)*(CC!B:B=I606),0))</f>
        <v>1402</v>
      </c>
      <c r="I606" s="28" t="s">
        <v>25</v>
      </c>
      <c r="J606" s="31">
        <v>665.0</v>
      </c>
      <c r="K606" s="28" t="str">
        <f>IFERROR(__xludf.DUMMYFUNCTION("IFERROR(
INDEX(
FILTER(
MAP(
reglas!$B$2:$B$240,
reglas!$C$2:$C$240,
reglas!$D$2:$D$240,
reglas!$E$2:$E$240,
LAMBDA(rEmisor,rPatron,rConcepto,rTipo,
IF(
AND(
OR(
UPPER(TRIM(rEmisor))=UPPER(TRIM(C606)),
UPPER(TRIM(rEmisor))=""CUALQUIERA""
),
OR(
UPPER(TRIM"&amp;"(rTipo))=""SOLO EMISOR"",
AND(
UPPER(TRIM(rTipo))=""EXACTA"",
UPPER(TRIM(AG606))=UPPER(TRIM(rPatron))
),
AND(
OR(
UPPER(TRIM(rTipo))=""CONTIENE"",
UPPER(TRIM(rTipo))=""COINCIDENCIA""
),
ISNUMBER(SEARCH(UPPER(TRIM(rPatron)),UPPER(TRIM(D606))))
)
)
),
rConc"&amp;"epto,
""""
)
)
),
MAP(
reglas!$B$2:$B$240,
reglas!$C$2:$C$240,
reglas!$D$2:$D$240,
reglas!$E$2:$E$240,
LAMBDA(rEmisor,rPatron,rConcepto,rTipo,
IF(
AND(
OR(
UPPER(TRIM(rEmisor))=UPPER(TRIM(C606)),
UPPER(TRIM(rEmisor))=""CUALQUIERA""
),
OR(
UPPER(TRIM(rTipo"&amp;"))=""SOLO EMISOR"",
AND(
UPPER(TRIM(rTipo))=""EXACTA"",
UPPER(TRIM(D606))=UPPER(TRIM(rPatron))
),
AND(
OR(
UPPER(TRIM(rTipo))=""CONTIENE"",
UPPER(TRIM(rTipo))=""COINCIDENCIA""
),
ISNUMBER(SEARCH(UPPER(TRIM(rPatron)),UPPER(TRIM(D606))))
)
)
),
rConcepto,
"&amp;"""""
)
)
)&lt;&gt;""""
),
1
),
""""
)"),"PATIO REGULADOR")</f>
        <v>PATIO REGULADOR</v>
      </c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</row>
    <row r="607">
      <c r="A607" s="32"/>
      <c r="B607" s="32"/>
      <c r="C607" s="29" t="s">
        <v>172</v>
      </c>
      <c r="D607" s="29" t="s">
        <v>1688</v>
      </c>
      <c r="E607" s="28">
        <v>305.0</v>
      </c>
      <c r="F607" s="28">
        <v>0.0</v>
      </c>
      <c r="G607" s="28" t="s">
        <v>250</v>
      </c>
      <c r="H607" s="28">
        <f t="array" ref="H607">INDEX(CC!C:C,MATCH(1,(CC!A:A=G607)*(CC!B:B=I607),0))</f>
        <v>1402</v>
      </c>
      <c r="I607" s="28" t="s">
        <v>25</v>
      </c>
      <c r="J607" s="31">
        <v>305.0</v>
      </c>
      <c r="K607" s="28" t="str">
        <f>IFERROR(__xludf.DUMMYFUNCTION("IFERROR(
INDEX(
FILTER(
MAP(
reglas!$B$2:$B$240,
reglas!$C$2:$C$240,
reglas!$D$2:$D$240,
reglas!$E$2:$E$240,
LAMBDA(rEmisor,rPatron,rConcepto,rTipo,
IF(
AND(
OR(
UPPER(TRIM(rEmisor))=UPPER(TRIM(C607)),
UPPER(TRIM(rEmisor))=""CUALQUIERA""
),
OR(
UPPER(TRIM"&amp;"(rTipo))=""SOLO EMISOR"",
AND(
UPPER(TRIM(rTipo))=""EXACTA"",
UPPER(TRIM(AG607))=UPPER(TRIM(rPatron))
),
AND(
OR(
UPPER(TRIM(rTipo))=""CONTIENE"",
UPPER(TRIM(rTipo))=""COINCIDENCIA""
),
ISNUMBER(SEARCH(UPPER(TRIM(rPatron)),UPPER(TRIM(D607))))
)
)
),
rConc"&amp;"epto,
""""
)
)
),
MAP(
reglas!$B$2:$B$240,
reglas!$C$2:$C$240,
reglas!$D$2:$D$240,
reglas!$E$2:$E$240,
LAMBDA(rEmisor,rPatron,rConcepto,rTipo,
IF(
AND(
OR(
UPPER(TRIM(rEmisor))=UPPER(TRIM(C607)),
UPPER(TRIM(rEmisor))=""CUALQUIERA""
),
OR(
UPPER(TRIM(rTipo"&amp;"))=""SOLO EMISOR"",
AND(
UPPER(TRIM(rTipo))=""EXACTA"",
UPPER(TRIM(D607))=UPPER(TRIM(rPatron))
),
AND(
OR(
UPPER(TRIM(rTipo))=""CONTIENE"",
UPPER(TRIM(rTipo))=""COINCIDENCIA""
),
ISNUMBER(SEARCH(UPPER(TRIM(rPatron)),UPPER(TRIM(D607))))
)
)
),
rConcepto,
"&amp;"""""
)
)
)&lt;&gt;""""
),
1
),
""""
)"),"PATIO REGULADOR")</f>
        <v>PATIO REGULADOR</v>
      </c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</row>
    <row r="608">
      <c r="A608" s="32"/>
      <c r="B608" s="32"/>
      <c r="C608" s="29" t="s">
        <v>172</v>
      </c>
      <c r="D608" s="29" t="s">
        <v>1689</v>
      </c>
      <c r="E608" s="28">
        <v>425.0</v>
      </c>
      <c r="F608" s="28">
        <v>0.0</v>
      </c>
      <c r="G608" s="28" t="s">
        <v>250</v>
      </c>
      <c r="H608" s="28">
        <f t="array" ref="H608">INDEX(CC!C:C,MATCH(1,(CC!A:A=G608)*(CC!B:B=I608),0))</f>
        <v>1402</v>
      </c>
      <c r="I608" s="28" t="s">
        <v>25</v>
      </c>
      <c r="J608" s="31">
        <v>425.0</v>
      </c>
      <c r="K608" s="28" t="str">
        <f>IFERROR(__xludf.DUMMYFUNCTION("IFERROR(
INDEX(
FILTER(
MAP(
reglas!$B$2:$B$240,
reglas!$C$2:$C$240,
reglas!$D$2:$D$240,
reglas!$E$2:$E$240,
LAMBDA(rEmisor,rPatron,rConcepto,rTipo,
IF(
AND(
OR(
UPPER(TRIM(rEmisor))=UPPER(TRIM(C608)),
UPPER(TRIM(rEmisor))=""CUALQUIERA""
),
OR(
UPPER(TRIM"&amp;"(rTipo))=""SOLO EMISOR"",
AND(
UPPER(TRIM(rTipo))=""EXACTA"",
UPPER(TRIM(AG608))=UPPER(TRIM(rPatron))
),
AND(
OR(
UPPER(TRIM(rTipo))=""CONTIENE"",
UPPER(TRIM(rTipo))=""COINCIDENCIA""
),
ISNUMBER(SEARCH(UPPER(TRIM(rPatron)),UPPER(TRIM(D608))))
)
)
),
rConc"&amp;"epto,
""""
)
)
),
MAP(
reglas!$B$2:$B$240,
reglas!$C$2:$C$240,
reglas!$D$2:$D$240,
reglas!$E$2:$E$240,
LAMBDA(rEmisor,rPatron,rConcepto,rTipo,
IF(
AND(
OR(
UPPER(TRIM(rEmisor))=UPPER(TRIM(C608)),
UPPER(TRIM(rEmisor))=""CUALQUIERA""
),
OR(
UPPER(TRIM(rTipo"&amp;"))=""SOLO EMISOR"",
AND(
UPPER(TRIM(rTipo))=""EXACTA"",
UPPER(TRIM(D608))=UPPER(TRIM(rPatron))
),
AND(
OR(
UPPER(TRIM(rTipo))=""CONTIENE"",
UPPER(TRIM(rTipo))=""COINCIDENCIA""
),
ISNUMBER(SEARCH(UPPER(TRIM(rPatron)),UPPER(TRIM(D608))))
)
)
),
rConcepto,
"&amp;"""""
)
)
)&lt;&gt;""""
),
1
),
""""
)"),"PATIO REGULADOR")</f>
        <v>PATIO REGULADOR</v>
      </c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</row>
    <row r="609">
      <c r="A609" s="32"/>
      <c r="B609" s="32"/>
      <c r="C609" s="29" t="s">
        <v>172</v>
      </c>
      <c r="D609" s="29" t="s">
        <v>1690</v>
      </c>
      <c r="E609" s="28">
        <v>305.0</v>
      </c>
      <c r="F609" s="28">
        <v>0.0</v>
      </c>
      <c r="G609" s="28" t="s">
        <v>250</v>
      </c>
      <c r="H609" s="28">
        <f t="array" ref="H609">INDEX(CC!C:C,MATCH(1,(CC!A:A=G609)*(CC!B:B=I609),0))</f>
        <v>1402</v>
      </c>
      <c r="I609" s="28" t="s">
        <v>25</v>
      </c>
      <c r="J609" s="31">
        <v>305.0</v>
      </c>
      <c r="K609" s="28" t="str">
        <f>IFERROR(__xludf.DUMMYFUNCTION("IFERROR(
INDEX(
FILTER(
MAP(
reglas!$B$2:$B$240,
reglas!$C$2:$C$240,
reglas!$D$2:$D$240,
reglas!$E$2:$E$240,
LAMBDA(rEmisor,rPatron,rConcepto,rTipo,
IF(
AND(
OR(
UPPER(TRIM(rEmisor))=UPPER(TRIM(C609)),
UPPER(TRIM(rEmisor))=""CUALQUIERA""
),
OR(
UPPER(TRIM"&amp;"(rTipo))=""SOLO EMISOR"",
AND(
UPPER(TRIM(rTipo))=""EXACTA"",
UPPER(TRIM(AG609))=UPPER(TRIM(rPatron))
),
AND(
OR(
UPPER(TRIM(rTipo))=""CONTIENE"",
UPPER(TRIM(rTipo))=""COINCIDENCIA""
),
ISNUMBER(SEARCH(UPPER(TRIM(rPatron)),UPPER(TRIM(D609))))
)
)
),
rConc"&amp;"epto,
""""
)
)
),
MAP(
reglas!$B$2:$B$240,
reglas!$C$2:$C$240,
reglas!$D$2:$D$240,
reglas!$E$2:$E$240,
LAMBDA(rEmisor,rPatron,rConcepto,rTipo,
IF(
AND(
OR(
UPPER(TRIM(rEmisor))=UPPER(TRIM(C609)),
UPPER(TRIM(rEmisor))=""CUALQUIERA""
),
OR(
UPPER(TRIM(rTipo"&amp;"))=""SOLO EMISOR"",
AND(
UPPER(TRIM(rTipo))=""EXACTA"",
UPPER(TRIM(D609))=UPPER(TRIM(rPatron))
),
AND(
OR(
UPPER(TRIM(rTipo))=""CONTIENE"",
UPPER(TRIM(rTipo))=""COINCIDENCIA""
),
ISNUMBER(SEARCH(UPPER(TRIM(rPatron)),UPPER(TRIM(D609))))
)
)
),
rConcepto,
"&amp;"""""
)
)
)&lt;&gt;""""
),
1
),
""""
)"),"PATIO REGULADOR")</f>
        <v>PATIO REGULADOR</v>
      </c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</row>
    <row r="610">
      <c r="A610" s="32"/>
      <c r="B610" s="32"/>
      <c r="C610" s="29" t="s">
        <v>172</v>
      </c>
      <c r="D610" s="29" t="s">
        <v>1691</v>
      </c>
      <c r="E610" s="28">
        <v>305.0</v>
      </c>
      <c r="F610" s="28">
        <v>0.0</v>
      </c>
      <c r="G610" s="28" t="s">
        <v>250</v>
      </c>
      <c r="H610" s="28">
        <f t="array" ref="H610">INDEX(CC!C:C,MATCH(1,(CC!A:A=G610)*(CC!B:B=I610),0))</f>
        <v>1402</v>
      </c>
      <c r="I610" s="28" t="s">
        <v>25</v>
      </c>
      <c r="J610" s="31">
        <v>305.0</v>
      </c>
      <c r="K610" s="28" t="str">
        <f>IFERROR(__xludf.DUMMYFUNCTION("IFERROR(
INDEX(
FILTER(
MAP(
reglas!$B$2:$B$240,
reglas!$C$2:$C$240,
reglas!$D$2:$D$240,
reglas!$E$2:$E$240,
LAMBDA(rEmisor,rPatron,rConcepto,rTipo,
IF(
AND(
OR(
UPPER(TRIM(rEmisor))=UPPER(TRIM(C610)),
UPPER(TRIM(rEmisor))=""CUALQUIERA""
),
OR(
UPPER(TRIM"&amp;"(rTipo))=""SOLO EMISOR"",
AND(
UPPER(TRIM(rTipo))=""EXACTA"",
UPPER(TRIM(AG610))=UPPER(TRIM(rPatron))
),
AND(
OR(
UPPER(TRIM(rTipo))=""CONTIENE"",
UPPER(TRIM(rTipo))=""COINCIDENCIA""
),
ISNUMBER(SEARCH(UPPER(TRIM(rPatron)),UPPER(TRIM(D610))))
)
)
),
rConc"&amp;"epto,
""""
)
)
),
MAP(
reglas!$B$2:$B$240,
reglas!$C$2:$C$240,
reglas!$D$2:$D$240,
reglas!$E$2:$E$240,
LAMBDA(rEmisor,rPatron,rConcepto,rTipo,
IF(
AND(
OR(
UPPER(TRIM(rEmisor))=UPPER(TRIM(C610)),
UPPER(TRIM(rEmisor))=""CUALQUIERA""
),
OR(
UPPER(TRIM(rTipo"&amp;"))=""SOLO EMISOR"",
AND(
UPPER(TRIM(rTipo))=""EXACTA"",
UPPER(TRIM(D610))=UPPER(TRIM(rPatron))
),
AND(
OR(
UPPER(TRIM(rTipo))=""CONTIENE"",
UPPER(TRIM(rTipo))=""COINCIDENCIA""
),
ISNUMBER(SEARCH(UPPER(TRIM(rPatron)),UPPER(TRIM(D610))))
)
)
),
rConcepto,
"&amp;"""""
)
)
)&lt;&gt;""""
),
1
),
""""
)"),"PATIO REGULADOR")</f>
        <v>PATIO REGULADOR</v>
      </c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</row>
    <row r="611">
      <c r="A611" s="32"/>
      <c r="B611" s="28" t="s">
        <v>29</v>
      </c>
      <c r="C611" s="29" t="s">
        <v>248</v>
      </c>
      <c r="D611" s="29" t="s">
        <v>1692</v>
      </c>
      <c r="E611" s="28">
        <v>215.52</v>
      </c>
      <c r="F611" s="28">
        <v>0.0</v>
      </c>
      <c r="G611" s="28" t="s">
        <v>74</v>
      </c>
      <c r="H611" s="28">
        <f t="array" ref="H611">INDEX(CC!C:C,MATCH(1,(CC!A:A=G611)*(CC!B:B=I611),0))</f>
        <v>1502</v>
      </c>
      <c r="I611" s="28" t="s">
        <v>25</v>
      </c>
      <c r="J611" s="31">
        <v>215.52</v>
      </c>
      <c r="K611" s="28" t="str">
        <f>IFERROR(__xludf.DUMMYFUNCTION("IFERROR(
INDEX(
FILTER(
MAP(
reglas!$B$2:$B$240,
reglas!$C$2:$C$240,
reglas!$D$2:$D$240,
reglas!$E$2:$E$240,
LAMBDA(rEmisor,rPatron,rConcepto,rTipo,
IF(
AND(
OR(
UPPER(TRIM(rEmisor))=UPPER(TRIM(C611)),
UPPER(TRIM(rEmisor))=""CUALQUIERA""
),
OR(
UPPER(TRIM"&amp;"(rTipo))=""SOLO EMISOR"",
AND(
UPPER(TRIM(rTipo))=""EXACTA"",
UPPER(TRIM(AG611))=UPPER(TRIM(rPatron))
),
AND(
OR(
UPPER(TRIM(rTipo))=""CONTIENE"",
UPPER(TRIM(rTipo))=""COINCIDENCIA""
),
ISNUMBER(SEARCH(UPPER(TRIM(rPatron)),UPPER(TRIM(D611))))
)
)
),
rConc"&amp;"epto,
""""
)
)
),
MAP(
reglas!$B$2:$B$240,
reglas!$C$2:$C$240,
reglas!$D$2:$D$240,
reglas!$E$2:$E$240,
LAMBDA(rEmisor,rPatron,rConcepto,rTipo,
IF(
AND(
OR(
UPPER(TRIM(rEmisor))=UPPER(TRIM(C611)),
UPPER(TRIM(rEmisor))=""CUALQUIERA""
),
OR(
UPPER(TRIM(rTipo"&amp;"))=""SOLO EMISOR"",
AND(
UPPER(TRIM(rTipo))=""EXACTA"",
UPPER(TRIM(D611))=UPPER(TRIM(rPatron))
),
AND(
OR(
UPPER(TRIM(rTipo))=""CONTIENE"",
UPPER(TRIM(rTipo))=""COINCIDENCIA""
),
ISNUMBER(SEARCH(UPPER(TRIM(rPatron)),UPPER(TRIM(D611))))
)
)
),
rConcepto,
"&amp;"""""
)
)
)&lt;&gt;""""
),
1
),
""""
)"),"SANITARIOS")</f>
        <v>SANITARIOS</v>
      </c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</row>
    <row r="612">
      <c r="A612" s="32"/>
      <c r="B612" s="28" t="s">
        <v>29</v>
      </c>
      <c r="C612" s="29" t="s">
        <v>207</v>
      </c>
      <c r="D612" s="29" t="s">
        <v>316</v>
      </c>
      <c r="E612" s="28">
        <v>35942.04</v>
      </c>
      <c r="F612" s="28">
        <v>0.0</v>
      </c>
      <c r="G612" s="28" t="s">
        <v>225</v>
      </c>
      <c r="H612" s="28">
        <f t="array" ref="H612">INDEX(CC!C:C,MATCH(1,(CC!A:A=G612)*(CC!B:B=I612),0))</f>
        <v>102</v>
      </c>
      <c r="I612" s="28" t="s">
        <v>25</v>
      </c>
      <c r="J612" s="31">
        <v>35942.04</v>
      </c>
      <c r="K612" s="28" t="str">
        <f>IFERROR(__xludf.DUMMYFUNCTION("IFERROR(
INDEX(
FILTER(
MAP(
reglas!$B$2:$B$240,
reglas!$C$2:$C$240,
reglas!$D$2:$D$240,
reglas!$E$2:$E$240,
LAMBDA(rEmisor,rPatron,rConcepto,rTipo,
IF(
AND(
OR(
UPPER(TRIM(rEmisor))=UPPER(TRIM(C612)),
UPPER(TRIM(rEmisor))=""CUALQUIERA""
),
OR(
UPPER(TRIM"&amp;"(rTipo))=""SOLO EMISOR"",
AND(
UPPER(TRIM(rTipo))=""EXACTA"",
UPPER(TRIM(AG612))=UPPER(TRIM(rPatron))
),
AND(
OR(
UPPER(TRIM(rTipo))=""CONTIENE"",
UPPER(TRIM(rTipo))=""COINCIDENCIA""
),
ISNUMBER(SEARCH(UPPER(TRIM(rPatron)),UPPER(TRIM(D612))))
)
)
),
rConc"&amp;"epto,
""""
)
)
),
MAP(
reglas!$B$2:$B$240,
reglas!$C$2:$C$240,
reglas!$D$2:$D$240,
reglas!$E$2:$E$240,
LAMBDA(rEmisor,rPatron,rConcepto,rTipo,
IF(
AND(
OR(
UPPER(TRIM(rEmisor))=UPPER(TRIM(C612)),
UPPER(TRIM(rEmisor))=""CUALQUIERA""
),
OR(
UPPER(TRIM(rTipo"&amp;"))=""SOLO EMISOR"",
AND(
UPPER(TRIM(rTipo))=""EXACTA"",
UPPER(TRIM(D612))=UPPER(TRIM(rPatron))
),
AND(
OR(
UPPER(TRIM(rTipo))=""CONTIENE"",
UPPER(TRIM(rTipo))=""COINCIDENCIA""
),
ISNUMBER(SEARCH(UPPER(TRIM(rPatron)),UPPER(TRIM(D612))))
)
)
),
rConcepto,
"&amp;"""""
)
)
)&lt;&gt;""""
),
1
),
""""
)"),"ASESORIA LEGAL")</f>
        <v>ASESORIA LEGAL</v>
      </c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</row>
    <row r="613">
      <c r="A613" s="28">
        <v>1.0</v>
      </c>
      <c r="B613" s="28" t="s">
        <v>29</v>
      </c>
      <c r="C613" s="29" t="s">
        <v>437</v>
      </c>
      <c r="D613" s="29" t="s">
        <v>1693</v>
      </c>
      <c r="E613" s="28">
        <v>3446.34</v>
      </c>
      <c r="F613" s="28">
        <v>0.0</v>
      </c>
      <c r="G613" s="28" t="s">
        <v>250</v>
      </c>
      <c r="H613" s="28">
        <f t="array" ref="H613">INDEX(CC!C:C,MATCH(1,(CC!A:A=G613)*(CC!B:B=I613),0))</f>
        <v>1402</v>
      </c>
      <c r="I613" s="28" t="s">
        <v>25</v>
      </c>
      <c r="J613" s="31">
        <v>3446.34</v>
      </c>
      <c r="K613" s="28" t="str">
        <f>IFERROR(__xludf.DUMMYFUNCTION("IFERROR(
INDEX(
FILTER(
MAP(
reglas!$B$2:$B$240,
reglas!$C$2:$C$240,
reglas!$D$2:$D$240,
reglas!$E$2:$E$240,
LAMBDA(rEmisor,rPatron,rConcepto,rTipo,
IF(
AND(
OR(
UPPER(TRIM(rEmisor))=UPPER(TRIM(C613)),
UPPER(TRIM(rEmisor))=""CUALQUIERA""
),
OR(
UPPER(TRIM"&amp;"(rTipo))=""SOLO EMISOR"",
AND(
UPPER(TRIM(rTipo))=""EXACTA"",
UPPER(TRIM(AG613))=UPPER(TRIM(rPatron))
),
AND(
OR(
UPPER(TRIM(rTipo))=""CONTIENE"",
UPPER(TRIM(rTipo))=""COINCIDENCIA""
),
ISNUMBER(SEARCH(UPPER(TRIM(rPatron)),UPPER(TRIM(D613))))
)
)
),
rConc"&amp;"epto,
""""
)
)
),
MAP(
reglas!$B$2:$B$240,
reglas!$C$2:$C$240,
reglas!$D$2:$D$240,
reglas!$E$2:$E$240,
LAMBDA(rEmisor,rPatron,rConcepto,rTipo,
IF(
AND(
OR(
UPPER(TRIM(rEmisor))=UPPER(TRIM(C613)),
UPPER(TRIM(rEmisor))=""CUALQUIERA""
),
OR(
UPPER(TRIM(rTipo"&amp;"))=""SOLO EMISOR"",
AND(
UPPER(TRIM(rTipo))=""EXACTA"",
UPPER(TRIM(D613))=UPPER(TRIM(rPatron))
),
AND(
OR(
UPPER(TRIM(rTipo))=""CONTIENE"",
UPPER(TRIM(rTipo))=""COINCIDENCIA""
),
ISNUMBER(SEARCH(UPPER(TRIM(rPatron)),UPPER(TRIM(D613))))
)
)
),
rConcepto,
"&amp;"""""
)
)
)&lt;&gt;""""
),
1
),
""""
)"),"MANIOBRAS")</f>
        <v>MANIOBRAS</v>
      </c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</row>
    <row r="614">
      <c r="A614" s="28">
        <v>1.0</v>
      </c>
      <c r="B614" s="28" t="s">
        <v>29</v>
      </c>
      <c r="C614" s="29" t="s">
        <v>437</v>
      </c>
      <c r="D614" s="29" t="s">
        <v>1694</v>
      </c>
      <c r="E614" s="28">
        <v>1015.6</v>
      </c>
      <c r="F614" s="28">
        <v>0.0</v>
      </c>
      <c r="G614" s="28" t="s">
        <v>250</v>
      </c>
      <c r="H614" s="28">
        <f t="array" ref="H614">INDEX(CC!C:C,MATCH(1,(CC!A:A=G614)*(CC!B:B=I614),0))</f>
        <v>1402</v>
      </c>
      <c r="I614" s="28" t="s">
        <v>25</v>
      </c>
      <c r="J614" s="31">
        <v>1015.6</v>
      </c>
      <c r="K614" s="28" t="str">
        <f>IFERROR(__xludf.DUMMYFUNCTION("IFERROR(
INDEX(
FILTER(
MAP(
reglas!$B$2:$B$240,
reglas!$C$2:$C$240,
reglas!$D$2:$D$240,
reglas!$E$2:$E$240,
LAMBDA(rEmisor,rPatron,rConcepto,rTipo,
IF(
AND(
OR(
UPPER(TRIM(rEmisor))=UPPER(TRIM(C614)),
UPPER(TRIM(rEmisor))=""CUALQUIERA""
),
OR(
UPPER(TRIM"&amp;"(rTipo))=""SOLO EMISOR"",
AND(
UPPER(TRIM(rTipo))=""EXACTA"",
UPPER(TRIM(AG614))=UPPER(TRIM(rPatron))
),
AND(
OR(
UPPER(TRIM(rTipo))=""CONTIENE"",
UPPER(TRIM(rTipo))=""COINCIDENCIA""
),
ISNUMBER(SEARCH(UPPER(TRIM(rPatron)),UPPER(TRIM(D614))))
)
)
),
rConc"&amp;"epto,
""""
)
)
),
MAP(
reglas!$B$2:$B$240,
reglas!$C$2:$C$240,
reglas!$D$2:$D$240,
reglas!$E$2:$E$240,
LAMBDA(rEmisor,rPatron,rConcepto,rTipo,
IF(
AND(
OR(
UPPER(TRIM(rEmisor))=UPPER(TRIM(C614)),
UPPER(TRIM(rEmisor))=""CUALQUIERA""
),
OR(
UPPER(TRIM(rTipo"&amp;"))=""SOLO EMISOR"",
AND(
UPPER(TRIM(rTipo))=""EXACTA"",
UPPER(TRIM(D614))=UPPER(TRIM(rPatron))
),
AND(
OR(
UPPER(TRIM(rTipo))=""CONTIENE"",
UPPER(TRIM(rTipo))=""COINCIDENCIA""
),
ISNUMBER(SEARCH(UPPER(TRIM(rPatron)),UPPER(TRIM(D614))))
)
)
),
rConcepto,
"&amp;"""""
)
)
)&lt;&gt;""""
),
1
),
""""
)"),"MANIOBRAS")</f>
        <v>MANIOBRAS</v>
      </c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</row>
    <row r="615">
      <c r="A615" s="32"/>
      <c r="B615" s="28" t="s">
        <v>29</v>
      </c>
      <c r="C615" s="29" t="s">
        <v>476</v>
      </c>
      <c r="D615" s="29" t="s">
        <v>1695</v>
      </c>
      <c r="E615" s="28">
        <v>2640.0</v>
      </c>
      <c r="F615" s="28">
        <v>0.0</v>
      </c>
      <c r="G615" s="28" t="s">
        <v>395</v>
      </c>
      <c r="H615" s="28">
        <f t="array" ref="H615">INDEX(CC!C:C,MATCH(1,(CC!A:A=G615)*(CC!B:B=I615),0))</f>
        <v>1103</v>
      </c>
      <c r="I615" s="28" t="s">
        <v>44</v>
      </c>
      <c r="J615" s="31">
        <v>2640.0</v>
      </c>
      <c r="K615" s="28" t="str">
        <f>IFERROR(__xludf.DUMMYFUNCTION("IFERROR(
INDEX(
FILTER(
MAP(
reglas!$B$2:$B$240,
reglas!$C$2:$C$240,
reglas!$D$2:$D$240,
reglas!$E$2:$E$240,
LAMBDA(rEmisor,rPatron,rConcepto,rTipo,
IF(
AND(
OR(
UPPER(TRIM(rEmisor))=UPPER(TRIM(C615)),
UPPER(TRIM(rEmisor))=""CUALQUIERA""
),
OR(
UPPER(TRIM"&amp;"(rTipo))=""SOLO EMISOR"",
AND(
UPPER(TRIM(rTipo))=""EXACTA"",
UPPER(TRIM(AG615))=UPPER(TRIM(rPatron))
),
AND(
OR(
UPPER(TRIM(rTipo))=""CONTIENE"",
UPPER(TRIM(rTipo))=""COINCIDENCIA""
),
ISNUMBER(SEARCH(UPPER(TRIM(rPatron)),UPPER(TRIM(D615))))
)
)
),
rConc"&amp;"epto,
""""
)
)
),
MAP(
reglas!$B$2:$B$240,
reglas!$C$2:$C$240,
reglas!$D$2:$D$240,
reglas!$E$2:$E$240,
LAMBDA(rEmisor,rPatron,rConcepto,rTipo,
IF(
AND(
OR(
UPPER(TRIM(rEmisor))=UPPER(TRIM(C615)),
UPPER(TRIM(rEmisor))=""CUALQUIERA""
),
OR(
UPPER(TRIM(rTipo"&amp;"))=""SOLO EMISOR"",
AND(
UPPER(TRIM(rTipo))=""EXACTA"",
UPPER(TRIM(D615))=UPPER(TRIM(rPatron))
),
AND(
OR(
UPPER(TRIM(rTipo))=""CONTIENE"",
UPPER(TRIM(rTipo))=""COINCIDENCIA""
),
ISNUMBER(SEARCH(UPPER(TRIM(rPatron)),UPPER(TRIM(D615))))
)
)
),
rConcepto,
"&amp;"""""
)
)
)&lt;&gt;""""
),
1
),
""""
)"),"MANIOBRAS")</f>
        <v>MANIOBRAS</v>
      </c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</row>
    <row r="616">
      <c r="A616" s="32"/>
      <c r="B616" s="28" t="s">
        <v>29</v>
      </c>
      <c r="C616" s="29" t="s">
        <v>476</v>
      </c>
      <c r="D616" s="29" t="s">
        <v>1696</v>
      </c>
      <c r="E616" s="28">
        <v>2640.0</v>
      </c>
      <c r="F616" s="28">
        <v>0.0</v>
      </c>
      <c r="G616" s="28" t="s">
        <v>395</v>
      </c>
      <c r="H616" s="28">
        <f t="array" ref="H616">INDEX(CC!C:C,MATCH(1,(CC!A:A=G616)*(CC!B:B=I616),0))</f>
        <v>1103</v>
      </c>
      <c r="I616" s="28" t="s">
        <v>44</v>
      </c>
      <c r="J616" s="31">
        <v>2640.0</v>
      </c>
      <c r="K616" s="28" t="str">
        <f>IFERROR(__xludf.DUMMYFUNCTION("IFERROR(
INDEX(
FILTER(
MAP(
reglas!$B$2:$B$240,
reglas!$C$2:$C$240,
reglas!$D$2:$D$240,
reglas!$E$2:$E$240,
LAMBDA(rEmisor,rPatron,rConcepto,rTipo,
IF(
AND(
OR(
UPPER(TRIM(rEmisor))=UPPER(TRIM(C616)),
UPPER(TRIM(rEmisor))=""CUALQUIERA""
),
OR(
UPPER(TRIM"&amp;"(rTipo))=""SOLO EMISOR"",
AND(
UPPER(TRIM(rTipo))=""EXACTA"",
UPPER(TRIM(AG616))=UPPER(TRIM(rPatron))
),
AND(
OR(
UPPER(TRIM(rTipo))=""CONTIENE"",
UPPER(TRIM(rTipo))=""COINCIDENCIA""
),
ISNUMBER(SEARCH(UPPER(TRIM(rPatron)),UPPER(TRIM(D616))))
)
)
),
rConc"&amp;"epto,
""""
)
)
),
MAP(
reglas!$B$2:$B$240,
reglas!$C$2:$C$240,
reglas!$D$2:$D$240,
reglas!$E$2:$E$240,
LAMBDA(rEmisor,rPatron,rConcepto,rTipo,
IF(
AND(
OR(
UPPER(TRIM(rEmisor))=UPPER(TRIM(C616)),
UPPER(TRIM(rEmisor))=""CUALQUIERA""
),
OR(
UPPER(TRIM(rTipo"&amp;"))=""SOLO EMISOR"",
AND(
UPPER(TRIM(rTipo))=""EXACTA"",
UPPER(TRIM(D616))=UPPER(TRIM(rPatron))
),
AND(
OR(
UPPER(TRIM(rTipo))=""CONTIENE"",
UPPER(TRIM(rTipo))=""COINCIDENCIA""
),
ISNUMBER(SEARCH(UPPER(TRIM(rPatron)),UPPER(TRIM(D616))))
)
)
),
rConcepto,
"&amp;"""""
)
)
)&lt;&gt;""""
),
1
),
""""
)"),"MANIOBRAS")</f>
        <v>MANIOBRAS</v>
      </c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</row>
    <row r="617">
      <c r="A617" s="32"/>
      <c r="B617" s="28" t="s">
        <v>29</v>
      </c>
      <c r="C617" s="29" t="s">
        <v>278</v>
      </c>
      <c r="D617" s="29" t="s">
        <v>560</v>
      </c>
      <c r="E617" s="28">
        <v>3500.0</v>
      </c>
      <c r="F617" s="28">
        <v>0.0</v>
      </c>
      <c r="G617" s="28" t="s">
        <v>250</v>
      </c>
      <c r="H617" s="28">
        <f t="array" ref="H617">INDEX(CC!C:C,MATCH(1,(CC!A:A=G617)*(CC!B:B=I617),0))</f>
        <v>1402</v>
      </c>
      <c r="I617" s="28" t="s">
        <v>25</v>
      </c>
      <c r="J617" s="31">
        <v>3500.0</v>
      </c>
      <c r="K617" s="28" t="str">
        <f>IFERROR(__xludf.DUMMYFUNCTION("IFERROR(
INDEX(
FILTER(
MAP(
reglas!$B$2:$B$240,
reglas!$C$2:$C$240,
reglas!$D$2:$D$240,
reglas!$E$2:$E$240,
LAMBDA(rEmisor,rPatron,rConcepto,rTipo,
IF(
AND(
OR(
UPPER(TRIM(rEmisor))=UPPER(TRIM(C617)),
UPPER(TRIM(rEmisor))=""CUALQUIERA""
),
OR(
UPPER(TRIM"&amp;"(rTipo))=""SOLO EMISOR"",
AND(
UPPER(TRIM(rTipo))=""EXACTA"",
UPPER(TRIM(AG617))=UPPER(TRIM(rPatron))
),
AND(
OR(
UPPER(TRIM(rTipo))=""CONTIENE"",
UPPER(TRIM(rTipo))=""COINCIDENCIA""
),
ISNUMBER(SEARCH(UPPER(TRIM(rPatron)),UPPER(TRIM(D617))))
)
)
),
rConc"&amp;"epto,
""""
)
)
),
MAP(
reglas!$B$2:$B$240,
reglas!$C$2:$C$240,
reglas!$D$2:$D$240,
reglas!$E$2:$E$240,
LAMBDA(rEmisor,rPatron,rConcepto,rTipo,
IF(
AND(
OR(
UPPER(TRIM(rEmisor))=UPPER(TRIM(C617)),
UPPER(TRIM(rEmisor))=""CUALQUIERA""
),
OR(
UPPER(TRIM(rTipo"&amp;"))=""SOLO EMISOR"",
AND(
UPPER(TRIM(rTipo))=""EXACTA"",
UPPER(TRIM(D617))=UPPER(TRIM(rPatron))
),
AND(
OR(
UPPER(TRIM(rTipo))=""CONTIENE"",
UPPER(TRIM(rTipo))=""COINCIDENCIA""
),
ISNUMBER(SEARCH(UPPER(TRIM(rPatron)),UPPER(TRIM(D617))))
)
)
),
rConcepto,
"&amp;"""""
)
)
)&lt;&gt;""""
),
1
),
""""
)"),"MANIOBRAS")</f>
        <v>MANIOBRAS</v>
      </c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</row>
    <row r="618">
      <c r="A618" s="28">
        <v>1.0</v>
      </c>
      <c r="B618" s="28" t="s">
        <v>29</v>
      </c>
      <c r="C618" s="29" t="s">
        <v>271</v>
      </c>
      <c r="D618" s="29" t="s">
        <v>585</v>
      </c>
      <c r="E618" s="28">
        <v>629.54</v>
      </c>
      <c r="F618" s="28">
        <v>0.0</v>
      </c>
      <c r="G618" s="28" t="s">
        <v>84</v>
      </c>
      <c r="H618" s="28">
        <f t="array" ref="H618">INDEX(CC!C:C,MATCH(1,(CC!A:A=G618)*(CC!B:B=I618),0))</f>
        <v>1002</v>
      </c>
      <c r="I618" s="28" t="s">
        <v>25</v>
      </c>
      <c r="J618" s="31">
        <v>629.54</v>
      </c>
      <c r="K618" s="28" t="str">
        <f>IFERROR(__xludf.DUMMYFUNCTION("IFERROR(
INDEX(
FILTER(
MAP(
reglas!$B$2:$B$240,
reglas!$C$2:$C$240,
reglas!$D$2:$D$240,
reglas!$E$2:$E$240,
LAMBDA(rEmisor,rPatron,rConcepto,rTipo,
IF(
AND(
OR(
UPPER(TRIM(rEmisor))=UPPER(TRIM(C618)),
UPPER(TRIM(rEmisor))=""CUALQUIERA""
),
OR(
UPPER(TRIM"&amp;"(rTipo))=""SOLO EMISOR"",
AND(
UPPER(TRIM(rTipo))=""EXACTA"",
UPPER(TRIM(AG618))=UPPER(TRIM(rPatron))
),
AND(
OR(
UPPER(TRIM(rTipo))=""CONTIENE"",
UPPER(TRIM(rTipo))=""COINCIDENCIA""
),
ISNUMBER(SEARCH(UPPER(TRIM(rPatron)),UPPER(TRIM(D618))))
)
)
),
rConc"&amp;"epto,
""""
)
)
),
MAP(
reglas!$B$2:$B$240,
reglas!$C$2:$C$240,
reglas!$D$2:$D$240,
reglas!$E$2:$E$240,
LAMBDA(rEmisor,rPatron,rConcepto,rTipo,
IF(
AND(
OR(
UPPER(TRIM(rEmisor))=UPPER(TRIM(C618)),
UPPER(TRIM(rEmisor))=""CUALQUIERA""
),
OR(
UPPER(TRIM(rTipo"&amp;"))=""SOLO EMISOR"",
AND(
UPPER(TRIM(rTipo))=""EXACTA"",
UPPER(TRIM(D618))=UPPER(TRIM(rPatron))
),
AND(
OR(
UPPER(TRIM(rTipo))=""CONTIENE"",
UPPER(TRIM(rTipo))=""COINCIDENCIA""
),
ISNUMBER(SEARCH(UPPER(TRIM(rPatron)),UPPER(TRIM(D618))))
)
)
),
rConcepto,
"&amp;"""""
)
)
)&lt;&gt;""""
),
1
),
""""
)"),"MANIOBRAS")</f>
        <v>MANIOBRAS</v>
      </c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</row>
    <row r="619">
      <c r="A619" s="32"/>
      <c r="B619" s="32"/>
      <c r="C619" s="29" t="s">
        <v>271</v>
      </c>
      <c r="D619" s="29" t="s">
        <v>587</v>
      </c>
      <c r="E619" s="28">
        <v>575.99</v>
      </c>
      <c r="F619" s="28">
        <v>0.0</v>
      </c>
      <c r="G619" s="28" t="s">
        <v>84</v>
      </c>
      <c r="H619" s="28">
        <f t="array" ref="H619">INDEX(CC!C:C,MATCH(1,(CC!A:A=G619)*(CC!B:B=I619),0))</f>
        <v>1002</v>
      </c>
      <c r="I619" s="28" t="s">
        <v>25</v>
      </c>
      <c r="J619" s="31">
        <v>575.99</v>
      </c>
      <c r="K619" s="28" t="str">
        <f>IFERROR(__xludf.DUMMYFUNCTION("IFERROR(
INDEX(
FILTER(
MAP(
reglas!$B$2:$B$240,
reglas!$C$2:$C$240,
reglas!$D$2:$D$240,
reglas!$E$2:$E$240,
LAMBDA(rEmisor,rPatron,rConcepto,rTipo,
IF(
AND(
OR(
UPPER(TRIM(rEmisor))=UPPER(TRIM(C619)),
UPPER(TRIM(rEmisor))=""CUALQUIERA""
),
OR(
UPPER(TRIM"&amp;"(rTipo))=""SOLO EMISOR"",
AND(
UPPER(TRIM(rTipo))=""EXACTA"",
UPPER(TRIM(AG619))=UPPER(TRIM(rPatron))
),
AND(
OR(
UPPER(TRIM(rTipo))=""CONTIENE"",
UPPER(TRIM(rTipo))=""COINCIDENCIA""
),
ISNUMBER(SEARCH(UPPER(TRIM(rPatron)),UPPER(TRIM(D619))))
)
)
),
rConc"&amp;"epto,
""""
)
)
),
MAP(
reglas!$B$2:$B$240,
reglas!$C$2:$C$240,
reglas!$D$2:$D$240,
reglas!$E$2:$E$240,
LAMBDA(rEmisor,rPatron,rConcepto,rTipo,
IF(
AND(
OR(
UPPER(TRIM(rEmisor))=UPPER(TRIM(C619)),
UPPER(TRIM(rEmisor))=""CUALQUIERA""
),
OR(
UPPER(TRIM(rTipo"&amp;"))=""SOLO EMISOR"",
AND(
UPPER(TRIM(rTipo))=""EXACTA"",
UPPER(TRIM(D619))=UPPER(TRIM(rPatron))
),
AND(
OR(
UPPER(TRIM(rTipo))=""CONTIENE"",
UPPER(TRIM(rTipo))=""COINCIDENCIA""
),
ISNUMBER(SEARCH(UPPER(TRIM(rPatron)),UPPER(TRIM(D619))))
)
)
),
rConcepto,
"&amp;"""""
)
)
)&lt;&gt;""""
),
1
),
""""
)"),"MANIOBRAS")</f>
        <v>MANIOBRAS</v>
      </c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</row>
    <row r="620">
      <c r="A620" s="32"/>
      <c r="B620" s="32"/>
      <c r="C620" s="29" t="s">
        <v>271</v>
      </c>
      <c r="D620" s="29" t="s">
        <v>586</v>
      </c>
      <c r="E620" s="28">
        <v>629.89</v>
      </c>
      <c r="F620" s="28">
        <v>0.0</v>
      </c>
      <c r="G620" s="28" t="s">
        <v>84</v>
      </c>
      <c r="H620" s="28">
        <f t="array" ref="H620">INDEX(CC!C:C,MATCH(1,(CC!A:A=G620)*(CC!B:B=I620),0))</f>
        <v>1002</v>
      </c>
      <c r="I620" s="28" t="s">
        <v>25</v>
      </c>
      <c r="J620" s="31">
        <v>629.89</v>
      </c>
      <c r="K620" s="28" t="str">
        <f>IFERROR(__xludf.DUMMYFUNCTION("IFERROR(
INDEX(
FILTER(
MAP(
reglas!$B$2:$B$240,
reglas!$C$2:$C$240,
reglas!$D$2:$D$240,
reglas!$E$2:$E$240,
LAMBDA(rEmisor,rPatron,rConcepto,rTipo,
IF(
AND(
OR(
UPPER(TRIM(rEmisor))=UPPER(TRIM(C620)),
UPPER(TRIM(rEmisor))=""CUALQUIERA""
),
OR(
UPPER(TRIM"&amp;"(rTipo))=""SOLO EMISOR"",
AND(
UPPER(TRIM(rTipo))=""EXACTA"",
UPPER(TRIM(AG620))=UPPER(TRIM(rPatron))
),
AND(
OR(
UPPER(TRIM(rTipo))=""CONTIENE"",
UPPER(TRIM(rTipo))=""COINCIDENCIA""
),
ISNUMBER(SEARCH(UPPER(TRIM(rPatron)),UPPER(TRIM(D620))))
)
)
),
rConc"&amp;"epto,
""""
)
)
),
MAP(
reglas!$B$2:$B$240,
reglas!$C$2:$C$240,
reglas!$D$2:$D$240,
reglas!$E$2:$E$240,
LAMBDA(rEmisor,rPatron,rConcepto,rTipo,
IF(
AND(
OR(
UPPER(TRIM(rEmisor))=UPPER(TRIM(C620)),
UPPER(TRIM(rEmisor))=""CUALQUIERA""
),
OR(
UPPER(TRIM(rTipo"&amp;"))=""SOLO EMISOR"",
AND(
UPPER(TRIM(rTipo))=""EXACTA"",
UPPER(TRIM(D620))=UPPER(TRIM(rPatron))
),
AND(
OR(
UPPER(TRIM(rTipo))=""CONTIENE"",
UPPER(TRIM(rTipo))=""COINCIDENCIA""
),
ISNUMBER(SEARCH(UPPER(TRIM(rPatron)),UPPER(TRIM(D620))))
)
)
),
rConcepto,
"&amp;"""""
)
)
)&lt;&gt;""""
),
1
),
""""
)"),"MANIOBRAS")</f>
        <v>MANIOBRAS</v>
      </c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</row>
    <row r="621">
      <c r="A621" s="32"/>
      <c r="B621" s="32"/>
      <c r="C621" s="29" t="s">
        <v>271</v>
      </c>
      <c r="D621" s="29" t="s">
        <v>589</v>
      </c>
      <c r="E621" s="28">
        <v>629.89</v>
      </c>
      <c r="F621" s="28">
        <v>0.0</v>
      </c>
      <c r="G621" s="28" t="s">
        <v>84</v>
      </c>
      <c r="H621" s="28">
        <f t="array" ref="H621">INDEX(CC!C:C,MATCH(1,(CC!A:A=G621)*(CC!B:B=I621),0))</f>
        <v>1002</v>
      </c>
      <c r="I621" s="28" t="s">
        <v>25</v>
      </c>
      <c r="J621" s="31">
        <v>629.89</v>
      </c>
      <c r="K621" s="28" t="str">
        <f>IFERROR(__xludf.DUMMYFUNCTION("IFERROR(
INDEX(
FILTER(
MAP(
reglas!$B$2:$B$240,
reglas!$C$2:$C$240,
reglas!$D$2:$D$240,
reglas!$E$2:$E$240,
LAMBDA(rEmisor,rPatron,rConcepto,rTipo,
IF(
AND(
OR(
UPPER(TRIM(rEmisor))=UPPER(TRIM(C621)),
UPPER(TRIM(rEmisor))=""CUALQUIERA""
),
OR(
UPPER(TRIM"&amp;"(rTipo))=""SOLO EMISOR"",
AND(
UPPER(TRIM(rTipo))=""EXACTA"",
UPPER(TRIM(AG621))=UPPER(TRIM(rPatron))
),
AND(
OR(
UPPER(TRIM(rTipo))=""CONTIENE"",
UPPER(TRIM(rTipo))=""COINCIDENCIA""
),
ISNUMBER(SEARCH(UPPER(TRIM(rPatron)),UPPER(TRIM(D621))))
)
)
),
rConc"&amp;"epto,
""""
)
)
),
MAP(
reglas!$B$2:$B$240,
reglas!$C$2:$C$240,
reglas!$D$2:$D$240,
reglas!$E$2:$E$240,
LAMBDA(rEmisor,rPatron,rConcepto,rTipo,
IF(
AND(
OR(
UPPER(TRIM(rEmisor))=UPPER(TRIM(C621)),
UPPER(TRIM(rEmisor))=""CUALQUIERA""
),
OR(
UPPER(TRIM(rTipo"&amp;"))=""SOLO EMISOR"",
AND(
UPPER(TRIM(rTipo))=""EXACTA"",
UPPER(TRIM(D621))=UPPER(TRIM(rPatron))
),
AND(
OR(
UPPER(TRIM(rTipo))=""CONTIENE"",
UPPER(TRIM(rTipo))=""COINCIDENCIA""
),
ISNUMBER(SEARCH(UPPER(TRIM(rPatron)),UPPER(TRIM(D621))))
)
)
),
rConcepto,
"&amp;"""""
)
)
)&lt;&gt;""""
),
1
),
""""
)"),"MANIOBRAS")</f>
        <v>MANIOBRAS</v>
      </c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</row>
    <row r="622">
      <c r="A622" s="32"/>
      <c r="B622" s="32"/>
      <c r="C622" s="29" t="s">
        <v>271</v>
      </c>
      <c r="D622" s="29" t="s">
        <v>593</v>
      </c>
      <c r="E622" s="28">
        <v>357.65</v>
      </c>
      <c r="F622" s="28">
        <v>0.0</v>
      </c>
      <c r="G622" s="28" t="s">
        <v>84</v>
      </c>
      <c r="H622" s="28">
        <f t="array" ref="H622">INDEX(CC!C:C,MATCH(1,(CC!A:A=G622)*(CC!B:B=I622),0))</f>
        <v>1002</v>
      </c>
      <c r="I622" s="28" t="s">
        <v>25</v>
      </c>
      <c r="J622" s="31">
        <v>357.65</v>
      </c>
      <c r="K622" s="28" t="str">
        <f>IFERROR(__xludf.DUMMYFUNCTION("IFERROR(
INDEX(
FILTER(
MAP(
reglas!$B$2:$B$240,
reglas!$C$2:$C$240,
reglas!$D$2:$D$240,
reglas!$E$2:$E$240,
LAMBDA(rEmisor,rPatron,rConcepto,rTipo,
IF(
AND(
OR(
UPPER(TRIM(rEmisor))=UPPER(TRIM(C622)),
UPPER(TRIM(rEmisor))=""CUALQUIERA""
),
OR(
UPPER(TRIM"&amp;"(rTipo))=""SOLO EMISOR"",
AND(
UPPER(TRIM(rTipo))=""EXACTA"",
UPPER(TRIM(AG622))=UPPER(TRIM(rPatron))
),
AND(
OR(
UPPER(TRIM(rTipo))=""CONTIENE"",
UPPER(TRIM(rTipo))=""COINCIDENCIA""
),
ISNUMBER(SEARCH(UPPER(TRIM(rPatron)),UPPER(TRIM(D622))))
)
)
),
rConc"&amp;"epto,
""""
)
)
),
MAP(
reglas!$B$2:$B$240,
reglas!$C$2:$C$240,
reglas!$D$2:$D$240,
reglas!$E$2:$E$240,
LAMBDA(rEmisor,rPatron,rConcepto,rTipo,
IF(
AND(
OR(
UPPER(TRIM(rEmisor))=UPPER(TRIM(C622)),
UPPER(TRIM(rEmisor))=""CUALQUIERA""
),
OR(
UPPER(TRIM(rTipo"&amp;"))=""SOLO EMISOR"",
AND(
UPPER(TRIM(rTipo))=""EXACTA"",
UPPER(TRIM(D622))=UPPER(TRIM(rPatron))
),
AND(
OR(
UPPER(TRIM(rTipo))=""CONTIENE"",
UPPER(TRIM(rTipo))=""COINCIDENCIA""
),
ISNUMBER(SEARCH(UPPER(TRIM(rPatron)),UPPER(TRIM(D622))))
)
)
),
rConcepto,
"&amp;"""""
)
)
)&lt;&gt;""""
),
1
),
""""
)"),"MANIOBRAS")</f>
        <v>MANIOBRAS</v>
      </c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</row>
    <row r="623">
      <c r="A623" s="32"/>
      <c r="B623" s="32"/>
      <c r="C623" s="29" t="s">
        <v>271</v>
      </c>
      <c r="D623" s="29" t="s">
        <v>596</v>
      </c>
      <c r="E623" s="28">
        <v>660.88</v>
      </c>
      <c r="F623" s="28">
        <v>0.0</v>
      </c>
      <c r="G623" s="28" t="s">
        <v>84</v>
      </c>
      <c r="H623" s="28">
        <f t="array" ref="H623">INDEX(CC!C:C,MATCH(1,(CC!A:A=G623)*(CC!B:B=I623),0))</f>
        <v>1002</v>
      </c>
      <c r="I623" s="28" t="s">
        <v>25</v>
      </c>
      <c r="J623" s="31">
        <v>660.88</v>
      </c>
      <c r="K623" s="28" t="str">
        <f>IFERROR(__xludf.DUMMYFUNCTION("IFERROR(
INDEX(
FILTER(
MAP(
reglas!$B$2:$B$240,
reglas!$C$2:$C$240,
reglas!$D$2:$D$240,
reglas!$E$2:$E$240,
LAMBDA(rEmisor,rPatron,rConcepto,rTipo,
IF(
AND(
OR(
UPPER(TRIM(rEmisor))=UPPER(TRIM(C623)),
UPPER(TRIM(rEmisor))=""CUALQUIERA""
),
OR(
UPPER(TRIM"&amp;"(rTipo))=""SOLO EMISOR"",
AND(
UPPER(TRIM(rTipo))=""EXACTA"",
UPPER(TRIM(AG623))=UPPER(TRIM(rPatron))
),
AND(
OR(
UPPER(TRIM(rTipo))=""CONTIENE"",
UPPER(TRIM(rTipo))=""COINCIDENCIA""
),
ISNUMBER(SEARCH(UPPER(TRIM(rPatron)),UPPER(TRIM(D623))))
)
)
),
rConc"&amp;"epto,
""""
)
)
),
MAP(
reglas!$B$2:$B$240,
reglas!$C$2:$C$240,
reglas!$D$2:$D$240,
reglas!$E$2:$E$240,
LAMBDA(rEmisor,rPatron,rConcepto,rTipo,
IF(
AND(
OR(
UPPER(TRIM(rEmisor))=UPPER(TRIM(C623)),
UPPER(TRIM(rEmisor))=""CUALQUIERA""
),
OR(
UPPER(TRIM(rTipo"&amp;"))=""SOLO EMISOR"",
AND(
UPPER(TRIM(rTipo))=""EXACTA"",
UPPER(TRIM(D623))=UPPER(TRIM(rPatron))
),
AND(
OR(
UPPER(TRIM(rTipo))=""CONTIENE"",
UPPER(TRIM(rTipo))=""COINCIDENCIA""
),
ISNUMBER(SEARCH(UPPER(TRIM(rPatron)),UPPER(TRIM(D623))))
)
)
),
rConcepto,
"&amp;"""""
)
)
)&lt;&gt;""""
),
1
),
""""
)"),"MANIOBRAS")</f>
        <v>MANIOBRAS</v>
      </c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</row>
    <row r="624">
      <c r="A624" s="28">
        <v>1.0</v>
      </c>
      <c r="B624" s="28" t="s">
        <v>29</v>
      </c>
      <c r="C624" s="29" t="s">
        <v>271</v>
      </c>
      <c r="D624" s="29" t="s">
        <v>585</v>
      </c>
      <c r="E624" s="28">
        <v>626.59</v>
      </c>
      <c r="F624" s="28">
        <v>0.0</v>
      </c>
      <c r="G624" s="28" t="s">
        <v>84</v>
      </c>
      <c r="H624" s="28">
        <f t="array" ref="H624">INDEX(CC!C:C,MATCH(1,(CC!A:A=G624)*(CC!B:B=I624),0))</f>
        <v>1002</v>
      </c>
      <c r="I624" s="28" t="s">
        <v>25</v>
      </c>
      <c r="J624" s="31">
        <v>626.59</v>
      </c>
      <c r="K624" s="28" t="str">
        <f>IFERROR(__xludf.DUMMYFUNCTION("IFERROR(
INDEX(
FILTER(
MAP(
reglas!$B$2:$B$240,
reglas!$C$2:$C$240,
reglas!$D$2:$D$240,
reglas!$E$2:$E$240,
LAMBDA(rEmisor,rPatron,rConcepto,rTipo,
IF(
AND(
OR(
UPPER(TRIM(rEmisor))=UPPER(TRIM(C624)),
UPPER(TRIM(rEmisor))=""CUALQUIERA""
),
OR(
UPPER(TRIM"&amp;"(rTipo))=""SOLO EMISOR"",
AND(
UPPER(TRIM(rTipo))=""EXACTA"",
UPPER(TRIM(AG624))=UPPER(TRIM(rPatron))
),
AND(
OR(
UPPER(TRIM(rTipo))=""CONTIENE"",
UPPER(TRIM(rTipo))=""COINCIDENCIA""
),
ISNUMBER(SEARCH(UPPER(TRIM(rPatron)),UPPER(TRIM(D624))))
)
)
),
rConc"&amp;"epto,
""""
)
)
),
MAP(
reglas!$B$2:$B$240,
reglas!$C$2:$C$240,
reglas!$D$2:$D$240,
reglas!$E$2:$E$240,
LAMBDA(rEmisor,rPatron,rConcepto,rTipo,
IF(
AND(
OR(
UPPER(TRIM(rEmisor))=UPPER(TRIM(C624)),
UPPER(TRIM(rEmisor))=""CUALQUIERA""
),
OR(
UPPER(TRIM(rTipo"&amp;"))=""SOLO EMISOR"",
AND(
UPPER(TRIM(rTipo))=""EXACTA"",
UPPER(TRIM(D624))=UPPER(TRIM(rPatron))
),
AND(
OR(
UPPER(TRIM(rTipo))=""CONTIENE"",
UPPER(TRIM(rTipo))=""COINCIDENCIA""
),
ISNUMBER(SEARCH(UPPER(TRIM(rPatron)),UPPER(TRIM(D624))))
)
)
),
rConcepto,
"&amp;"""""
)
)
)&lt;&gt;""""
),
1
),
""""
)"),"MANIOBRAS")</f>
        <v>MANIOBRAS</v>
      </c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</row>
    <row r="625">
      <c r="A625" s="32"/>
      <c r="B625" s="32"/>
      <c r="C625" s="29" t="s">
        <v>271</v>
      </c>
      <c r="D625" s="29" t="s">
        <v>587</v>
      </c>
      <c r="E625" s="28">
        <v>573.29</v>
      </c>
      <c r="F625" s="28">
        <v>0.0</v>
      </c>
      <c r="G625" s="28" t="s">
        <v>84</v>
      </c>
      <c r="H625" s="28">
        <f t="array" ref="H625">INDEX(CC!C:C,MATCH(1,(CC!A:A=G625)*(CC!B:B=I625),0))</f>
        <v>1002</v>
      </c>
      <c r="I625" s="28" t="s">
        <v>25</v>
      </c>
      <c r="J625" s="31">
        <v>573.29</v>
      </c>
      <c r="K625" s="28" t="str">
        <f>IFERROR(__xludf.DUMMYFUNCTION("IFERROR(
INDEX(
FILTER(
MAP(
reglas!$B$2:$B$240,
reglas!$C$2:$C$240,
reglas!$D$2:$D$240,
reglas!$E$2:$E$240,
LAMBDA(rEmisor,rPatron,rConcepto,rTipo,
IF(
AND(
OR(
UPPER(TRIM(rEmisor))=UPPER(TRIM(C625)),
UPPER(TRIM(rEmisor))=""CUALQUIERA""
),
OR(
UPPER(TRIM"&amp;"(rTipo))=""SOLO EMISOR"",
AND(
UPPER(TRIM(rTipo))=""EXACTA"",
UPPER(TRIM(AG625))=UPPER(TRIM(rPatron))
),
AND(
OR(
UPPER(TRIM(rTipo))=""CONTIENE"",
UPPER(TRIM(rTipo))=""COINCIDENCIA""
),
ISNUMBER(SEARCH(UPPER(TRIM(rPatron)),UPPER(TRIM(D625))))
)
)
),
rConc"&amp;"epto,
""""
)
)
),
MAP(
reglas!$B$2:$B$240,
reglas!$C$2:$C$240,
reglas!$D$2:$D$240,
reglas!$E$2:$E$240,
LAMBDA(rEmisor,rPatron,rConcepto,rTipo,
IF(
AND(
OR(
UPPER(TRIM(rEmisor))=UPPER(TRIM(C625)),
UPPER(TRIM(rEmisor))=""CUALQUIERA""
),
OR(
UPPER(TRIM(rTipo"&amp;"))=""SOLO EMISOR"",
AND(
UPPER(TRIM(rTipo))=""EXACTA"",
UPPER(TRIM(D625))=UPPER(TRIM(rPatron))
),
AND(
OR(
UPPER(TRIM(rTipo))=""CONTIENE"",
UPPER(TRIM(rTipo))=""COINCIDENCIA""
),
ISNUMBER(SEARCH(UPPER(TRIM(rPatron)),UPPER(TRIM(D625))))
)
)
),
rConcepto,
"&amp;"""""
)
)
)&lt;&gt;""""
),
1
),
""""
)"),"MANIOBRAS")</f>
        <v>MANIOBRAS</v>
      </c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</row>
    <row r="626">
      <c r="A626" s="32"/>
      <c r="B626" s="32"/>
      <c r="C626" s="29" t="s">
        <v>271</v>
      </c>
      <c r="D626" s="29" t="s">
        <v>589</v>
      </c>
      <c r="E626" s="28">
        <v>626.93</v>
      </c>
      <c r="F626" s="28">
        <v>0.0</v>
      </c>
      <c r="G626" s="28" t="s">
        <v>84</v>
      </c>
      <c r="H626" s="28">
        <f t="array" ref="H626">INDEX(CC!C:C,MATCH(1,(CC!A:A=G626)*(CC!B:B=I626),0))</f>
        <v>1002</v>
      </c>
      <c r="I626" s="28" t="s">
        <v>25</v>
      </c>
      <c r="J626" s="31">
        <v>626.93</v>
      </c>
      <c r="K626" s="28" t="str">
        <f>IFERROR(__xludf.DUMMYFUNCTION("IFERROR(
INDEX(
FILTER(
MAP(
reglas!$B$2:$B$240,
reglas!$C$2:$C$240,
reglas!$D$2:$D$240,
reglas!$E$2:$E$240,
LAMBDA(rEmisor,rPatron,rConcepto,rTipo,
IF(
AND(
OR(
UPPER(TRIM(rEmisor))=UPPER(TRIM(C626)),
UPPER(TRIM(rEmisor))=""CUALQUIERA""
),
OR(
UPPER(TRIM"&amp;"(rTipo))=""SOLO EMISOR"",
AND(
UPPER(TRIM(rTipo))=""EXACTA"",
UPPER(TRIM(AG626))=UPPER(TRIM(rPatron))
),
AND(
OR(
UPPER(TRIM(rTipo))=""CONTIENE"",
UPPER(TRIM(rTipo))=""COINCIDENCIA""
),
ISNUMBER(SEARCH(UPPER(TRIM(rPatron)),UPPER(TRIM(D626))))
)
)
),
rConc"&amp;"epto,
""""
)
)
),
MAP(
reglas!$B$2:$B$240,
reglas!$C$2:$C$240,
reglas!$D$2:$D$240,
reglas!$E$2:$E$240,
LAMBDA(rEmisor,rPatron,rConcepto,rTipo,
IF(
AND(
OR(
UPPER(TRIM(rEmisor))=UPPER(TRIM(C626)),
UPPER(TRIM(rEmisor))=""CUALQUIERA""
),
OR(
UPPER(TRIM(rTipo"&amp;"))=""SOLO EMISOR"",
AND(
UPPER(TRIM(rTipo))=""EXACTA"",
UPPER(TRIM(D626))=UPPER(TRIM(rPatron))
),
AND(
OR(
UPPER(TRIM(rTipo))=""CONTIENE"",
UPPER(TRIM(rTipo))=""COINCIDENCIA""
),
ISNUMBER(SEARCH(UPPER(TRIM(rPatron)),UPPER(TRIM(D626))))
)
)
),
rConcepto,
"&amp;"""""
)
)
)&lt;&gt;""""
),
1
),
""""
)"),"MANIOBRAS")</f>
        <v>MANIOBRAS</v>
      </c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</row>
    <row r="627">
      <c r="A627" s="32"/>
      <c r="B627" s="32"/>
      <c r="C627" s="29" t="s">
        <v>271</v>
      </c>
      <c r="D627" s="29" t="s">
        <v>596</v>
      </c>
      <c r="E627" s="28">
        <v>657.78</v>
      </c>
      <c r="F627" s="28">
        <v>0.0</v>
      </c>
      <c r="G627" s="28" t="s">
        <v>84</v>
      </c>
      <c r="H627" s="28">
        <f t="array" ref="H627">INDEX(CC!C:C,MATCH(1,(CC!A:A=G627)*(CC!B:B=I627),0))</f>
        <v>1002</v>
      </c>
      <c r="I627" s="28" t="s">
        <v>25</v>
      </c>
      <c r="J627" s="31">
        <v>657.78</v>
      </c>
      <c r="K627" s="28" t="str">
        <f>IFERROR(__xludf.DUMMYFUNCTION("IFERROR(
INDEX(
FILTER(
MAP(
reglas!$B$2:$B$240,
reglas!$C$2:$C$240,
reglas!$D$2:$D$240,
reglas!$E$2:$E$240,
LAMBDA(rEmisor,rPatron,rConcepto,rTipo,
IF(
AND(
OR(
UPPER(TRIM(rEmisor))=UPPER(TRIM(C627)),
UPPER(TRIM(rEmisor))=""CUALQUIERA""
),
OR(
UPPER(TRIM"&amp;"(rTipo))=""SOLO EMISOR"",
AND(
UPPER(TRIM(rTipo))=""EXACTA"",
UPPER(TRIM(AG627))=UPPER(TRIM(rPatron))
),
AND(
OR(
UPPER(TRIM(rTipo))=""CONTIENE"",
UPPER(TRIM(rTipo))=""COINCIDENCIA""
),
ISNUMBER(SEARCH(UPPER(TRIM(rPatron)),UPPER(TRIM(D627))))
)
)
),
rConc"&amp;"epto,
""""
)
)
),
MAP(
reglas!$B$2:$B$240,
reglas!$C$2:$C$240,
reglas!$D$2:$D$240,
reglas!$E$2:$E$240,
LAMBDA(rEmisor,rPatron,rConcepto,rTipo,
IF(
AND(
OR(
UPPER(TRIM(rEmisor))=UPPER(TRIM(C627)),
UPPER(TRIM(rEmisor))=""CUALQUIERA""
),
OR(
UPPER(TRIM(rTipo"&amp;"))=""SOLO EMISOR"",
AND(
UPPER(TRIM(rTipo))=""EXACTA"",
UPPER(TRIM(D627))=UPPER(TRIM(rPatron))
),
AND(
OR(
UPPER(TRIM(rTipo))=""CONTIENE"",
UPPER(TRIM(rTipo))=""COINCIDENCIA""
),
ISNUMBER(SEARCH(UPPER(TRIM(rPatron)),UPPER(TRIM(D627))))
)
)
),
rConcepto,
"&amp;"""""
)
)
)&lt;&gt;""""
),
1
),
""""
)"),"MANIOBRAS")</f>
        <v>MANIOBRAS</v>
      </c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</row>
    <row r="628">
      <c r="A628" s="28">
        <v>1.0</v>
      </c>
      <c r="B628" s="28" t="s">
        <v>29</v>
      </c>
      <c r="C628" s="29" t="s">
        <v>271</v>
      </c>
      <c r="D628" s="29" t="s">
        <v>585</v>
      </c>
      <c r="E628" s="28">
        <v>629.54</v>
      </c>
      <c r="F628" s="28">
        <v>0.0</v>
      </c>
      <c r="G628" s="28" t="s">
        <v>84</v>
      </c>
      <c r="H628" s="28">
        <f t="array" ref="H628">INDEX(CC!C:C,MATCH(1,(CC!A:A=G628)*(CC!B:B=I628),0))</f>
        <v>1002</v>
      </c>
      <c r="I628" s="28" t="s">
        <v>25</v>
      </c>
      <c r="J628" s="31">
        <v>629.54</v>
      </c>
      <c r="K628" s="28" t="str">
        <f>IFERROR(__xludf.DUMMYFUNCTION("IFERROR(
INDEX(
FILTER(
MAP(
reglas!$B$2:$B$240,
reglas!$C$2:$C$240,
reglas!$D$2:$D$240,
reglas!$E$2:$E$240,
LAMBDA(rEmisor,rPatron,rConcepto,rTipo,
IF(
AND(
OR(
UPPER(TRIM(rEmisor))=UPPER(TRIM(C628)),
UPPER(TRIM(rEmisor))=""CUALQUIERA""
),
OR(
UPPER(TRIM"&amp;"(rTipo))=""SOLO EMISOR"",
AND(
UPPER(TRIM(rTipo))=""EXACTA"",
UPPER(TRIM(AG628))=UPPER(TRIM(rPatron))
),
AND(
OR(
UPPER(TRIM(rTipo))=""CONTIENE"",
UPPER(TRIM(rTipo))=""COINCIDENCIA""
),
ISNUMBER(SEARCH(UPPER(TRIM(rPatron)),UPPER(TRIM(D628))))
)
)
),
rConc"&amp;"epto,
""""
)
)
),
MAP(
reglas!$B$2:$B$240,
reglas!$C$2:$C$240,
reglas!$D$2:$D$240,
reglas!$E$2:$E$240,
LAMBDA(rEmisor,rPatron,rConcepto,rTipo,
IF(
AND(
OR(
UPPER(TRIM(rEmisor))=UPPER(TRIM(C628)),
UPPER(TRIM(rEmisor))=""CUALQUIERA""
),
OR(
UPPER(TRIM(rTipo"&amp;"))=""SOLO EMISOR"",
AND(
UPPER(TRIM(rTipo))=""EXACTA"",
UPPER(TRIM(D628))=UPPER(TRIM(rPatron))
),
AND(
OR(
UPPER(TRIM(rTipo))=""CONTIENE"",
UPPER(TRIM(rTipo))=""COINCIDENCIA""
),
ISNUMBER(SEARCH(UPPER(TRIM(rPatron)),UPPER(TRIM(D628))))
)
)
),
rConcepto,
"&amp;"""""
)
)
)&lt;&gt;""""
),
1
),
""""
)"),"MANIOBRAS")</f>
        <v>MANIOBRAS</v>
      </c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</row>
    <row r="629">
      <c r="A629" s="32"/>
      <c r="B629" s="32"/>
      <c r="C629" s="29" t="s">
        <v>271</v>
      </c>
      <c r="D629" s="29" t="s">
        <v>587</v>
      </c>
      <c r="E629" s="28">
        <v>575.99</v>
      </c>
      <c r="F629" s="28">
        <v>0.0</v>
      </c>
      <c r="G629" s="28" t="s">
        <v>84</v>
      </c>
      <c r="H629" s="28">
        <f t="array" ref="H629">INDEX(CC!C:C,MATCH(1,(CC!A:A=G629)*(CC!B:B=I629),0))</f>
        <v>1002</v>
      </c>
      <c r="I629" s="28" t="s">
        <v>25</v>
      </c>
      <c r="J629" s="31">
        <v>575.99</v>
      </c>
      <c r="K629" s="28" t="str">
        <f>IFERROR(__xludf.DUMMYFUNCTION("IFERROR(
INDEX(
FILTER(
MAP(
reglas!$B$2:$B$240,
reglas!$C$2:$C$240,
reglas!$D$2:$D$240,
reglas!$E$2:$E$240,
LAMBDA(rEmisor,rPatron,rConcepto,rTipo,
IF(
AND(
OR(
UPPER(TRIM(rEmisor))=UPPER(TRIM(C629)),
UPPER(TRIM(rEmisor))=""CUALQUIERA""
),
OR(
UPPER(TRIM"&amp;"(rTipo))=""SOLO EMISOR"",
AND(
UPPER(TRIM(rTipo))=""EXACTA"",
UPPER(TRIM(AG629))=UPPER(TRIM(rPatron))
),
AND(
OR(
UPPER(TRIM(rTipo))=""CONTIENE"",
UPPER(TRIM(rTipo))=""COINCIDENCIA""
),
ISNUMBER(SEARCH(UPPER(TRIM(rPatron)),UPPER(TRIM(D629))))
)
)
),
rConc"&amp;"epto,
""""
)
)
),
MAP(
reglas!$B$2:$B$240,
reglas!$C$2:$C$240,
reglas!$D$2:$D$240,
reglas!$E$2:$E$240,
LAMBDA(rEmisor,rPatron,rConcepto,rTipo,
IF(
AND(
OR(
UPPER(TRIM(rEmisor))=UPPER(TRIM(C629)),
UPPER(TRIM(rEmisor))=""CUALQUIERA""
),
OR(
UPPER(TRIM(rTipo"&amp;"))=""SOLO EMISOR"",
AND(
UPPER(TRIM(rTipo))=""EXACTA"",
UPPER(TRIM(D629))=UPPER(TRIM(rPatron))
),
AND(
OR(
UPPER(TRIM(rTipo))=""CONTIENE"",
UPPER(TRIM(rTipo))=""COINCIDENCIA""
),
ISNUMBER(SEARCH(UPPER(TRIM(rPatron)),UPPER(TRIM(D629))))
)
)
),
rConcepto,
"&amp;"""""
)
)
)&lt;&gt;""""
),
1
),
""""
)"),"MANIOBRAS")</f>
        <v>MANIOBRAS</v>
      </c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</row>
    <row r="630">
      <c r="A630" s="32"/>
      <c r="B630" s="32"/>
      <c r="C630" s="29" t="s">
        <v>271</v>
      </c>
      <c r="D630" s="29" t="s">
        <v>586</v>
      </c>
      <c r="E630" s="28">
        <v>629.89</v>
      </c>
      <c r="F630" s="28">
        <v>0.0</v>
      </c>
      <c r="G630" s="28" t="s">
        <v>84</v>
      </c>
      <c r="H630" s="28">
        <f t="array" ref="H630">INDEX(CC!C:C,MATCH(1,(CC!A:A=G630)*(CC!B:B=I630),0))</f>
        <v>1002</v>
      </c>
      <c r="I630" s="28" t="s">
        <v>25</v>
      </c>
      <c r="J630" s="31">
        <v>629.89</v>
      </c>
      <c r="K630" s="28" t="str">
        <f>IFERROR(__xludf.DUMMYFUNCTION("IFERROR(
INDEX(
FILTER(
MAP(
reglas!$B$2:$B$240,
reglas!$C$2:$C$240,
reglas!$D$2:$D$240,
reglas!$E$2:$E$240,
LAMBDA(rEmisor,rPatron,rConcepto,rTipo,
IF(
AND(
OR(
UPPER(TRIM(rEmisor))=UPPER(TRIM(C630)),
UPPER(TRIM(rEmisor))=""CUALQUIERA""
),
OR(
UPPER(TRIM"&amp;"(rTipo))=""SOLO EMISOR"",
AND(
UPPER(TRIM(rTipo))=""EXACTA"",
UPPER(TRIM(AG630))=UPPER(TRIM(rPatron))
),
AND(
OR(
UPPER(TRIM(rTipo))=""CONTIENE"",
UPPER(TRIM(rTipo))=""COINCIDENCIA""
),
ISNUMBER(SEARCH(UPPER(TRIM(rPatron)),UPPER(TRIM(D630))))
)
)
),
rConc"&amp;"epto,
""""
)
)
),
MAP(
reglas!$B$2:$B$240,
reglas!$C$2:$C$240,
reglas!$D$2:$D$240,
reglas!$E$2:$E$240,
LAMBDA(rEmisor,rPatron,rConcepto,rTipo,
IF(
AND(
OR(
UPPER(TRIM(rEmisor))=UPPER(TRIM(C630)),
UPPER(TRIM(rEmisor))=""CUALQUIERA""
),
OR(
UPPER(TRIM(rTipo"&amp;"))=""SOLO EMISOR"",
AND(
UPPER(TRIM(rTipo))=""EXACTA"",
UPPER(TRIM(D630))=UPPER(TRIM(rPatron))
),
AND(
OR(
UPPER(TRIM(rTipo))=""CONTIENE"",
UPPER(TRIM(rTipo))=""COINCIDENCIA""
),
ISNUMBER(SEARCH(UPPER(TRIM(rPatron)),UPPER(TRIM(D630))))
)
)
),
rConcepto,
"&amp;"""""
)
)
)&lt;&gt;""""
),
1
),
""""
)"),"MANIOBRAS")</f>
        <v>MANIOBRAS</v>
      </c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</row>
    <row r="631">
      <c r="A631" s="32"/>
      <c r="B631" s="32"/>
      <c r="C631" s="29" t="s">
        <v>271</v>
      </c>
      <c r="D631" s="29" t="s">
        <v>589</v>
      </c>
      <c r="E631" s="28">
        <v>692.91</v>
      </c>
      <c r="F631" s="28">
        <v>0.0</v>
      </c>
      <c r="G631" s="28" t="s">
        <v>84</v>
      </c>
      <c r="H631" s="28">
        <f t="array" ref="H631">INDEX(CC!C:C,MATCH(1,(CC!A:A=G631)*(CC!B:B=I631),0))</f>
        <v>1002</v>
      </c>
      <c r="I631" s="28" t="s">
        <v>25</v>
      </c>
      <c r="J631" s="31">
        <v>692.91</v>
      </c>
      <c r="K631" s="28" t="str">
        <f>IFERROR(__xludf.DUMMYFUNCTION("IFERROR(
INDEX(
FILTER(
MAP(
reglas!$B$2:$B$240,
reglas!$C$2:$C$240,
reglas!$D$2:$D$240,
reglas!$E$2:$E$240,
LAMBDA(rEmisor,rPatron,rConcepto,rTipo,
IF(
AND(
OR(
UPPER(TRIM(rEmisor))=UPPER(TRIM(C631)),
UPPER(TRIM(rEmisor))=""CUALQUIERA""
),
OR(
UPPER(TRIM"&amp;"(rTipo))=""SOLO EMISOR"",
AND(
UPPER(TRIM(rTipo))=""EXACTA"",
UPPER(TRIM(AG631))=UPPER(TRIM(rPatron))
),
AND(
OR(
UPPER(TRIM(rTipo))=""CONTIENE"",
UPPER(TRIM(rTipo))=""COINCIDENCIA""
),
ISNUMBER(SEARCH(UPPER(TRIM(rPatron)),UPPER(TRIM(D631))))
)
)
),
rConc"&amp;"epto,
""""
)
)
),
MAP(
reglas!$B$2:$B$240,
reglas!$C$2:$C$240,
reglas!$D$2:$D$240,
reglas!$E$2:$E$240,
LAMBDA(rEmisor,rPatron,rConcepto,rTipo,
IF(
AND(
OR(
UPPER(TRIM(rEmisor))=UPPER(TRIM(C631)),
UPPER(TRIM(rEmisor))=""CUALQUIERA""
),
OR(
UPPER(TRIM(rTipo"&amp;"))=""SOLO EMISOR"",
AND(
UPPER(TRIM(rTipo))=""EXACTA"",
UPPER(TRIM(D631))=UPPER(TRIM(rPatron))
),
AND(
OR(
UPPER(TRIM(rTipo))=""CONTIENE"",
UPPER(TRIM(rTipo))=""COINCIDENCIA""
),
ISNUMBER(SEARCH(UPPER(TRIM(rPatron)),UPPER(TRIM(D631))))
)
)
),
rConcepto,
"&amp;"""""
)
)
)&lt;&gt;""""
),
1
),
""""
)"),"MANIOBRAS")</f>
        <v>MANIOBRAS</v>
      </c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</row>
    <row r="632">
      <c r="A632" s="32"/>
      <c r="B632" s="32"/>
      <c r="C632" s="29" t="s">
        <v>271</v>
      </c>
      <c r="D632" s="29" t="s">
        <v>593</v>
      </c>
      <c r="E632" s="28">
        <v>1017.84</v>
      </c>
      <c r="F632" s="28">
        <v>0.0</v>
      </c>
      <c r="G632" s="28" t="s">
        <v>84</v>
      </c>
      <c r="H632" s="28">
        <f t="array" ref="H632">INDEX(CC!C:C,MATCH(1,(CC!A:A=G632)*(CC!B:B=I632),0))</f>
        <v>1002</v>
      </c>
      <c r="I632" s="28" t="s">
        <v>25</v>
      </c>
      <c r="J632" s="31">
        <v>1017.84</v>
      </c>
      <c r="K632" s="28" t="str">
        <f>IFERROR(__xludf.DUMMYFUNCTION("IFERROR(
INDEX(
FILTER(
MAP(
reglas!$B$2:$B$240,
reglas!$C$2:$C$240,
reglas!$D$2:$D$240,
reglas!$E$2:$E$240,
LAMBDA(rEmisor,rPatron,rConcepto,rTipo,
IF(
AND(
OR(
UPPER(TRIM(rEmisor))=UPPER(TRIM(C632)),
UPPER(TRIM(rEmisor))=""CUALQUIERA""
),
OR(
UPPER(TRIM"&amp;"(rTipo))=""SOLO EMISOR"",
AND(
UPPER(TRIM(rTipo))=""EXACTA"",
UPPER(TRIM(AG632))=UPPER(TRIM(rPatron))
),
AND(
OR(
UPPER(TRIM(rTipo))=""CONTIENE"",
UPPER(TRIM(rTipo))=""COINCIDENCIA""
),
ISNUMBER(SEARCH(UPPER(TRIM(rPatron)),UPPER(TRIM(D632))))
)
)
),
rConc"&amp;"epto,
""""
)
)
),
MAP(
reglas!$B$2:$B$240,
reglas!$C$2:$C$240,
reglas!$D$2:$D$240,
reglas!$E$2:$E$240,
LAMBDA(rEmisor,rPatron,rConcepto,rTipo,
IF(
AND(
OR(
UPPER(TRIM(rEmisor))=UPPER(TRIM(C632)),
UPPER(TRIM(rEmisor))=""CUALQUIERA""
),
OR(
UPPER(TRIM(rTipo"&amp;"))=""SOLO EMISOR"",
AND(
UPPER(TRIM(rTipo))=""EXACTA"",
UPPER(TRIM(D632))=UPPER(TRIM(rPatron))
),
AND(
OR(
UPPER(TRIM(rTipo))=""CONTIENE"",
UPPER(TRIM(rTipo))=""COINCIDENCIA""
),
ISNUMBER(SEARCH(UPPER(TRIM(rPatron)),UPPER(TRIM(D632))))
)
)
),
rConcepto,
"&amp;"""""
)
)
)&lt;&gt;""""
),
1
),
""""
)"),"MANIOBRAS")</f>
        <v>MANIOBRAS</v>
      </c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</row>
    <row r="633">
      <c r="A633" s="32"/>
      <c r="B633" s="32"/>
      <c r="C633" s="29" t="s">
        <v>271</v>
      </c>
      <c r="D633" s="29" t="s">
        <v>596</v>
      </c>
      <c r="E633" s="28">
        <v>660.88</v>
      </c>
      <c r="F633" s="28">
        <v>0.0</v>
      </c>
      <c r="G633" s="28" t="s">
        <v>84</v>
      </c>
      <c r="H633" s="28">
        <f t="array" ref="H633">INDEX(CC!C:C,MATCH(1,(CC!A:A=G633)*(CC!B:B=I633),0))</f>
        <v>1002</v>
      </c>
      <c r="I633" s="28" t="s">
        <v>25</v>
      </c>
      <c r="J633" s="31">
        <v>660.88</v>
      </c>
      <c r="K633" s="28" t="str">
        <f>IFERROR(__xludf.DUMMYFUNCTION("IFERROR(
INDEX(
FILTER(
MAP(
reglas!$B$2:$B$240,
reglas!$C$2:$C$240,
reglas!$D$2:$D$240,
reglas!$E$2:$E$240,
LAMBDA(rEmisor,rPatron,rConcepto,rTipo,
IF(
AND(
OR(
UPPER(TRIM(rEmisor))=UPPER(TRIM(C633)),
UPPER(TRIM(rEmisor))=""CUALQUIERA""
),
OR(
UPPER(TRIM"&amp;"(rTipo))=""SOLO EMISOR"",
AND(
UPPER(TRIM(rTipo))=""EXACTA"",
UPPER(TRIM(AG633))=UPPER(TRIM(rPatron))
),
AND(
OR(
UPPER(TRIM(rTipo))=""CONTIENE"",
UPPER(TRIM(rTipo))=""COINCIDENCIA""
),
ISNUMBER(SEARCH(UPPER(TRIM(rPatron)),UPPER(TRIM(D633))))
)
)
),
rConc"&amp;"epto,
""""
)
)
),
MAP(
reglas!$B$2:$B$240,
reglas!$C$2:$C$240,
reglas!$D$2:$D$240,
reglas!$E$2:$E$240,
LAMBDA(rEmisor,rPatron,rConcepto,rTipo,
IF(
AND(
OR(
UPPER(TRIM(rEmisor))=UPPER(TRIM(C633)),
UPPER(TRIM(rEmisor))=""CUALQUIERA""
),
OR(
UPPER(TRIM(rTipo"&amp;"))=""SOLO EMISOR"",
AND(
UPPER(TRIM(rTipo))=""EXACTA"",
UPPER(TRIM(D633))=UPPER(TRIM(rPatron))
),
AND(
OR(
UPPER(TRIM(rTipo))=""CONTIENE"",
UPPER(TRIM(rTipo))=""COINCIDENCIA""
),
ISNUMBER(SEARCH(UPPER(TRIM(rPatron)),UPPER(TRIM(D633))))
)
)
),
rConcepto,
"&amp;"""""
)
)
)&lt;&gt;""""
),
1
),
""""
)"),"MANIOBRAS")</f>
        <v>MANIOBRAS</v>
      </c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</row>
    <row r="634">
      <c r="A634" s="32"/>
      <c r="B634" s="28" t="s">
        <v>29</v>
      </c>
      <c r="C634" s="29" t="s">
        <v>278</v>
      </c>
      <c r="D634" s="29" t="s">
        <v>1697</v>
      </c>
      <c r="E634" s="28">
        <v>1250.0</v>
      </c>
      <c r="F634" s="28">
        <v>0.0</v>
      </c>
      <c r="G634" s="28" t="s">
        <v>250</v>
      </c>
      <c r="H634" s="28">
        <f t="array" ref="H634">INDEX(CC!C:C,MATCH(1,(CC!A:A=G634)*(CC!B:B=I634),0))</f>
        <v>1402</v>
      </c>
      <c r="I634" s="28" t="s">
        <v>25</v>
      </c>
      <c r="J634" s="31">
        <v>1250.0</v>
      </c>
      <c r="K634" s="28" t="str">
        <f>IFERROR(__xludf.DUMMYFUNCTION("IFERROR(
INDEX(
FILTER(
MAP(
reglas!$B$2:$B$240,
reglas!$C$2:$C$240,
reglas!$D$2:$D$240,
reglas!$E$2:$E$240,
LAMBDA(rEmisor,rPatron,rConcepto,rTipo,
IF(
AND(
OR(
UPPER(TRIM(rEmisor))=UPPER(TRIM(C634)),
UPPER(TRIM(rEmisor))=""CUALQUIERA""
),
OR(
UPPER(TRIM"&amp;"(rTipo))=""SOLO EMISOR"",
AND(
UPPER(TRIM(rTipo))=""EXACTA"",
UPPER(TRIM(AG634))=UPPER(TRIM(rPatron))
),
AND(
OR(
UPPER(TRIM(rTipo))=""CONTIENE"",
UPPER(TRIM(rTipo))=""COINCIDENCIA""
),
ISNUMBER(SEARCH(UPPER(TRIM(rPatron)),UPPER(TRIM(D634))))
)
)
),
rConc"&amp;"epto,
""""
)
)
),
MAP(
reglas!$B$2:$B$240,
reglas!$C$2:$C$240,
reglas!$D$2:$D$240,
reglas!$E$2:$E$240,
LAMBDA(rEmisor,rPatron,rConcepto,rTipo,
IF(
AND(
OR(
UPPER(TRIM(rEmisor))=UPPER(TRIM(C634)),
UPPER(TRIM(rEmisor))=""CUALQUIERA""
),
OR(
UPPER(TRIM(rTipo"&amp;"))=""SOLO EMISOR"",
AND(
UPPER(TRIM(rTipo))=""EXACTA"",
UPPER(TRIM(D634))=UPPER(TRIM(rPatron))
),
AND(
OR(
UPPER(TRIM(rTipo))=""CONTIENE"",
UPPER(TRIM(rTipo))=""COINCIDENCIA""
),
ISNUMBER(SEARCH(UPPER(TRIM(rPatron)),UPPER(TRIM(D634))))
)
)
),
rConcepto,
"&amp;"""""
)
)
)&lt;&gt;""""
),
1
),
""""
)"),"MANIOBRAS")</f>
        <v>MANIOBRAS</v>
      </c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</row>
    <row r="635">
      <c r="A635" s="32"/>
      <c r="B635" s="28" t="s">
        <v>29</v>
      </c>
      <c r="C635" s="29" t="s">
        <v>172</v>
      </c>
      <c r="D635" s="29" t="s">
        <v>1519</v>
      </c>
      <c r="E635" s="28">
        <v>11500.0</v>
      </c>
      <c r="F635" s="28">
        <v>0.0</v>
      </c>
      <c r="G635" s="28" t="s">
        <v>250</v>
      </c>
      <c r="H635" s="28">
        <f t="array" ref="H635">INDEX(CC!C:C,MATCH(1,(CC!A:A=G635)*(CC!B:B=I635),0))</f>
        <v>1402</v>
      </c>
      <c r="I635" s="28" t="s">
        <v>25</v>
      </c>
      <c r="J635" s="31">
        <v>11500.0</v>
      </c>
      <c r="K635" s="28" t="str">
        <f>IFERROR(__xludf.DUMMYFUNCTION("IFERROR(
INDEX(
FILTER(
MAP(
reglas!$B$2:$B$240,
reglas!$C$2:$C$240,
reglas!$D$2:$D$240,
reglas!$E$2:$E$240,
LAMBDA(rEmisor,rPatron,rConcepto,rTipo,
IF(
AND(
OR(
UPPER(TRIM(rEmisor))=UPPER(TRIM(C635)),
UPPER(TRIM(rEmisor))=""CUALQUIERA""
),
OR(
UPPER(TRIM"&amp;"(rTipo))=""SOLO EMISOR"",
AND(
UPPER(TRIM(rTipo))=""EXACTA"",
UPPER(TRIM(AG635))=UPPER(TRIM(rPatron))
),
AND(
OR(
UPPER(TRIM(rTipo))=""CONTIENE"",
UPPER(TRIM(rTipo))=""COINCIDENCIA""
),
ISNUMBER(SEARCH(UPPER(TRIM(rPatron)),UPPER(TRIM(D635))))
)
)
),
rConc"&amp;"epto,
""""
)
)
),
MAP(
reglas!$B$2:$B$240,
reglas!$C$2:$C$240,
reglas!$D$2:$D$240,
reglas!$E$2:$E$240,
LAMBDA(rEmisor,rPatron,rConcepto,rTipo,
IF(
AND(
OR(
UPPER(TRIM(rEmisor))=UPPER(TRIM(C635)),
UPPER(TRIM(rEmisor))=""CUALQUIERA""
),
OR(
UPPER(TRIM(rTipo"&amp;"))=""SOLO EMISOR"",
AND(
UPPER(TRIM(rTipo))=""EXACTA"",
UPPER(TRIM(D635))=UPPER(TRIM(rPatron))
),
AND(
OR(
UPPER(TRIM(rTipo))=""CONTIENE"",
UPPER(TRIM(rTipo))=""COINCIDENCIA""
),
ISNUMBER(SEARCH(UPPER(TRIM(rPatron)),UPPER(TRIM(D635))))
)
)
),
rConcepto,
"&amp;"""""
)
)
)&lt;&gt;""""
),
1
),
""""
)"),"TRANSPORTE")</f>
        <v>TRANSPORTE</v>
      </c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</row>
    <row r="636">
      <c r="A636" s="28">
        <v>1.0</v>
      </c>
      <c r="B636" s="28" t="s">
        <v>29</v>
      </c>
      <c r="C636" s="29" t="s">
        <v>271</v>
      </c>
      <c r="D636" s="29" t="s">
        <v>589</v>
      </c>
      <c r="E636" s="28">
        <v>630.34</v>
      </c>
      <c r="F636" s="28">
        <v>0.0</v>
      </c>
      <c r="G636" s="28" t="s">
        <v>84</v>
      </c>
      <c r="H636" s="28">
        <f t="array" ref="H636">INDEX(CC!C:C,MATCH(1,(CC!A:A=G636)*(CC!B:B=I636),0))</f>
        <v>1002</v>
      </c>
      <c r="I636" s="28" t="s">
        <v>25</v>
      </c>
      <c r="J636" s="31">
        <v>630.34</v>
      </c>
      <c r="K636" s="28" t="str">
        <f>IFERROR(__xludf.DUMMYFUNCTION("IFERROR(
INDEX(
FILTER(
MAP(
reglas!$B$2:$B$240,
reglas!$C$2:$C$240,
reglas!$D$2:$D$240,
reglas!$E$2:$E$240,
LAMBDA(rEmisor,rPatron,rConcepto,rTipo,
IF(
AND(
OR(
UPPER(TRIM(rEmisor))=UPPER(TRIM(C636)),
UPPER(TRIM(rEmisor))=""CUALQUIERA""
),
OR(
UPPER(TRIM"&amp;"(rTipo))=""SOLO EMISOR"",
AND(
UPPER(TRIM(rTipo))=""EXACTA"",
UPPER(TRIM(AG636))=UPPER(TRIM(rPatron))
),
AND(
OR(
UPPER(TRIM(rTipo))=""CONTIENE"",
UPPER(TRIM(rTipo))=""COINCIDENCIA""
),
ISNUMBER(SEARCH(UPPER(TRIM(rPatron)),UPPER(TRIM(D636))))
)
)
),
rConc"&amp;"epto,
""""
)
)
),
MAP(
reglas!$B$2:$B$240,
reglas!$C$2:$C$240,
reglas!$D$2:$D$240,
reglas!$E$2:$E$240,
LAMBDA(rEmisor,rPatron,rConcepto,rTipo,
IF(
AND(
OR(
UPPER(TRIM(rEmisor))=UPPER(TRIM(C636)),
UPPER(TRIM(rEmisor))=""CUALQUIERA""
),
OR(
UPPER(TRIM(rTipo"&amp;"))=""SOLO EMISOR"",
AND(
UPPER(TRIM(rTipo))=""EXACTA"",
UPPER(TRIM(D636))=UPPER(TRIM(rPatron))
),
AND(
OR(
UPPER(TRIM(rTipo))=""CONTIENE"",
UPPER(TRIM(rTipo))=""COINCIDENCIA""
),
ISNUMBER(SEARCH(UPPER(TRIM(rPatron)),UPPER(TRIM(D636))))
)
)
),
rConcepto,
"&amp;"""""
)
)
)&lt;&gt;""""
),
1
),
""""
)"),"MANIOBRAS")</f>
        <v>MANIOBRAS</v>
      </c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</row>
    <row r="637">
      <c r="A637" s="32"/>
      <c r="B637" s="28" t="s">
        <v>29</v>
      </c>
      <c r="C637" s="29" t="s">
        <v>172</v>
      </c>
      <c r="D637" s="29" t="s">
        <v>1698</v>
      </c>
      <c r="E637" s="28">
        <v>11500.0</v>
      </c>
      <c r="F637" s="28">
        <v>0.0</v>
      </c>
      <c r="G637" s="28" t="s">
        <v>250</v>
      </c>
      <c r="H637" s="28">
        <f t="array" ref="H637">INDEX(CC!C:C,MATCH(1,(CC!A:A=G637)*(CC!B:B=I637),0))</f>
        <v>1402</v>
      </c>
      <c r="I637" s="28" t="s">
        <v>25</v>
      </c>
      <c r="J637" s="31">
        <v>11500.0</v>
      </c>
      <c r="K637" s="28" t="str">
        <f>IFERROR(__xludf.DUMMYFUNCTION("IFERROR(
INDEX(
FILTER(
MAP(
reglas!$B$2:$B$240,
reglas!$C$2:$C$240,
reglas!$D$2:$D$240,
reglas!$E$2:$E$240,
LAMBDA(rEmisor,rPatron,rConcepto,rTipo,
IF(
AND(
OR(
UPPER(TRIM(rEmisor))=UPPER(TRIM(C637)),
UPPER(TRIM(rEmisor))=""CUALQUIERA""
),
OR(
UPPER(TRIM"&amp;"(rTipo))=""SOLO EMISOR"",
AND(
UPPER(TRIM(rTipo))=""EXACTA"",
UPPER(TRIM(AG637))=UPPER(TRIM(rPatron))
),
AND(
OR(
UPPER(TRIM(rTipo))=""CONTIENE"",
UPPER(TRIM(rTipo))=""COINCIDENCIA""
),
ISNUMBER(SEARCH(UPPER(TRIM(rPatron)),UPPER(TRIM(D637))))
)
)
),
rConc"&amp;"epto,
""""
)
)
),
MAP(
reglas!$B$2:$B$240,
reglas!$C$2:$C$240,
reglas!$D$2:$D$240,
reglas!$E$2:$E$240,
LAMBDA(rEmisor,rPatron,rConcepto,rTipo,
IF(
AND(
OR(
UPPER(TRIM(rEmisor))=UPPER(TRIM(C637)),
UPPER(TRIM(rEmisor))=""CUALQUIERA""
),
OR(
UPPER(TRIM(rTipo"&amp;"))=""SOLO EMISOR"",
AND(
UPPER(TRIM(rTipo))=""EXACTA"",
UPPER(TRIM(D637))=UPPER(TRIM(rPatron))
),
AND(
OR(
UPPER(TRIM(rTipo))=""CONTIENE"",
UPPER(TRIM(rTipo))=""COINCIDENCIA""
),
ISNUMBER(SEARCH(UPPER(TRIM(rPatron)),UPPER(TRIM(D637))))
)
)
),
rConcepto,
"&amp;"""""
)
)
)&lt;&gt;""""
),
1
),
""""
)"),"TRANSPORTE")</f>
        <v>TRANSPORTE</v>
      </c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</row>
    <row r="638">
      <c r="A638" s="32"/>
      <c r="B638" s="28" t="s">
        <v>29</v>
      </c>
      <c r="C638" s="29" t="s">
        <v>278</v>
      </c>
      <c r="D638" s="29" t="s">
        <v>560</v>
      </c>
      <c r="E638" s="28">
        <v>3500.0</v>
      </c>
      <c r="F638" s="28">
        <v>0.0</v>
      </c>
      <c r="G638" s="28" t="s">
        <v>250</v>
      </c>
      <c r="H638" s="28">
        <f t="array" ref="H638">INDEX(CC!C:C,MATCH(1,(CC!A:A=G638)*(CC!B:B=I638),0))</f>
        <v>1402</v>
      </c>
      <c r="I638" s="28" t="s">
        <v>25</v>
      </c>
      <c r="J638" s="31">
        <v>3500.0</v>
      </c>
      <c r="K638" s="28" t="str">
        <f>IFERROR(__xludf.DUMMYFUNCTION("IFERROR(
INDEX(
FILTER(
MAP(
reglas!$B$2:$B$240,
reglas!$C$2:$C$240,
reglas!$D$2:$D$240,
reglas!$E$2:$E$240,
LAMBDA(rEmisor,rPatron,rConcepto,rTipo,
IF(
AND(
OR(
UPPER(TRIM(rEmisor))=UPPER(TRIM(C638)),
UPPER(TRIM(rEmisor))=""CUALQUIERA""
),
OR(
UPPER(TRIM"&amp;"(rTipo))=""SOLO EMISOR"",
AND(
UPPER(TRIM(rTipo))=""EXACTA"",
UPPER(TRIM(AG638))=UPPER(TRIM(rPatron))
),
AND(
OR(
UPPER(TRIM(rTipo))=""CONTIENE"",
UPPER(TRIM(rTipo))=""COINCIDENCIA""
),
ISNUMBER(SEARCH(UPPER(TRIM(rPatron)),UPPER(TRIM(D638))))
)
)
),
rConc"&amp;"epto,
""""
)
)
),
MAP(
reglas!$B$2:$B$240,
reglas!$C$2:$C$240,
reglas!$D$2:$D$240,
reglas!$E$2:$E$240,
LAMBDA(rEmisor,rPatron,rConcepto,rTipo,
IF(
AND(
OR(
UPPER(TRIM(rEmisor))=UPPER(TRIM(C638)),
UPPER(TRIM(rEmisor))=""CUALQUIERA""
),
OR(
UPPER(TRIM(rTipo"&amp;"))=""SOLO EMISOR"",
AND(
UPPER(TRIM(rTipo))=""EXACTA"",
UPPER(TRIM(D638))=UPPER(TRIM(rPatron))
),
AND(
OR(
UPPER(TRIM(rTipo))=""CONTIENE"",
UPPER(TRIM(rTipo))=""COINCIDENCIA""
),
ISNUMBER(SEARCH(UPPER(TRIM(rPatron)),UPPER(TRIM(D638))))
)
)
),
rConcepto,
"&amp;"""""
)
)
)&lt;&gt;""""
),
1
),
""""
)"),"MANIOBRAS")</f>
        <v>MANIOBRAS</v>
      </c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</row>
    <row r="639">
      <c r="A639" s="32"/>
      <c r="B639" s="28" t="s">
        <v>29</v>
      </c>
      <c r="C639" s="29" t="s">
        <v>131</v>
      </c>
      <c r="D639" s="29" t="s">
        <v>1622</v>
      </c>
      <c r="E639" s="28">
        <v>474.13</v>
      </c>
      <c r="F639" s="28">
        <v>0.0</v>
      </c>
      <c r="G639" s="28" t="s">
        <v>74</v>
      </c>
      <c r="H639" s="28">
        <f t="array" ref="H639">INDEX(CC!C:C,MATCH(1,(CC!A:A=G639)*(CC!B:B=I639),0))</f>
        <v>1502</v>
      </c>
      <c r="I639" s="28" t="s">
        <v>25</v>
      </c>
      <c r="J639" s="31">
        <v>474.13</v>
      </c>
      <c r="K639" s="28" t="str">
        <f>IFERROR(__xludf.DUMMYFUNCTION("IFERROR(
INDEX(
FILTER(
MAP(
reglas!$B$2:$B$240,
reglas!$C$2:$C$240,
reglas!$D$2:$D$240,
reglas!$E$2:$E$240,
LAMBDA(rEmisor,rPatron,rConcepto,rTipo,
IF(
AND(
OR(
UPPER(TRIM(rEmisor))=UPPER(TRIM(C639)),
UPPER(TRIM(rEmisor))=""CUALQUIERA""
),
OR(
UPPER(TRIM"&amp;"(rTipo))=""SOLO EMISOR"",
AND(
UPPER(TRIM(rTipo))=""EXACTA"",
UPPER(TRIM(AG639))=UPPER(TRIM(rPatron))
),
AND(
OR(
UPPER(TRIM(rTipo))=""CONTIENE"",
UPPER(TRIM(rTipo))=""COINCIDENCIA""
),
ISNUMBER(SEARCH(UPPER(TRIM(rPatron)),UPPER(TRIM(D639))))
)
)
),
rConc"&amp;"epto,
""""
)
)
),
MAP(
reglas!$B$2:$B$240,
reglas!$C$2:$C$240,
reglas!$D$2:$D$240,
reglas!$E$2:$E$240,
LAMBDA(rEmisor,rPatron,rConcepto,rTipo,
IF(
AND(
OR(
UPPER(TRIM(rEmisor))=UPPER(TRIM(C639)),
UPPER(TRIM(rEmisor))=""CUALQUIERA""
),
OR(
UPPER(TRIM(rTipo"&amp;"))=""SOLO EMISOR"",
AND(
UPPER(TRIM(rTipo))=""EXACTA"",
UPPER(TRIM(D639))=UPPER(TRIM(rPatron))
),
AND(
OR(
UPPER(TRIM(rTipo))=""CONTIENE"",
UPPER(TRIM(rTipo))=""COINCIDENCIA""
),
ISNUMBER(SEARCH(UPPER(TRIM(rPatron)),UPPER(TRIM(D639))))
)
)
),
rConcepto,
"&amp;"""""
)
)
)&lt;&gt;""""
),
1
),
""""
)"),"COPIADORA")</f>
        <v>COPIADORA</v>
      </c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</row>
    <row r="640">
      <c r="A640" s="32"/>
      <c r="B640" s="28" t="s">
        <v>29</v>
      </c>
      <c r="C640" s="29" t="s">
        <v>163</v>
      </c>
      <c r="D640" s="29" t="s">
        <v>1699</v>
      </c>
      <c r="E640" s="28">
        <v>262.93</v>
      </c>
      <c r="F640" s="28">
        <v>0.0</v>
      </c>
      <c r="G640" s="28" t="s">
        <v>385</v>
      </c>
      <c r="H640" s="28">
        <f t="array" ref="H640">INDEX(CC!C:C,MATCH(1,(CC!A:A=G640)*(CC!B:B=I640),0))</f>
        <v>502</v>
      </c>
      <c r="I640" s="28" t="s">
        <v>25</v>
      </c>
      <c r="J640" s="31">
        <v>262.93</v>
      </c>
      <c r="K640" s="28" t="str">
        <f>IFERROR(__xludf.DUMMYFUNCTION("IFERROR(
INDEX(
FILTER(
MAP(
reglas!$B$2:$B$240,
reglas!$C$2:$C$240,
reglas!$D$2:$D$240,
reglas!$E$2:$E$240,
LAMBDA(rEmisor,rPatron,rConcepto,rTipo,
IF(
AND(
OR(
UPPER(TRIM(rEmisor))=UPPER(TRIM(C640)),
UPPER(TRIM(rEmisor))=""CUALQUIERA""
),
OR(
UPPER(TRIM"&amp;"(rTipo))=""SOLO EMISOR"",
AND(
UPPER(TRIM(rTipo))=""EXACTA"",
UPPER(TRIM(AG640))=UPPER(TRIM(rPatron))
),
AND(
OR(
UPPER(TRIM(rTipo))=""CONTIENE"",
UPPER(TRIM(rTipo))=""COINCIDENCIA""
),
ISNUMBER(SEARCH(UPPER(TRIM(rPatron)),UPPER(TRIM(D640))))
)
)
),
rConc"&amp;"epto,
""""
)
)
),
MAP(
reglas!$B$2:$B$240,
reglas!$C$2:$C$240,
reglas!$D$2:$D$240,
reglas!$E$2:$E$240,
LAMBDA(rEmisor,rPatron,rConcepto,rTipo,
IF(
AND(
OR(
UPPER(TRIM(rEmisor))=UPPER(TRIM(C640)),
UPPER(TRIM(rEmisor))=""CUALQUIERA""
),
OR(
UPPER(TRIM(rTipo"&amp;"))=""SOLO EMISOR"",
AND(
UPPER(TRIM(rTipo))=""EXACTA"",
UPPER(TRIM(D640))=UPPER(TRIM(rPatron))
),
AND(
OR(
UPPER(TRIM(rTipo))=""CONTIENE"",
UPPER(TRIM(rTipo))=""COINCIDENCIA""
),
ISNUMBER(SEARCH(UPPER(TRIM(rPatron)),UPPER(TRIM(D640))))
)
)
),
rConcepto,
"&amp;"""""
)
)
)&lt;&gt;""""
),
1
),
""""
)"),"PATIO REGULADOR")</f>
        <v>PATIO REGULADOR</v>
      </c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</row>
    <row r="641">
      <c r="A641" s="28">
        <v>1.0</v>
      </c>
      <c r="B641" s="28" t="s">
        <v>29</v>
      </c>
      <c r="C641" s="29" t="s">
        <v>271</v>
      </c>
      <c r="D641" s="29" t="s">
        <v>585</v>
      </c>
      <c r="E641" s="28">
        <v>629.54</v>
      </c>
      <c r="F641" s="28">
        <v>0.0</v>
      </c>
      <c r="G641" s="28" t="s">
        <v>84</v>
      </c>
      <c r="H641" s="28">
        <f t="array" ref="H641">INDEX(CC!C:C,MATCH(1,(CC!A:A=G641)*(CC!B:B=I641),0))</f>
        <v>1002</v>
      </c>
      <c r="I641" s="28" t="s">
        <v>25</v>
      </c>
      <c r="J641" s="31">
        <v>629.54</v>
      </c>
      <c r="K641" s="28" t="str">
        <f>IFERROR(__xludf.DUMMYFUNCTION("IFERROR(
INDEX(
FILTER(
MAP(
reglas!$B$2:$B$240,
reglas!$C$2:$C$240,
reglas!$D$2:$D$240,
reglas!$E$2:$E$240,
LAMBDA(rEmisor,rPatron,rConcepto,rTipo,
IF(
AND(
OR(
UPPER(TRIM(rEmisor))=UPPER(TRIM(C641)),
UPPER(TRIM(rEmisor))=""CUALQUIERA""
),
OR(
UPPER(TRIM"&amp;"(rTipo))=""SOLO EMISOR"",
AND(
UPPER(TRIM(rTipo))=""EXACTA"",
UPPER(TRIM(AG641))=UPPER(TRIM(rPatron))
),
AND(
OR(
UPPER(TRIM(rTipo))=""CONTIENE"",
UPPER(TRIM(rTipo))=""COINCIDENCIA""
),
ISNUMBER(SEARCH(UPPER(TRIM(rPatron)),UPPER(TRIM(D641))))
)
)
),
rConc"&amp;"epto,
""""
)
)
),
MAP(
reglas!$B$2:$B$240,
reglas!$C$2:$C$240,
reglas!$D$2:$D$240,
reglas!$E$2:$E$240,
LAMBDA(rEmisor,rPatron,rConcepto,rTipo,
IF(
AND(
OR(
UPPER(TRIM(rEmisor))=UPPER(TRIM(C641)),
UPPER(TRIM(rEmisor))=""CUALQUIERA""
),
OR(
UPPER(TRIM(rTipo"&amp;"))=""SOLO EMISOR"",
AND(
UPPER(TRIM(rTipo))=""EXACTA"",
UPPER(TRIM(D641))=UPPER(TRIM(rPatron))
),
AND(
OR(
UPPER(TRIM(rTipo))=""CONTIENE"",
UPPER(TRIM(rTipo))=""COINCIDENCIA""
),
ISNUMBER(SEARCH(UPPER(TRIM(rPatron)),UPPER(TRIM(D641))))
)
)
),
rConcepto,
"&amp;"""""
)
)
)&lt;&gt;""""
),
1
),
""""
)"),"MANIOBRAS")</f>
        <v>MANIOBRAS</v>
      </c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</row>
    <row r="642">
      <c r="A642" s="32"/>
      <c r="B642" s="32"/>
      <c r="C642" s="29" t="s">
        <v>271</v>
      </c>
      <c r="D642" s="29" t="s">
        <v>587</v>
      </c>
      <c r="E642" s="28">
        <v>575.99</v>
      </c>
      <c r="F642" s="28">
        <v>0.0</v>
      </c>
      <c r="G642" s="28" t="s">
        <v>84</v>
      </c>
      <c r="H642" s="28">
        <f t="array" ref="H642">INDEX(CC!C:C,MATCH(1,(CC!A:A=G642)*(CC!B:B=I642),0))</f>
        <v>1002</v>
      </c>
      <c r="I642" s="28" t="s">
        <v>25</v>
      </c>
      <c r="J642" s="31">
        <v>575.99</v>
      </c>
      <c r="K642" s="28" t="str">
        <f>IFERROR(__xludf.DUMMYFUNCTION("IFERROR(
INDEX(
FILTER(
MAP(
reglas!$B$2:$B$240,
reglas!$C$2:$C$240,
reglas!$D$2:$D$240,
reglas!$E$2:$E$240,
LAMBDA(rEmisor,rPatron,rConcepto,rTipo,
IF(
AND(
OR(
UPPER(TRIM(rEmisor))=UPPER(TRIM(C642)),
UPPER(TRIM(rEmisor))=""CUALQUIERA""
),
OR(
UPPER(TRIM"&amp;"(rTipo))=""SOLO EMISOR"",
AND(
UPPER(TRIM(rTipo))=""EXACTA"",
UPPER(TRIM(AG642))=UPPER(TRIM(rPatron))
),
AND(
OR(
UPPER(TRIM(rTipo))=""CONTIENE"",
UPPER(TRIM(rTipo))=""COINCIDENCIA""
),
ISNUMBER(SEARCH(UPPER(TRIM(rPatron)),UPPER(TRIM(D642))))
)
)
),
rConc"&amp;"epto,
""""
)
)
),
MAP(
reglas!$B$2:$B$240,
reglas!$C$2:$C$240,
reglas!$D$2:$D$240,
reglas!$E$2:$E$240,
LAMBDA(rEmisor,rPatron,rConcepto,rTipo,
IF(
AND(
OR(
UPPER(TRIM(rEmisor))=UPPER(TRIM(C642)),
UPPER(TRIM(rEmisor))=""CUALQUIERA""
),
OR(
UPPER(TRIM(rTipo"&amp;"))=""SOLO EMISOR"",
AND(
UPPER(TRIM(rTipo))=""EXACTA"",
UPPER(TRIM(D642))=UPPER(TRIM(rPatron))
),
AND(
OR(
UPPER(TRIM(rTipo))=""CONTIENE"",
UPPER(TRIM(rTipo))=""COINCIDENCIA""
),
ISNUMBER(SEARCH(UPPER(TRIM(rPatron)),UPPER(TRIM(D642))))
)
)
),
rConcepto,
"&amp;"""""
)
)
)&lt;&gt;""""
),
1
),
""""
)"),"MANIOBRAS")</f>
        <v>MANIOBRAS</v>
      </c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</row>
    <row r="643">
      <c r="A643" s="32"/>
      <c r="B643" s="32"/>
      <c r="C643" s="29" t="s">
        <v>271</v>
      </c>
      <c r="D643" s="29" t="s">
        <v>589</v>
      </c>
      <c r="E643" s="28">
        <v>629.89</v>
      </c>
      <c r="F643" s="28">
        <v>0.0</v>
      </c>
      <c r="G643" s="28" t="s">
        <v>84</v>
      </c>
      <c r="H643" s="28">
        <f t="array" ref="H643">INDEX(CC!C:C,MATCH(1,(CC!A:A=G643)*(CC!B:B=I643),0))</f>
        <v>1002</v>
      </c>
      <c r="I643" s="28" t="s">
        <v>25</v>
      </c>
      <c r="J643" s="31">
        <v>629.89</v>
      </c>
      <c r="K643" s="28" t="str">
        <f>IFERROR(__xludf.DUMMYFUNCTION("IFERROR(
INDEX(
FILTER(
MAP(
reglas!$B$2:$B$240,
reglas!$C$2:$C$240,
reglas!$D$2:$D$240,
reglas!$E$2:$E$240,
LAMBDA(rEmisor,rPatron,rConcepto,rTipo,
IF(
AND(
OR(
UPPER(TRIM(rEmisor))=UPPER(TRIM(C643)),
UPPER(TRIM(rEmisor))=""CUALQUIERA""
),
OR(
UPPER(TRIM"&amp;"(rTipo))=""SOLO EMISOR"",
AND(
UPPER(TRIM(rTipo))=""EXACTA"",
UPPER(TRIM(AG643))=UPPER(TRIM(rPatron))
),
AND(
OR(
UPPER(TRIM(rTipo))=""CONTIENE"",
UPPER(TRIM(rTipo))=""COINCIDENCIA""
),
ISNUMBER(SEARCH(UPPER(TRIM(rPatron)),UPPER(TRIM(D643))))
)
)
),
rConc"&amp;"epto,
""""
)
)
),
MAP(
reglas!$B$2:$B$240,
reglas!$C$2:$C$240,
reglas!$D$2:$D$240,
reglas!$E$2:$E$240,
LAMBDA(rEmisor,rPatron,rConcepto,rTipo,
IF(
AND(
OR(
UPPER(TRIM(rEmisor))=UPPER(TRIM(C643)),
UPPER(TRIM(rEmisor))=""CUALQUIERA""
),
OR(
UPPER(TRIM(rTipo"&amp;"))=""SOLO EMISOR"",
AND(
UPPER(TRIM(rTipo))=""EXACTA"",
UPPER(TRIM(D643))=UPPER(TRIM(rPatron))
),
AND(
OR(
UPPER(TRIM(rTipo))=""CONTIENE"",
UPPER(TRIM(rTipo))=""COINCIDENCIA""
),
ISNUMBER(SEARCH(UPPER(TRIM(rPatron)),UPPER(TRIM(D643))))
)
)
),
rConcepto,
"&amp;"""""
)
)
)&lt;&gt;""""
),
1
),
""""
)"),"MANIOBRAS")</f>
        <v>MANIOBRAS</v>
      </c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</row>
    <row r="644">
      <c r="A644" s="32"/>
      <c r="B644" s="32"/>
      <c r="C644" s="29" t="s">
        <v>271</v>
      </c>
      <c r="D644" s="29" t="s">
        <v>596</v>
      </c>
      <c r="E644" s="28">
        <v>660.88</v>
      </c>
      <c r="F644" s="28">
        <v>0.0</v>
      </c>
      <c r="G644" s="28" t="s">
        <v>84</v>
      </c>
      <c r="H644" s="28">
        <f t="array" ref="H644">INDEX(CC!C:C,MATCH(1,(CC!A:A=G644)*(CC!B:B=I644),0))</f>
        <v>1002</v>
      </c>
      <c r="I644" s="28" t="s">
        <v>25</v>
      </c>
      <c r="J644" s="31">
        <v>660.88</v>
      </c>
      <c r="K644" s="28" t="str">
        <f>IFERROR(__xludf.DUMMYFUNCTION("IFERROR(
INDEX(
FILTER(
MAP(
reglas!$B$2:$B$240,
reglas!$C$2:$C$240,
reglas!$D$2:$D$240,
reglas!$E$2:$E$240,
LAMBDA(rEmisor,rPatron,rConcepto,rTipo,
IF(
AND(
OR(
UPPER(TRIM(rEmisor))=UPPER(TRIM(C644)),
UPPER(TRIM(rEmisor))=""CUALQUIERA""
),
OR(
UPPER(TRIM"&amp;"(rTipo))=""SOLO EMISOR"",
AND(
UPPER(TRIM(rTipo))=""EXACTA"",
UPPER(TRIM(AG644))=UPPER(TRIM(rPatron))
),
AND(
OR(
UPPER(TRIM(rTipo))=""CONTIENE"",
UPPER(TRIM(rTipo))=""COINCIDENCIA""
),
ISNUMBER(SEARCH(UPPER(TRIM(rPatron)),UPPER(TRIM(D644))))
)
)
),
rConc"&amp;"epto,
""""
)
)
),
MAP(
reglas!$B$2:$B$240,
reglas!$C$2:$C$240,
reglas!$D$2:$D$240,
reglas!$E$2:$E$240,
LAMBDA(rEmisor,rPatron,rConcepto,rTipo,
IF(
AND(
OR(
UPPER(TRIM(rEmisor))=UPPER(TRIM(C644)),
UPPER(TRIM(rEmisor))=""CUALQUIERA""
),
OR(
UPPER(TRIM(rTipo"&amp;"))=""SOLO EMISOR"",
AND(
UPPER(TRIM(rTipo))=""EXACTA"",
UPPER(TRIM(D644))=UPPER(TRIM(rPatron))
),
AND(
OR(
UPPER(TRIM(rTipo))=""CONTIENE"",
UPPER(TRIM(rTipo))=""COINCIDENCIA""
),
ISNUMBER(SEARCH(UPPER(TRIM(rPatron)),UPPER(TRIM(D644))))
)
)
),
rConcepto,
"&amp;"""""
)
)
)&lt;&gt;""""
),
1
),
""""
)"),"MANIOBRAS")</f>
        <v>MANIOBRAS</v>
      </c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</row>
    <row r="645">
      <c r="A645" s="32"/>
      <c r="B645" s="28" t="s">
        <v>29</v>
      </c>
      <c r="C645" s="29" t="s">
        <v>169</v>
      </c>
      <c r="D645" s="29" t="s">
        <v>1700</v>
      </c>
      <c r="E645" s="28">
        <v>6500.0</v>
      </c>
      <c r="F645" s="28">
        <v>0.0</v>
      </c>
      <c r="G645" s="28" t="s">
        <v>250</v>
      </c>
      <c r="H645" s="28">
        <f t="array" ref="H645">INDEX(CC!C:C,MATCH(1,(CC!A:A=G645)*(CC!B:B=I645),0))</f>
        <v>1403</v>
      </c>
      <c r="I645" s="28" t="s">
        <v>44</v>
      </c>
      <c r="J645" s="31">
        <v>6500.0</v>
      </c>
      <c r="K645" s="28" t="str">
        <f>IFERROR(__xludf.DUMMYFUNCTION("IFERROR(
INDEX(
FILTER(
MAP(
reglas!$B$2:$B$240,
reglas!$C$2:$C$240,
reglas!$D$2:$D$240,
reglas!$E$2:$E$240,
LAMBDA(rEmisor,rPatron,rConcepto,rTipo,
IF(
AND(
OR(
UPPER(TRIM(rEmisor))=UPPER(TRIM(C645)),
UPPER(TRIM(rEmisor))=""CUALQUIERA""
),
OR(
UPPER(TRIM"&amp;"(rTipo))=""SOLO EMISOR"",
AND(
UPPER(TRIM(rTipo))=""EXACTA"",
UPPER(TRIM(AG645))=UPPER(TRIM(rPatron))
),
AND(
OR(
UPPER(TRIM(rTipo))=""CONTIENE"",
UPPER(TRIM(rTipo))=""COINCIDENCIA""
),
ISNUMBER(SEARCH(UPPER(TRIM(rPatron)),UPPER(TRIM(D645))))
)
)
),
rConc"&amp;"epto,
""""
)
)
),
MAP(
reglas!$B$2:$B$240,
reglas!$C$2:$C$240,
reglas!$D$2:$D$240,
reglas!$E$2:$E$240,
LAMBDA(rEmisor,rPatron,rConcepto,rTipo,
IF(
AND(
OR(
UPPER(TRIM(rEmisor))=UPPER(TRIM(C645)),
UPPER(TRIM(rEmisor))=""CUALQUIERA""
),
OR(
UPPER(TRIM(rTipo"&amp;"))=""SOLO EMISOR"",
AND(
UPPER(TRIM(rTipo))=""EXACTA"",
UPPER(TRIM(D645))=UPPER(TRIM(rPatron))
),
AND(
OR(
UPPER(TRIM(rTipo))=""CONTIENE"",
UPPER(TRIM(rTipo))=""COINCIDENCIA""
),
ISNUMBER(SEARCH(UPPER(TRIM(rPatron)),UPPER(TRIM(D645))))
)
)
),
rConcepto,
"&amp;"""""
)
)
)&lt;&gt;""""
),
1
),
""""
)"),"TRANSPORTE")</f>
        <v>TRANSPORTE</v>
      </c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</row>
    <row r="646">
      <c r="A646" s="32"/>
      <c r="B646" s="28" t="s">
        <v>29</v>
      </c>
      <c r="C646" s="29" t="s">
        <v>278</v>
      </c>
      <c r="D646" s="29" t="s">
        <v>1697</v>
      </c>
      <c r="E646" s="28">
        <v>750.0</v>
      </c>
      <c r="F646" s="28">
        <v>0.0</v>
      </c>
      <c r="G646" s="28" t="s">
        <v>250</v>
      </c>
      <c r="H646" s="28">
        <f t="array" ref="H646">INDEX(CC!C:C,MATCH(1,(CC!A:A=G646)*(CC!B:B=I646),0))</f>
        <v>1402</v>
      </c>
      <c r="I646" s="28" t="s">
        <v>25</v>
      </c>
      <c r="J646" s="31">
        <v>750.0</v>
      </c>
      <c r="K646" s="28" t="str">
        <f>IFERROR(__xludf.DUMMYFUNCTION("IFERROR(
INDEX(
FILTER(
MAP(
reglas!$B$2:$B$240,
reglas!$C$2:$C$240,
reglas!$D$2:$D$240,
reglas!$E$2:$E$240,
LAMBDA(rEmisor,rPatron,rConcepto,rTipo,
IF(
AND(
OR(
UPPER(TRIM(rEmisor))=UPPER(TRIM(C646)),
UPPER(TRIM(rEmisor))=""CUALQUIERA""
),
OR(
UPPER(TRIM"&amp;"(rTipo))=""SOLO EMISOR"",
AND(
UPPER(TRIM(rTipo))=""EXACTA"",
UPPER(TRIM(AG646))=UPPER(TRIM(rPatron))
),
AND(
OR(
UPPER(TRIM(rTipo))=""CONTIENE"",
UPPER(TRIM(rTipo))=""COINCIDENCIA""
),
ISNUMBER(SEARCH(UPPER(TRIM(rPatron)),UPPER(TRIM(D646))))
)
)
),
rConc"&amp;"epto,
""""
)
)
),
MAP(
reglas!$B$2:$B$240,
reglas!$C$2:$C$240,
reglas!$D$2:$D$240,
reglas!$E$2:$E$240,
LAMBDA(rEmisor,rPatron,rConcepto,rTipo,
IF(
AND(
OR(
UPPER(TRIM(rEmisor))=UPPER(TRIM(C646)),
UPPER(TRIM(rEmisor))=""CUALQUIERA""
),
OR(
UPPER(TRIM(rTipo"&amp;"))=""SOLO EMISOR"",
AND(
UPPER(TRIM(rTipo))=""EXACTA"",
UPPER(TRIM(D646))=UPPER(TRIM(rPatron))
),
AND(
OR(
UPPER(TRIM(rTipo))=""CONTIENE"",
UPPER(TRIM(rTipo))=""COINCIDENCIA""
),
ISNUMBER(SEARCH(UPPER(TRIM(rPatron)),UPPER(TRIM(D646))))
)
)
),
rConcepto,
"&amp;"""""
)
)
)&lt;&gt;""""
),
1
),
""""
)"),"MANIOBRAS")</f>
        <v>MANIOBRAS</v>
      </c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</row>
    <row r="647">
      <c r="A647" s="28">
        <v>1.0</v>
      </c>
      <c r="B647" s="28" t="s">
        <v>29</v>
      </c>
      <c r="C647" s="29" t="s">
        <v>89</v>
      </c>
      <c r="D647" s="29" t="s">
        <v>91</v>
      </c>
      <c r="E647" s="28">
        <v>1283.04</v>
      </c>
      <c r="F647" s="28">
        <v>0.0</v>
      </c>
      <c r="G647" s="28" t="s">
        <v>601</v>
      </c>
      <c r="H647" s="28">
        <f t="array" ref="H647">INDEX(CC!C:C,MATCH(1,(CC!A:A=G647)*(CC!B:B=I647),0))</f>
        <v>403</v>
      </c>
      <c r="I647" s="28" t="s">
        <v>44</v>
      </c>
      <c r="J647" s="31">
        <v>1283.04</v>
      </c>
      <c r="K647" s="28" t="str">
        <f>IFERROR(__xludf.DUMMYFUNCTION("IFERROR(
INDEX(
FILTER(
MAP(
reglas!$B$2:$B$240,
reglas!$C$2:$C$240,
reglas!$D$2:$D$240,
reglas!$E$2:$E$240,
LAMBDA(rEmisor,rPatron,rConcepto,rTipo,
IF(
AND(
OR(
UPPER(TRIM(rEmisor))=UPPER(TRIM(C647)),
UPPER(TRIM(rEmisor))=""CUALQUIERA""
),
OR(
UPPER(TRIM"&amp;"(rTipo))=""SOLO EMISOR"",
AND(
UPPER(TRIM(rTipo))=""EXACTA"",
UPPER(TRIM(AG647))=UPPER(TRIM(rPatron))
),
AND(
OR(
UPPER(TRIM(rTipo))=""CONTIENE"",
UPPER(TRIM(rTipo))=""COINCIDENCIA""
),
ISNUMBER(SEARCH(UPPER(TRIM(rPatron)),UPPER(TRIM(D647))))
)
)
),
rConc"&amp;"epto,
""""
)
)
),
MAP(
reglas!$B$2:$B$240,
reglas!$C$2:$C$240,
reglas!$D$2:$D$240,
reglas!$E$2:$E$240,
LAMBDA(rEmisor,rPatron,rConcepto,rTipo,
IF(
AND(
OR(
UPPER(TRIM(rEmisor))=UPPER(TRIM(C647)),
UPPER(TRIM(rEmisor))=""CUALQUIERA""
),
OR(
UPPER(TRIM(rTipo"&amp;"))=""SOLO EMISOR"",
AND(
UPPER(TRIM(rTipo))=""EXACTA"",
UPPER(TRIM(D647))=UPPER(TRIM(rPatron))
),
AND(
OR(
UPPER(TRIM(rTipo))=""CONTIENE"",
UPPER(TRIM(rTipo))=""COINCIDENCIA""
),
ISNUMBER(SEARCH(UPPER(TRIM(rPatron)),UPPER(TRIM(D647))))
)
)
),
rConcepto,
"&amp;"""""
)
)
)&lt;&gt;""""
),
1
),
""""
)"),"MANIOBRAS")</f>
        <v>MANIOBRAS</v>
      </c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</row>
    <row r="648">
      <c r="A648" s="32"/>
      <c r="B648" s="28" t="s">
        <v>29</v>
      </c>
      <c r="C648" s="29" t="s">
        <v>172</v>
      </c>
      <c r="D648" s="29" t="s">
        <v>1681</v>
      </c>
      <c r="E648" s="28">
        <v>11500.0</v>
      </c>
      <c r="F648" s="28">
        <v>0.0</v>
      </c>
      <c r="G648" s="28" t="s">
        <v>250</v>
      </c>
      <c r="H648" s="28">
        <f t="array" ref="H648">INDEX(CC!C:C,MATCH(1,(CC!A:A=G648)*(CC!B:B=I648),0))</f>
        <v>1402</v>
      </c>
      <c r="I648" s="28" t="s">
        <v>25</v>
      </c>
      <c r="J648" s="31">
        <v>11500.0</v>
      </c>
      <c r="K648" s="28" t="str">
        <f>IFERROR(__xludf.DUMMYFUNCTION("IFERROR(
INDEX(
FILTER(
MAP(
reglas!$B$2:$B$240,
reglas!$C$2:$C$240,
reglas!$D$2:$D$240,
reglas!$E$2:$E$240,
LAMBDA(rEmisor,rPatron,rConcepto,rTipo,
IF(
AND(
OR(
UPPER(TRIM(rEmisor))=UPPER(TRIM(C648)),
UPPER(TRIM(rEmisor))=""CUALQUIERA""
),
OR(
UPPER(TRIM"&amp;"(rTipo))=""SOLO EMISOR"",
AND(
UPPER(TRIM(rTipo))=""EXACTA"",
UPPER(TRIM(AG648))=UPPER(TRIM(rPatron))
),
AND(
OR(
UPPER(TRIM(rTipo))=""CONTIENE"",
UPPER(TRIM(rTipo))=""COINCIDENCIA""
),
ISNUMBER(SEARCH(UPPER(TRIM(rPatron)),UPPER(TRIM(D648))))
)
)
),
rConc"&amp;"epto,
""""
)
)
),
MAP(
reglas!$B$2:$B$240,
reglas!$C$2:$C$240,
reglas!$D$2:$D$240,
reglas!$E$2:$E$240,
LAMBDA(rEmisor,rPatron,rConcepto,rTipo,
IF(
AND(
OR(
UPPER(TRIM(rEmisor))=UPPER(TRIM(C648)),
UPPER(TRIM(rEmisor))=""CUALQUIERA""
),
OR(
UPPER(TRIM(rTipo"&amp;"))=""SOLO EMISOR"",
AND(
UPPER(TRIM(rTipo))=""EXACTA"",
UPPER(TRIM(D648))=UPPER(TRIM(rPatron))
),
AND(
OR(
UPPER(TRIM(rTipo))=""CONTIENE"",
UPPER(TRIM(rTipo))=""COINCIDENCIA""
),
ISNUMBER(SEARCH(UPPER(TRIM(rPatron)),UPPER(TRIM(D648))))
)
)
),
rConcepto,
"&amp;"""""
)
)
)&lt;&gt;""""
),
1
),
""""
)"),"TRANSPORTE")</f>
        <v>TRANSPORTE</v>
      </c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</row>
    <row r="649">
      <c r="A649" s="32"/>
      <c r="B649" s="28" t="s">
        <v>29</v>
      </c>
      <c r="C649" s="29" t="s">
        <v>70</v>
      </c>
      <c r="D649" s="29" t="s">
        <v>1701</v>
      </c>
      <c r="E649" s="28">
        <v>3209.32</v>
      </c>
      <c r="F649" s="28">
        <v>0.0</v>
      </c>
      <c r="G649" s="28" t="s">
        <v>74</v>
      </c>
      <c r="H649" s="28">
        <f t="array" ref="H649">INDEX(CC!C:C,MATCH(1,(CC!A:A=G649)*(CC!B:B=I649),0))</f>
        <v>1503</v>
      </c>
      <c r="I649" s="28" t="s">
        <v>44</v>
      </c>
      <c r="J649" s="31">
        <v>3209.32</v>
      </c>
      <c r="K649" s="28" t="str">
        <f>IFERROR(__xludf.DUMMYFUNCTION("IFERROR(
INDEX(
FILTER(
MAP(
reglas!$B$2:$B$240,
reglas!$C$2:$C$240,
reglas!$D$2:$D$240,
reglas!$E$2:$E$240,
LAMBDA(rEmisor,rPatron,rConcepto,rTipo,
IF(
AND(
OR(
UPPER(TRIM(rEmisor))=UPPER(TRIM(C649)),
UPPER(TRIM(rEmisor))=""CUALQUIERA""
),
OR(
UPPER(TRIM"&amp;"(rTipo))=""SOLO EMISOR"",
AND(
UPPER(TRIM(rTipo))=""EXACTA"",
UPPER(TRIM(AG649))=UPPER(TRIM(rPatron))
),
AND(
OR(
UPPER(TRIM(rTipo))=""CONTIENE"",
UPPER(TRIM(rTipo))=""COINCIDENCIA""
),
ISNUMBER(SEARCH(UPPER(TRIM(rPatron)),UPPER(TRIM(D649))))
)
)
),
rConc"&amp;"epto,
""""
)
)
),
MAP(
reglas!$B$2:$B$240,
reglas!$C$2:$C$240,
reglas!$D$2:$D$240,
reglas!$E$2:$E$240,
LAMBDA(rEmisor,rPatron,rConcepto,rTipo,
IF(
AND(
OR(
UPPER(TRIM(rEmisor))=UPPER(TRIM(C649)),
UPPER(TRIM(rEmisor))=""CUALQUIERA""
),
OR(
UPPER(TRIM(rTipo"&amp;"))=""SOLO EMISOR"",
AND(
UPPER(TRIM(rTipo))=""EXACTA"",
UPPER(TRIM(D649))=UPPER(TRIM(rPatron))
),
AND(
OR(
UPPER(TRIM(rTipo))=""CONTIENE"",
UPPER(TRIM(rTipo))=""COINCIDENCIA""
),
ISNUMBER(SEARCH(UPPER(TRIM(rPatron)),UPPER(TRIM(D649))))
)
)
),
rConcepto,
"&amp;"""""
)
)
)&lt;&gt;""""
),
1
),
""""
)"),"MANIOBRAS")</f>
        <v>MANIOBRAS</v>
      </c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</row>
    <row r="650">
      <c r="A650" s="32"/>
      <c r="B650" s="32"/>
      <c r="C650" s="29" t="s">
        <v>70</v>
      </c>
      <c r="D650" s="29" t="s">
        <v>1702</v>
      </c>
      <c r="E650" s="28">
        <v>711.73</v>
      </c>
      <c r="F650" s="28">
        <v>0.0</v>
      </c>
      <c r="G650" s="28" t="s">
        <v>74</v>
      </c>
      <c r="H650" s="28">
        <f t="array" ref="H650">INDEX(CC!C:C,MATCH(1,(CC!A:A=G650)*(CC!B:B=I650),0))</f>
        <v>1503</v>
      </c>
      <c r="I650" s="28" t="s">
        <v>44</v>
      </c>
      <c r="J650" s="31">
        <v>711.73</v>
      </c>
      <c r="K650" s="28" t="str">
        <f>IFERROR(__xludf.DUMMYFUNCTION("IFERROR(
INDEX(
FILTER(
MAP(
reglas!$B$2:$B$240,
reglas!$C$2:$C$240,
reglas!$D$2:$D$240,
reglas!$E$2:$E$240,
LAMBDA(rEmisor,rPatron,rConcepto,rTipo,
IF(
AND(
OR(
UPPER(TRIM(rEmisor))=UPPER(TRIM(C650)),
UPPER(TRIM(rEmisor))=""CUALQUIERA""
),
OR(
UPPER(TRIM"&amp;"(rTipo))=""SOLO EMISOR"",
AND(
UPPER(TRIM(rTipo))=""EXACTA"",
UPPER(TRIM(AG650))=UPPER(TRIM(rPatron))
),
AND(
OR(
UPPER(TRIM(rTipo))=""CONTIENE"",
UPPER(TRIM(rTipo))=""COINCIDENCIA""
),
ISNUMBER(SEARCH(UPPER(TRIM(rPatron)),UPPER(TRIM(D650))))
)
)
),
rConc"&amp;"epto,
""""
)
)
),
MAP(
reglas!$B$2:$B$240,
reglas!$C$2:$C$240,
reglas!$D$2:$D$240,
reglas!$E$2:$E$240,
LAMBDA(rEmisor,rPatron,rConcepto,rTipo,
IF(
AND(
OR(
UPPER(TRIM(rEmisor))=UPPER(TRIM(C650)),
UPPER(TRIM(rEmisor))=""CUALQUIERA""
),
OR(
UPPER(TRIM(rTipo"&amp;"))=""SOLO EMISOR"",
AND(
UPPER(TRIM(rTipo))=""EXACTA"",
UPPER(TRIM(D650))=UPPER(TRIM(rPatron))
),
AND(
OR(
UPPER(TRIM(rTipo))=""CONTIENE"",
UPPER(TRIM(rTipo))=""COINCIDENCIA""
),
ISNUMBER(SEARCH(UPPER(TRIM(rPatron)),UPPER(TRIM(D650))))
)
)
),
rConcepto,
"&amp;"""""
)
)
)&lt;&gt;""""
),
1
),
""""
)"),"MANIOBRAS")</f>
        <v>MANIOBRAS</v>
      </c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</row>
    <row r="651">
      <c r="A651" s="32"/>
      <c r="B651" s="32"/>
      <c r="C651" s="29" t="s">
        <v>70</v>
      </c>
      <c r="D651" s="29" t="s">
        <v>1703</v>
      </c>
      <c r="E651" s="28">
        <v>3956.4</v>
      </c>
      <c r="F651" s="28">
        <v>0.0</v>
      </c>
      <c r="G651" s="28" t="s">
        <v>74</v>
      </c>
      <c r="H651" s="28">
        <f t="array" ref="H651">INDEX(CC!C:C,MATCH(1,(CC!A:A=G651)*(CC!B:B=I651),0))</f>
        <v>1503</v>
      </c>
      <c r="I651" s="28" t="s">
        <v>44</v>
      </c>
      <c r="J651" s="31">
        <v>3956.4</v>
      </c>
      <c r="K651" s="28" t="str">
        <f>IFERROR(__xludf.DUMMYFUNCTION("IFERROR(
INDEX(
FILTER(
MAP(
reglas!$B$2:$B$240,
reglas!$C$2:$C$240,
reglas!$D$2:$D$240,
reglas!$E$2:$E$240,
LAMBDA(rEmisor,rPatron,rConcepto,rTipo,
IF(
AND(
OR(
UPPER(TRIM(rEmisor))=UPPER(TRIM(C651)),
UPPER(TRIM(rEmisor))=""CUALQUIERA""
),
OR(
UPPER(TRIM"&amp;"(rTipo))=""SOLO EMISOR"",
AND(
UPPER(TRIM(rTipo))=""EXACTA"",
UPPER(TRIM(AG651))=UPPER(TRIM(rPatron))
),
AND(
OR(
UPPER(TRIM(rTipo))=""CONTIENE"",
UPPER(TRIM(rTipo))=""COINCIDENCIA""
),
ISNUMBER(SEARCH(UPPER(TRIM(rPatron)),UPPER(TRIM(D651))))
)
)
),
rConc"&amp;"epto,
""""
)
)
),
MAP(
reglas!$B$2:$B$240,
reglas!$C$2:$C$240,
reglas!$D$2:$D$240,
reglas!$E$2:$E$240,
LAMBDA(rEmisor,rPatron,rConcepto,rTipo,
IF(
AND(
OR(
UPPER(TRIM(rEmisor))=UPPER(TRIM(C651)),
UPPER(TRIM(rEmisor))=""CUALQUIERA""
),
OR(
UPPER(TRIM(rTipo"&amp;"))=""SOLO EMISOR"",
AND(
UPPER(TRIM(rTipo))=""EXACTA"",
UPPER(TRIM(D651))=UPPER(TRIM(rPatron))
),
AND(
OR(
UPPER(TRIM(rTipo))=""CONTIENE"",
UPPER(TRIM(rTipo))=""COINCIDENCIA""
),
ISNUMBER(SEARCH(UPPER(TRIM(rPatron)),UPPER(TRIM(D651))))
)
)
),
rConcepto,
"&amp;"""""
)
)
)&lt;&gt;""""
),
1
),
""""
)"),"MANIOBRAS")</f>
        <v>MANIOBRAS</v>
      </c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</row>
    <row r="652">
      <c r="A652" s="32"/>
      <c r="B652" s="32"/>
      <c r="C652" s="29" t="s">
        <v>70</v>
      </c>
      <c r="D652" s="29" t="s">
        <v>1704</v>
      </c>
      <c r="E652" s="28">
        <v>395.64</v>
      </c>
      <c r="F652" s="28">
        <v>0.0</v>
      </c>
      <c r="G652" s="28" t="s">
        <v>74</v>
      </c>
      <c r="H652" s="28">
        <f t="array" ref="H652">INDEX(CC!C:C,MATCH(1,(CC!A:A=G652)*(CC!B:B=I652),0))</f>
        <v>1503</v>
      </c>
      <c r="I652" s="28" t="s">
        <v>44</v>
      </c>
      <c r="J652" s="31">
        <v>395.64</v>
      </c>
      <c r="K652" s="28" t="str">
        <f>IFERROR(__xludf.DUMMYFUNCTION("IFERROR(
INDEX(
FILTER(
MAP(
reglas!$B$2:$B$240,
reglas!$C$2:$C$240,
reglas!$D$2:$D$240,
reglas!$E$2:$E$240,
LAMBDA(rEmisor,rPatron,rConcepto,rTipo,
IF(
AND(
OR(
UPPER(TRIM(rEmisor))=UPPER(TRIM(C652)),
UPPER(TRIM(rEmisor))=""CUALQUIERA""
),
OR(
UPPER(TRIM"&amp;"(rTipo))=""SOLO EMISOR"",
AND(
UPPER(TRIM(rTipo))=""EXACTA"",
UPPER(TRIM(AG652))=UPPER(TRIM(rPatron))
),
AND(
OR(
UPPER(TRIM(rTipo))=""CONTIENE"",
UPPER(TRIM(rTipo))=""COINCIDENCIA""
),
ISNUMBER(SEARCH(UPPER(TRIM(rPatron)),UPPER(TRIM(D652))))
)
)
),
rConc"&amp;"epto,
""""
)
)
),
MAP(
reglas!$B$2:$B$240,
reglas!$C$2:$C$240,
reglas!$D$2:$D$240,
reglas!$E$2:$E$240,
LAMBDA(rEmisor,rPatron,rConcepto,rTipo,
IF(
AND(
OR(
UPPER(TRIM(rEmisor))=UPPER(TRIM(C652)),
UPPER(TRIM(rEmisor))=""CUALQUIERA""
),
OR(
UPPER(TRIM(rTipo"&amp;"))=""SOLO EMISOR"",
AND(
UPPER(TRIM(rTipo))=""EXACTA"",
UPPER(TRIM(D652))=UPPER(TRIM(rPatron))
),
AND(
OR(
UPPER(TRIM(rTipo))=""CONTIENE"",
UPPER(TRIM(rTipo))=""COINCIDENCIA""
),
ISNUMBER(SEARCH(UPPER(TRIM(rPatron)),UPPER(TRIM(D652))))
)
)
),
rConcepto,
"&amp;"""""
)
)
)&lt;&gt;""""
),
1
),
""""
)"),"MANIOBRAS")</f>
        <v>MANIOBRAS</v>
      </c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</row>
    <row r="653">
      <c r="A653" s="32"/>
      <c r="B653" s="32"/>
      <c r="C653" s="29" t="s">
        <v>70</v>
      </c>
      <c r="D653" s="29" t="s">
        <v>1705</v>
      </c>
      <c r="E653" s="28">
        <v>812.1</v>
      </c>
      <c r="F653" s="28">
        <v>0.0</v>
      </c>
      <c r="G653" s="28" t="s">
        <v>74</v>
      </c>
      <c r="H653" s="28">
        <f t="array" ref="H653">INDEX(CC!C:C,MATCH(1,(CC!A:A=G653)*(CC!B:B=I653),0))</f>
        <v>1503</v>
      </c>
      <c r="I653" s="28" t="s">
        <v>44</v>
      </c>
      <c r="J653" s="31">
        <v>812.1</v>
      </c>
      <c r="K653" s="28" t="str">
        <f>IFERROR(__xludf.DUMMYFUNCTION("IFERROR(
INDEX(
FILTER(
MAP(
reglas!$B$2:$B$240,
reglas!$C$2:$C$240,
reglas!$D$2:$D$240,
reglas!$E$2:$E$240,
LAMBDA(rEmisor,rPatron,rConcepto,rTipo,
IF(
AND(
OR(
UPPER(TRIM(rEmisor))=UPPER(TRIM(C653)),
UPPER(TRIM(rEmisor))=""CUALQUIERA""
),
OR(
UPPER(TRIM"&amp;"(rTipo))=""SOLO EMISOR"",
AND(
UPPER(TRIM(rTipo))=""EXACTA"",
UPPER(TRIM(AG653))=UPPER(TRIM(rPatron))
),
AND(
OR(
UPPER(TRIM(rTipo))=""CONTIENE"",
UPPER(TRIM(rTipo))=""COINCIDENCIA""
),
ISNUMBER(SEARCH(UPPER(TRIM(rPatron)),UPPER(TRIM(D653))))
)
)
),
rConc"&amp;"epto,
""""
)
)
),
MAP(
reglas!$B$2:$B$240,
reglas!$C$2:$C$240,
reglas!$D$2:$D$240,
reglas!$E$2:$E$240,
LAMBDA(rEmisor,rPatron,rConcepto,rTipo,
IF(
AND(
OR(
UPPER(TRIM(rEmisor))=UPPER(TRIM(C653)),
UPPER(TRIM(rEmisor))=""CUALQUIERA""
),
OR(
UPPER(TRIM(rTipo"&amp;"))=""SOLO EMISOR"",
AND(
UPPER(TRIM(rTipo))=""EXACTA"",
UPPER(TRIM(D653))=UPPER(TRIM(rPatron))
),
AND(
OR(
UPPER(TRIM(rTipo))=""CONTIENE"",
UPPER(TRIM(rTipo))=""COINCIDENCIA""
),
ISNUMBER(SEARCH(UPPER(TRIM(rPatron)),UPPER(TRIM(D653))))
)
)
),
rConcepto,
"&amp;"""""
)
)
)&lt;&gt;""""
),
1
),
""""
)"),"MANIOBRAS")</f>
        <v>MANIOBRAS</v>
      </c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</row>
    <row r="654">
      <c r="A654" s="32"/>
      <c r="B654" s="28" t="s">
        <v>29</v>
      </c>
      <c r="C654" s="29" t="s">
        <v>172</v>
      </c>
      <c r="D654" s="29" t="s">
        <v>1681</v>
      </c>
      <c r="E654" s="28">
        <v>11500.0</v>
      </c>
      <c r="F654" s="28">
        <v>0.0</v>
      </c>
      <c r="G654" s="28" t="s">
        <v>250</v>
      </c>
      <c r="H654" s="28">
        <f t="array" ref="H654">INDEX(CC!C:C,MATCH(1,(CC!A:A=G654)*(CC!B:B=I654),0))</f>
        <v>1402</v>
      </c>
      <c r="I654" s="28" t="s">
        <v>25</v>
      </c>
      <c r="J654" s="31">
        <v>11500.0</v>
      </c>
      <c r="K654" s="28" t="str">
        <f>IFERROR(__xludf.DUMMYFUNCTION("IFERROR(
INDEX(
FILTER(
MAP(
reglas!$B$2:$B$240,
reglas!$C$2:$C$240,
reglas!$D$2:$D$240,
reglas!$E$2:$E$240,
LAMBDA(rEmisor,rPatron,rConcepto,rTipo,
IF(
AND(
OR(
UPPER(TRIM(rEmisor))=UPPER(TRIM(C654)),
UPPER(TRIM(rEmisor))=""CUALQUIERA""
),
OR(
UPPER(TRIM"&amp;"(rTipo))=""SOLO EMISOR"",
AND(
UPPER(TRIM(rTipo))=""EXACTA"",
UPPER(TRIM(AG654))=UPPER(TRIM(rPatron))
),
AND(
OR(
UPPER(TRIM(rTipo))=""CONTIENE"",
UPPER(TRIM(rTipo))=""COINCIDENCIA""
),
ISNUMBER(SEARCH(UPPER(TRIM(rPatron)),UPPER(TRIM(D654))))
)
)
),
rConc"&amp;"epto,
""""
)
)
),
MAP(
reglas!$B$2:$B$240,
reglas!$C$2:$C$240,
reglas!$D$2:$D$240,
reglas!$E$2:$E$240,
LAMBDA(rEmisor,rPatron,rConcepto,rTipo,
IF(
AND(
OR(
UPPER(TRIM(rEmisor))=UPPER(TRIM(C654)),
UPPER(TRIM(rEmisor))=""CUALQUIERA""
),
OR(
UPPER(TRIM(rTipo"&amp;"))=""SOLO EMISOR"",
AND(
UPPER(TRIM(rTipo))=""EXACTA"",
UPPER(TRIM(D654))=UPPER(TRIM(rPatron))
),
AND(
OR(
UPPER(TRIM(rTipo))=""CONTIENE"",
UPPER(TRIM(rTipo))=""COINCIDENCIA""
),
ISNUMBER(SEARCH(UPPER(TRIM(rPatron)),UPPER(TRIM(D654))))
)
)
),
rConcepto,
"&amp;"""""
)
)
)&lt;&gt;""""
),
1
),
""""
)"),"TRANSPORTE")</f>
        <v>TRANSPORTE</v>
      </c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</row>
    <row r="655">
      <c r="A655" s="32"/>
      <c r="B655" s="28" t="s">
        <v>29</v>
      </c>
      <c r="C655" s="29" t="s">
        <v>131</v>
      </c>
      <c r="D655" s="29" t="s">
        <v>134</v>
      </c>
      <c r="E655" s="28">
        <v>129.31</v>
      </c>
      <c r="F655" s="28">
        <v>0.0</v>
      </c>
      <c r="G655" s="28" t="s">
        <v>74</v>
      </c>
      <c r="H655" s="28">
        <f t="array" ref="H655">INDEX(CC!C:C,MATCH(1,(CC!A:A=G655)*(CC!B:B=I655),0))</f>
        <v>1502</v>
      </c>
      <c r="I655" s="28" t="s">
        <v>25</v>
      </c>
      <c r="J655" s="31">
        <v>129.31</v>
      </c>
      <c r="K655" s="28" t="str">
        <f>IFERROR(__xludf.DUMMYFUNCTION("IFERROR(
INDEX(
FILTER(
MAP(
reglas!$B$2:$B$240,
reglas!$C$2:$C$240,
reglas!$D$2:$D$240,
reglas!$E$2:$E$240,
LAMBDA(rEmisor,rPatron,rConcepto,rTipo,
IF(
AND(
OR(
UPPER(TRIM(rEmisor))=UPPER(TRIM(C655)),
UPPER(TRIM(rEmisor))=""CUALQUIERA""
),
OR(
UPPER(TRIM"&amp;"(rTipo))=""SOLO EMISOR"",
AND(
UPPER(TRIM(rTipo))=""EXACTA"",
UPPER(TRIM(AG655))=UPPER(TRIM(rPatron))
),
AND(
OR(
UPPER(TRIM(rTipo))=""CONTIENE"",
UPPER(TRIM(rTipo))=""COINCIDENCIA""
),
ISNUMBER(SEARCH(UPPER(TRIM(rPatron)),UPPER(TRIM(D655))))
)
)
),
rConc"&amp;"epto,
""""
)
)
),
MAP(
reglas!$B$2:$B$240,
reglas!$C$2:$C$240,
reglas!$D$2:$D$240,
reglas!$E$2:$E$240,
LAMBDA(rEmisor,rPatron,rConcepto,rTipo,
IF(
AND(
OR(
UPPER(TRIM(rEmisor))=UPPER(TRIM(C655)),
UPPER(TRIM(rEmisor))=""CUALQUIERA""
),
OR(
UPPER(TRIM(rTipo"&amp;"))=""SOLO EMISOR"",
AND(
UPPER(TRIM(rTipo))=""EXACTA"",
UPPER(TRIM(D655))=UPPER(TRIM(rPatron))
),
AND(
OR(
UPPER(TRIM(rTipo))=""CONTIENE"",
UPPER(TRIM(rTipo))=""COINCIDENCIA""
),
ISNUMBER(SEARCH(UPPER(TRIM(rPatron)),UPPER(TRIM(D655))))
)
)
),
rConcepto,
"&amp;"""""
)
)
)&lt;&gt;""""
),
1
),
""""
)"),"SANITARIOS")</f>
        <v>SANITARIOS</v>
      </c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</row>
    <row r="656">
      <c r="A656" s="28">
        <v>1.0</v>
      </c>
      <c r="B656" s="28" t="s">
        <v>29</v>
      </c>
      <c r="C656" s="29" t="s">
        <v>271</v>
      </c>
      <c r="D656" s="29" t="s">
        <v>587</v>
      </c>
      <c r="E656" s="28">
        <v>575.99</v>
      </c>
      <c r="F656" s="28">
        <v>0.0</v>
      </c>
      <c r="G656" s="28" t="s">
        <v>84</v>
      </c>
      <c r="H656" s="28">
        <f t="array" ref="H656">INDEX(CC!C:C,MATCH(1,(CC!A:A=G656)*(CC!B:B=I656),0))</f>
        <v>1002</v>
      </c>
      <c r="I656" s="28" t="s">
        <v>25</v>
      </c>
      <c r="J656" s="31">
        <v>575.99</v>
      </c>
      <c r="K656" s="28" t="str">
        <f>IFERROR(__xludf.DUMMYFUNCTION("IFERROR(
INDEX(
FILTER(
MAP(
reglas!$B$2:$B$240,
reglas!$C$2:$C$240,
reglas!$D$2:$D$240,
reglas!$E$2:$E$240,
LAMBDA(rEmisor,rPatron,rConcepto,rTipo,
IF(
AND(
OR(
UPPER(TRIM(rEmisor))=UPPER(TRIM(C656)),
UPPER(TRIM(rEmisor))=""CUALQUIERA""
),
OR(
UPPER(TRIM"&amp;"(rTipo))=""SOLO EMISOR"",
AND(
UPPER(TRIM(rTipo))=""EXACTA"",
UPPER(TRIM(AG656))=UPPER(TRIM(rPatron))
),
AND(
OR(
UPPER(TRIM(rTipo))=""CONTIENE"",
UPPER(TRIM(rTipo))=""COINCIDENCIA""
),
ISNUMBER(SEARCH(UPPER(TRIM(rPatron)),UPPER(TRIM(D656))))
)
)
),
rConc"&amp;"epto,
""""
)
)
),
MAP(
reglas!$B$2:$B$240,
reglas!$C$2:$C$240,
reglas!$D$2:$D$240,
reglas!$E$2:$E$240,
LAMBDA(rEmisor,rPatron,rConcepto,rTipo,
IF(
AND(
OR(
UPPER(TRIM(rEmisor))=UPPER(TRIM(C656)),
UPPER(TRIM(rEmisor))=""CUALQUIERA""
),
OR(
UPPER(TRIM(rTipo"&amp;"))=""SOLO EMISOR"",
AND(
UPPER(TRIM(rTipo))=""EXACTA"",
UPPER(TRIM(D656))=UPPER(TRIM(rPatron))
),
AND(
OR(
UPPER(TRIM(rTipo))=""CONTIENE"",
UPPER(TRIM(rTipo))=""COINCIDENCIA""
),
ISNUMBER(SEARCH(UPPER(TRIM(rPatron)),UPPER(TRIM(D656))))
)
)
),
rConcepto,
"&amp;"""""
)
)
)&lt;&gt;""""
),
1
),
""""
)"),"MANIOBRAS")</f>
        <v>MANIOBRAS</v>
      </c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</row>
    <row r="657">
      <c r="A657" s="32"/>
      <c r="B657" s="32"/>
      <c r="C657" s="29" t="s">
        <v>271</v>
      </c>
      <c r="D657" s="29" t="s">
        <v>586</v>
      </c>
      <c r="E657" s="28">
        <v>629.89</v>
      </c>
      <c r="F657" s="28">
        <v>0.0</v>
      </c>
      <c r="G657" s="28" t="s">
        <v>84</v>
      </c>
      <c r="H657" s="28">
        <f t="array" ref="H657">INDEX(CC!C:C,MATCH(1,(CC!A:A=G657)*(CC!B:B=I657),0))</f>
        <v>1002</v>
      </c>
      <c r="I657" s="28" t="s">
        <v>25</v>
      </c>
      <c r="J657" s="31">
        <v>629.89</v>
      </c>
      <c r="K657" s="28" t="str">
        <f>IFERROR(__xludf.DUMMYFUNCTION("IFERROR(
INDEX(
FILTER(
MAP(
reglas!$B$2:$B$240,
reglas!$C$2:$C$240,
reglas!$D$2:$D$240,
reglas!$E$2:$E$240,
LAMBDA(rEmisor,rPatron,rConcepto,rTipo,
IF(
AND(
OR(
UPPER(TRIM(rEmisor))=UPPER(TRIM(C657)),
UPPER(TRIM(rEmisor))=""CUALQUIERA""
),
OR(
UPPER(TRIM"&amp;"(rTipo))=""SOLO EMISOR"",
AND(
UPPER(TRIM(rTipo))=""EXACTA"",
UPPER(TRIM(AG657))=UPPER(TRIM(rPatron))
),
AND(
OR(
UPPER(TRIM(rTipo))=""CONTIENE"",
UPPER(TRIM(rTipo))=""COINCIDENCIA""
),
ISNUMBER(SEARCH(UPPER(TRIM(rPatron)),UPPER(TRIM(D657))))
)
)
),
rConc"&amp;"epto,
""""
)
)
),
MAP(
reglas!$B$2:$B$240,
reglas!$C$2:$C$240,
reglas!$D$2:$D$240,
reglas!$E$2:$E$240,
LAMBDA(rEmisor,rPatron,rConcepto,rTipo,
IF(
AND(
OR(
UPPER(TRIM(rEmisor))=UPPER(TRIM(C657)),
UPPER(TRIM(rEmisor))=""CUALQUIERA""
),
OR(
UPPER(TRIM(rTipo"&amp;"))=""SOLO EMISOR"",
AND(
UPPER(TRIM(rTipo))=""EXACTA"",
UPPER(TRIM(D657))=UPPER(TRIM(rPatron))
),
AND(
OR(
UPPER(TRIM(rTipo))=""CONTIENE"",
UPPER(TRIM(rTipo))=""COINCIDENCIA""
),
ISNUMBER(SEARCH(UPPER(TRIM(rPatron)),UPPER(TRIM(D657))))
)
)
),
rConcepto,
"&amp;"""""
)
)
)&lt;&gt;""""
),
1
),
""""
)"),"MANIOBRAS")</f>
        <v>MANIOBRAS</v>
      </c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</row>
    <row r="658">
      <c r="A658" s="32"/>
      <c r="B658" s="32"/>
      <c r="C658" s="29" t="s">
        <v>271</v>
      </c>
      <c r="D658" s="29" t="s">
        <v>589</v>
      </c>
      <c r="E658" s="28">
        <v>629.89</v>
      </c>
      <c r="F658" s="28">
        <v>0.0</v>
      </c>
      <c r="G658" s="28" t="s">
        <v>84</v>
      </c>
      <c r="H658" s="28">
        <f t="array" ref="H658">INDEX(CC!C:C,MATCH(1,(CC!A:A=G658)*(CC!B:B=I658),0))</f>
        <v>1002</v>
      </c>
      <c r="I658" s="28" t="s">
        <v>25</v>
      </c>
      <c r="J658" s="31">
        <v>629.89</v>
      </c>
      <c r="K658" s="28" t="str">
        <f>IFERROR(__xludf.DUMMYFUNCTION("IFERROR(
INDEX(
FILTER(
MAP(
reglas!$B$2:$B$240,
reglas!$C$2:$C$240,
reglas!$D$2:$D$240,
reglas!$E$2:$E$240,
LAMBDA(rEmisor,rPatron,rConcepto,rTipo,
IF(
AND(
OR(
UPPER(TRIM(rEmisor))=UPPER(TRIM(C658)),
UPPER(TRIM(rEmisor))=""CUALQUIERA""
),
OR(
UPPER(TRIM"&amp;"(rTipo))=""SOLO EMISOR"",
AND(
UPPER(TRIM(rTipo))=""EXACTA"",
UPPER(TRIM(AG658))=UPPER(TRIM(rPatron))
),
AND(
OR(
UPPER(TRIM(rTipo))=""CONTIENE"",
UPPER(TRIM(rTipo))=""COINCIDENCIA""
),
ISNUMBER(SEARCH(UPPER(TRIM(rPatron)),UPPER(TRIM(D658))))
)
)
),
rConc"&amp;"epto,
""""
)
)
),
MAP(
reglas!$B$2:$B$240,
reglas!$C$2:$C$240,
reglas!$D$2:$D$240,
reglas!$E$2:$E$240,
LAMBDA(rEmisor,rPatron,rConcepto,rTipo,
IF(
AND(
OR(
UPPER(TRIM(rEmisor))=UPPER(TRIM(C658)),
UPPER(TRIM(rEmisor))=""CUALQUIERA""
),
OR(
UPPER(TRIM(rTipo"&amp;"))=""SOLO EMISOR"",
AND(
UPPER(TRIM(rTipo))=""EXACTA"",
UPPER(TRIM(D658))=UPPER(TRIM(rPatron))
),
AND(
OR(
UPPER(TRIM(rTipo))=""CONTIENE"",
UPPER(TRIM(rTipo))=""COINCIDENCIA""
),
ISNUMBER(SEARCH(UPPER(TRIM(rPatron)),UPPER(TRIM(D658))))
)
)
),
rConcepto,
"&amp;"""""
)
)
)&lt;&gt;""""
),
1
),
""""
)"),"MANIOBRAS")</f>
        <v>MANIOBRAS</v>
      </c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</row>
    <row r="659">
      <c r="A659" s="32"/>
      <c r="B659" s="32"/>
      <c r="C659" s="29" t="s">
        <v>271</v>
      </c>
      <c r="D659" s="29" t="s">
        <v>593</v>
      </c>
      <c r="E659" s="28">
        <v>357.65</v>
      </c>
      <c r="F659" s="28">
        <v>0.0</v>
      </c>
      <c r="G659" s="28" t="s">
        <v>84</v>
      </c>
      <c r="H659" s="28">
        <f t="array" ref="H659">INDEX(CC!C:C,MATCH(1,(CC!A:A=G659)*(CC!B:B=I659),0))</f>
        <v>1002</v>
      </c>
      <c r="I659" s="28" t="s">
        <v>25</v>
      </c>
      <c r="J659" s="31">
        <v>357.65</v>
      </c>
      <c r="K659" s="28" t="str">
        <f>IFERROR(__xludf.DUMMYFUNCTION("IFERROR(
INDEX(
FILTER(
MAP(
reglas!$B$2:$B$240,
reglas!$C$2:$C$240,
reglas!$D$2:$D$240,
reglas!$E$2:$E$240,
LAMBDA(rEmisor,rPatron,rConcepto,rTipo,
IF(
AND(
OR(
UPPER(TRIM(rEmisor))=UPPER(TRIM(C659)),
UPPER(TRIM(rEmisor))=""CUALQUIERA""
),
OR(
UPPER(TRIM"&amp;"(rTipo))=""SOLO EMISOR"",
AND(
UPPER(TRIM(rTipo))=""EXACTA"",
UPPER(TRIM(AG659))=UPPER(TRIM(rPatron))
),
AND(
OR(
UPPER(TRIM(rTipo))=""CONTIENE"",
UPPER(TRIM(rTipo))=""COINCIDENCIA""
),
ISNUMBER(SEARCH(UPPER(TRIM(rPatron)),UPPER(TRIM(D659))))
)
)
),
rConc"&amp;"epto,
""""
)
)
),
MAP(
reglas!$B$2:$B$240,
reglas!$C$2:$C$240,
reglas!$D$2:$D$240,
reglas!$E$2:$E$240,
LAMBDA(rEmisor,rPatron,rConcepto,rTipo,
IF(
AND(
OR(
UPPER(TRIM(rEmisor))=UPPER(TRIM(C659)),
UPPER(TRIM(rEmisor))=""CUALQUIERA""
),
OR(
UPPER(TRIM(rTipo"&amp;"))=""SOLO EMISOR"",
AND(
UPPER(TRIM(rTipo))=""EXACTA"",
UPPER(TRIM(D659))=UPPER(TRIM(rPatron))
),
AND(
OR(
UPPER(TRIM(rTipo))=""CONTIENE"",
UPPER(TRIM(rTipo))=""COINCIDENCIA""
),
ISNUMBER(SEARCH(UPPER(TRIM(rPatron)),UPPER(TRIM(D659))))
)
)
),
rConcepto,
"&amp;"""""
)
)
)&lt;&gt;""""
),
1
),
""""
)"),"MANIOBRAS")</f>
        <v>MANIOBRAS</v>
      </c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</row>
    <row r="660">
      <c r="A660" s="32"/>
      <c r="B660" s="32"/>
      <c r="C660" s="29" t="s">
        <v>271</v>
      </c>
      <c r="D660" s="29" t="s">
        <v>596</v>
      </c>
      <c r="E660" s="28">
        <v>660.88</v>
      </c>
      <c r="F660" s="28">
        <v>0.0</v>
      </c>
      <c r="G660" s="28" t="s">
        <v>84</v>
      </c>
      <c r="H660" s="28">
        <f t="array" ref="H660">INDEX(CC!C:C,MATCH(1,(CC!A:A=G660)*(CC!B:B=I660),0))</f>
        <v>1002</v>
      </c>
      <c r="I660" s="28" t="s">
        <v>25</v>
      </c>
      <c r="J660" s="31">
        <v>660.88</v>
      </c>
      <c r="K660" s="28" t="str">
        <f>IFERROR(__xludf.DUMMYFUNCTION("IFERROR(
INDEX(
FILTER(
MAP(
reglas!$B$2:$B$240,
reglas!$C$2:$C$240,
reglas!$D$2:$D$240,
reglas!$E$2:$E$240,
LAMBDA(rEmisor,rPatron,rConcepto,rTipo,
IF(
AND(
OR(
UPPER(TRIM(rEmisor))=UPPER(TRIM(C660)),
UPPER(TRIM(rEmisor))=""CUALQUIERA""
),
OR(
UPPER(TRIM"&amp;"(rTipo))=""SOLO EMISOR"",
AND(
UPPER(TRIM(rTipo))=""EXACTA"",
UPPER(TRIM(AG660))=UPPER(TRIM(rPatron))
),
AND(
OR(
UPPER(TRIM(rTipo))=""CONTIENE"",
UPPER(TRIM(rTipo))=""COINCIDENCIA""
),
ISNUMBER(SEARCH(UPPER(TRIM(rPatron)),UPPER(TRIM(D660))))
)
)
),
rConc"&amp;"epto,
""""
)
)
),
MAP(
reglas!$B$2:$B$240,
reglas!$C$2:$C$240,
reglas!$D$2:$D$240,
reglas!$E$2:$E$240,
LAMBDA(rEmisor,rPatron,rConcepto,rTipo,
IF(
AND(
OR(
UPPER(TRIM(rEmisor))=UPPER(TRIM(C660)),
UPPER(TRIM(rEmisor))=""CUALQUIERA""
),
OR(
UPPER(TRIM(rTipo"&amp;"))=""SOLO EMISOR"",
AND(
UPPER(TRIM(rTipo))=""EXACTA"",
UPPER(TRIM(D660))=UPPER(TRIM(rPatron))
),
AND(
OR(
UPPER(TRIM(rTipo))=""CONTIENE"",
UPPER(TRIM(rTipo))=""COINCIDENCIA""
),
ISNUMBER(SEARCH(UPPER(TRIM(rPatron)),UPPER(TRIM(D660))))
)
)
),
rConcepto,
"&amp;"""""
)
)
)&lt;&gt;""""
),
1
),
""""
)"),"MANIOBRAS")</f>
        <v>MANIOBRAS</v>
      </c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</row>
    <row r="661">
      <c r="A661" s="32"/>
      <c r="B661" s="28" t="s">
        <v>29</v>
      </c>
      <c r="C661" s="29" t="s">
        <v>278</v>
      </c>
      <c r="D661" s="29" t="s">
        <v>560</v>
      </c>
      <c r="E661" s="28">
        <v>3500.0</v>
      </c>
      <c r="F661" s="28">
        <v>0.0</v>
      </c>
      <c r="G661" s="28" t="s">
        <v>250</v>
      </c>
      <c r="H661" s="28">
        <f t="array" ref="H661">INDEX(CC!C:C,MATCH(1,(CC!A:A=G661)*(CC!B:B=I661),0))</f>
        <v>1402</v>
      </c>
      <c r="I661" s="28" t="s">
        <v>25</v>
      </c>
      <c r="J661" s="31">
        <v>3500.0</v>
      </c>
      <c r="K661" s="28" t="str">
        <f>IFERROR(__xludf.DUMMYFUNCTION("IFERROR(
INDEX(
FILTER(
MAP(
reglas!$B$2:$B$240,
reglas!$C$2:$C$240,
reglas!$D$2:$D$240,
reglas!$E$2:$E$240,
LAMBDA(rEmisor,rPatron,rConcepto,rTipo,
IF(
AND(
OR(
UPPER(TRIM(rEmisor))=UPPER(TRIM(C661)),
UPPER(TRIM(rEmisor))=""CUALQUIERA""
),
OR(
UPPER(TRIM"&amp;"(rTipo))=""SOLO EMISOR"",
AND(
UPPER(TRIM(rTipo))=""EXACTA"",
UPPER(TRIM(AG661))=UPPER(TRIM(rPatron))
),
AND(
OR(
UPPER(TRIM(rTipo))=""CONTIENE"",
UPPER(TRIM(rTipo))=""COINCIDENCIA""
),
ISNUMBER(SEARCH(UPPER(TRIM(rPatron)),UPPER(TRIM(D661))))
)
)
),
rConc"&amp;"epto,
""""
)
)
),
MAP(
reglas!$B$2:$B$240,
reglas!$C$2:$C$240,
reglas!$D$2:$D$240,
reglas!$E$2:$E$240,
LAMBDA(rEmisor,rPatron,rConcepto,rTipo,
IF(
AND(
OR(
UPPER(TRIM(rEmisor))=UPPER(TRIM(C661)),
UPPER(TRIM(rEmisor))=""CUALQUIERA""
),
OR(
UPPER(TRIM(rTipo"&amp;"))=""SOLO EMISOR"",
AND(
UPPER(TRIM(rTipo))=""EXACTA"",
UPPER(TRIM(D661))=UPPER(TRIM(rPatron))
),
AND(
OR(
UPPER(TRIM(rTipo))=""CONTIENE"",
UPPER(TRIM(rTipo))=""COINCIDENCIA""
),
ISNUMBER(SEARCH(UPPER(TRIM(rPatron)),UPPER(TRIM(D661))))
)
)
),
rConcepto,
"&amp;"""""
)
)
)&lt;&gt;""""
),
1
),
""""
)"),"MANIOBRAS")</f>
        <v>MANIOBRAS</v>
      </c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</row>
    <row r="662">
      <c r="A662" s="32"/>
      <c r="B662" s="28" t="s">
        <v>29</v>
      </c>
      <c r="C662" s="29" t="s">
        <v>481</v>
      </c>
      <c r="D662" s="29" t="s">
        <v>482</v>
      </c>
      <c r="E662" s="28">
        <v>2600.0</v>
      </c>
      <c r="F662" s="28">
        <v>0.0</v>
      </c>
      <c r="G662" s="28" t="s">
        <v>74</v>
      </c>
      <c r="H662" s="28">
        <f t="array" ref="H662">INDEX(CC!C:C,MATCH(1,(CC!A:A=G662)*(CC!B:B=I662),0))</f>
        <v>1502</v>
      </c>
      <c r="I662" s="28" t="s">
        <v>25</v>
      </c>
      <c r="J662" s="31">
        <v>2600.0</v>
      </c>
      <c r="K662" s="28" t="str">
        <f>IFERROR(__xludf.DUMMYFUNCTION("IFERROR(
INDEX(
FILTER(
MAP(
reglas!$B$2:$B$240,
reglas!$C$2:$C$240,
reglas!$D$2:$D$240,
reglas!$E$2:$E$240,
LAMBDA(rEmisor,rPatron,rConcepto,rTipo,
IF(
AND(
OR(
UPPER(TRIM(rEmisor))=UPPER(TRIM(C662)),
UPPER(TRIM(rEmisor))=""CUALQUIERA""
),
OR(
UPPER(TRIM"&amp;"(rTipo))=""SOLO EMISOR"",
AND(
UPPER(TRIM(rTipo))=""EXACTA"",
UPPER(TRIM(AG662))=UPPER(TRIM(rPatron))
),
AND(
OR(
UPPER(TRIM(rTipo))=""CONTIENE"",
UPPER(TRIM(rTipo))=""COINCIDENCIA""
),
ISNUMBER(SEARCH(UPPER(TRIM(rPatron)),UPPER(TRIM(D662))))
)
)
),
rConc"&amp;"epto,
""""
)
)
),
MAP(
reglas!$B$2:$B$240,
reglas!$C$2:$C$240,
reglas!$D$2:$D$240,
reglas!$E$2:$E$240,
LAMBDA(rEmisor,rPatron,rConcepto,rTipo,
IF(
AND(
OR(
UPPER(TRIM(rEmisor))=UPPER(TRIM(C662)),
UPPER(TRIM(rEmisor))=""CUALQUIERA""
),
OR(
UPPER(TRIM(rTipo"&amp;"))=""SOLO EMISOR"",
AND(
UPPER(TRIM(rTipo))=""EXACTA"",
UPPER(TRIM(D662))=UPPER(TRIM(rPatron))
),
AND(
OR(
UPPER(TRIM(rTipo))=""CONTIENE"",
UPPER(TRIM(rTipo))=""COINCIDENCIA""
),
ISNUMBER(SEARCH(UPPER(TRIM(rPatron)),UPPER(TRIM(D662))))
)
)
),
rConcepto,
"&amp;"""""
)
)
)&lt;&gt;""""
),
1
),
""""
)"),"OTROS GASTOS")</f>
        <v>OTROS GASTOS</v>
      </c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</row>
    <row r="663">
      <c r="A663" s="32"/>
      <c r="B663" s="28" t="s">
        <v>29</v>
      </c>
      <c r="C663" s="29" t="s">
        <v>269</v>
      </c>
      <c r="D663" s="29" t="s">
        <v>1706</v>
      </c>
      <c r="E663" s="28">
        <v>4830.0</v>
      </c>
      <c r="F663" s="28">
        <v>0.0</v>
      </c>
      <c r="G663" s="28" t="s">
        <v>554</v>
      </c>
      <c r="H663" s="28">
        <f t="array" ref="H663">INDEX(CC!C:C,MATCH(1,(CC!A:A=G663)*(CC!B:B=I663),0))</f>
        <v>1702</v>
      </c>
      <c r="I663" s="28" t="s">
        <v>25</v>
      </c>
      <c r="J663" s="31">
        <v>4830.0</v>
      </c>
      <c r="K663" s="28" t="str">
        <f>IFERROR(__xludf.DUMMYFUNCTION("IFERROR(
INDEX(
FILTER(
MAP(
reglas!$B$2:$B$240,
reglas!$C$2:$C$240,
reglas!$D$2:$D$240,
reglas!$E$2:$E$240,
LAMBDA(rEmisor,rPatron,rConcepto,rTipo,
IF(
AND(
OR(
UPPER(TRIM(rEmisor))=UPPER(TRIM(C663)),
UPPER(TRIM(rEmisor))=""CUALQUIERA""
),
OR(
UPPER(TRIM"&amp;"(rTipo))=""SOLO EMISOR"",
AND(
UPPER(TRIM(rTipo))=""EXACTA"",
UPPER(TRIM(AG663))=UPPER(TRIM(rPatron))
),
AND(
OR(
UPPER(TRIM(rTipo))=""CONTIENE"",
UPPER(TRIM(rTipo))=""COINCIDENCIA""
),
ISNUMBER(SEARCH(UPPER(TRIM(rPatron)),UPPER(TRIM(D663))))
)
)
),
rConc"&amp;"epto,
""""
)
)
),
MAP(
reglas!$B$2:$B$240,
reglas!$C$2:$C$240,
reglas!$D$2:$D$240,
reglas!$E$2:$E$240,
LAMBDA(rEmisor,rPatron,rConcepto,rTipo,
IF(
AND(
OR(
UPPER(TRIM(rEmisor))=UPPER(TRIM(C663)),
UPPER(TRIM(rEmisor))=""CUALQUIERA""
),
OR(
UPPER(TRIM(rTipo"&amp;"))=""SOLO EMISOR"",
AND(
UPPER(TRIM(rTipo))=""EXACTA"",
UPPER(TRIM(D663))=UPPER(TRIM(rPatron))
),
AND(
OR(
UPPER(TRIM(rTipo))=""CONTIENE"",
UPPER(TRIM(rTipo))=""COINCIDENCIA""
),
ISNUMBER(SEARCH(UPPER(TRIM(rPatron)),UPPER(TRIM(D663))))
)
)
),
rConcepto,
"&amp;"""""
)
)
)&lt;&gt;""""
),
1
),
""""
)"),"ASESORIA EN COMERCIO EXTERIOR")</f>
        <v>ASESORIA EN COMERCIO EXTERIOR</v>
      </c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</row>
    <row r="664">
      <c r="A664" s="32"/>
      <c r="B664" s="28" t="s">
        <v>29</v>
      </c>
      <c r="C664" s="29" t="s">
        <v>172</v>
      </c>
      <c r="D664" s="29" t="s">
        <v>1519</v>
      </c>
      <c r="E664" s="28">
        <v>11500.0</v>
      </c>
      <c r="F664" s="28">
        <v>0.0</v>
      </c>
      <c r="G664" s="28" t="s">
        <v>250</v>
      </c>
      <c r="H664" s="28">
        <f t="array" ref="H664">INDEX(CC!C:C,MATCH(1,(CC!A:A=G664)*(CC!B:B=I664),0))</f>
        <v>1402</v>
      </c>
      <c r="I664" s="28" t="s">
        <v>25</v>
      </c>
      <c r="J664" s="31">
        <v>11500.0</v>
      </c>
      <c r="K664" s="28" t="str">
        <f>IFERROR(__xludf.DUMMYFUNCTION("IFERROR(
INDEX(
FILTER(
MAP(
reglas!$B$2:$B$240,
reglas!$C$2:$C$240,
reglas!$D$2:$D$240,
reglas!$E$2:$E$240,
LAMBDA(rEmisor,rPatron,rConcepto,rTipo,
IF(
AND(
OR(
UPPER(TRIM(rEmisor))=UPPER(TRIM(C664)),
UPPER(TRIM(rEmisor))=""CUALQUIERA""
),
OR(
UPPER(TRIM"&amp;"(rTipo))=""SOLO EMISOR"",
AND(
UPPER(TRIM(rTipo))=""EXACTA"",
UPPER(TRIM(AG664))=UPPER(TRIM(rPatron))
),
AND(
OR(
UPPER(TRIM(rTipo))=""CONTIENE"",
UPPER(TRIM(rTipo))=""COINCIDENCIA""
),
ISNUMBER(SEARCH(UPPER(TRIM(rPatron)),UPPER(TRIM(D664))))
)
)
),
rConc"&amp;"epto,
""""
)
)
),
MAP(
reglas!$B$2:$B$240,
reglas!$C$2:$C$240,
reglas!$D$2:$D$240,
reglas!$E$2:$E$240,
LAMBDA(rEmisor,rPatron,rConcepto,rTipo,
IF(
AND(
OR(
UPPER(TRIM(rEmisor))=UPPER(TRIM(C664)),
UPPER(TRIM(rEmisor))=""CUALQUIERA""
),
OR(
UPPER(TRIM(rTipo"&amp;"))=""SOLO EMISOR"",
AND(
UPPER(TRIM(rTipo))=""EXACTA"",
UPPER(TRIM(D664))=UPPER(TRIM(rPatron))
),
AND(
OR(
UPPER(TRIM(rTipo))=""CONTIENE"",
UPPER(TRIM(rTipo))=""COINCIDENCIA""
),
ISNUMBER(SEARCH(UPPER(TRIM(rPatron)),UPPER(TRIM(D664))))
)
)
),
rConcepto,
"&amp;"""""
)
)
)&lt;&gt;""""
),
1
),
""""
)"),"TRANSPORTE")</f>
        <v>TRANSPORTE</v>
      </c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</row>
    <row r="665">
      <c r="A665" s="32"/>
      <c r="B665" s="28" t="s">
        <v>29</v>
      </c>
      <c r="C665" s="29" t="s">
        <v>278</v>
      </c>
      <c r="D665" s="29" t="s">
        <v>1697</v>
      </c>
      <c r="E665" s="28">
        <v>500.0</v>
      </c>
      <c r="F665" s="28">
        <v>0.0</v>
      </c>
      <c r="G665" s="28" t="s">
        <v>250</v>
      </c>
      <c r="H665" s="28">
        <f t="array" ref="H665">INDEX(CC!C:C,MATCH(1,(CC!A:A=G665)*(CC!B:B=I665),0))</f>
        <v>1402</v>
      </c>
      <c r="I665" s="28" t="s">
        <v>25</v>
      </c>
      <c r="J665" s="31">
        <v>500.0</v>
      </c>
      <c r="K665" s="28" t="str">
        <f>IFERROR(__xludf.DUMMYFUNCTION("IFERROR(
INDEX(
FILTER(
MAP(
reglas!$B$2:$B$240,
reglas!$C$2:$C$240,
reglas!$D$2:$D$240,
reglas!$E$2:$E$240,
LAMBDA(rEmisor,rPatron,rConcepto,rTipo,
IF(
AND(
OR(
UPPER(TRIM(rEmisor))=UPPER(TRIM(C665)),
UPPER(TRIM(rEmisor))=""CUALQUIERA""
),
OR(
UPPER(TRIM"&amp;"(rTipo))=""SOLO EMISOR"",
AND(
UPPER(TRIM(rTipo))=""EXACTA"",
UPPER(TRIM(AG665))=UPPER(TRIM(rPatron))
),
AND(
OR(
UPPER(TRIM(rTipo))=""CONTIENE"",
UPPER(TRIM(rTipo))=""COINCIDENCIA""
),
ISNUMBER(SEARCH(UPPER(TRIM(rPatron)),UPPER(TRIM(D665))))
)
)
),
rConc"&amp;"epto,
""""
)
)
),
MAP(
reglas!$B$2:$B$240,
reglas!$C$2:$C$240,
reglas!$D$2:$D$240,
reglas!$E$2:$E$240,
LAMBDA(rEmisor,rPatron,rConcepto,rTipo,
IF(
AND(
OR(
UPPER(TRIM(rEmisor))=UPPER(TRIM(C665)),
UPPER(TRIM(rEmisor))=""CUALQUIERA""
),
OR(
UPPER(TRIM(rTipo"&amp;"))=""SOLO EMISOR"",
AND(
UPPER(TRIM(rTipo))=""EXACTA"",
UPPER(TRIM(D665))=UPPER(TRIM(rPatron))
),
AND(
OR(
UPPER(TRIM(rTipo))=""CONTIENE"",
UPPER(TRIM(rTipo))=""COINCIDENCIA""
),
ISNUMBER(SEARCH(UPPER(TRIM(rPatron)),UPPER(TRIM(D665))))
)
)
),
rConcepto,
"&amp;"""""
)
)
)&lt;&gt;""""
),
1
),
""""
)"),"MANIOBRAS")</f>
        <v>MANIOBRAS</v>
      </c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</row>
    <row r="666">
      <c r="A666" s="28">
        <v>1.0</v>
      </c>
      <c r="B666" s="28" t="s">
        <v>29</v>
      </c>
      <c r="C666" s="29" t="s">
        <v>271</v>
      </c>
      <c r="D666" s="29" t="s">
        <v>585</v>
      </c>
      <c r="E666" s="28">
        <v>629.54</v>
      </c>
      <c r="F666" s="28">
        <v>0.0</v>
      </c>
      <c r="G666" s="28" t="s">
        <v>84</v>
      </c>
      <c r="H666" s="28">
        <f t="array" ref="H666">INDEX(CC!C:C,MATCH(1,(CC!A:A=G666)*(CC!B:B=I666),0))</f>
        <v>1002</v>
      </c>
      <c r="I666" s="28" t="s">
        <v>25</v>
      </c>
      <c r="J666" s="31">
        <v>629.54</v>
      </c>
      <c r="K666" s="28" t="str">
        <f>IFERROR(__xludf.DUMMYFUNCTION("IFERROR(
INDEX(
FILTER(
MAP(
reglas!$B$2:$B$240,
reglas!$C$2:$C$240,
reglas!$D$2:$D$240,
reglas!$E$2:$E$240,
LAMBDA(rEmisor,rPatron,rConcepto,rTipo,
IF(
AND(
OR(
UPPER(TRIM(rEmisor))=UPPER(TRIM(C666)),
UPPER(TRIM(rEmisor))=""CUALQUIERA""
),
OR(
UPPER(TRIM"&amp;"(rTipo))=""SOLO EMISOR"",
AND(
UPPER(TRIM(rTipo))=""EXACTA"",
UPPER(TRIM(AG666))=UPPER(TRIM(rPatron))
),
AND(
OR(
UPPER(TRIM(rTipo))=""CONTIENE"",
UPPER(TRIM(rTipo))=""COINCIDENCIA""
),
ISNUMBER(SEARCH(UPPER(TRIM(rPatron)),UPPER(TRIM(D666))))
)
)
),
rConc"&amp;"epto,
""""
)
)
),
MAP(
reglas!$B$2:$B$240,
reglas!$C$2:$C$240,
reglas!$D$2:$D$240,
reglas!$E$2:$E$240,
LAMBDA(rEmisor,rPatron,rConcepto,rTipo,
IF(
AND(
OR(
UPPER(TRIM(rEmisor))=UPPER(TRIM(C666)),
UPPER(TRIM(rEmisor))=""CUALQUIERA""
),
OR(
UPPER(TRIM(rTipo"&amp;"))=""SOLO EMISOR"",
AND(
UPPER(TRIM(rTipo))=""EXACTA"",
UPPER(TRIM(D666))=UPPER(TRIM(rPatron))
),
AND(
OR(
UPPER(TRIM(rTipo))=""CONTIENE"",
UPPER(TRIM(rTipo))=""COINCIDENCIA""
),
ISNUMBER(SEARCH(UPPER(TRIM(rPatron)),UPPER(TRIM(D666))))
)
)
),
rConcepto,
"&amp;"""""
)
)
)&lt;&gt;""""
),
1
),
""""
)"),"MANIOBRAS")</f>
        <v>MANIOBRAS</v>
      </c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</row>
    <row r="667">
      <c r="A667" s="32"/>
      <c r="B667" s="32"/>
      <c r="C667" s="29" t="s">
        <v>271</v>
      </c>
      <c r="D667" s="29" t="s">
        <v>587</v>
      </c>
      <c r="E667" s="28">
        <v>575.99</v>
      </c>
      <c r="F667" s="28">
        <v>0.0</v>
      </c>
      <c r="G667" s="28" t="s">
        <v>84</v>
      </c>
      <c r="H667" s="28">
        <f t="array" ref="H667">INDEX(CC!C:C,MATCH(1,(CC!A:A=G667)*(CC!B:B=I667),0))</f>
        <v>1002</v>
      </c>
      <c r="I667" s="28" t="s">
        <v>25</v>
      </c>
      <c r="J667" s="31">
        <v>575.99</v>
      </c>
      <c r="K667" s="28" t="str">
        <f>IFERROR(__xludf.DUMMYFUNCTION("IFERROR(
INDEX(
FILTER(
MAP(
reglas!$B$2:$B$240,
reglas!$C$2:$C$240,
reglas!$D$2:$D$240,
reglas!$E$2:$E$240,
LAMBDA(rEmisor,rPatron,rConcepto,rTipo,
IF(
AND(
OR(
UPPER(TRIM(rEmisor))=UPPER(TRIM(C667)),
UPPER(TRIM(rEmisor))=""CUALQUIERA""
),
OR(
UPPER(TRIM"&amp;"(rTipo))=""SOLO EMISOR"",
AND(
UPPER(TRIM(rTipo))=""EXACTA"",
UPPER(TRIM(AG667))=UPPER(TRIM(rPatron))
),
AND(
OR(
UPPER(TRIM(rTipo))=""CONTIENE"",
UPPER(TRIM(rTipo))=""COINCIDENCIA""
),
ISNUMBER(SEARCH(UPPER(TRIM(rPatron)),UPPER(TRIM(D667))))
)
)
),
rConc"&amp;"epto,
""""
)
)
),
MAP(
reglas!$B$2:$B$240,
reglas!$C$2:$C$240,
reglas!$D$2:$D$240,
reglas!$E$2:$E$240,
LAMBDA(rEmisor,rPatron,rConcepto,rTipo,
IF(
AND(
OR(
UPPER(TRIM(rEmisor))=UPPER(TRIM(C667)),
UPPER(TRIM(rEmisor))=""CUALQUIERA""
),
OR(
UPPER(TRIM(rTipo"&amp;"))=""SOLO EMISOR"",
AND(
UPPER(TRIM(rTipo))=""EXACTA"",
UPPER(TRIM(D667))=UPPER(TRIM(rPatron))
),
AND(
OR(
UPPER(TRIM(rTipo))=""CONTIENE"",
UPPER(TRIM(rTipo))=""COINCIDENCIA""
),
ISNUMBER(SEARCH(UPPER(TRIM(rPatron)),UPPER(TRIM(D667))))
)
)
),
rConcepto,
"&amp;"""""
)
)
)&lt;&gt;""""
),
1
),
""""
)"),"MANIOBRAS")</f>
        <v>MANIOBRAS</v>
      </c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</row>
    <row r="668">
      <c r="A668" s="32"/>
      <c r="B668" s="32"/>
      <c r="C668" s="29" t="s">
        <v>271</v>
      </c>
      <c r="D668" s="29" t="s">
        <v>586</v>
      </c>
      <c r="E668" s="28">
        <v>1330.55</v>
      </c>
      <c r="F668" s="28">
        <v>0.0</v>
      </c>
      <c r="G668" s="28" t="s">
        <v>84</v>
      </c>
      <c r="H668" s="28">
        <f t="array" ref="H668">INDEX(CC!C:C,MATCH(1,(CC!A:A=G668)*(CC!B:B=I668),0))</f>
        <v>1002</v>
      </c>
      <c r="I668" s="28" t="s">
        <v>25</v>
      </c>
      <c r="J668" s="31">
        <v>1330.55</v>
      </c>
      <c r="K668" s="28" t="str">
        <f>IFERROR(__xludf.DUMMYFUNCTION("IFERROR(
INDEX(
FILTER(
MAP(
reglas!$B$2:$B$240,
reglas!$C$2:$C$240,
reglas!$D$2:$D$240,
reglas!$E$2:$E$240,
LAMBDA(rEmisor,rPatron,rConcepto,rTipo,
IF(
AND(
OR(
UPPER(TRIM(rEmisor))=UPPER(TRIM(C668)),
UPPER(TRIM(rEmisor))=""CUALQUIERA""
),
OR(
UPPER(TRIM"&amp;"(rTipo))=""SOLO EMISOR"",
AND(
UPPER(TRIM(rTipo))=""EXACTA"",
UPPER(TRIM(AG668))=UPPER(TRIM(rPatron))
),
AND(
OR(
UPPER(TRIM(rTipo))=""CONTIENE"",
UPPER(TRIM(rTipo))=""COINCIDENCIA""
),
ISNUMBER(SEARCH(UPPER(TRIM(rPatron)),UPPER(TRIM(D668))))
)
)
),
rConc"&amp;"epto,
""""
)
)
),
MAP(
reglas!$B$2:$B$240,
reglas!$C$2:$C$240,
reglas!$D$2:$D$240,
reglas!$E$2:$E$240,
LAMBDA(rEmisor,rPatron,rConcepto,rTipo,
IF(
AND(
OR(
UPPER(TRIM(rEmisor))=UPPER(TRIM(C668)),
UPPER(TRIM(rEmisor))=""CUALQUIERA""
),
OR(
UPPER(TRIM(rTipo"&amp;"))=""SOLO EMISOR"",
AND(
UPPER(TRIM(rTipo))=""EXACTA"",
UPPER(TRIM(D668))=UPPER(TRIM(rPatron))
),
AND(
OR(
UPPER(TRIM(rTipo))=""CONTIENE"",
UPPER(TRIM(rTipo))=""COINCIDENCIA""
),
ISNUMBER(SEARCH(UPPER(TRIM(rPatron)),UPPER(TRIM(D668))))
)
)
),
rConcepto,
"&amp;"""""
)
)
)&lt;&gt;""""
),
1
),
""""
)"),"MANIOBRAS")</f>
        <v>MANIOBRAS</v>
      </c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</row>
    <row r="669">
      <c r="A669" s="32"/>
      <c r="B669" s="32"/>
      <c r="C669" s="29" t="s">
        <v>271</v>
      </c>
      <c r="D669" s="29" t="s">
        <v>589</v>
      </c>
      <c r="E669" s="28">
        <v>916.77</v>
      </c>
      <c r="F669" s="28">
        <v>0.0</v>
      </c>
      <c r="G669" s="28" t="s">
        <v>84</v>
      </c>
      <c r="H669" s="28">
        <f t="array" ref="H669">INDEX(CC!C:C,MATCH(1,(CC!A:A=G669)*(CC!B:B=I669),0))</f>
        <v>1002</v>
      </c>
      <c r="I669" s="28" t="s">
        <v>25</v>
      </c>
      <c r="J669" s="31">
        <v>916.77</v>
      </c>
      <c r="K669" s="28" t="str">
        <f>IFERROR(__xludf.DUMMYFUNCTION("IFERROR(
INDEX(
FILTER(
MAP(
reglas!$B$2:$B$240,
reglas!$C$2:$C$240,
reglas!$D$2:$D$240,
reglas!$E$2:$E$240,
LAMBDA(rEmisor,rPatron,rConcepto,rTipo,
IF(
AND(
OR(
UPPER(TRIM(rEmisor))=UPPER(TRIM(C669)),
UPPER(TRIM(rEmisor))=""CUALQUIERA""
),
OR(
UPPER(TRIM"&amp;"(rTipo))=""SOLO EMISOR"",
AND(
UPPER(TRIM(rTipo))=""EXACTA"",
UPPER(TRIM(AG669))=UPPER(TRIM(rPatron))
),
AND(
OR(
UPPER(TRIM(rTipo))=""CONTIENE"",
UPPER(TRIM(rTipo))=""COINCIDENCIA""
),
ISNUMBER(SEARCH(UPPER(TRIM(rPatron)),UPPER(TRIM(D669))))
)
)
),
rConc"&amp;"epto,
""""
)
)
),
MAP(
reglas!$B$2:$B$240,
reglas!$C$2:$C$240,
reglas!$D$2:$D$240,
reglas!$E$2:$E$240,
LAMBDA(rEmisor,rPatron,rConcepto,rTipo,
IF(
AND(
OR(
UPPER(TRIM(rEmisor))=UPPER(TRIM(C669)),
UPPER(TRIM(rEmisor))=""CUALQUIERA""
),
OR(
UPPER(TRIM(rTipo"&amp;"))=""SOLO EMISOR"",
AND(
UPPER(TRIM(rTipo))=""EXACTA"",
UPPER(TRIM(D669))=UPPER(TRIM(rPatron))
),
AND(
OR(
UPPER(TRIM(rTipo))=""CONTIENE"",
UPPER(TRIM(rTipo))=""COINCIDENCIA""
),
ISNUMBER(SEARCH(UPPER(TRIM(rPatron)),UPPER(TRIM(D669))))
)
)
),
rConcepto,
"&amp;"""""
)
)
)&lt;&gt;""""
),
1
),
""""
)"),"MANIOBRAS")</f>
        <v>MANIOBRAS</v>
      </c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</row>
    <row r="670">
      <c r="A670" s="32"/>
      <c r="B670" s="32"/>
      <c r="C670" s="29" t="s">
        <v>271</v>
      </c>
      <c r="D670" s="29" t="s">
        <v>593</v>
      </c>
      <c r="E670" s="28">
        <v>1167.48</v>
      </c>
      <c r="F670" s="28">
        <v>0.0</v>
      </c>
      <c r="G670" s="28" t="s">
        <v>84</v>
      </c>
      <c r="H670" s="28">
        <f t="array" ref="H670">INDEX(CC!C:C,MATCH(1,(CC!A:A=G670)*(CC!B:B=I670),0))</f>
        <v>1002</v>
      </c>
      <c r="I670" s="28" t="s">
        <v>25</v>
      </c>
      <c r="J670" s="31">
        <v>1167.48</v>
      </c>
      <c r="K670" s="28" t="str">
        <f>IFERROR(__xludf.DUMMYFUNCTION("IFERROR(
INDEX(
FILTER(
MAP(
reglas!$B$2:$B$240,
reglas!$C$2:$C$240,
reglas!$D$2:$D$240,
reglas!$E$2:$E$240,
LAMBDA(rEmisor,rPatron,rConcepto,rTipo,
IF(
AND(
OR(
UPPER(TRIM(rEmisor))=UPPER(TRIM(C670)),
UPPER(TRIM(rEmisor))=""CUALQUIERA""
),
OR(
UPPER(TRIM"&amp;"(rTipo))=""SOLO EMISOR"",
AND(
UPPER(TRIM(rTipo))=""EXACTA"",
UPPER(TRIM(AG670))=UPPER(TRIM(rPatron))
),
AND(
OR(
UPPER(TRIM(rTipo))=""CONTIENE"",
UPPER(TRIM(rTipo))=""COINCIDENCIA""
),
ISNUMBER(SEARCH(UPPER(TRIM(rPatron)),UPPER(TRIM(D670))))
)
)
),
rConc"&amp;"epto,
""""
)
)
),
MAP(
reglas!$B$2:$B$240,
reglas!$C$2:$C$240,
reglas!$D$2:$D$240,
reglas!$E$2:$E$240,
LAMBDA(rEmisor,rPatron,rConcepto,rTipo,
IF(
AND(
OR(
UPPER(TRIM(rEmisor))=UPPER(TRIM(C670)),
UPPER(TRIM(rEmisor))=""CUALQUIERA""
),
OR(
UPPER(TRIM(rTipo"&amp;"))=""SOLO EMISOR"",
AND(
UPPER(TRIM(rTipo))=""EXACTA"",
UPPER(TRIM(D670))=UPPER(TRIM(rPatron))
),
AND(
OR(
UPPER(TRIM(rTipo))=""CONTIENE"",
UPPER(TRIM(rTipo))=""COINCIDENCIA""
),
ISNUMBER(SEARCH(UPPER(TRIM(rPatron)),UPPER(TRIM(D670))))
)
)
),
rConcepto,
"&amp;"""""
)
)
)&lt;&gt;""""
),
1
),
""""
)"),"MANIOBRAS")</f>
        <v>MANIOBRAS</v>
      </c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</row>
    <row r="671">
      <c r="A671" s="32"/>
      <c r="B671" s="32"/>
      <c r="C671" s="29" t="s">
        <v>271</v>
      </c>
      <c r="D671" s="29" t="s">
        <v>596</v>
      </c>
      <c r="E671" s="28">
        <v>660.88</v>
      </c>
      <c r="F671" s="28">
        <v>0.0</v>
      </c>
      <c r="G671" s="28" t="s">
        <v>84</v>
      </c>
      <c r="H671" s="28">
        <f t="array" ref="H671">INDEX(CC!C:C,MATCH(1,(CC!A:A=G671)*(CC!B:B=I671),0))</f>
        <v>1002</v>
      </c>
      <c r="I671" s="28" t="s">
        <v>25</v>
      </c>
      <c r="J671" s="31">
        <v>660.88</v>
      </c>
      <c r="K671" s="28" t="str">
        <f>IFERROR(__xludf.DUMMYFUNCTION("IFERROR(
INDEX(
FILTER(
MAP(
reglas!$B$2:$B$240,
reglas!$C$2:$C$240,
reglas!$D$2:$D$240,
reglas!$E$2:$E$240,
LAMBDA(rEmisor,rPatron,rConcepto,rTipo,
IF(
AND(
OR(
UPPER(TRIM(rEmisor))=UPPER(TRIM(C671)),
UPPER(TRIM(rEmisor))=""CUALQUIERA""
),
OR(
UPPER(TRIM"&amp;"(rTipo))=""SOLO EMISOR"",
AND(
UPPER(TRIM(rTipo))=""EXACTA"",
UPPER(TRIM(AG671))=UPPER(TRIM(rPatron))
),
AND(
OR(
UPPER(TRIM(rTipo))=""CONTIENE"",
UPPER(TRIM(rTipo))=""COINCIDENCIA""
),
ISNUMBER(SEARCH(UPPER(TRIM(rPatron)),UPPER(TRIM(D671))))
)
)
),
rConc"&amp;"epto,
""""
)
)
),
MAP(
reglas!$B$2:$B$240,
reglas!$C$2:$C$240,
reglas!$D$2:$D$240,
reglas!$E$2:$E$240,
LAMBDA(rEmisor,rPatron,rConcepto,rTipo,
IF(
AND(
OR(
UPPER(TRIM(rEmisor))=UPPER(TRIM(C671)),
UPPER(TRIM(rEmisor))=""CUALQUIERA""
),
OR(
UPPER(TRIM(rTipo"&amp;"))=""SOLO EMISOR"",
AND(
UPPER(TRIM(rTipo))=""EXACTA"",
UPPER(TRIM(D671))=UPPER(TRIM(rPatron))
),
AND(
OR(
UPPER(TRIM(rTipo))=""CONTIENE"",
UPPER(TRIM(rTipo))=""COINCIDENCIA""
),
ISNUMBER(SEARCH(UPPER(TRIM(rPatron)),UPPER(TRIM(D671))))
)
)
),
rConcepto,
"&amp;"""""
)
)
)&lt;&gt;""""
),
1
),
""""
)"),"MANIOBRAS")</f>
        <v>MANIOBRAS</v>
      </c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</row>
    <row r="672">
      <c r="A672" s="32"/>
      <c r="B672" s="28" t="s">
        <v>29</v>
      </c>
      <c r="C672" s="29" t="s">
        <v>278</v>
      </c>
      <c r="D672" s="29" t="s">
        <v>560</v>
      </c>
      <c r="E672" s="28">
        <v>3500.0</v>
      </c>
      <c r="F672" s="28">
        <v>0.0</v>
      </c>
      <c r="G672" s="28" t="s">
        <v>250</v>
      </c>
      <c r="H672" s="28">
        <f t="array" ref="H672">INDEX(CC!C:C,MATCH(1,(CC!A:A=G672)*(CC!B:B=I672),0))</f>
        <v>1402</v>
      </c>
      <c r="I672" s="28" t="s">
        <v>25</v>
      </c>
      <c r="J672" s="31">
        <v>3500.0</v>
      </c>
      <c r="K672" s="28" t="str">
        <f>IFERROR(__xludf.DUMMYFUNCTION("IFERROR(
INDEX(
FILTER(
MAP(
reglas!$B$2:$B$240,
reglas!$C$2:$C$240,
reglas!$D$2:$D$240,
reglas!$E$2:$E$240,
LAMBDA(rEmisor,rPatron,rConcepto,rTipo,
IF(
AND(
OR(
UPPER(TRIM(rEmisor))=UPPER(TRIM(C672)),
UPPER(TRIM(rEmisor))=""CUALQUIERA""
),
OR(
UPPER(TRIM"&amp;"(rTipo))=""SOLO EMISOR"",
AND(
UPPER(TRIM(rTipo))=""EXACTA"",
UPPER(TRIM(AG672))=UPPER(TRIM(rPatron))
),
AND(
OR(
UPPER(TRIM(rTipo))=""CONTIENE"",
UPPER(TRIM(rTipo))=""COINCIDENCIA""
),
ISNUMBER(SEARCH(UPPER(TRIM(rPatron)),UPPER(TRIM(D672))))
)
)
),
rConc"&amp;"epto,
""""
)
)
),
MAP(
reglas!$B$2:$B$240,
reglas!$C$2:$C$240,
reglas!$D$2:$D$240,
reglas!$E$2:$E$240,
LAMBDA(rEmisor,rPatron,rConcepto,rTipo,
IF(
AND(
OR(
UPPER(TRIM(rEmisor))=UPPER(TRIM(C672)),
UPPER(TRIM(rEmisor))=""CUALQUIERA""
),
OR(
UPPER(TRIM(rTipo"&amp;"))=""SOLO EMISOR"",
AND(
UPPER(TRIM(rTipo))=""EXACTA"",
UPPER(TRIM(D672))=UPPER(TRIM(rPatron))
),
AND(
OR(
UPPER(TRIM(rTipo))=""CONTIENE"",
UPPER(TRIM(rTipo))=""COINCIDENCIA""
),
ISNUMBER(SEARCH(UPPER(TRIM(rPatron)),UPPER(TRIM(D672))))
)
)
),
rConcepto,
"&amp;"""""
)
)
)&lt;&gt;""""
),
1
),
""""
)"),"MANIOBRAS")</f>
        <v>MANIOBRAS</v>
      </c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</row>
    <row r="673">
      <c r="A673" s="32"/>
      <c r="B673" s="28" t="s">
        <v>29</v>
      </c>
      <c r="C673" s="29" t="s">
        <v>172</v>
      </c>
      <c r="D673" s="29" t="s">
        <v>1519</v>
      </c>
      <c r="E673" s="28">
        <v>11500.0</v>
      </c>
      <c r="F673" s="28">
        <v>0.0</v>
      </c>
      <c r="G673" s="28" t="s">
        <v>250</v>
      </c>
      <c r="H673" s="28">
        <f t="array" ref="H673">INDEX(CC!C:C,MATCH(1,(CC!A:A=G673)*(CC!B:B=I673),0))</f>
        <v>1402</v>
      </c>
      <c r="I673" s="28" t="s">
        <v>25</v>
      </c>
      <c r="J673" s="31">
        <v>11500.0</v>
      </c>
      <c r="K673" s="28" t="str">
        <f>IFERROR(__xludf.DUMMYFUNCTION("IFERROR(
INDEX(
FILTER(
MAP(
reglas!$B$2:$B$240,
reglas!$C$2:$C$240,
reglas!$D$2:$D$240,
reglas!$E$2:$E$240,
LAMBDA(rEmisor,rPatron,rConcepto,rTipo,
IF(
AND(
OR(
UPPER(TRIM(rEmisor))=UPPER(TRIM(C673)),
UPPER(TRIM(rEmisor))=""CUALQUIERA""
),
OR(
UPPER(TRIM"&amp;"(rTipo))=""SOLO EMISOR"",
AND(
UPPER(TRIM(rTipo))=""EXACTA"",
UPPER(TRIM(AG673))=UPPER(TRIM(rPatron))
),
AND(
OR(
UPPER(TRIM(rTipo))=""CONTIENE"",
UPPER(TRIM(rTipo))=""COINCIDENCIA""
),
ISNUMBER(SEARCH(UPPER(TRIM(rPatron)),UPPER(TRIM(D673))))
)
)
),
rConc"&amp;"epto,
""""
)
)
),
MAP(
reglas!$B$2:$B$240,
reglas!$C$2:$C$240,
reglas!$D$2:$D$240,
reglas!$E$2:$E$240,
LAMBDA(rEmisor,rPatron,rConcepto,rTipo,
IF(
AND(
OR(
UPPER(TRIM(rEmisor))=UPPER(TRIM(C673)),
UPPER(TRIM(rEmisor))=""CUALQUIERA""
),
OR(
UPPER(TRIM(rTipo"&amp;"))=""SOLO EMISOR"",
AND(
UPPER(TRIM(rTipo))=""EXACTA"",
UPPER(TRIM(D673))=UPPER(TRIM(rPatron))
),
AND(
OR(
UPPER(TRIM(rTipo))=""CONTIENE"",
UPPER(TRIM(rTipo))=""COINCIDENCIA""
),
ISNUMBER(SEARCH(UPPER(TRIM(rPatron)),UPPER(TRIM(D673))))
)
)
),
rConcepto,
"&amp;"""""
)
)
)&lt;&gt;""""
),
1
),
""""
)"),"TRANSPORTE")</f>
        <v>TRANSPORTE</v>
      </c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</row>
    <row r="674">
      <c r="A674" s="28">
        <v>1.0</v>
      </c>
      <c r="B674" s="28" t="s">
        <v>29</v>
      </c>
      <c r="C674" s="29" t="s">
        <v>271</v>
      </c>
      <c r="D674" s="29" t="s">
        <v>585</v>
      </c>
      <c r="E674" s="28">
        <v>626.59</v>
      </c>
      <c r="F674" s="28">
        <v>0.0</v>
      </c>
      <c r="G674" s="28" t="s">
        <v>84</v>
      </c>
      <c r="H674" s="28">
        <f t="array" ref="H674">INDEX(CC!C:C,MATCH(1,(CC!A:A=G674)*(CC!B:B=I674),0))</f>
        <v>1002</v>
      </c>
      <c r="I674" s="28" t="s">
        <v>25</v>
      </c>
      <c r="J674" s="31">
        <v>626.59</v>
      </c>
      <c r="K674" s="28" t="str">
        <f>IFERROR(__xludf.DUMMYFUNCTION("IFERROR(
INDEX(
FILTER(
MAP(
reglas!$B$2:$B$240,
reglas!$C$2:$C$240,
reglas!$D$2:$D$240,
reglas!$E$2:$E$240,
LAMBDA(rEmisor,rPatron,rConcepto,rTipo,
IF(
AND(
OR(
UPPER(TRIM(rEmisor))=UPPER(TRIM(C674)),
UPPER(TRIM(rEmisor))=""CUALQUIERA""
),
OR(
UPPER(TRIM"&amp;"(rTipo))=""SOLO EMISOR"",
AND(
UPPER(TRIM(rTipo))=""EXACTA"",
UPPER(TRIM(AG674))=UPPER(TRIM(rPatron))
),
AND(
OR(
UPPER(TRIM(rTipo))=""CONTIENE"",
UPPER(TRIM(rTipo))=""COINCIDENCIA""
),
ISNUMBER(SEARCH(UPPER(TRIM(rPatron)),UPPER(TRIM(D674))))
)
)
),
rConc"&amp;"epto,
""""
)
)
),
MAP(
reglas!$B$2:$B$240,
reglas!$C$2:$C$240,
reglas!$D$2:$D$240,
reglas!$E$2:$E$240,
LAMBDA(rEmisor,rPatron,rConcepto,rTipo,
IF(
AND(
OR(
UPPER(TRIM(rEmisor))=UPPER(TRIM(C674)),
UPPER(TRIM(rEmisor))=""CUALQUIERA""
),
OR(
UPPER(TRIM(rTipo"&amp;"))=""SOLO EMISOR"",
AND(
UPPER(TRIM(rTipo))=""EXACTA"",
UPPER(TRIM(D674))=UPPER(TRIM(rPatron))
),
AND(
OR(
UPPER(TRIM(rTipo))=""CONTIENE"",
UPPER(TRIM(rTipo))=""COINCIDENCIA""
),
ISNUMBER(SEARCH(UPPER(TRIM(rPatron)),UPPER(TRIM(D674))))
)
)
),
rConcepto,
"&amp;"""""
)
)
)&lt;&gt;""""
),
1
),
""""
)"),"MANIOBRAS")</f>
        <v>MANIOBRAS</v>
      </c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</row>
    <row r="675">
      <c r="A675" s="32"/>
      <c r="B675" s="32"/>
      <c r="C675" s="29" t="s">
        <v>271</v>
      </c>
      <c r="D675" s="29" t="s">
        <v>587</v>
      </c>
      <c r="E675" s="28">
        <v>573.29</v>
      </c>
      <c r="F675" s="28">
        <v>0.0</v>
      </c>
      <c r="G675" s="28" t="s">
        <v>84</v>
      </c>
      <c r="H675" s="28">
        <f t="array" ref="H675">INDEX(CC!C:C,MATCH(1,(CC!A:A=G675)*(CC!B:B=I675),0))</f>
        <v>1002</v>
      </c>
      <c r="I675" s="28" t="s">
        <v>25</v>
      </c>
      <c r="J675" s="31">
        <v>573.29</v>
      </c>
      <c r="K675" s="28" t="str">
        <f>IFERROR(__xludf.DUMMYFUNCTION("IFERROR(
INDEX(
FILTER(
MAP(
reglas!$B$2:$B$240,
reglas!$C$2:$C$240,
reglas!$D$2:$D$240,
reglas!$E$2:$E$240,
LAMBDA(rEmisor,rPatron,rConcepto,rTipo,
IF(
AND(
OR(
UPPER(TRIM(rEmisor))=UPPER(TRIM(C675)),
UPPER(TRIM(rEmisor))=""CUALQUIERA""
),
OR(
UPPER(TRIM"&amp;"(rTipo))=""SOLO EMISOR"",
AND(
UPPER(TRIM(rTipo))=""EXACTA"",
UPPER(TRIM(AG675))=UPPER(TRIM(rPatron))
),
AND(
OR(
UPPER(TRIM(rTipo))=""CONTIENE"",
UPPER(TRIM(rTipo))=""COINCIDENCIA""
),
ISNUMBER(SEARCH(UPPER(TRIM(rPatron)),UPPER(TRIM(D675))))
)
)
),
rConc"&amp;"epto,
""""
)
)
),
MAP(
reglas!$B$2:$B$240,
reglas!$C$2:$C$240,
reglas!$D$2:$D$240,
reglas!$E$2:$E$240,
LAMBDA(rEmisor,rPatron,rConcepto,rTipo,
IF(
AND(
OR(
UPPER(TRIM(rEmisor))=UPPER(TRIM(C675)),
UPPER(TRIM(rEmisor))=""CUALQUIERA""
),
OR(
UPPER(TRIM(rTipo"&amp;"))=""SOLO EMISOR"",
AND(
UPPER(TRIM(rTipo))=""EXACTA"",
UPPER(TRIM(D675))=UPPER(TRIM(rPatron))
),
AND(
OR(
UPPER(TRIM(rTipo))=""CONTIENE"",
UPPER(TRIM(rTipo))=""COINCIDENCIA""
),
ISNUMBER(SEARCH(UPPER(TRIM(rPatron)),UPPER(TRIM(D675))))
)
)
),
rConcepto,
"&amp;"""""
)
)
)&lt;&gt;""""
),
1
),
""""
)"),"MANIOBRAS")</f>
        <v>MANIOBRAS</v>
      </c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</row>
    <row r="676">
      <c r="A676" s="32"/>
      <c r="B676" s="32"/>
      <c r="C676" s="29" t="s">
        <v>271</v>
      </c>
      <c r="D676" s="29" t="s">
        <v>589</v>
      </c>
      <c r="E676" s="28">
        <v>626.93</v>
      </c>
      <c r="F676" s="28">
        <v>0.0</v>
      </c>
      <c r="G676" s="28" t="s">
        <v>84</v>
      </c>
      <c r="H676" s="28">
        <f t="array" ref="H676">INDEX(CC!C:C,MATCH(1,(CC!A:A=G676)*(CC!B:B=I676),0))</f>
        <v>1002</v>
      </c>
      <c r="I676" s="28" t="s">
        <v>25</v>
      </c>
      <c r="J676" s="31">
        <v>626.93</v>
      </c>
      <c r="K676" s="28" t="str">
        <f>IFERROR(__xludf.DUMMYFUNCTION("IFERROR(
INDEX(
FILTER(
MAP(
reglas!$B$2:$B$240,
reglas!$C$2:$C$240,
reglas!$D$2:$D$240,
reglas!$E$2:$E$240,
LAMBDA(rEmisor,rPatron,rConcepto,rTipo,
IF(
AND(
OR(
UPPER(TRIM(rEmisor))=UPPER(TRIM(C676)),
UPPER(TRIM(rEmisor))=""CUALQUIERA""
),
OR(
UPPER(TRIM"&amp;"(rTipo))=""SOLO EMISOR"",
AND(
UPPER(TRIM(rTipo))=""EXACTA"",
UPPER(TRIM(AG676))=UPPER(TRIM(rPatron))
),
AND(
OR(
UPPER(TRIM(rTipo))=""CONTIENE"",
UPPER(TRIM(rTipo))=""COINCIDENCIA""
),
ISNUMBER(SEARCH(UPPER(TRIM(rPatron)),UPPER(TRIM(D676))))
)
)
),
rConc"&amp;"epto,
""""
)
)
),
MAP(
reglas!$B$2:$B$240,
reglas!$C$2:$C$240,
reglas!$D$2:$D$240,
reglas!$E$2:$E$240,
LAMBDA(rEmisor,rPatron,rConcepto,rTipo,
IF(
AND(
OR(
UPPER(TRIM(rEmisor))=UPPER(TRIM(C676)),
UPPER(TRIM(rEmisor))=""CUALQUIERA""
),
OR(
UPPER(TRIM(rTipo"&amp;"))=""SOLO EMISOR"",
AND(
UPPER(TRIM(rTipo))=""EXACTA"",
UPPER(TRIM(D676))=UPPER(TRIM(rPatron))
),
AND(
OR(
UPPER(TRIM(rTipo))=""CONTIENE"",
UPPER(TRIM(rTipo))=""COINCIDENCIA""
),
ISNUMBER(SEARCH(UPPER(TRIM(rPatron)),UPPER(TRIM(D676))))
)
)
),
rConcepto,
"&amp;"""""
)
)
)&lt;&gt;""""
),
1
),
""""
)"),"MANIOBRAS")</f>
        <v>MANIOBRAS</v>
      </c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</row>
    <row r="677">
      <c r="A677" s="32"/>
      <c r="B677" s="32"/>
      <c r="C677" s="29" t="s">
        <v>271</v>
      </c>
      <c r="D677" s="29" t="s">
        <v>596</v>
      </c>
      <c r="E677" s="28">
        <v>657.78</v>
      </c>
      <c r="F677" s="28">
        <v>0.0</v>
      </c>
      <c r="G677" s="28" t="s">
        <v>84</v>
      </c>
      <c r="H677" s="28">
        <f t="array" ref="H677">INDEX(CC!C:C,MATCH(1,(CC!A:A=G677)*(CC!B:B=I677),0))</f>
        <v>1002</v>
      </c>
      <c r="I677" s="28" t="s">
        <v>25</v>
      </c>
      <c r="J677" s="31">
        <v>657.78</v>
      </c>
      <c r="K677" s="28" t="str">
        <f>IFERROR(__xludf.DUMMYFUNCTION("IFERROR(
INDEX(
FILTER(
MAP(
reglas!$B$2:$B$240,
reglas!$C$2:$C$240,
reglas!$D$2:$D$240,
reglas!$E$2:$E$240,
LAMBDA(rEmisor,rPatron,rConcepto,rTipo,
IF(
AND(
OR(
UPPER(TRIM(rEmisor))=UPPER(TRIM(C677)),
UPPER(TRIM(rEmisor))=""CUALQUIERA""
),
OR(
UPPER(TRIM"&amp;"(rTipo))=""SOLO EMISOR"",
AND(
UPPER(TRIM(rTipo))=""EXACTA"",
UPPER(TRIM(AG677))=UPPER(TRIM(rPatron))
),
AND(
OR(
UPPER(TRIM(rTipo))=""CONTIENE"",
UPPER(TRIM(rTipo))=""COINCIDENCIA""
),
ISNUMBER(SEARCH(UPPER(TRIM(rPatron)),UPPER(TRIM(D677))))
)
)
),
rConc"&amp;"epto,
""""
)
)
),
MAP(
reglas!$B$2:$B$240,
reglas!$C$2:$C$240,
reglas!$D$2:$D$240,
reglas!$E$2:$E$240,
LAMBDA(rEmisor,rPatron,rConcepto,rTipo,
IF(
AND(
OR(
UPPER(TRIM(rEmisor))=UPPER(TRIM(C677)),
UPPER(TRIM(rEmisor))=""CUALQUIERA""
),
OR(
UPPER(TRIM(rTipo"&amp;"))=""SOLO EMISOR"",
AND(
UPPER(TRIM(rTipo))=""EXACTA"",
UPPER(TRIM(D677))=UPPER(TRIM(rPatron))
),
AND(
OR(
UPPER(TRIM(rTipo))=""CONTIENE"",
UPPER(TRIM(rTipo))=""COINCIDENCIA""
),
ISNUMBER(SEARCH(UPPER(TRIM(rPatron)),UPPER(TRIM(D677))))
)
)
),
rConcepto,
"&amp;"""""
)
)
)&lt;&gt;""""
),
1
),
""""
)"),"MANIOBRAS")</f>
        <v>MANIOBRAS</v>
      </c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</row>
    <row r="678">
      <c r="A678" s="32"/>
      <c r="B678" s="28" t="s">
        <v>29</v>
      </c>
      <c r="C678" s="29" t="s">
        <v>278</v>
      </c>
      <c r="D678" s="29" t="s">
        <v>898</v>
      </c>
      <c r="E678" s="28">
        <v>1000.0</v>
      </c>
      <c r="F678" s="28">
        <v>0.0</v>
      </c>
      <c r="G678" s="28" t="s">
        <v>250</v>
      </c>
      <c r="H678" s="28">
        <f t="array" ref="H678">INDEX(CC!C:C,MATCH(1,(CC!A:A=G678)*(CC!B:B=I678),0))</f>
        <v>1402</v>
      </c>
      <c r="I678" s="28" t="s">
        <v>25</v>
      </c>
      <c r="J678" s="31">
        <v>1000.0</v>
      </c>
      <c r="K678" s="28" t="str">
        <f>IFERROR(__xludf.DUMMYFUNCTION("IFERROR(
INDEX(
FILTER(
MAP(
reglas!$B$2:$B$240,
reglas!$C$2:$C$240,
reglas!$D$2:$D$240,
reglas!$E$2:$E$240,
LAMBDA(rEmisor,rPatron,rConcepto,rTipo,
IF(
AND(
OR(
UPPER(TRIM(rEmisor))=UPPER(TRIM(C678)),
UPPER(TRIM(rEmisor))=""CUALQUIERA""
),
OR(
UPPER(TRIM"&amp;"(rTipo))=""SOLO EMISOR"",
AND(
UPPER(TRIM(rTipo))=""EXACTA"",
UPPER(TRIM(AG678))=UPPER(TRIM(rPatron))
),
AND(
OR(
UPPER(TRIM(rTipo))=""CONTIENE"",
UPPER(TRIM(rTipo))=""COINCIDENCIA""
),
ISNUMBER(SEARCH(UPPER(TRIM(rPatron)),UPPER(TRIM(D678))))
)
)
),
rConc"&amp;"epto,
""""
)
)
),
MAP(
reglas!$B$2:$B$240,
reglas!$C$2:$C$240,
reglas!$D$2:$D$240,
reglas!$E$2:$E$240,
LAMBDA(rEmisor,rPatron,rConcepto,rTipo,
IF(
AND(
OR(
UPPER(TRIM(rEmisor))=UPPER(TRIM(C678)),
UPPER(TRIM(rEmisor))=""CUALQUIERA""
),
OR(
UPPER(TRIM(rTipo"&amp;"))=""SOLO EMISOR"",
AND(
UPPER(TRIM(rTipo))=""EXACTA"",
UPPER(TRIM(D678))=UPPER(TRIM(rPatron))
),
AND(
OR(
UPPER(TRIM(rTipo))=""CONTIENE"",
UPPER(TRIM(rTipo))=""COINCIDENCIA""
),
ISNUMBER(SEARCH(UPPER(TRIM(rPatron)),UPPER(TRIM(D678))))
)
)
),
rConcepto,
"&amp;"""""
)
)
)&lt;&gt;""""
),
1
),
""""
)"),"MANIOBRAS")</f>
        <v>MANIOBRAS</v>
      </c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</row>
    <row r="679">
      <c r="A679" s="32"/>
      <c r="B679" s="28" t="s">
        <v>29</v>
      </c>
      <c r="C679" s="29" t="s">
        <v>163</v>
      </c>
      <c r="D679" s="29" t="s">
        <v>1707</v>
      </c>
      <c r="E679" s="28">
        <v>366.38</v>
      </c>
      <c r="F679" s="28">
        <v>0.0</v>
      </c>
      <c r="G679" s="28" t="s">
        <v>385</v>
      </c>
      <c r="H679" s="28">
        <f t="array" ref="H679">INDEX(CC!C:C,MATCH(1,(CC!A:A=G679)*(CC!B:B=I679),0))</f>
        <v>502</v>
      </c>
      <c r="I679" s="28" t="s">
        <v>25</v>
      </c>
      <c r="J679" s="31">
        <v>366.38</v>
      </c>
      <c r="K679" s="28" t="str">
        <f>IFERROR(__xludf.DUMMYFUNCTION("IFERROR(
INDEX(
FILTER(
MAP(
reglas!$B$2:$B$240,
reglas!$C$2:$C$240,
reglas!$D$2:$D$240,
reglas!$E$2:$E$240,
LAMBDA(rEmisor,rPatron,rConcepto,rTipo,
IF(
AND(
OR(
UPPER(TRIM(rEmisor))=UPPER(TRIM(C679)),
UPPER(TRIM(rEmisor))=""CUALQUIERA""
),
OR(
UPPER(TRIM"&amp;"(rTipo))=""SOLO EMISOR"",
AND(
UPPER(TRIM(rTipo))=""EXACTA"",
UPPER(TRIM(AG679))=UPPER(TRIM(rPatron))
),
AND(
OR(
UPPER(TRIM(rTipo))=""CONTIENE"",
UPPER(TRIM(rTipo))=""COINCIDENCIA""
),
ISNUMBER(SEARCH(UPPER(TRIM(rPatron)),UPPER(TRIM(D679))))
)
)
),
rConc"&amp;"epto,
""""
)
)
),
MAP(
reglas!$B$2:$B$240,
reglas!$C$2:$C$240,
reglas!$D$2:$D$240,
reglas!$E$2:$E$240,
LAMBDA(rEmisor,rPatron,rConcepto,rTipo,
IF(
AND(
OR(
UPPER(TRIM(rEmisor))=UPPER(TRIM(C679)),
UPPER(TRIM(rEmisor))=""CUALQUIERA""
),
OR(
UPPER(TRIM(rTipo"&amp;"))=""SOLO EMISOR"",
AND(
UPPER(TRIM(rTipo))=""EXACTA"",
UPPER(TRIM(D679))=UPPER(TRIM(rPatron))
),
AND(
OR(
UPPER(TRIM(rTipo))=""CONTIENE"",
UPPER(TRIM(rTipo))=""COINCIDENCIA""
),
ISNUMBER(SEARCH(UPPER(TRIM(rPatron)),UPPER(TRIM(D679))))
)
)
),
rConcepto,
"&amp;"""""
)
)
)&lt;&gt;""""
),
1
),
""""
)"),"PATIO REGULADOR")</f>
        <v>PATIO REGULADOR</v>
      </c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</row>
    <row r="680">
      <c r="A680" s="28">
        <v>1.0</v>
      </c>
      <c r="B680" s="28" t="s">
        <v>29</v>
      </c>
      <c r="C680" s="29" t="s">
        <v>89</v>
      </c>
      <c r="D680" s="29" t="s">
        <v>91</v>
      </c>
      <c r="E680" s="28">
        <v>1283.04</v>
      </c>
      <c r="F680" s="28">
        <v>0.0</v>
      </c>
      <c r="G680" s="28" t="s">
        <v>601</v>
      </c>
      <c r="H680" s="28">
        <f t="array" ref="H680">INDEX(CC!C:C,MATCH(1,(CC!A:A=G680)*(CC!B:B=I680),0))</f>
        <v>403</v>
      </c>
      <c r="I680" s="28" t="s">
        <v>44</v>
      </c>
      <c r="J680" s="31">
        <v>1283.04</v>
      </c>
      <c r="K680" s="28" t="str">
        <f>IFERROR(__xludf.DUMMYFUNCTION("IFERROR(
INDEX(
FILTER(
MAP(
reglas!$B$2:$B$240,
reglas!$C$2:$C$240,
reglas!$D$2:$D$240,
reglas!$E$2:$E$240,
LAMBDA(rEmisor,rPatron,rConcepto,rTipo,
IF(
AND(
OR(
UPPER(TRIM(rEmisor))=UPPER(TRIM(C680)),
UPPER(TRIM(rEmisor))=""CUALQUIERA""
),
OR(
UPPER(TRIM"&amp;"(rTipo))=""SOLO EMISOR"",
AND(
UPPER(TRIM(rTipo))=""EXACTA"",
UPPER(TRIM(AG680))=UPPER(TRIM(rPatron))
),
AND(
OR(
UPPER(TRIM(rTipo))=""CONTIENE"",
UPPER(TRIM(rTipo))=""COINCIDENCIA""
),
ISNUMBER(SEARCH(UPPER(TRIM(rPatron)),UPPER(TRIM(D680))))
)
)
),
rConc"&amp;"epto,
""""
)
)
),
MAP(
reglas!$B$2:$B$240,
reglas!$C$2:$C$240,
reglas!$D$2:$D$240,
reglas!$E$2:$E$240,
LAMBDA(rEmisor,rPatron,rConcepto,rTipo,
IF(
AND(
OR(
UPPER(TRIM(rEmisor))=UPPER(TRIM(C680)),
UPPER(TRIM(rEmisor))=""CUALQUIERA""
),
OR(
UPPER(TRIM(rTipo"&amp;"))=""SOLO EMISOR"",
AND(
UPPER(TRIM(rTipo))=""EXACTA"",
UPPER(TRIM(D680))=UPPER(TRIM(rPatron))
),
AND(
OR(
UPPER(TRIM(rTipo))=""CONTIENE"",
UPPER(TRIM(rTipo))=""COINCIDENCIA""
),
ISNUMBER(SEARCH(UPPER(TRIM(rPatron)),UPPER(TRIM(D680))))
)
)
),
rConcepto,
"&amp;"""""
)
)
)&lt;&gt;""""
),
1
),
""""
)"),"MANIOBRAS")</f>
        <v>MANIOBRAS</v>
      </c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</row>
    <row r="681">
      <c r="A681" s="32"/>
      <c r="B681" s="28" t="s">
        <v>29</v>
      </c>
      <c r="C681" s="29" t="s">
        <v>248</v>
      </c>
      <c r="D681" s="29" t="s">
        <v>1692</v>
      </c>
      <c r="E681" s="28">
        <v>215.52</v>
      </c>
      <c r="F681" s="28">
        <v>0.0</v>
      </c>
      <c r="G681" s="28" t="s">
        <v>74</v>
      </c>
      <c r="H681" s="28">
        <f t="array" ref="H681">INDEX(CC!C:C,MATCH(1,(CC!A:A=G681)*(CC!B:B=I681),0))</f>
        <v>1502</v>
      </c>
      <c r="I681" s="28" t="s">
        <v>25</v>
      </c>
      <c r="J681" s="31">
        <v>215.52</v>
      </c>
      <c r="K681" s="28" t="str">
        <f>IFERROR(__xludf.DUMMYFUNCTION("IFERROR(
INDEX(
FILTER(
MAP(
reglas!$B$2:$B$240,
reglas!$C$2:$C$240,
reglas!$D$2:$D$240,
reglas!$E$2:$E$240,
LAMBDA(rEmisor,rPatron,rConcepto,rTipo,
IF(
AND(
OR(
UPPER(TRIM(rEmisor))=UPPER(TRIM(C681)),
UPPER(TRIM(rEmisor))=""CUALQUIERA""
),
OR(
UPPER(TRIM"&amp;"(rTipo))=""SOLO EMISOR"",
AND(
UPPER(TRIM(rTipo))=""EXACTA"",
UPPER(TRIM(AG681))=UPPER(TRIM(rPatron))
),
AND(
OR(
UPPER(TRIM(rTipo))=""CONTIENE"",
UPPER(TRIM(rTipo))=""COINCIDENCIA""
),
ISNUMBER(SEARCH(UPPER(TRIM(rPatron)),UPPER(TRIM(D681))))
)
)
),
rConc"&amp;"epto,
""""
)
)
),
MAP(
reglas!$B$2:$B$240,
reglas!$C$2:$C$240,
reglas!$D$2:$D$240,
reglas!$E$2:$E$240,
LAMBDA(rEmisor,rPatron,rConcepto,rTipo,
IF(
AND(
OR(
UPPER(TRIM(rEmisor))=UPPER(TRIM(C681)),
UPPER(TRIM(rEmisor))=""CUALQUIERA""
),
OR(
UPPER(TRIM(rTipo"&amp;"))=""SOLO EMISOR"",
AND(
UPPER(TRIM(rTipo))=""EXACTA"",
UPPER(TRIM(D681))=UPPER(TRIM(rPatron))
),
AND(
OR(
UPPER(TRIM(rTipo))=""CONTIENE"",
UPPER(TRIM(rTipo))=""COINCIDENCIA""
),
ISNUMBER(SEARCH(UPPER(TRIM(rPatron)),UPPER(TRIM(D681))))
)
)
),
rConcepto,
"&amp;"""""
)
)
)&lt;&gt;""""
),
1
),
""""
)"),"SANITARIOS")</f>
        <v>SANITARIOS</v>
      </c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</row>
    <row r="682">
      <c r="A682" s="28">
        <v>1.0</v>
      </c>
      <c r="B682" s="28" t="s">
        <v>29</v>
      </c>
      <c r="C682" s="29" t="s">
        <v>271</v>
      </c>
      <c r="D682" s="29" t="s">
        <v>585</v>
      </c>
      <c r="E682" s="28">
        <v>629.54</v>
      </c>
      <c r="F682" s="28">
        <v>0.0</v>
      </c>
      <c r="G682" s="28" t="s">
        <v>84</v>
      </c>
      <c r="H682" s="28">
        <f t="array" ref="H682">INDEX(CC!C:C,MATCH(1,(CC!A:A=G682)*(CC!B:B=I682),0))</f>
        <v>1002</v>
      </c>
      <c r="I682" s="28" t="s">
        <v>25</v>
      </c>
      <c r="J682" s="31">
        <v>629.54</v>
      </c>
      <c r="K682" s="28" t="str">
        <f>IFERROR(__xludf.DUMMYFUNCTION("IFERROR(
INDEX(
FILTER(
MAP(
reglas!$B$2:$B$240,
reglas!$C$2:$C$240,
reglas!$D$2:$D$240,
reglas!$E$2:$E$240,
LAMBDA(rEmisor,rPatron,rConcepto,rTipo,
IF(
AND(
OR(
UPPER(TRIM(rEmisor))=UPPER(TRIM(C682)),
UPPER(TRIM(rEmisor))=""CUALQUIERA""
),
OR(
UPPER(TRIM"&amp;"(rTipo))=""SOLO EMISOR"",
AND(
UPPER(TRIM(rTipo))=""EXACTA"",
UPPER(TRIM(AG682))=UPPER(TRIM(rPatron))
),
AND(
OR(
UPPER(TRIM(rTipo))=""CONTIENE"",
UPPER(TRIM(rTipo))=""COINCIDENCIA""
),
ISNUMBER(SEARCH(UPPER(TRIM(rPatron)),UPPER(TRIM(D682))))
)
)
),
rConc"&amp;"epto,
""""
)
)
),
MAP(
reglas!$B$2:$B$240,
reglas!$C$2:$C$240,
reglas!$D$2:$D$240,
reglas!$E$2:$E$240,
LAMBDA(rEmisor,rPatron,rConcepto,rTipo,
IF(
AND(
OR(
UPPER(TRIM(rEmisor))=UPPER(TRIM(C682)),
UPPER(TRIM(rEmisor))=""CUALQUIERA""
),
OR(
UPPER(TRIM(rTipo"&amp;"))=""SOLO EMISOR"",
AND(
UPPER(TRIM(rTipo))=""EXACTA"",
UPPER(TRIM(D682))=UPPER(TRIM(rPatron))
),
AND(
OR(
UPPER(TRIM(rTipo))=""CONTIENE"",
UPPER(TRIM(rTipo))=""COINCIDENCIA""
),
ISNUMBER(SEARCH(UPPER(TRIM(rPatron)),UPPER(TRIM(D682))))
)
)
),
rConcepto,
"&amp;"""""
)
)
)&lt;&gt;""""
),
1
),
""""
)"),"MANIOBRAS")</f>
        <v>MANIOBRAS</v>
      </c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</row>
    <row r="683">
      <c r="A683" s="32"/>
      <c r="B683" s="32"/>
      <c r="C683" s="29" t="s">
        <v>271</v>
      </c>
      <c r="D683" s="29" t="s">
        <v>587</v>
      </c>
      <c r="E683" s="28">
        <v>575.99</v>
      </c>
      <c r="F683" s="28">
        <v>0.0</v>
      </c>
      <c r="G683" s="28" t="s">
        <v>84</v>
      </c>
      <c r="H683" s="28">
        <f t="array" ref="H683">INDEX(CC!C:C,MATCH(1,(CC!A:A=G683)*(CC!B:B=I683),0))</f>
        <v>1002</v>
      </c>
      <c r="I683" s="28" t="s">
        <v>25</v>
      </c>
      <c r="J683" s="31">
        <v>575.99</v>
      </c>
      <c r="K683" s="28" t="str">
        <f>IFERROR(__xludf.DUMMYFUNCTION("IFERROR(
INDEX(
FILTER(
MAP(
reglas!$B$2:$B$240,
reglas!$C$2:$C$240,
reglas!$D$2:$D$240,
reglas!$E$2:$E$240,
LAMBDA(rEmisor,rPatron,rConcepto,rTipo,
IF(
AND(
OR(
UPPER(TRIM(rEmisor))=UPPER(TRIM(C683)),
UPPER(TRIM(rEmisor))=""CUALQUIERA""
),
OR(
UPPER(TRIM"&amp;"(rTipo))=""SOLO EMISOR"",
AND(
UPPER(TRIM(rTipo))=""EXACTA"",
UPPER(TRIM(AG683))=UPPER(TRIM(rPatron))
),
AND(
OR(
UPPER(TRIM(rTipo))=""CONTIENE"",
UPPER(TRIM(rTipo))=""COINCIDENCIA""
),
ISNUMBER(SEARCH(UPPER(TRIM(rPatron)),UPPER(TRIM(D683))))
)
)
),
rConc"&amp;"epto,
""""
)
)
),
MAP(
reglas!$B$2:$B$240,
reglas!$C$2:$C$240,
reglas!$D$2:$D$240,
reglas!$E$2:$E$240,
LAMBDA(rEmisor,rPatron,rConcepto,rTipo,
IF(
AND(
OR(
UPPER(TRIM(rEmisor))=UPPER(TRIM(C683)),
UPPER(TRIM(rEmisor))=""CUALQUIERA""
),
OR(
UPPER(TRIM(rTipo"&amp;"))=""SOLO EMISOR"",
AND(
UPPER(TRIM(rTipo))=""EXACTA"",
UPPER(TRIM(D683))=UPPER(TRIM(rPatron))
),
AND(
OR(
UPPER(TRIM(rTipo))=""CONTIENE"",
UPPER(TRIM(rTipo))=""COINCIDENCIA""
),
ISNUMBER(SEARCH(UPPER(TRIM(rPatron)),UPPER(TRIM(D683))))
)
)
),
rConcepto,
"&amp;"""""
)
)
)&lt;&gt;""""
),
1
),
""""
)"),"MANIOBRAS")</f>
        <v>MANIOBRAS</v>
      </c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</row>
    <row r="684">
      <c r="A684" s="32"/>
      <c r="B684" s="32"/>
      <c r="C684" s="29" t="s">
        <v>271</v>
      </c>
      <c r="D684" s="29" t="s">
        <v>586</v>
      </c>
      <c r="E684" s="28">
        <v>629.89</v>
      </c>
      <c r="F684" s="28">
        <v>0.0</v>
      </c>
      <c r="G684" s="28" t="s">
        <v>84</v>
      </c>
      <c r="H684" s="28">
        <f t="array" ref="H684">INDEX(CC!C:C,MATCH(1,(CC!A:A=G684)*(CC!B:B=I684),0))</f>
        <v>1002</v>
      </c>
      <c r="I684" s="28" t="s">
        <v>25</v>
      </c>
      <c r="J684" s="31">
        <v>629.89</v>
      </c>
      <c r="K684" s="28" t="str">
        <f>IFERROR(__xludf.DUMMYFUNCTION("IFERROR(
INDEX(
FILTER(
MAP(
reglas!$B$2:$B$240,
reglas!$C$2:$C$240,
reglas!$D$2:$D$240,
reglas!$E$2:$E$240,
LAMBDA(rEmisor,rPatron,rConcepto,rTipo,
IF(
AND(
OR(
UPPER(TRIM(rEmisor))=UPPER(TRIM(C684)),
UPPER(TRIM(rEmisor))=""CUALQUIERA""
),
OR(
UPPER(TRIM"&amp;"(rTipo))=""SOLO EMISOR"",
AND(
UPPER(TRIM(rTipo))=""EXACTA"",
UPPER(TRIM(AG684))=UPPER(TRIM(rPatron))
),
AND(
OR(
UPPER(TRIM(rTipo))=""CONTIENE"",
UPPER(TRIM(rTipo))=""COINCIDENCIA""
),
ISNUMBER(SEARCH(UPPER(TRIM(rPatron)),UPPER(TRIM(D684))))
)
)
),
rConc"&amp;"epto,
""""
)
)
),
MAP(
reglas!$B$2:$B$240,
reglas!$C$2:$C$240,
reglas!$D$2:$D$240,
reglas!$E$2:$E$240,
LAMBDA(rEmisor,rPatron,rConcepto,rTipo,
IF(
AND(
OR(
UPPER(TRIM(rEmisor))=UPPER(TRIM(C684)),
UPPER(TRIM(rEmisor))=""CUALQUIERA""
),
OR(
UPPER(TRIM(rTipo"&amp;"))=""SOLO EMISOR"",
AND(
UPPER(TRIM(rTipo))=""EXACTA"",
UPPER(TRIM(D684))=UPPER(TRIM(rPatron))
),
AND(
OR(
UPPER(TRIM(rTipo))=""CONTIENE"",
UPPER(TRIM(rTipo))=""COINCIDENCIA""
),
ISNUMBER(SEARCH(UPPER(TRIM(rPatron)),UPPER(TRIM(D684))))
)
)
),
rConcepto,
"&amp;"""""
)
)
)&lt;&gt;""""
),
1
),
""""
)"),"MANIOBRAS")</f>
        <v>MANIOBRAS</v>
      </c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</row>
    <row r="685">
      <c r="A685" s="32"/>
      <c r="B685" s="32"/>
      <c r="C685" s="29" t="s">
        <v>271</v>
      </c>
      <c r="D685" s="29" t="s">
        <v>589</v>
      </c>
      <c r="E685" s="28">
        <v>629.89</v>
      </c>
      <c r="F685" s="28">
        <v>0.0</v>
      </c>
      <c r="G685" s="28" t="s">
        <v>84</v>
      </c>
      <c r="H685" s="28">
        <f t="array" ref="H685">INDEX(CC!C:C,MATCH(1,(CC!A:A=G685)*(CC!B:B=I685),0))</f>
        <v>1002</v>
      </c>
      <c r="I685" s="28" t="s">
        <v>25</v>
      </c>
      <c r="J685" s="31">
        <v>629.89</v>
      </c>
      <c r="K685" s="28" t="str">
        <f>IFERROR(__xludf.DUMMYFUNCTION("IFERROR(
INDEX(
FILTER(
MAP(
reglas!$B$2:$B$240,
reglas!$C$2:$C$240,
reglas!$D$2:$D$240,
reglas!$E$2:$E$240,
LAMBDA(rEmisor,rPatron,rConcepto,rTipo,
IF(
AND(
OR(
UPPER(TRIM(rEmisor))=UPPER(TRIM(C685)),
UPPER(TRIM(rEmisor))=""CUALQUIERA""
),
OR(
UPPER(TRIM"&amp;"(rTipo))=""SOLO EMISOR"",
AND(
UPPER(TRIM(rTipo))=""EXACTA"",
UPPER(TRIM(AG685))=UPPER(TRIM(rPatron))
),
AND(
OR(
UPPER(TRIM(rTipo))=""CONTIENE"",
UPPER(TRIM(rTipo))=""COINCIDENCIA""
),
ISNUMBER(SEARCH(UPPER(TRIM(rPatron)),UPPER(TRIM(D685))))
)
)
),
rConc"&amp;"epto,
""""
)
)
),
MAP(
reglas!$B$2:$B$240,
reglas!$C$2:$C$240,
reglas!$D$2:$D$240,
reglas!$E$2:$E$240,
LAMBDA(rEmisor,rPatron,rConcepto,rTipo,
IF(
AND(
OR(
UPPER(TRIM(rEmisor))=UPPER(TRIM(C685)),
UPPER(TRIM(rEmisor))=""CUALQUIERA""
),
OR(
UPPER(TRIM(rTipo"&amp;"))=""SOLO EMISOR"",
AND(
UPPER(TRIM(rTipo))=""EXACTA"",
UPPER(TRIM(D685))=UPPER(TRIM(rPatron))
),
AND(
OR(
UPPER(TRIM(rTipo))=""CONTIENE"",
UPPER(TRIM(rTipo))=""COINCIDENCIA""
),
ISNUMBER(SEARCH(UPPER(TRIM(rPatron)),UPPER(TRIM(D685))))
)
)
),
rConcepto,
"&amp;"""""
)
)
)&lt;&gt;""""
),
1
),
""""
)"),"MANIOBRAS")</f>
        <v>MANIOBRAS</v>
      </c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</row>
    <row r="686">
      <c r="A686" s="32"/>
      <c r="B686" s="32"/>
      <c r="C686" s="29" t="s">
        <v>271</v>
      </c>
      <c r="D686" s="29" t="s">
        <v>593</v>
      </c>
      <c r="E686" s="28">
        <v>885.08</v>
      </c>
      <c r="F686" s="28">
        <v>0.0</v>
      </c>
      <c r="G686" s="28" t="s">
        <v>84</v>
      </c>
      <c r="H686" s="28">
        <f t="array" ref="H686">INDEX(CC!C:C,MATCH(1,(CC!A:A=G686)*(CC!B:B=I686),0))</f>
        <v>1002</v>
      </c>
      <c r="I686" s="28" t="s">
        <v>25</v>
      </c>
      <c r="J686" s="31">
        <v>885.08</v>
      </c>
      <c r="K686" s="28" t="str">
        <f>IFERROR(__xludf.DUMMYFUNCTION("IFERROR(
INDEX(
FILTER(
MAP(
reglas!$B$2:$B$240,
reglas!$C$2:$C$240,
reglas!$D$2:$D$240,
reglas!$E$2:$E$240,
LAMBDA(rEmisor,rPatron,rConcepto,rTipo,
IF(
AND(
OR(
UPPER(TRIM(rEmisor))=UPPER(TRIM(C686)),
UPPER(TRIM(rEmisor))=""CUALQUIERA""
),
OR(
UPPER(TRIM"&amp;"(rTipo))=""SOLO EMISOR"",
AND(
UPPER(TRIM(rTipo))=""EXACTA"",
UPPER(TRIM(AG686))=UPPER(TRIM(rPatron))
),
AND(
OR(
UPPER(TRIM(rTipo))=""CONTIENE"",
UPPER(TRIM(rTipo))=""COINCIDENCIA""
),
ISNUMBER(SEARCH(UPPER(TRIM(rPatron)),UPPER(TRIM(D686))))
)
)
),
rConc"&amp;"epto,
""""
)
)
),
MAP(
reglas!$B$2:$B$240,
reglas!$C$2:$C$240,
reglas!$D$2:$D$240,
reglas!$E$2:$E$240,
LAMBDA(rEmisor,rPatron,rConcepto,rTipo,
IF(
AND(
OR(
UPPER(TRIM(rEmisor))=UPPER(TRIM(C686)),
UPPER(TRIM(rEmisor))=""CUALQUIERA""
),
OR(
UPPER(TRIM(rTipo"&amp;"))=""SOLO EMISOR"",
AND(
UPPER(TRIM(rTipo))=""EXACTA"",
UPPER(TRIM(D686))=UPPER(TRIM(rPatron))
),
AND(
OR(
UPPER(TRIM(rTipo))=""CONTIENE"",
UPPER(TRIM(rTipo))=""COINCIDENCIA""
),
ISNUMBER(SEARCH(UPPER(TRIM(rPatron)),UPPER(TRIM(D686))))
)
)
),
rConcepto,
"&amp;"""""
)
)
)&lt;&gt;""""
),
1
),
""""
)"),"MANIOBRAS")</f>
        <v>MANIOBRAS</v>
      </c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</row>
    <row r="687">
      <c r="A687" s="32"/>
      <c r="B687" s="32"/>
      <c r="C687" s="29" t="s">
        <v>271</v>
      </c>
      <c r="D687" s="29" t="s">
        <v>596</v>
      </c>
      <c r="E687" s="28">
        <v>660.88</v>
      </c>
      <c r="F687" s="28">
        <v>0.0</v>
      </c>
      <c r="G687" s="28" t="s">
        <v>84</v>
      </c>
      <c r="H687" s="28">
        <f t="array" ref="H687">INDEX(CC!C:C,MATCH(1,(CC!A:A=G687)*(CC!B:B=I687),0))</f>
        <v>1002</v>
      </c>
      <c r="I687" s="28" t="s">
        <v>25</v>
      </c>
      <c r="J687" s="31">
        <v>660.88</v>
      </c>
      <c r="K687" s="28" t="str">
        <f>IFERROR(__xludf.DUMMYFUNCTION("IFERROR(
INDEX(
FILTER(
MAP(
reglas!$B$2:$B$240,
reglas!$C$2:$C$240,
reglas!$D$2:$D$240,
reglas!$E$2:$E$240,
LAMBDA(rEmisor,rPatron,rConcepto,rTipo,
IF(
AND(
OR(
UPPER(TRIM(rEmisor))=UPPER(TRIM(C687)),
UPPER(TRIM(rEmisor))=""CUALQUIERA""
),
OR(
UPPER(TRIM"&amp;"(rTipo))=""SOLO EMISOR"",
AND(
UPPER(TRIM(rTipo))=""EXACTA"",
UPPER(TRIM(AG687))=UPPER(TRIM(rPatron))
),
AND(
OR(
UPPER(TRIM(rTipo))=""CONTIENE"",
UPPER(TRIM(rTipo))=""COINCIDENCIA""
),
ISNUMBER(SEARCH(UPPER(TRIM(rPatron)),UPPER(TRIM(D687))))
)
)
),
rConc"&amp;"epto,
""""
)
)
),
MAP(
reglas!$B$2:$B$240,
reglas!$C$2:$C$240,
reglas!$D$2:$D$240,
reglas!$E$2:$E$240,
LAMBDA(rEmisor,rPatron,rConcepto,rTipo,
IF(
AND(
OR(
UPPER(TRIM(rEmisor))=UPPER(TRIM(C687)),
UPPER(TRIM(rEmisor))=""CUALQUIERA""
),
OR(
UPPER(TRIM(rTipo"&amp;"))=""SOLO EMISOR"",
AND(
UPPER(TRIM(rTipo))=""EXACTA"",
UPPER(TRIM(D687))=UPPER(TRIM(rPatron))
),
AND(
OR(
UPPER(TRIM(rTipo))=""CONTIENE"",
UPPER(TRIM(rTipo))=""COINCIDENCIA""
),
ISNUMBER(SEARCH(UPPER(TRIM(rPatron)),UPPER(TRIM(D687))))
)
)
),
rConcepto,
"&amp;"""""
)
)
)&lt;&gt;""""
),
1
),
""""
)"),"MANIOBRAS")</f>
        <v>MANIOBRAS</v>
      </c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</row>
    <row r="688">
      <c r="A688" s="32"/>
      <c r="B688" s="28" t="s">
        <v>29</v>
      </c>
      <c r="C688" s="29" t="s">
        <v>174</v>
      </c>
      <c r="D688" s="29" t="s">
        <v>1708</v>
      </c>
      <c r="E688" s="28">
        <v>1400.0</v>
      </c>
      <c r="F688" s="28">
        <v>0.0</v>
      </c>
      <c r="G688" s="28" t="s">
        <v>40</v>
      </c>
      <c r="H688" s="28">
        <f t="array" ref="H688">INDEX(CC!C:C,MATCH(1,(CC!A:A=G688)*(CC!B:B=I688),0))</f>
        <v>602</v>
      </c>
      <c r="I688" s="28" t="s">
        <v>25</v>
      </c>
      <c r="J688" s="31">
        <v>1400.0</v>
      </c>
      <c r="K688" s="28" t="str">
        <f>IFERROR(__xludf.DUMMYFUNCTION("IFERROR(
INDEX(
FILTER(
MAP(
reglas!$B$2:$B$240,
reglas!$C$2:$C$240,
reglas!$D$2:$D$240,
reglas!$E$2:$E$240,
LAMBDA(rEmisor,rPatron,rConcepto,rTipo,
IF(
AND(
OR(
UPPER(TRIM(rEmisor))=UPPER(TRIM(C688)),
UPPER(TRIM(rEmisor))=""CUALQUIERA""
),
OR(
UPPER(TRIM"&amp;"(rTipo))=""SOLO EMISOR"",
AND(
UPPER(TRIM(rTipo))=""EXACTA"",
UPPER(TRIM(AG688))=UPPER(TRIM(rPatron))
),
AND(
OR(
UPPER(TRIM(rTipo))=""CONTIENE"",
UPPER(TRIM(rTipo))=""COINCIDENCIA""
),
ISNUMBER(SEARCH(UPPER(TRIM(rPatron)),UPPER(TRIM(D688))))
)
)
),
rConc"&amp;"epto,
""""
)
)
),
MAP(
reglas!$B$2:$B$240,
reglas!$C$2:$C$240,
reglas!$D$2:$D$240,
reglas!$E$2:$E$240,
LAMBDA(rEmisor,rPatron,rConcepto,rTipo,
IF(
AND(
OR(
UPPER(TRIM(rEmisor))=UPPER(TRIM(C688)),
UPPER(TRIM(rEmisor))=""CUALQUIERA""
),
OR(
UPPER(TRIM(rTipo"&amp;"))=""SOLO EMISOR"",
AND(
UPPER(TRIM(rTipo))=""EXACTA"",
UPPER(TRIM(D688))=UPPER(TRIM(rPatron))
),
AND(
OR(
UPPER(TRIM(rTipo))=""CONTIENE"",
UPPER(TRIM(rTipo))=""COINCIDENCIA""
),
ISNUMBER(SEARCH(UPPER(TRIM(rPatron)),UPPER(TRIM(D688))))
)
)
),
rConcepto,
"&amp;"""""
)
)
)&lt;&gt;""""
),
1
),
""""
)"),"TRANSPORTE")</f>
        <v>TRANSPORTE</v>
      </c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</row>
    <row r="689">
      <c r="A689" s="32"/>
      <c r="B689" s="28" t="s">
        <v>29</v>
      </c>
      <c r="C689" s="29" t="s">
        <v>278</v>
      </c>
      <c r="D689" s="29" t="s">
        <v>898</v>
      </c>
      <c r="E689" s="28">
        <v>1000.0</v>
      </c>
      <c r="F689" s="28">
        <v>0.0</v>
      </c>
      <c r="G689" s="28" t="s">
        <v>250</v>
      </c>
      <c r="H689" s="28">
        <f t="array" ref="H689">INDEX(CC!C:C,MATCH(1,(CC!A:A=G689)*(CC!B:B=I689),0))</f>
        <v>1402</v>
      </c>
      <c r="I689" s="28" t="s">
        <v>25</v>
      </c>
      <c r="J689" s="31">
        <v>1000.0</v>
      </c>
      <c r="K689" s="28" t="str">
        <f>IFERROR(__xludf.DUMMYFUNCTION("IFERROR(
INDEX(
FILTER(
MAP(
reglas!$B$2:$B$240,
reglas!$C$2:$C$240,
reglas!$D$2:$D$240,
reglas!$E$2:$E$240,
LAMBDA(rEmisor,rPatron,rConcepto,rTipo,
IF(
AND(
OR(
UPPER(TRIM(rEmisor))=UPPER(TRIM(C689)),
UPPER(TRIM(rEmisor))=""CUALQUIERA""
),
OR(
UPPER(TRIM"&amp;"(rTipo))=""SOLO EMISOR"",
AND(
UPPER(TRIM(rTipo))=""EXACTA"",
UPPER(TRIM(AG689))=UPPER(TRIM(rPatron))
),
AND(
OR(
UPPER(TRIM(rTipo))=""CONTIENE"",
UPPER(TRIM(rTipo))=""COINCIDENCIA""
),
ISNUMBER(SEARCH(UPPER(TRIM(rPatron)),UPPER(TRIM(D689))))
)
)
),
rConc"&amp;"epto,
""""
)
)
),
MAP(
reglas!$B$2:$B$240,
reglas!$C$2:$C$240,
reglas!$D$2:$D$240,
reglas!$E$2:$E$240,
LAMBDA(rEmisor,rPatron,rConcepto,rTipo,
IF(
AND(
OR(
UPPER(TRIM(rEmisor))=UPPER(TRIM(C689)),
UPPER(TRIM(rEmisor))=""CUALQUIERA""
),
OR(
UPPER(TRIM(rTipo"&amp;"))=""SOLO EMISOR"",
AND(
UPPER(TRIM(rTipo))=""EXACTA"",
UPPER(TRIM(D689))=UPPER(TRIM(rPatron))
),
AND(
OR(
UPPER(TRIM(rTipo))=""CONTIENE"",
UPPER(TRIM(rTipo))=""COINCIDENCIA""
),
ISNUMBER(SEARCH(UPPER(TRIM(rPatron)),UPPER(TRIM(D689))))
)
)
),
rConcepto,
"&amp;"""""
)
)
)&lt;&gt;""""
),
1
),
""""
)"),"MANIOBRAS")</f>
        <v>MANIOBRAS</v>
      </c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</row>
    <row r="690">
      <c r="A690" s="32"/>
      <c r="B690" s="28" t="s">
        <v>29</v>
      </c>
      <c r="C690" s="29" t="s">
        <v>131</v>
      </c>
      <c r="D690" s="29" t="s">
        <v>1622</v>
      </c>
      <c r="E690" s="28">
        <v>474.13</v>
      </c>
      <c r="F690" s="28">
        <v>0.0</v>
      </c>
      <c r="G690" s="28" t="s">
        <v>74</v>
      </c>
      <c r="H690" s="28">
        <f t="array" ref="H690">INDEX(CC!C:C,MATCH(1,(CC!A:A=G690)*(CC!B:B=I690),0))</f>
        <v>1503</v>
      </c>
      <c r="I690" s="28" t="s">
        <v>44</v>
      </c>
      <c r="J690" s="31">
        <v>474.13</v>
      </c>
      <c r="K690" s="28" t="str">
        <f>IFERROR(__xludf.DUMMYFUNCTION("IFERROR(
INDEX(
FILTER(
MAP(
reglas!$B$2:$B$240,
reglas!$C$2:$C$240,
reglas!$D$2:$D$240,
reglas!$E$2:$E$240,
LAMBDA(rEmisor,rPatron,rConcepto,rTipo,
IF(
AND(
OR(
UPPER(TRIM(rEmisor))=UPPER(TRIM(C690)),
UPPER(TRIM(rEmisor))=""CUALQUIERA""
),
OR(
UPPER(TRIM"&amp;"(rTipo))=""SOLO EMISOR"",
AND(
UPPER(TRIM(rTipo))=""EXACTA"",
UPPER(TRIM(AG690))=UPPER(TRIM(rPatron))
),
AND(
OR(
UPPER(TRIM(rTipo))=""CONTIENE"",
UPPER(TRIM(rTipo))=""COINCIDENCIA""
),
ISNUMBER(SEARCH(UPPER(TRIM(rPatron)),UPPER(TRIM(D690))))
)
)
),
rConc"&amp;"epto,
""""
)
)
),
MAP(
reglas!$B$2:$B$240,
reglas!$C$2:$C$240,
reglas!$D$2:$D$240,
reglas!$E$2:$E$240,
LAMBDA(rEmisor,rPatron,rConcepto,rTipo,
IF(
AND(
OR(
UPPER(TRIM(rEmisor))=UPPER(TRIM(C690)),
UPPER(TRIM(rEmisor))=""CUALQUIERA""
),
OR(
UPPER(TRIM(rTipo"&amp;"))=""SOLO EMISOR"",
AND(
UPPER(TRIM(rTipo))=""EXACTA"",
UPPER(TRIM(D690))=UPPER(TRIM(rPatron))
),
AND(
OR(
UPPER(TRIM(rTipo))=""CONTIENE"",
UPPER(TRIM(rTipo))=""COINCIDENCIA""
),
ISNUMBER(SEARCH(UPPER(TRIM(rPatron)),UPPER(TRIM(D690))))
)
)
),
rConcepto,
"&amp;"""""
)
)
)&lt;&gt;""""
),
1
),
""""
)"),"COPIADORA")</f>
        <v>COPIADORA</v>
      </c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</row>
    <row r="691">
      <c r="A691" s="32"/>
      <c r="B691" s="28" t="s">
        <v>29</v>
      </c>
      <c r="C691" s="29" t="s">
        <v>278</v>
      </c>
      <c r="D691" s="29" t="s">
        <v>560</v>
      </c>
      <c r="E691" s="28">
        <v>3500.0</v>
      </c>
      <c r="F691" s="28">
        <v>0.0</v>
      </c>
      <c r="G691" s="28" t="s">
        <v>250</v>
      </c>
      <c r="H691" s="28">
        <f t="array" ref="H691">INDEX(CC!C:C,MATCH(1,(CC!A:A=G691)*(CC!B:B=I691),0))</f>
        <v>1402</v>
      </c>
      <c r="I691" s="28" t="s">
        <v>25</v>
      </c>
      <c r="J691" s="31">
        <v>3500.0</v>
      </c>
      <c r="K691" s="28" t="str">
        <f>IFERROR(__xludf.DUMMYFUNCTION("IFERROR(
INDEX(
FILTER(
MAP(
reglas!$B$2:$B$240,
reglas!$C$2:$C$240,
reglas!$D$2:$D$240,
reglas!$E$2:$E$240,
LAMBDA(rEmisor,rPatron,rConcepto,rTipo,
IF(
AND(
OR(
UPPER(TRIM(rEmisor))=UPPER(TRIM(C691)),
UPPER(TRIM(rEmisor))=""CUALQUIERA""
),
OR(
UPPER(TRIM"&amp;"(rTipo))=""SOLO EMISOR"",
AND(
UPPER(TRIM(rTipo))=""EXACTA"",
UPPER(TRIM(AG691))=UPPER(TRIM(rPatron))
),
AND(
OR(
UPPER(TRIM(rTipo))=""CONTIENE"",
UPPER(TRIM(rTipo))=""COINCIDENCIA""
),
ISNUMBER(SEARCH(UPPER(TRIM(rPatron)),UPPER(TRIM(D691))))
)
)
),
rConc"&amp;"epto,
""""
)
)
),
MAP(
reglas!$B$2:$B$240,
reglas!$C$2:$C$240,
reglas!$D$2:$D$240,
reglas!$E$2:$E$240,
LAMBDA(rEmisor,rPatron,rConcepto,rTipo,
IF(
AND(
OR(
UPPER(TRIM(rEmisor))=UPPER(TRIM(C691)),
UPPER(TRIM(rEmisor))=""CUALQUIERA""
),
OR(
UPPER(TRIM(rTipo"&amp;"))=""SOLO EMISOR"",
AND(
UPPER(TRIM(rTipo))=""EXACTA"",
UPPER(TRIM(D691))=UPPER(TRIM(rPatron))
),
AND(
OR(
UPPER(TRIM(rTipo))=""CONTIENE"",
UPPER(TRIM(rTipo))=""COINCIDENCIA""
),
ISNUMBER(SEARCH(UPPER(TRIM(rPatron)),UPPER(TRIM(D691))))
)
)
),
rConcepto,
"&amp;"""""
)
)
)&lt;&gt;""""
),
1
),
""""
)"),"MANIOBRAS")</f>
        <v>MANIOBRAS</v>
      </c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</row>
    <row r="692">
      <c r="A692" s="28">
        <v>1.0</v>
      </c>
      <c r="B692" s="28" t="s">
        <v>29</v>
      </c>
      <c r="C692" s="29" t="s">
        <v>271</v>
      </c>
      <c r="D692" s="29" t="s">
        <v>585</v>
      </c>
      <c r="E692" s="28">
        <v>629.54</v>
      </c>
      <c r="F692" s="28">
        <v>0.0</v>
      </c>
      <c r="G692" s="28" t="s">
        <v>84</v>
      </c>
      <c r="H692" s="28">
        <f t="array" ref="H692">INDEX(CC!C:C,MATCH(1,(CC!A:A=G692)*(CC!B:B=I692),0))</f>
        <v>1002</v>
      </c>
      <c r="I692" s="28" t="s">
        <v>25</v>
      </c>
      <c r="J692" s="31">
        <v>629.54</v>
      </c>
      <c r="K692" s="28" t="str">
        <f>IFERROR(__xludf.DUMMYFUNCTION("IFERROR(
INDEX(
FILTER(
MAP(
reglas!$B$2:$B$240,
reglas!$C$2:$C$240,
reglas!$D$2:$D$240,
reglas!$E$2:$E$240,
LAMBDA(rEmisor,rPatron,rConcepto,rTipo,
IF(
AND(
OR(
UPPER(TRIM(rEmisor))=UPPER(TRIM(C692)),
UPPER(TRIM(rEmisor))=""CUALQUIERA""
),
OR(
UPPER(TRIM"&amp;"(rTipo))=""SOLO EMISOR"",
AND(
UPPER(TRIM(rTipo))=""EXACTA"",
UPPER(TRIM(AG692))=UPPER(TRIM(rPatron))
),
AND(
OR(
UPPER(TRIM(rTipo))=""CONTIENE"",
UPPER(TRIM(rTipo))=""COINCIDENCIA""
),
ISNUMBER(SEARCH(UPPER(TRIM(rPatron)),UPPER(TRIM(D692))))
)
)
),
rConc"&amp;"epto,
""""
)
)
),
MAP(
reglas!$B$2:$B$240,
reglas!$C$2:$C$240,
reglas!$D$2:$D$240,
reglas!$E$2:$E$240,
LAMBDA(rEmisor,rPatron,rConcepto,rTipo,
IF(
AND(
OR(
UPPER(TRIM(rEmisor))=UPPER(TRIM(C692)),
UPPER(TRIM(rEmisor))=""CUALQUIERA""
),
OR(
UPPER(TRIM(rTipo"&amp;"))=""SOLO EMISOR"",
AND(
UPPER(TRIM(rTipo))=""EXACTA"",
UPPER(TRIM(D692))=UPPER(TRIM(rPatron))
),
AND(
OR(
UPPER(TRIM(rTipo))=""CONTIENE"",
UPPER(TRIM(rTipo))=""COINCIDENCIA""
),
ISNUMBER(SEARCH(UPPER(TRIM(rPatron)),UPPER(TRIM(D692))))
)
)
),
rConcepto,
"&amp;"""""
)
)
)&lt;&gt;""""
),
1
),
""""
)"),"MANIOBRAS")</f>
        <v>MANIOBRAS</v>
      </c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</row>
    <row r="693">
      <c r="A693" s="32"/>
      <c r="B693" s="32"/>
      <c r="C693" s="29" t="s">
        <v>271</v>
      </c>
      <c r="D693" s="29" t="s">
        <v>587</v>
      </c>
      <c r="E693" s="28">
        <v>575.99</v>
      </c>
      <c r="F693" s="28">
        <v>0.0</v>
      </c>
      <c r="G693" s="28" t="s">
        <v>84</v>
      </c>
      <c r="H693" s="28">
        <f t="array" ref="H693">INDEX(CC!C:C,MATCH(1,(CC!A:A=G693)*(CC!B:B=I693),0))</f>
        <v>1002</v>
      </c>
      <c r="I693" s="28" t="s">
        <v>25</v>
      </c>
      <c r="J693" s="31">
        <v>575.99</v>
      </c>
      <c r="K693" s="28" t="str">
        <f>IFERROR(__xludf.DUMMYFUNCTION("IFERROR(
INDEX(
FILTER(
MAP(
reglas!$B$2:$B$240,
reglas!$C$2:$C$240,
reglas!$D$2:$D$240,
reglas!$E$2:$E$240,
LAMBDA(rEmisor,rPatron,rConcepto,rTipo,
IF(
AND(
OR(
UPPER(TRIM(rEmisor))=UPPER(TRIM(C693)),
UPPER(TRIM(rEmisor))=""CUALQUIERA""
),
OR(
UPPER(TRIM"&amp;"(rTipo))=""SOLO EMISOR"",
AND(
UPPER(TRIM(rTipo))=""EXACTA"",
UPPER(TRIM(AG693))=UPPER(TRIM(rPatron))
),
AND(
OR(
UPPER(TRIM(rTipo))=""CONTIENE"",
UPPER(TRIM(rTipo))=""COINCIDENCIA""
),
ISNUMBER(SEARCH(UPPER(TRIM(rPatron)),UPPER(TRIM(D693))))
)
)
),
rConc"&amp;"epto,
""""
)
)
),
MAP(
reglas!$B$2:$B$240,
reglas!$C$2:$C$240,
reglas!$D$2:$D$240,
reglas!$E$2:$E$240,
LAMBDA(rEmisor,rPatron,rConcepto,rTipo,
IF(
AND(
OR(
UPPER(TRIM(rEmisor))=UPPER(TRIM(C693)),
UPPER(TRIM(rEmisor))=""CUALQUIERA""
),
OR(
UPPER(TRIM(rTipo"&amp;"))=""SOLO EMISOR"",
AND(
UPPER(TRIM(rTipo))=""EXACTA"",
UPPER(TRIM(D693))=UPPER(TRIM(rPatron))
),
AND(
OR(
UPPER(TRIM(rTipo))=""CONTIENE"",
UPPER(TRIM(rTipo))=""COINCIDENCIA""
),
ISNUMBER(SEARCH(UPPER(TRIM(rPatron)),UPPER(TRIM(D693))))
)
)
),
rConcepto,
"&amp;"""""
)
)
)&lt;&gt;""""
),
1
),
""""
)"),"MANIOBRAS")</f>
        <v>MANIOBRAS</v>
      </c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</row>
    <row r="694">
      <c r="A694" s="32"/>
      <c r="B694" s="32"/>
      <c r="C694" s="29" t="s">
        <v>271</v>
      </c>
      <c r="D694" s="29" t="s">
        <v>586</v>
      </c>
      <c r="E694" s="28">
        <v>629.89</v>
      </c>
      <c r="F694" s="28">
        <v>0.0</v>
      </c>
      <c r="G694" s="28" t="s">
        <v>84</v>
      </c>
      <c r="H694" s="28">
        <f t="array" ref="H694">INDEX(CC!C:C,MATCH(1,(CC!A:A=G694)*(CC!B:B=I694),0))</f>
        <v>1002</v>
      </c>
      <c r="I694" s="28" t="s">
        <v>25</v>
      </c>
      <c r="J694" s="31">
        <v>629.89</v>
      </c>
      <c r="K694" s="28" t="str">
        <f>IFERROR(__xludf.DUMMYFUNCTION("IFERROR(
INDEX(
FILTER(
MAP(
reglas!$B$2:$B$240,
reglas!$C$2:$C$240,
reglas!$D$2:$D$240,
reglas!$E$2:$E$240,
LAMBDA(rEmisor,rPatron,rConcepto,rTipo,
IF(
AND(
OR(
UPPER(TRIM(rEmisor))=UPPER(TRIM(C694)),
UPPER(TRIM(rEmisor))=""CUALQUIERA""
),
OR(
UPPER(TRIM"&amp;"(rTipo))=""SOLO EMISOR"",
AND(
UPPER(TRIM(rTipo))=""EXACTA"",
UPPER(TRIM(AG694))=UPPER(TRIM(rPatron))
),
AND(
OR(
UPPER(TRIM(rTipo))=""CONTIENE"",
UPPER(TRIM(rTipo))=""COINCIDENCIA""
),
ISNUMBER(SEARCH(UPPER(TRIM(rPatron)),UPPER(TRIM(D694))))
)
)
),
rConc"&amp;"epto,
""""
)
)
),
MAP(
reglas!$B$2:$B$240,
reglas!$C$2:$C$240,
reglas!$D$2:$D$240,
reglas!$E$2:$E$240,
LAMBDA(rEmisor,rPatron,rConcepto,rTipo,
IF(
AND(
OR(
UPPER(TRIM(rEmisor))=UPPER(TRIM(C694)),
UPPER(TRIM(rEmisor))=""CUALQUIERA""
),
OR(
UPPER(TRIM(rTipo"&amp;"))=""SOLO EMISOR"",
AND(
UPPER(TRIM(rTipo))=""EXACTA"",
UPPER(TRIM(D694))=UPPER(TRIM(rPatron))
),
AND(
OR(
UPPER(TRIM(rTipo))=""CONTIENE"",
UPPER(TRIM(rTipo))=""COINCIDENCIA""
),
ISNUMBER(SEARCH(UPPER(TRIM(rPatron)),UPPER(TRIM(D694))))
)
)
),
rConcepto,
"&amp;"""""
)
)
)&lt;&gt;""""
),
1
),
""""
)"),"MANIOBRAS")</f>
        <v>MANIOBRAS</v>
      </c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</row>
    <row r="695">
      <c r="A695" s="32"/>
      <c r="B695" s="32"/>
      <c r="C695" s="29" t="s">
        <v>271</v>
      </c>
      <c r="D695" s="29" t="s">
        <v>589</v>
      </c>
      <c r="E695" s="28">
        <v>629.89</v>
      </c>
      <c r="F695" s="28">
        <v>0.0</v>
      </c>
      <c r="G695" s="28" t="s">
        <v>84</v>
      </c>
      <c r="H695" s="28">
        <f t="array" ref="H695">INDEX(CC!C:C,MATCH(1,(CC!A:A=G695)*(CC!B:B=I695),0))</f>
        <v>1002</v>
      </c>
      <c r="I695" s="28" t="s">
        <v>25</v>
      </c>
      <c r="J695" s="31">
        <v>629.89</v>
      </c>
      <c r="K695" s="28" t="str">
        <f>IFERROR(__xludf.DUMMYFUNCTION("IFERROR(
INDEX(
FILTER(
MAP(
reglas!$B$2:$B$240,
reglas!$C$2:$C$240,
reglas!$D$2:$D$240,
reglas!$E$2:$E$240,
LAMBDA(rEmisor,rPatron,rConcepto,rTipo,
IF(
AND(
OR(
UPPER(TRIM(rEmisor))=UPPER(TRIM(C695)),
UPPER(TRIM(rEmisor))=""CUALQUIERA""
),
OR(
UPPER(TRIM"&amp;"(rTipo))=""SOLO EMISOR"",
AND(
UPPER(TRIM(rTipo))=""EXACTA"",
UPPER(TRIM(AG695))=UPPER(TRIM(rPatron))
),
AND(
OR(
UPPER(TRIM(rTipo))=""CONTIENE"",
UPPER(TRIM(rTipo))=""COINCIDENCIA""
),
ISNUMBER(SEARCH(UPPER(TRIM(rPatron)),UPPER(TRIM(D695))))
)
)
),
rConc"&amp;"epto,
""""
)
)
),
MAP(
reglas!$B$2:$B$240,
reglas!$C$2:$C$240,
reglas!$D$2:$D$240,
reglas!$E$2:$E$240,
LAMBDA(rEmisor,rPatron,rConcepto,rTipo,
IF(
AND(
OR(
UPPER(TRIM(rEmisor))=UPPER(TRIM(C695)),
UPPER(TRIM(rEmisor))=""CUALQUIERA""
),
OR(
UPPER(TRIM(rTipo"&amp;"))=""SOLO EMISOR"",
AND(
UPPER(TRIM(rTipo))=""EXACTA"",
UPPER(TRIM(D695))=UPPER(TRIM(rPatron))
),
AND(
OR(
UPPER(TRIM(rTipo))=""CONTIENE"",
UPPER(TRIM(rTipo))=""COINCIDENCIA""
),
ISNUMBER(SEARCH(UPPER(TRIM(rPatron)),UPPER(TRIM(D695))))
)
)
),
rConcepto,
"&amp;"""""
)
)
)&lt;&gt;""""
),
1
),
""""
)"),"MANIOBRAS")</f>
        <v>MANIOBRAS</v>
      </c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</row>
    <row r="696">
      <c r="A696" s="32"/>
      <c r="B696" s="32"/>
      <c r="C696" s="29" t="s">
        <v>271</v>
      </c>
      <c r="D696" s="29" t="s">
        <v>593</v>
      </c>
      <c r="E696" s="28">
        <v>357.65</v>
      </c>
      <c r="F696" s="28">
        <v>0.0</v>
      </c>
      <c r="G696" s="28" t="s">
        <v>84</v>
      </c>
      <c r="H696" s="28">
        <f t="array" ref="H696">INDEX(CC!C:C,MATCH(1,(CC!A:A=G696)*(CC!B:B=I696),0))</f>
        <v>1002</v>
      </c>
      <c r="I696" s="28" t="s">
        <v>25</v>
      </c>
      <c r="J696" s="31">
        <v>357.65</v>
      </c>
      <c r="K696" s="28" t="str">
        <f>IFERROR(__xludf.DUMMYFUNCTION("IFERROR(
INDEX(
FILTER(
MAP(
reglas!$B$2:$B$240,
reglas!$C$2:$C$240,
reglas!$D$2:$D$240,
reglas!$E$2:$E$240,
LAMBDA(rEmisor,rPatron,rConcepto,rTipo,
IF(
AND(
OR(
UPPER(TRIM(rEmisor))=UPPER(TRIM(C696)),
UPPER(TRIM(rEmisor))=""CUALQUIERA""
),
OR(
UPPER(TRIM"&amp;"(rTipo))=""SOLO EMISOR"",
AND(
UPPER(TRIM(rTipo))=""EXACTA"",
UPPER(TRIM(AG696))=UPPER(TRIM(rPatron))
),
AND(
OR(
UPPER(TRIM(rTipo))=""CONTIENE"",
UPPER(TRIM(rTipo))=""COINCIDENCIA""
),
ISNUMBER(SEARCH(UPPER(TRIM(rPatron)),UPPER(TRIM(D696))))
)
)
),
rConc"&amp;"epto,
""""
)
)
),
MAP(
reglas!$B$2:$B$240,
reglas!$C$2:$C$240,
reglas!$D$2:$D$240,
reglas!$E$2:$E$240,
LAMBDA(rEmisor,rPatron,rConcepto,rTipo,
IF(
AND(
OR(
UPPER(TRIM(rEmisor))=UPPER(TRIM(C696)),
UPPER(TRIM(rEmisor))=""CUALQUIERA""
),
OR(
UPPER(TRIM(rTipo"&amp;"))=""SOLO EMISOR"",
AND(
UPPER(TRIM(rTipo))=""EXACTA"",
UPPER(TRIM(D696))=UPPER(TRIM(rPatron))
),
AND(
OR(
UPPER(TRIM(rTipo))=""CONTIENE"",
UPPER(TRIM(rTipo))=""COINCIDENCIA""
),
ISNUMBER(SEARCH(UPPER(TRIM(rPatron)),UPPER(TRIM(D696))))
)
)
),
rConcepto,
"&amp;"""""
)
)
)&lt;&gt;""""
),
1
),
""""
)"),"MANIOBRAS")</f>
        <v>MANIOBRAS</v>
      </c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</row>
    <row r="697">
      <c r="A697" s="32"/>
      <c r="B697" s="32"/>
      <c r="C697" s="29" t="s">
        <v>271</v>
      </c>
      <c r="D697" s="29" t="s">
        <v>596</v>
      </c>
      <c r="E697" s="28">
        <v>660.88</v>
      </c>
      <c r="F697" s="28">
        <v>0.0</v>
      </c>
      <c r="G697" s="28" t="s">
        <v>84</v>
      </c>
      <c r="H697" s="28">
        <f t="array" ref="H697">INDEX(CC!C:C,MATCH(1,(CC!A:A=G697)*(CC!B:B=I697),0))</f>
        <v>1002</v>
      </c>
      <c r="I697" s="28" t="s">
        <v>25</v>
      </c>
      <c r="J697" s="31">
        <v>660.88</v>
      </c>
      <c r="K697" s="28" t="str">
        <f>IFERROR(__xludf.DUMMYFUNCTION("IFERROR(
INDEX(
FILTER(
MAP(
reglas!$B$2:$B$240,
reglas!$C$2:$C$240,
reglas!$D$2:$D$240,
reglas!$E$2:$E$240,
LAMBDA(rEmisor,rPatron,rConcepto,rTipo,
IF(
AND(
OR(
UPPER(TRIM(rEmisor))=UPPER(TRIM(C697)),
UPPER(TRIM(rEmisor))=""CUALQUIERA""
),
OR(
UPPER(TRIM"&amp;"(rTipo))=""SOLO EMISOR"",
AND(
UPPER(TRIM(rTipo))=""EXACTA"",
UPPER(TRIM(AG697))=UPPER(TRIM(rPatron))
),
AND(
OR(
UPPER(TRIM(rTipo))=""CONTIENE"",
UPPER(TRIM(rTipo))=""COINCIDENCIA""
),
ISNUMBER(SEARCH(UPPER(TRIM(rPatron)),UPPER(TRIM(D697))))
)
)
),
rConc"&amp;"epto,
""""
)
)
),
MAP(
reglas!$B$2:$B$240,
reglas!$C$2:$C$240,
reglas!$D$2:$D$240,
reglas!$E$2:$E$240,
LAMBDA(rEmisor,rPatron,rConcepto,rTipo,
IF(
AND(
OR(
UPPER(TRIM(rEmisor))=UPPER(TRIM(C697)),
UPPER(TRIM(rEmisor))=""CUALQUIERA""
),
OR(
UPPER(TRIM(rTipo"&amp;"))=""SOLO EMISOR"",
AND(
UPPER(TRIM(rTipo))=""EXACTA"",
UPPER(TRIM(D697))=UPPER(TRIM(rPatron))
),
AND(
OR(
UPPER(TRIM(rTipo))=""CONTIENE"",
UPPER(TRIM(rTipo))=""COINCIDENCIA""
),
ISNUMBER(SEARCH(UPPER(TRIM(rPatron)),UPPER(TRIM(D697))))
)
)
),
rConcepto,
"&amp;"""""
)
)
)&lt;&gt;""""
),
1
),
""""
)"),"MANIOBRAS")</f>
        <v>MANIOBRAS</v>
      </c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</row>
    <row r="698">
      <c r="A698" s="32"/>
      <c r="B698" s="28" t="s">
        <v>29</v>
      </c>
      <c r="C698" s="29" t="s">
        <v>172</v>
      </c>
      <c r="D698" s="29" t="s">
        <v>1709</v>
      </c>
      <c r="E698" s="28">
        <v>11500.0</v>
      </c>
      <c r="F698" s="28">
        <v>0.0</v>
      </c>
      <c r="G698" s="28" t="s">
        <v>250</v>
      </c>
      <c r="H698" s="28">
        <f t="array" ref="H698">INDEX(CC!C:C,MATCH(1,(CC!A:A=G698)*(CC!B:B=I698),0))</f>
        <v>1402</v>
      </c>
      <c r="I698" s="28" t="s">
        <v>25</v>
      </c>
      <c r="J698" s="31">
        <v>11500.0</v>
      </c>
      <c r="K698" s="28" t="str">
        <f>IFERROR(__xludf.DUMMYFUNCTION("IFERROR(
INDEX(
FILTER(
MAP(
reglas!$B$2:$B$240,
reglas!$C$2:$C$240,
reglas!$D$2:$D$240,
reglas!$E$2:$E$240,
LAMBDA(rEmisor,rPatron,rConcepto,rTipo,
IF(
AND(
OR(
UPPER(TRIM(rEmisor))=UPPER(TRIM(C698)),
UPPER(TRIM(rEmisor))=""CUALQUIERA""
),
OR(
UPPER(TRIM"&amp;"(rTipo))=""SOLO EMISOR"",
AND(
UPPER(TRIM(rTipo))=""EXACTA"",
UPPER(TRIM(AG698))=UPPER(TRIM(rPatron))
),
AND(
OR(
UPPER(TRIM(rTipo))=""CONTIENE"",
UPPER(TRIM(rTipo))=""COINCIDENCIA""
),
ISNUMBER(SEARCH(UPPER(TRIM(rPatron)),UPPER(TRIM(D698))))
)
)
),
rConc"&amp;"epto,
""""
)
)
),
MAP(
reglas!$B$2:$B$240,
reglas!$C$2:$C$240,
reglas!$D$2:$D$240,
reglas!$E$2:$E$240,
LAMBDA(rEmisor,rPatron,rConcepto,rTipo,
IF(
AND(
OR(
UPPER(TRIM(rEmisor))=UPPER(TRIM(C698)),
UPPER(TRIM(rEmisor))=""CUALQUIERA""
),
OR(
UPPER(TRIM(rTipo"&amp;"))=""SOLO EMISOR"",
AND(
UPPER(TRIM(rTipo))=""EXACTA"",
UPPER(TRIM(D698))=UPPER(TRIM(rPatron))
),
AND(
OR(
UPPER(TRIM(rTipo))=""CONTIENE"",
UPPER(TRIM(rTipo))=""COINCIDENCIA""
),
ISNUMBER(SEARCH(UPPER(TRIM(rPatron)),UPPER(TRIM(D698))))
)
)
),
rConcepto,
"&amp;"""""
)
)
)&lt;&gt;""""
),
1
),
""""
)"),"TRANSPORTE")</f>
        <v>TRANSPORTE</v>
      </c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</row>
    <row r="699">
      <c r="A699" s="28">
        <v>1.0</v>
      </c>
      <c r="B699" s="28" t="s">
        <v>29</v>
      </c>
      <c r="C699" s="29" t="s">
        <v>271</v>
      </c>
      <c r="D699" s="29" t="s">
        <v>589</v>
      </c>
      <c r="E699" s="28">
        <v>626.93</v>
      </c>
      <c r="F699" s="28">
        <v>0.0</v>
      </c>
      <c r="G699" s="28" t="s">
        <v>84</v>
      </c>
      <c r="H699" s="28">
        <f t="array" ref="H699">INDEX(CC!C:C,MATCH(1,(CC!A:A=G699)*(CC!B:B=I699),0))</f>
        <v>1002</v>
      </c>
      <c r="I699" s="28" t="s">
        <v>25</v>
      </c>
      <c r="J699" s="31">
        <v>626.93</v>
      </c>
      <c r="K699" s="28" t="str">
        <f>IFERROR(__xludf.DUMMYFUNCTION("IFERROR(
INDEX(
FILTER(
MAP(
reglas!$B$2:$B$240,
reglas!$C$2:$C$240,
reglas!$D$2:$D$240,
reglas!$E$2:$E$240,
LAMBDA(rEmisor,rPatron,rConcepto,rTipo,
IF(
AND(
OR(
UPPER(TRIM(rEmisor))=UPPER(TRIM(C699)),
UPPER(TRIM(rEmisor))=""CUALQUIERA""
),
OR(
UPPER(TRIM"&amp;"(rTipo))=""SOLO EMISOR"",
AND(
UPPER(TRIM(rTipo))=""EXACTA"",
UPPER(TRIM(AG699))=UPPER(TRIM(rPatron))
),
AND(
OR(
UPPER(TRIM(rTipo))=""CONTIENE"",
UPPER(TRIM(rTipo))=""COINCIDENCIA""
),
ISNUMBER(SEARCH(UPPER(TRIM(rPatron)),UPPER(TRIM(D699))))
)
)
),
rConc"&amp;"epto,
""""
)
)
),
MAP(
reglas!$B$2:$B$240,
reglas!$C$2:$C$240,
reglas!$D$2:$D$240,
reglas!$E$2:$E$240,
LAMBDA(rEmisor,rPatron,rConcepto,rTipo,
IF(
AND(
OR(
UPPER(TRIM(rEmisor))=UPPER(TRIM(C699)),
UPPER(TRIM(rEmisor))=""CUALQUIERA""
),
OR(
UPPER(TRIM(rTipo"&amp;"))=""SOLO EMISOR"",
AND(
UPPER(TRIM(rTipo))=""EXACTA"",
UPPER(TRIM(D699))=UPPER(TRIM(rPatron))
),
AND(
OR(
UPPER(TRIM(rTipo))=""CONTIENE"",
UPPER(TRIM(rTipo))=""COINCIDENCIA""
),
ISNUMBER(SEARCH(UPPER(TRIM(rPatron)),UPPER(TRIM(D699))))
)
)
),
rConcepto,
"&amp;"""""
)
)
)&lt;&gt;""""
),
1
),
""""
)"),"MANIOBRAS")</f>
        <v>MANIOBRAS</v>
      </c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</row>
    <row r="700">
      <c r="A700" s="32"/>
      <c r="B700" s="28" t="s">
        <v>29</v>
      </c>
      <c r="C700" s="29" t="s">
        <v>276</v>
      </c>
      <c r="D700" s="29" t="s">
        <v>1619</v>
      </c>
      <c r="E700" s="28">
        <v>950.0</v>
      </c>
      <c r="F700" s="28">
        <v>0.0</v>
      </c>
      <c r="G700" s="28" t="s">
        <v>74</v>
      </c>
      <c r="H700" s="28">
        <f t="array" ref="H700">INDEX(CC!C:C,MATCH(1,(CC!A:A=G700)*(CC!B:B=I700),0))</f>
        <v>1503</v>
      </c>
      <c r="I700" s="28" t="s">
        <v>44</v>
      </c>
      <c r="J700" s="31">
        <v>950.0</v>
      </c>
      <c r="K700" s="28" t="str">
        <f>IFERROR(__xludf.DUMMYFUNCTION("IFERROR(
INDEX(
FILTER(
MAP(
reglas!$B$2:$B$240,
reglas!$C$2:$C$240,
reglas!$D$2:$D$240,
reglas!$E$2:$E$240,
LAMBDA(rEmisor,rPatron,rConcepto,rTipo,
IF(
AND(
OR(
UPPER(TRIM(rEmisor))=UPPER(TRIM(C700)),
UPPER(TRIM(rEmisor))=""CUALQUIERA""
),
OR(
UPPER(TRIM"&amp;"(rTipo))=""SOLO EMISOR"",
AND(
UPPER(TRIM(rTipo))=""EXACTA"",
UPPER(TRIM(AG700))=UPPER(TRIM(rPatron))
),
AND(
OR(
UPPER(TRIM(rTipo))=""CONTIENE"",
UPPER(TRIM(rTipo))=""COINCIDENCIA""
),
ISNUMBER(SEARCH(UPPER(TRIM(rPatron)),UPPER(TRIM(D700))))
)
)
),
rConc"&amp;"epto,
""""
)
)
),
MAP(
reglas!$B$2:$B$240,
reglas!$C$2:$C$240,
reglas!$D$2:$D$240,
reglas!$E$2:$E$240,
LAMBDA(rEmisor,rPatron,rConcepto,rTipo,
IF(
AND(
OR(
UPPER(TRIM(rEmisor))=UPPER(TRIM(C700)),
UPPER(TRIM(rEmisor))=""CUALQUIERA""
),
OR(
UPPER(TRIM(rTipo"&amp;"))=""SOLO EMISOR"",
AND(
UPPER(TRIM(rTipo))=""EXACTA"",
UPPER(TRIM(D700))=UPPER(TRIM(rPatron))
),
AND(
OR(
UPPER(TRIM(rTipo))=""CONTIENE"",
UPPER(TRIM(rTipo))=""COINCIDENCIA""
),
ISNUMBER(SEARCH(UPPER(TRIM(rPatron)),UPPER(TRIM(D700))))
)
)
),
rConcepto,
"&amp;"""""
)
)
)&lt;&gt;""""
),
1
),
""""
)"),"MANIOBRAS")</f>
        <v>MANIOBRAS</v>
      </c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</row>
    <row r="701">
      <c r="A701" s="28">
        <v>1.0</v>
      </c>
      <c r="B701" s="28" t="s">
        <v>29</v>
      </c>
      <c r="C701" s="29" t="s">
        <v>271</v>
      </c>
      <c r="D701" s="29" t="s">
        <v>585</v>
      </c>
      <c r="E701" s="28">
        <v>626.59</v>
      </c>
      <c r="F701" s="28">
        <v>0.0</v>
      </c>
      <c r="G701" s="28" t="s">
        <v>84</v>
      </c>
      <c r="H701" s="28">
        <f t="array" ref="H701">INDEX(CC!C:C,MATCH(1,(CC!A:A=G701)*(CC!B:B=I701),0))</f>
        <v>1002</v>
      </c>
      <c r="I701" s="28" t="s">
        <v>25</v>
      </c>
      <c r="J701" s="31">
        <v>626.59</v>
      </c>
      <c r="K701" s="28" t="str">
        <f>IFERROR(__xludf.DUMMYFUNCTION("IFERROR(
INDEX(
FILTER(
MAP(
reglas!$B$2:$B$240,
reglas!$C$2:$C$240,
reglas!$D$2:$D$240,
reglas!$E$2:$E$240,
LAMBDA(rEmisor,rPatron,rConcepto,rTipo,
IF(
AND(
OR(
UPPER(TRIM(rEmisor))=UPPER(TRIM(C701)),
UPPER(TRIM(rEmisor))=""CUALQUIERA""
),
OR(
UPPER(TRIM"&amp;"(rTipo))=""SOLO EMISOR"",
AND(
UPPER(TRIM(rTipo))=""EXACTA"",
UPPER(TRIM(AG701))=UPPER(TRIM(rPatron))
),
AND(
OR(
UPPER(TRIM(rTipo))=""CONTIENE"",
UPPER(TRIM(rTipo))=""COINCIDENCIA""
),
ISNUMBER(SEARCH(UPPER(TRIM(rPatron)),UPPER(TRIM(D701))))
)
)
),
rConc"&amp;"epto,
""""
)
)
),
MAP(
reglas!$B$2:$B$240,
reglas!$C$2:$C$240,
reglas!$D$2:$D$240,
reglas!$E$2:$E$240,
LAMBDA(rEmisor,rPatron,rConcepto,rTipo,
IF(
AND(
OR(
UPPER(TRIM(rEmisor))=UPPER(TRIM(C701)),
UPPER(TRIM(rEmisor))=""CUALQUIERA""
),
OR(
UPPER(TRIM(rTipo"&amp;"))=""SOLO EMISOR"",
AND(
UPPER(TRIM(rTipo))=""EXACTA"",
UPPER(TRIM(D701))=UPPER(TRIM(rPatron))
),
AND(
OR(
UPPER(TRIM(rTipo))=""CONTIENE"",
UPPER(TRIM(rTipo))=""COINCIDENCIA""
),
ISNUMBER(SEARCH(UPPER(TRIM(rPatron)),UPPER(TRIM(D701))))
)
)
),
rConcepto,
"&amp;"""""
)
)
)&lt;&gt;""""
),
1
),
""""
)"),"MANIOBRAS")</f>
        <v>MANIOBRAS</v>
      </c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</row>
    <row r="702">
      <c r="A702" s="32"/>
      <c r="B702" s="32"/>
      <c r="C702" s="29" t="s">
        <v>271</v>
      </c>
      <c r="D702" s="29" t="s">
        <v>587</v>
      </c>
      <c r="E702" s="28">
        <v>573.29</v>
      </c>
      <c r="F702" s="28">
        <v>0.0</v>
      </c>
      <c r="G702" s="28" t="s">
        <v>84</v>
      </c>
      <c r="H702" s="28">
        <f t="array" ref="H702">INDEX(CC!C:C,MATCH(1,(CC!A:A=G702)*(CC!B:B=I702),0))</f>
        <v>1002</v>
      </c>
      <c r="I702" s="28" t="s">
        <v>25</v>
      </c>
      <c r="J702" s="31">
        <v>573.29</v>
      </c>
      <c r="K702" s="28" t="str">
        <f>IFERROR(__xludf.DUMMYFUNCTION("IFERROR(
INDEX(
FILTER(
MAP(
reglas!$B$2:$B$240,
reglas!$C$2:$C$240,
reglas!$D$2:$D$240,
reglas!$E$2:$E$240,
LAMBDA(rEmisor,rPatron,rConcepto,rTipo,
IF(
AND(
OR(
UPPER(TRIM(rEmisor))=UPPER(TRIM(C702)),
UPPER(TRIM(rEmisor))=""CUALQUIERA""
),
OR(
UPPER(TRIM"&amp;"(rTipo))=""SOLO EMISOR"",
AND(
UPPER(TRIM(rTipo))=""EXACTA"",
UPPER(TRIM(AG702))=UPPER(TRIM(rPatron))
),
AND(
OR(
UPPER(TRIM(rTipo))=""CONTIENE"",
UPPER(TRIM(rTipo))=""COINCIDENCIA""
),
ISNUMBER(SEARCH(UPPER(TRIM(rPatron)),UPPER(TRIM(D702))))
)
)
),
rConc"&amp;"epto,
""""
)
)
),
MAP(
reglas!$B$2:$B$240,
reglas!$C$2:$C$240,
reglas!$D$2:$D$240,
reglas!$E$2:$E$240,
LAMBDA(rEmisor,rPatron,rConcepto,rTipo,
IF(
AND(
OR(
UPPER(TRIM(rEmisor))=UPPER(TRIM(C702)),
UPPER(TRIM(rEmisor))=""CUALQUIERA""
),
OR(
UPPER(TRIM(rTipo"&amp;"))=""SOLO EMISOR"",
AND(
UPPER(TRIM(rTipo))=""EXACTA"",
UPPER(TRIM(D702))=UPPER(TRIM(rPatron))
),
AND(
OR(
UPPER(TRIM(rTipo))=""CONTIENE"",
UPPER(TRIM(rTipo))=""COINCIDENCIA""
),
ISNUMBER(SEARCH(UPPER(TRIM(rPatron)),UPPER(TRIM(D702))))
)
)
),
rConcepto,
"&amp;"""""
)
)
)&lt;&gt;""""
),
1
),
""""
)"),"MANIOBRAS")</f>
        <v>MANIOBRAS</v>
      </c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</row>
    <row r="703">
      <c r="A703" s="32"/>
      <c r="B703" s="32"/>
      <c r="C703" s="29" t="s">
        <v>271</v>
      </c>
      <c r="D703" s="29" t="s">
        <v>589</v>
      </c>
      <c r="E703" s="28">
        <v>626.93</v>
      </c>
      <c r="F703" s="28">
        <v>0.0</v>
      </c>
      <c r="G703" s="28" t="s">
        <v>84</v>
      </c>
      <c r="H703" s="28">
        <f t="array" ref="H703">INDEX(CC!C:C,MATCH(1,(CC!A:A=G703)*(CC!B:B=I703),0))</f>
        <v>1002</v>
      </c>
      <c r="I703" s="28" t="s">
        <v>25</v>
      </c>
      <c r="J703" s="31">
        <v>626.93</v>
      </c>
      <c r="K703" s="28" t="str">
        <f>IFERROR(__xludf.DUMMYFUNCTION("IFERROR(
INDEX(
FILTER(
MAP(
reglas!$B$2:$B$240,
reglas!$C$2:$C$240,
reglas!$D$2:$D$240,
reglas!$E$2:$E$240,
LAMBDA(rEmisor,rPatron,rConcepto,rTipo,
IF(
AND(
OR(
UPPER(TRIM(rEmisor))=UPPER(TRIM(C703)),
UPPER(TRIM(rEmisor))=""CUALQUIERA""
),
OR(
UPPER(TRIM"&amp;"(rTipo))=""SOLO EMISOR"",
AND(
UPPER(TRIM(rTipo))=""EXACTA"",
UPPER(TRIM(AG703))=UPPER(TRIM(rPatron))
),
AND(
OR(
UPPER(TRIM(rTipo))=""CONTIENE"",
UPPER(TRIM(rTipo))=""COINCIDENCIA""
),
ISNUMBER(SEARCH(UPPER(TRIM(rPatron)),UPPER(TRIM(D703))))
)
)
),
rConc"&amp;"epto,
""""
)
)
),
MAP(
reglas!$B$2:$B$240,
reglas!$C$2:$C$240,
reglas!$D$2:$D$240,
reglas!$E$2:$E$240,
LAMBDA(rEmisor,rPatron,rConcepto,rTipo,
IF(
AND(
OR(
UPPER(TRIM(rEmisor))=UPPER(TRIM(C703)),
UPPER(TRIM(rEmisor))=""CUALQUIERA""
),
OR(
UPPER(TRIM(rTipo"&amp;"))=""SOLO EMISOR"",
AND(
UPPER(TRIM(rTipo))=""EXACTA"",
UPPER(TRIM(D703))=UPPER(TRIM(rPatron))
),
AND(
OR(
UPPER(TRIM(rTipo))=""CONTIENE"",
UPPER(TRIM(rTipo))=""COINCIDENCIA""
),
ISNUMBER(SEARCH(UPPER(TRIM(rPatron)),UPPER(TRIM(D703))))
)
)
),
rConcepto,
"&amp;"""""
)
)
)&lt;&gt;""""
),
1
),
""""
)"),"MANIOBRAS")</f>
        <v>MANIOBRAS</v>
      </c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</row>
    <row r="704">
      <c r="A704" s="32"/>
      <c r="B704" s="32"/>
      <c r="C704" s="29" t="s">
        <v>271</v>
      </c>
      <c r="D704" s="29" t="s">
        <v>596</v>
      </c>
      <c r="E704" s="28">
        <v>657.78</v>
      </c>
      <c r="F704" s="28">
        <v>0.0</v>
      </c>
      <c r="G704" s="28" t="s">
        <v>84</v>
      </c>
      <c r="H704" s="28">
        <f t="array" ref="H704">INDEX(CC!C:C,MATCH(1,(CC!A:A=G704)*(CC!B:B=I704),0))</f>
        <v>1002</v>
      </c>
      <c r="I704" s="28" t="s">
        <v>25</v>
      </c>
      <c r="J704" s="31">
        <v>657.78</v>
      </c>
      <c r="K704" s="28" t="str">
        <f>IFERROR(__xludf.DUMMYFUNCTION("IFERROR(
INDEX(
FILTER(
MAP(
reglas!$B$2:$B$240,
reglas!$C$2:$C$240,
reglas!$D$2:$D$240,
reglas!$E$2:$E$240,
LAMBDA(rEmisor,rPatron,rConcepto,rTipo,
IF(
AND(
OR(
UPPER(TRIM(rEmisor))=UPPER(TRIM(C704)),
UPPER(TRIM(rEmisor))=""CUALQUIERA""
),
OR(
UPPER(TRIM"&amp;"(rTipo))=""SOLO EMISOR"",
AND(
UPPER(TRIM(rTipo))=""EXACTA"",
UPPER(TRIM(AG704))=UPPER(TRIM(rPatron))
),
AND(
OR(
UPPER(TRIM(rTipo))=""CONTIENE"",
UPPER(TRIM(rTipo))=""COINCIDENCIA""
),
ISNUMBER(SEARCH(UPPER(TRIM(rPatron)),UPPER(TRIM(D704))))
)
)
),
rConc"&amp;"epto,
""""
)
)
),
MAP(
reglas!$B$2:$B$240,
reglas!$C$2:$C$240,
reglas!$D$2:$D$240,
reglas!$E$2:$E$240,
LAMBDA(rEmisor,rPatron,rConcepto,rTipo,
IF(
AND(
OR(
UPPER(TRIM(rEmisor))=UPPER(TRIM(C704)),
UPPER(TRIM(rEmisor))=""CUALQUIERA""
),
OR(
UPPER(TRIM(rTipo"&amp;"))=""SOLO EMISOR"",
AND(
UPPER(TRIM(rTipo))=""EXACTA"",
UPPER(TRIM(D704))=UPPER(TRIM(rPatron))
),
AND(
OR(
UPPER(TRIM(rTipo))=""CONTIENE"",
UPPER(TRIM(rTipo))=""COINCIDENCIA""
),
ISNUMBER(SEARCH(UPPER(TRIM(rPatron)),UPPER(TRIM(D704))))
)
)
),
rConcepto,
"&amp;"""""
)
)
)&lt;&gt;""""
),
1
),
""""
)"),"MANIOBRAS")</f>
        <v>MANIOBRAS</v>
      </c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</row>
    <row r="705">
      <c r="A705" s="32"/>
      <c r="B705" s="28" t="s">
        <v>29</v>
      </c>
      <c r="C705" s="29" t="s">
        <v>248</v>
      </c>
      <c r="D705" s="29" t="s">
        <v>1692</v>
      </c>
      <c r="E705" s="28">
        <v>215.52</v>
      </c>
      <c r="F705" s="28">
        <v>0.0</v>
      </c>
      <c r="G705" s="28" t="s">
        <v>74</v>
      </c>
      <c r="H705" s="28">
        <f t="array" ref="H705">INDEX(CC!C:C,MATCH(1,(CC!A:A=G705)*(CC!B:B=I705),0))</f>
        <v>1502</v>
      </c>
      <c r="I705" s="28" t="s">
        <v>25</v>
      </c>
      <c r="J705" s="31">
        <v>215.52</v>
      </c>
      <c r="K705" s="28" t="str">
        <f>IFERROR(__xludf.DUMMYFUNCTION("IFERROR(
INDEX(
FILTER(
MAP(
reglas!$B$2:$B$240,
reglas!$C$2:$C$240,
reglas!$D$2:$D$240,
reglas!$E$2:$E$240,
LAMBDA(rEmisor,rPatron,rConcepto,rTipo,
IF(
AND(
OR(
UPPER(TRIM(rEmisor))=UPPER(TRIM(C705)),
UPPER(TRIM(rEmisor))=""CUALQUIERA""
),
OR(
UPPER(TRIM"&amp;"(rTipo))=""SOLO EMISOR"",
AND(
UPPER(TRIM(rTipo))=""EXACTA"",
UPPER(TRIM(AG705))=UPPER(TRIM(rPatron))
),
AND(
OR(
UPPER(TRIM(rTipo))=""CONTIENE"",
UPPER(TRIM(rTipo))=""COINCIDENCIA""
),
ISNUMBER(SEARCH(UPPER(TRIM(rPatron)),UPPER(TRIM(D705))))
)
)
),
rConc"&amp;"epto,
""""
)
)
),
MAP(
reglas!$B$2:$B$240,
reglas!$C$2:$C$240,
reglas!$D$2:$D$240,
reglas!$E$2:$E$240,
LAMBDA(rEmisor,rPatron,rConcepto,rTipo,
IF(
AND(
OR(
UPPER(TRIM(rEmisor))=UPPER(TRIM(C705)),
UPPER(TRIM(rEmisor))=""CUALQUIERA""
),
OR(
UPPER(TRIM(rTipo"&amp;"))=""SOLO EMISOR"",
AND(
UPPER(TRIM(rTipo))=""EXACTA"",
UPPER(TRIM(D705))=UPPER(TRIM(rPatron))
),
AND(
OR(
UPPER(TRIM(rTipo))=""CONTIENE"",
UPPER(TRIM(rTipo))=""COINCIDENCIA""
),
ISNUMBER(SEARCH(UPPER(TRIM(rPatron)),UPPER(TRIM(D705))))
)
)
),
rConcepto,
"&amp;"""""
)
)
)&lt;&gt;""""
),
1
),
""""
)"),"SANITARIOS")</f>
        <v>SANITARIOS</v>
      </c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</row>
    <row r="706">
      <c r="A706" s="32"/>
      <c r="B706" s="28" t="s">
        <v>29</v>
      </c>
      <c r="C706" s="29" t="s">
        <v>172</v>
      </c>
      <c r="D706" s="29" t="s">
        <v>1710</v>
      </c>
      <c r="E706" s="28">
        <v>11500.0</v>
      </c>
      <c r="F706" s="28">
        <v>0.0</v>
      </c>
      <c r="G706" s="28" t="s">
        <v>250</v>
      </c>
      <c r="H706" s="28">
        <f t="array" ref="H706">INDEX(CC!C:C,MATCH(1,(CC!A:A=G706)*(CC!B:B=I706),0))</f>
        <v>1402</v>
      </c>
      <c r="I706" s="28" t="s">
        <v>25</v>
      </c>
      <c r="J706" s="31">
        <v>11500.0</v>
      </c>
      <c r="K706" s="28" t="str">
        <f>IFERROR(__xludf.DUMMYFUNCTION("IFERROR(
INDEX(
FILTER(
MAP(
reglas!$B$2:$B$240,
reglas!$C$2:$C$240,
reglas!$D$2:$D$240,
reglas!$E$2:$E$240,
LAMBDA(rEmisor,rPatron,rConcepto,rTipo,
IF(
AND(
OR(
UPPER(TRIM(rEmisor))=UPPER(TRIM(C706)),
UPPER(TRIM(rEmisor))=""CUALQUIERA""
),
OR(
UPPER(TRIM"&amp;"(rTipo))=""SOLO EMISOR"",
AND(
UPPER(TRIM(rTipo))=""EXACTA"",
UPPER(TRIM(AG706))=UPPER(TRIM(rPatron))
),
AND(
OR(
UPPER(TRIM(rTipo))=""CONTIENE"",
UPPER(TRIM(rTipo))=""COINCIDENCIA""
),
ISNUMBER(SEARCH(UPPER(TRIM(rPatron)),UPPER(TRIM(D706))))
)
)
),
rConc"&amp;"epto,
""""
)
)
),
MAP(
reglas!$B$2:$B$240,
reglas!$C$2:$C$240,
reglas!$D$2:$D$240,
reglas!$E$2:$E$240,
LAMBDA(rEmisor,rPatron,rConcepto,rTipo,
IF(
AND(
OR(
UPPER(TRIM(rEmisor))=UPPER(TRIM(C706)),
UPPER(TRIM(rEmisor))=""CUALQUIERA""
),
OR(
UPPER(TRIM(rTipo"&amp;"))=""SOLO EMISOR"",
AND(
UPPER(TRIM(rTipo))=""EXACTA"",
UPPER(TRIM(D706))=UPPER(TRIM(rPatron))
),
AND(
OR(
UPPER(TRIM(rTipo))=""CONTIENE"",
UPPER(TRIM(rTipo))=""COINCIDENCIA""
),
ISNUMBER(SEARCH(UPPER(TRIM(rPatron)),UPPER(TRIM(D706))))
)
)
),
rConcepto,
"&amp;"""""
)
)
)&lt;&gt;""""
),
1
),
""""
)"),"TRANSPORTE")</f>
        <v>TRANSPORTE</v>
      </c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</row>
    <row r="707">
      <c r="A707" s="32"/>
      <c r="B707" s="28" t="s">
        <v>29</v>
      </c>
      <c r="C707" s="29" t="s">
        <v>172</v>
      </c>
      <c r="D707" s="29" t="s">
        <v>1711</v>
      </c>
      <c r="E707" s="28">
        <v>11500.0</v>
      </c>
      <c r="F707" s="28">
        <v>0.0</v>
      </c>
      <c r="G707" s="28" t="s">
        <v>250</v>
      </c>
      <c r="H707" s="28">
        <f t="array" ref="H707">INDEX(CC!C:C,MATCH(1,(CC!A:A=G707)*(CC!B:B=I707),0))</f>
        <v>1402</v>
      </c>
      <c r="I707" s="28" t="s">
        <v>25</v>
      </c>
      <c r="J707" s="31">
        <v>11500.0</v>
      </c>
      <c r="K707" s="28" t="str">
        <f>IFERROR(__xludf.DUMMYFUNCTION("IFERROR(
INDEX(
FILTER(
MAP(
reglas!$B$2:$B$240,
reglas!$C$2:$C$240,
reglas!$D$2:$D$240,
reglas!$E$2:$E$240,
LAMBDA(rEmisor,rPatron,rConcepto,rTipo,
IF(
AND(
OR(
UPPER(TRIM(rEmisor))=UPPER(TRIM(C707)),
UPPER(TRIM(rEmisor))=""CUALQUIERA""
),
OR(
UPPER(TRIM"&amp;"(rTipo))=""SOLO EMISOR"",
AND(
UPPER(TRIM(rTipo))=""EXACTA"",
UPPER(TRIM(AG707))=UPPER(TRIM(rPatron))
),
AND(
OR(
UPPER(TRIM(rTipo))=""CONTIENE"",
UPPER(TRIM(rTipo))=""COINCIDENCIA""
),
ISNUMBER(SEARCH(UPPER(TRIM(rPatron)),UPPER(TRIM(D707))))
)
)
),
rConc"&amp;"epto,
""""
)
)
),
MAP(
reglas!$B$2:$B$240,
reglas!$C$2:$C$240,
reglas!$D$2:$D$240,
reglas!$E$2:$E$240,
LAMBDA(rEmisor,rPatron,rConcepto,rTipo,
IF(
AND(
OR(
UPPER(TRIM(rEmisor))=UPPER(TRIM(C707)),
UPPER(TRIM(rEmisor))=""CUALQUIERA""
),
OR(
UPPER(TRIM(rTipo"&amp;"))=""SOLO EMISOR"",
AND(
UPPER(TRIM(rTipo))=""EXACTA"",
UPPER(TRIM(D707))=UPPER(TRIM(rPatron))
),
AND(
OR(
UPPER(TRIM(rTipo))=""CONTIENE"",
UPPER(TRIM(rTipo))=""COINCIDENCIA""
),
ISNUMBER(SEARCH(UPPER(TRIM(rPatron)),UPPER(TRIM(D707))))
)
)
),
rConcepto,
"&amp;"""""
)
)
)&lt;&gt;""""
),
1
),
""""
)"),"TRANSPORTE")</f>
        <v>TRANSPORTE</v>
      </c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</row>
    <row r="708">
      <c r="A708" s="32"/>
      <c r="B708" s="28" t="s">
        <v>29</v>
      </c>
      <c r="C708" s="29" t="s">
        <v>172</v>
      </c>
      <c r="D708" s="29" t="s">
        <v>1711</v>
      </c>
      <c r="E708" s="28">
        <v>11500.0</v>
      </c>
      <c r="F708" s="28">
        <v>0.0</v>
      </c>
      <c r="G708" s="28" t="s">
        <v>250</v>
      </c>
      <c r="H708" s="28">
        <f t="array" ref="H708">INDEX(CC!C:C,MATCH(1,(CC!A:A=G708)*(CC!B:B=I708),0))</f>
        <v>1402</v>
      </c>
      <c r="I708" s="28" t="s">
        <v>25</v>
      </c>
      <c r="J708" s="31">
        <v>11500.0</v>
      </c>
      <c r="K708" s="28" t="str">
        <f>IFERROR(__xludf.DUMMYFUNCTION("IFERROR(
INDEX(
FILTER(
MAP(
reglas!$B$2:$B$240,
reglas!$C$2:$C$240,
reglas!$D$2:$D$240,
reglas!$E$2:$E$240,
LAMBDA(rEmisor,rPatron,rConcepto,rTipo,
IF(
AND(
OR(
UPPER(TRIM(rEmisor))=UPPER(TRIM(C708)),
UPPER(TRIM(rEmisor))=""CUALQUIERA""
),
OR(
UPPER(TRIM"&amp;"(rTipo))=""SOLO EMISOR"",
AND(
UPPER(TRIM(rTipo))=""EXACTA"",
UPPER(TRIM(AG708))=UPPER(TRIM(rPatron))
),
AND(
OR(
UPPER(TRIM(rTipo))=""CONTIENE"",
UPPER(TRIM(rTipo))=""COINCIDENCIA""
),
ISNUMBER(SEARCH(UPPER(TRIM(rPatron)),UPPER(TRIM(D708))))
)
)
),
rConc"&amp;"epto,
""""
)
)
),
MAP(
reglas!$B$2:$B$240,
reglas!$C$2:$C$240,
reglas!$D$2:$D$240,
reglas!$E$2:$E$240,
LAMBDA(rEmisor,rPatron,rConcepto,rTipo,
IF(
AND(
OR(
UPPER(TRIM(rEmisor))=UPPER(TRIM(C708)),
UPPER(TRIM(rEmisor))=""CUALQUIERA""
),
OR(
UPPER(TRIM(rTipo"&amp;"))=""SOLO EMISOR"",
AND(
UPPER(TRIM(rTipo))=""EXACTA"",
UPPER(TRIM(D708))=UPPER(TRIM(rPatron))
),
AND(
OR(
UPPER(TRIM(rTipo))=""CONTIENE"",
UPPER(TRIM(rTipo))=""COINCIDENCIA""
),
ISNUMBER(SEARCH(UPPER(TRIM(rPatron)),UPPER(TRIM(D708))))
)
)
),
rConcepto,
"&amp;"""""
)
)
)&lt;&gt;""""
),
1
),
""""
)"),"TRANSPORTE")</f>
        <v>TRANSPORTE</v>
      </c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</row>
    <row r="709">
      <c r="A709" s="32"/>
      <c r="B709" s="28" t="s">
        <v>29</v>
      </c>
      <c r="C709" s="29" t="s">
        <v>278</v>
      </c>
      <c r="D709" s="29" t="s">
        <v>560</v>
      </c>
      <c r="E709" s="28">
        <v>3500.0</v>
      </c>
      <c r="F709" s="28">
        <v>0.0</v>
      </c>
      <c r="G709" s="28" t="s">
        <v>250</v>
      </c>
      <c r="H709" s="28">
        <f t="array" ref="H709">INDEX(CC!C:C,MATCH(1,(CC!A:A=G709)*(CC!B:B=I709),0))</f>
        <v>1402</v>
      </c>
      <c r="I709" s="28" t="s">
        <v>25</v>
      </c>
      <c r="J709" s="31">
        <v>3500.0</v>
      </c>
      <c r="K709" s="28" t="str">
        <f>IFERROR(__xludf.DUMMYFUNCTION("IFERROR(
INDEX(
FILTER(
MAP(
reglas!$B$2:$B$240,
reglas!$C$2:$C$240,
reglas!$D$2:$D$240,
reglas!$E$2:$E$240,
LAMBDA(rEmisor,rPatron,rConcepto,rTipo,
IF(
AND(
OR(
UPPER(TRIM(rEmisor))=UPPER(TRIM(C709)),
UPPER(TRIM(rEmisor))=""CUALQUIERA""
),
OR(
UPPER(TRIM"&amp;"(rTipo))=""SOLO EMISOR"",
AND(
UPPER(TRIM(rTipo))=""EXACTA"",
UPPER(TRIM(AG709))=UPPER(TRIM(rPatron))
),
AND(
OR(
UPPER(TRIM(rTipo))=""CONTIENE"",
UPPER(TRIM(rTipo))=""COINCIDENCIA""
),
ISNUMBER(SEARCH(UPPER(TRIM(rPatron)),UPPER(TRIM(D709))))
)
)
),
rConc"&amp;"epto,
""""
)
)
),
MAP(
reglas!$B$2:$B$240,
reglas!$C$2:$C$240,
reglas!$D$2:$D$240,
reglas!$E$2:$E$240,
LAMBDA(rEmisor,rPatron,rConcepto,rTipo,
IF(
AND(
OR(
UPPER(TRIM(rEmisor))=UPPER(TRIM(C709)),
UPPER(TRIM(rEmisor))=""CUALQUIERA""
),
OR(
UPPER(TRIM(rTipo"&amp;"))=""SOLO EMISOR"",
AND(
UPPER(TRIM(rTipo))=""EXACTA"",
UPPER(TRIM(D709))=UPPER(TRIM(rPatron))
),
AND(
OR(
UPPER(TRIM(rTipo))=""CONTIENE"",
UPPER(TRIM(rTipo))=""COINCIDENCIA""
),
ISNUMBER(SEARCH(UPPER(TRIM(rPatron)),UPPER(TRIM(D709))))
)
)
),
rConcepto,
"&amp;"""""
)
)
)&lt;&gt;""""
),
1
),
""""
)"),"MANIOBRAS")</f>
        <v>MANIOBRAS</v>
      </c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</row>
    <row r="710">
      <c r="A710" s="32"/>
      <c r="B710" s="28" t="s">
        <v>29</v>
      </c>
      <c r="C710" s="29" t="s">
        <v>169</v>
      </c>
      <c r="D710" s="29" t="s">
        <v>1712</v>
      </c>
      <c r="E710" s="28">
        <v>425.0</v>
      </c>
      <c r="F710" s="28">
        <v>0.0</v>
      </c>
      <c r="G710" s="28" t="s">
        <v>250</v>
      </c>
      <c r="H710" s="28">
        <f t="array" ref="H710">INDEX(CC!C:C,MATCH(1,(CC!A:A=G710)*(CC!B:B=I710),0))</f>
        <v>1402</v>
      </c>
      <c r="I710" s="28" t="s">
        <v>25</v>
      </c>
      <c r="J710" s="31">
        <v>425.0</v>
      </c>
      <c r="K710" s="28" t="str">
        <f>IFERROR(__xludf.DUMMYFUNCTION("IFERROR(
INDEX(
FILTER(
MAP(
reglas!$B$2:$B$240,
reglas!$C$2:$C$240,
reglas!$D$2:$D$240,
reglas!$E$2:$E$240,
LAMBDA(rEmisor,rPatron,rConcepto,rTipo,
IF(
AND(
OR(
UPPER(TRIM(rEmisor))=UPPER(TRIM(C710)),
UPPER(TRIM(rEmisor))=""CUALQUIERA""
),
OR(
UPPER(TRIM"&amp;"(rTipo))=""SOLO EMISOR"",
AND(
UPPER(TRIM(rTipo))=""EXACTA"",
UPPER(TRIM(AG710))=UPPER(TRIM(rPatron))
),
AND(
OR(
UPPER(TRIM(rTipo))=""CONTIENE"",
UPPER(TRIM(rTipo))=""COINCIDENCIA""
),
ISNUMBER(SEARCH(UPPER(TRIM(rPatron)),UPPER(TRIM(D710))))
)
)
),
rConc"&amp;"epto,
""""
)
)
),
MAP(
reglas!$B$2:$B$240,
reglas!$C$2:$C$240,
reglas!$D$2:$D$240,
reglas!$E$2:$E$240,
LAMBDA(rEmisor,rPatron,rConcepto,rTipo,
IF(
AND(
OR(
UPPER(TRIM(rEmisor))=UPPER(TRIM(C710)),
UPPER(TRIM(rEmisor))=""CUALQUIERA""
),
OR(
UPPER(TRIM(rTipo"&amp;"))=""SOLO EMISOR"",
AND(
UPPER(TRIM(rTipo))=""EXACTA"",
UPPER(TRIM(D710))=UPPER(TRIM(rPatron))
),
AND(
OR(
UPPER(TRIM(rTipo))=""CONTIENE"",
UPPER(TRIM(rTipo))=""COINCIDENCIA""
),
ISNUMBER(SEARCH(UPPER(TRIM(rPatron)),UPPER(TRIM(D710))))
)
)
),
rConcepto,
"&amp;"""""
)
)
)&lt;&gt;""""
),
1
),
""""
)"),"PATIO REGULADOR")</f>
        <v>PATIO REGULADOR</v>
      </c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</row>
    <row r="711">
      <c r="A711" s="32"/>
      <c r="B711" s="28" t="s">
        <v>29</v>
      </c>
      <c r="C711" s="29" t="s">
        <v>331</v>
      </c>
      <c r="D711" s="29" t="s">
        <v>33</v>
      </c>
      <c r="E711" s="28">
        <v>0.01</v>
      </c>
      <c r="F711" s="28">
        <v>0.0</v>
      </c>
      <c r="G711" s="28" t="s">
        <v>385</v>
      </c>
      <c r="H711" s="28">
        <f t="array" ref="H711">INDEX(CC!C:C,MATCH(1,(CC!A:A=G711)*(CC!B:B=I711),0))</f>
        <v>502</v>
      </c>
      <c r="I711" s="28" t="s">
        <v>25</v>
      </c>
      <c r="J711" s="31">
        <v>0.01</v>
      </c>
      <c r="K711" s="28" t="str">
        <f>IFERROR(__xludf.DUMMYFUNCTION("IFERROR(
INDEX(
FILTER(
MAP(
reglas!$B$2:$B$240,
reglas!$C$2:$C$240,
reglas!$D$2:$D$240,
reglas!$E$2:$E$240,
LAMBDA(rEmisor,rPatron,rConcepto,rTipo,
IF(
AND(
OR(
UPPER(TRIM(rEmisor))=UPPER(TRIM(C711)),
UPPER(TRIM(rEmisor))=""CUALQUIERA""
),
OR(
UPPER(TRIM"&amp;"(rTipo))=""SOLO EMISOR"",
AND(
UPPER(TRIM(rTipo))=""EXACTA"",
UPPER(TRIM(AG711))=UPPER(TRIM(rPatron))
),
AND(
OR(
UPPER(TRIM(rTipo))=""CONTIENE"",
UPPER(TRIM(rTipo))=""COINCIDENCIA""
),
ISNUMBER(SEARCH(UPPER(TRIM(rPatron)),UPPER(TRIM(D711))))
)
)
),
rConc"&amp;"epto,
""""
)
)
),
MAP(
reglas!$B$2:$B$240,
reglas!$C$2:$C$240,
reglas!$D$2:$D$240,
reglas!$E$2:$E$240,
LAMBDA(rEmisor,rPatron,rConcepto,rTipo,
IF(
AND(
OR(
UPPER(TRIM(rEmisor))=UPPER(TRIM(C711)),
UPPER(TRIM(rEmisor))=""CUALQUIERA""
),
OR(
UPPER(TRIM(rTipo"&amp;"))=""SOLO EMISOR"",
AND(
UPPER(TRIM(rTipo))=""EXACTA"",
UPPER(TRIM(D711))=UPPER(TRIM(rPatron))
),
AND(
OR(
UPPER(TRIM(rTipo))=""CONTIENE"",
UPPER(TRIM(rTipo))=""COINCIDENCIA""
),
ISNUMBER(SEARCH(UPPER(TRIM(rPatron)),UPPER(TRIM(D711))))
)
)
),
rConcepto,
"&amp;"""""
)
)
)&lt;&gt;""""
),
1
),
""""
)"),"N/A")</f>
        <v>N/A</v>
      </c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</row>
    <row r="712">
      <c r="A712" s="32"/>
      <c r="B712" s="28" t="s">
        <v>29</v>
      </c>
      <c r="C712" s="29" t="s">
        <v>172</v>
      </c>
      <c r="D712" s="29" t="s">
        <v>1713</v>
      </c>
      <c r="E712" s="28">
        <v>11500.0</v>
      </c>
      <c r="F712" s="28">
        <v>0.0</v>
      </c>
      <c r="G712" s="28" t="s">
        <v>250</v>
      </c>
      <c r="H712" s="28">
        <f t="array" ref="H712">INDEX(CC!C:C,MATCH(1,(CC!A:A=G712)*(CC!B:B=I712),0))</f>
        <v>1402</v>
      </c>
      <c r="I712" s="28" t="s">
        <v>25</v>
      </c>
      <c r="J712" s="31">
        <v>11500.0</v>
      </c>
      <c r="K712" s="28" t="str">
        <f>IFERROR(__xludf.DUMMYFUNCTION("IFERROR(
INDEX(
FILTER(
MAP(
reglas!$B$2:$B$240,
reglas!$C$2:$C$240,
reglas!$D$2:$D$240,
reglas!$E$2:$E$240,
LAMBDA(rEmisor,rPatron,rConcepto,rTipo,
IF(
AND(
OR(
UPPER(TRIM(rEmisor))=UPPER(TRIM(C712)),
UPPER(TRIM(rEmisor))=""CUALQUIERA""
),
OR(
UPPER(TRIM"&amp;"(rTipo))=""SOLO EMISOR"",
AND(
UPPER(TRIM(rTipo))=""EXACTA"",
UPPER(TRIM(AG712))=UPPER(TRIM(rPatron))
),
AND(
OR(
UPPER(TRIM(rTipo))=""CONTIENE"",
UPPER(TRIM(rTipo))=""COINCIDENCIA""
),
ISNUMBER(SEARCH(UPPER(TRIM(rPatron)),UPPER(TRIM(D712))))
)
)
),
rConc"&amp;"epto,
""""
)
)
),
MAP(
reglas!$B$2:$B$240,
reglas!$C$2:$C$240,
reglas!$D$2:$D$240,
reglas!$E$2:$E$240,
LAMBDA(rEmisor,rPatron,rConcepto,rTipo,
IF(
AND(
OR(
UPPER(TRIM(rEmisor))=UPPER(TRIM(C712)),
UPPER(TRIM(rEmisor))=""CUALQUIERA""
),
OR(
UPPER(TRIM(rTipo"&amp;"))=""SOLO EMISOR"",
AND(
UPPER(TRIM(rTipo))=""EXACTA"",
UPPER(TRIM(D712))=UPPER(TRIM(rPatron))
),
AND(
OR(
UPPER(TRIM(rTipo))=""CONTIENE"",
UPPER(TRIM(rTipo))=""COINCIDENCIA""
),
ISNUMBER(SEARCH(UPPER(TRIM(rPatron)),UPPER(TRIM(D712))))
)
)
),
rConcepto,
"&amp;"""""
)
)
)&lt;&gt;""""
),
1
),
""""
)"),"TRANSPORTE")</f>
        <v>TRANSPORTE</v>
      </c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</row>
    <row r="713">
      <c r="A713" s="32"/>
      <c r="B713" s="28" t="s">
        <v>29</v>
      </c>
      <c r="C713" s="29" t="s">
        <v>419</v>
      </c>
      <c r="D713" s="29" t="s">
        <v>420</v>
      </c>
      <c r="E713" s="28">
        <v>55389.89</v>
      </c>
      <c r="F713" s="28">
        <v>0.0</v>
      </c>
      <c r="G713" s="28" t="s">
        <v>225</v>
      </c>
      <c r="H713" s="28">
        <f t="array" ref="H713">INDEX(CC!C:C,MATCH(1,(CC!A:A=G713)*(CC!B:B=I713),0))</f>
        <v>102</v>
      </c>
      <c r="I713" s="28" t="s">
        <v>25</v>
      </c>
      <c r="J713" s="5"/>
      <c r="K713" s="28" t="str">
        <f>IFERROR(__xludf.DUMMYFUNCTION("IFERROR(
INDEX(
FILTER(
MAP(
reglas!$B$2:$B$240,
reglas!$C$2:$C$240,
reglas!$D$2:$D$240,
reglas!$E$2:$E$240,
LAMBDA(rEmisor,rPatron,rConcepto,rTipo,
IF(
AND(
OR(
UPPER(TRIM(rEmisor))=UPPER(TRIM(C713)),
UPPER(TRIM(rEmisor))=""CUALQUIERA""
),
OR(
UPPER(TRIM"&amp;"(rTipo))=""SOLO EMISOR"",
AND(
UPPER(TRIM(rTipo))=""EXACTA"",
UPPER(TRIM(AG713))=UPPER(TRIM(rPatron))
),
AND(
OR(
UPPER(TRIM(rTipo))=""CONTIENE"",
UPPER(TRIM(rTipo))=""COINCIDENCIA""
),
ISNUMBER(SEARCH(UPPER(TRIM(rPatron)),UPPER(TRIM(D713))))
)
)
),
rConc"&amp;"epto,
""""
)
)
),
MAP(
reglas!$B$2:$B$240,
reglas!$C$2:$C$240,
reglas!$D$2:$D$240,
reglas!$E$2:$E$240,
LAMBDA(rEmisor,rPatron,rConcepto,rTipo,
IF(
AND(
OR(
UPPER(TRIM(rEmisor))=UPPER(TRIM(C713)),
UPPER(TRIM(rEmisor))=""CUALQUIERA""
),
OR(
UPPER(TRIM(rTipo"&amp;"))=""SOLO EMISOR"",
AND(
UPPER(TRIM(rTipo))=""EXACTA"",
UPPER(TRIM(D713))=UPPER(TRIM(rPatron))
),
AND(
OR(
UPPER(TRIM(rTipo))=""CONTIENE"",
UPPER(TRIM(rTipo))=""COINCIDENCIA""
),
ISNUMBER(SEARCH(UPPER(TRIM(rPatron)),UPPER(TRIM(D713))))
)
)
),
rConcepto,
"&amp;"""""
)
)
)&lt;&gt;""""
),
1
),
""""
)"),"N/A")</f>
        <v>N/A</v>
      </c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</row>
    <row r="714">
      <c r="A714" s="32"/>
      <c r="B714" s="28" t="s">
        <v>29</v>
      </c>
      <c r="C714" s="29" t="s">
        <v>140</v>
      </c>
      <c r="D714" s="29" t="s">
        <v>1714</v>
      </c>
      <c r="E714" s="28">
        <v>8875.0</v>
      </c>
      <c r="F714" s="28">
        <v>0.0</v>
      </c>
      <c r="G714" s="28" t="s">
        <v>601</v>
      </c>
      <c r="H714" s="28">
        <f t="array" ref="H714">INDEX(CC!C:C,MATCH(1,(CC!A:A=G714)*(CC!B:B=I714),0))</f>
        <v>402</v>
      </c>
      <c r="I714" s="28" t="s">
        <v>25</v>
      </c>
      <c r="J714" s="95">
        <v>4437.5</v>
      </c>
      <c r="K714" s="28" t="str">
        <f>IFERROR(__xludf.DUMMYFUNCTION("IFERROR(
INDEX(
FILTER(
MAP(
reglas!$B$2:$B$240,
reglas!$C$2:$C$240,
reglas!$D$2:$D$240,
reglas!$E$2:$E$240,
LAMBDA(rEmisor,rPatron,rConcepto,rTipo,
IF(
AND(
OR(
UPPER(TRIM(rEmisor))=UPPER(TRIM(C714)),
UPPER(TRIM(rEmisor))=""CUALQUIERA""
),
OR(
UPPER(TRIM"&amp;"(rTipo))=""SOLO EMISOR"",
AND(
UPPER(TRIM(rTipo))=""EXACTA"",
UPPER(TRIM(AG714))=UPPER(TRIM(rPatron))
),
AND(
OR(
UPPER(TRIM(rTipo))=""CONTIENE"",
UPPER(TRIM(rTipo))=""COINCIDENCIA""
),
ISNUMBER(SEARCH(UPPER(TRIM(rPatron)),UPPER(TRIM(D714))))
)
)
),
rConc"&amp;"epto,
""""
)
)
),
MAP(
reglas!$B$2:$B$240,
reglas!$C$2:$C$240,
reglas!$D$2:$D$240,
reglas!$E$2:$E$240,
LAMBDA(rEmisor,rPatron,rConcepto,rTipo,
IF(
AND(
OR(
UPPER(TRIM(rEmisor))=UPPER(TRIM(C714)),
UPPER(TRIM(rEmisor))=""CUALQUIERA""
),
OR(
UPPER(TRIM(rTipo"&amp;"))=""SOLO EMISOR"",
AND(
UPPER(TRIM(rTipo))=""EXACTA"",
UPPER(TRIM(D714))=UPPER(TRIM(rPatron))
),
AND(
OR(
UPPER(TRIM(rTipo))=""CONTIENE"",
UPPER(TRIM(rTipo))=""COINCIDENCIA""
),
ISNUMBER(SEARCH(UPPER(TRIM(rPatron)),UPPER(TRIM(D714))))
)
)
),
rConcepto,
"&amp;"""""
)
)
)&lt;&gt;""""
),
1
),
""""
)"),"SELLOS FISCALES")</f>
        <v>SELLOS FISCALES</v>
      </c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</row>
    <row r="715">
      <c r="A715" s="32"/>
      <c r="B715" s="32"/>
      <c r="C715" s="29" t="s">
        <v>140</v>
      </c>
      <c r="D715" s="29" t="s">
        <v>144</v>
      </c>
      <c r="E715" s="28">
        <v>800.0</v>
      </c>
      <c r="F715" s="28">
        <v>0.0</v>
      </c>
      <c r="G715" s="28" t="s">
        <v>601</v>
      </c>
      <c r="H715" s="28">
        <f t="array" ref="H715">INDEX(CC!C:C,MATCH(1,(CC!A:A=G715)*(CC!B:B=I715),0))</f>
        <v>402</v>
      </c>
      <c r="I715" s="28" t="s">
        <v>25</v>
      </c>
      <c r="J715" s="95">
        <v>400.0</v>
      </c>
      <c r="K715" s="28" t="str">
        <f>IFERROR(__xludf.DUMMYFUNCTION("IFERROR(
INDEX(
FILTER(
MAP(
reglas!$B$2:$B$240,
reglas!$C$2:$C$240,
reglas!$D$2:$D$240,
reglas!$E$2:$E$240,
LAMBDA(rEmisor,rPatron,rConcepto,rTipo,
IF(
AND(
OR(
UPPER(TRIM(rEmisor))=UPPER(TRIM(C715)),
UPPER(TRIM(rEmisor))=""CUALQUIERA""
),
OR(
UPPER(TRIM"&amp;"(rTipo))=""SOLO EMISOR"",
AND(
UPPER(TRIM(rTipo))=""EXACTA"",
UPPER(TRIM(AG715))=UPPER(TRIM(rPatron))
),
AND(
OR(
UPPER(TRIM(rTipo))=""CONTIENE"",
UPPER(TRIM(rTipo))=""COINCIDENCIA""
),
ISNUMBER(SEARCH(UPPER(TRIM(rPatron)),UPPER(TRIM(D715))))
)
)
),
rConc"&amp;"epto,
""""
)
)
),
MAP(
reglas!$B$2:$B$240,
reglas!$C$2:$C$240,
reglas!$D$2:$D$240,
reglas!$E$2:$E$240,
LAMBDA(rEmisor,rPatron,rConcepto,rTipo,
IF(
AND(
OR(
UPPER(TRIM(rEmisor))=UPPER(TRIM(C715)),
UPPER(TRIM(rEmisor))=""CUALQUIERA""
),
OR(
UPPER(TRIM(rTipo"&amp;"))=""SOLO EMISOR"",
AND(
UPPER(TRIM(rTipo))=""EXACTA"",
UPPER(TRIM(D715))=UPPER(TRIM(rPatron))
),
AND(
OR(
UPPER(TRIM(rTipo))=""CONTIENE"",
UPPER(TRIM(rTipo))=""COINCIDENCIA""
),
ISNUMBER(SEARCH(UPPER(TRIM(rPatron)),UPPER(TRIM(D715))))
)
)
),
rConcepto,
"&amp;"""""
)
)
)&lt;&gt;""""
),
1
),
""""
)"),"OTROS GASTOS")</f>
        <v>OTROS GASTOS</v>
      </c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</row>
    <row r="716">
      <c r="A716" s="32"/>
      <c r="B716" s="32"/>
      <c r="C716" s="29" t="s">
        <v>140</v>
      </c>
      <c r="D716" s="29" t="s">
        <v>1714</v>
      </c>
      <c r="E716" s="32"/>
      <c r="F716" s="32"/>
      <c r="G716" s="28" t="s">
        <v>1649</v>
      </c>
      <c r="H716" s="28">
        <f t="array" ref="H716">INDEX(CC!C:C,MATCH(1,(CC!A:A=G716)*(CC!B:B=I716),0))</f>
        <v>1902</v>
      </c>
      <c r="I716" s="28" t="s">
        <v>25</v>
      </c>
      <c r="J716" s="95">
        <v>4437.5</v>
      </c>
      <c r="K716" s="28" t="str">
        <f>IFERROR(__xludf.DUMMYFUNCTION("IFERROR(
INDEX(
FILTER(
MAP(
reglas!$B$2:$B$240,
reglas!$C$2:$C$240,
reglas!$D$2:$D$240,
reglas!$E$2:$E$240,
LAMBDA(rEmisor,rPatron,rConcepto,rTipo,
IF(
AND(
OR(
UPPER(TRIM(rEmisor))=UPPER(TRIM(C716)),
UPPER(TRIM(rEmisor))=""CUALQUIERA""
),
OR(
UPPER(TRIM"&amp;"(rTipo))=""SOLO EMISOR"",
AND(
UPPER(TRIM(rTipo))=""EXACTA"",
UPPER(TRIM(AG716))=UPPER(TRIM(rPatron))
),
AND(
OR(
UPPER(TRIM(rTipo))=""CONTIENE"",
UPPER(TRIM(rTipo))=""COINCIDENCIA""
),
ISNUMBER(SEARCH(UPPER(TRIM(rPatron)),UPPER(TRIM(D716))))
)
)
),
rConc"&amp;"epto,
""""
)
)
),
MAP(
reglas!$B$2:$B$240,
reglas!$C$2:$C$240,
reglas!$D$2:$D$240,
reglas!$E$2:$E$240,
LAMBDA(rEmisor,rPatron,rConcepto,rTipo,
IF(
AND(
OR(
UPPER(TRIM(rEmisor))=UPPER(TRIM(C716)),
UPPER(TRIM(rEmisor))=""CUALQUIERA""
),
OR(
UPPER(TRIM(rTipo"&amp;"))=""SOLO EMISOR"",
AND(
UPPER(TRIM(rTipo))=""EXACTA"",
UPPER(TRIM(D716))=UPPER(TRIM(rPatron))
),
AND(
OR(
UPPER(TRIM(rTipo))=""CONTIENE"",
UPPER(TRIM(rTipo))=""COINCIDENCIA""
),
ISNUMBER(SEARCH(UPPER(TRIM(rPatron)),UPPER(TRIM(D716))))
)
)
),
rConcepto,
"&amp;"""""
)
)
)&lt;&gt;""""
),
1
),
""""
)"),"SELLOS FISCALES")</f>
        <v>SELLOS FISCALES</v>
      </c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</row>
    <row r="717">
      <c r="A717" s="32"/>
      <c r="B717" s="32"/>
      <c r="C717" s="29" t="s">
        <v>140</v>
      </c>
      <c r="D717" s="29" t="s">
        <v>144</v>
      </c>
      <c r="E717" s="32"/>
      <c r="F717" s="32"/>
      <c r="G717" s="28" t="s">
        <v>1649</v>
      </c>
      <c r="H717" s="28">
        <f t="array" ref="H717">INDEX(CC!C:C,MATCH(1,(CC!A:A=G717)*(CC!B:B=I717),0))</f>
        <v>1902</v>
      </c>
      <c r="I717" s="28" t="s">
        <v>25</v>
      </c>
      <c r="J717" s="95">
        <v>400.0</v>
      </c>
      <c r="K717" s="28" t="str">
        <f>IFERROR(__xludf.DUMMYFUNCTION("IFERROR(
INDEX(
FILTER(
MAP(
reglas!$B$2:$B$240,
reglas!$C$2:$C$240,
reglas!$D$2:$D$240,
reglas!$E$2:$E$240,
LAMBDA(rEmisor,rPatron,rConcepto,rTipo,
IF(
AND(
OR(
UPPER(TRIM(rEmisor))=UPPER(TRIM(C717)),
UPPER(TRIM(rEmisor))=""CUALQUIERA""
),
OR(
UPPER(TRIM"&amp;"(rTipo))=""SOLO EMISOR"",
AND(
UPPER(TRIM(rTipo))=""EXACTA"",
UPPER(TRIM(AG717))=UPPER(TRIM(rPatron))
),
AND(
OR(
UPPER(TRIM(rTipo))=""CONTIENE"",
UPPER(TRIM(rTipo))=""COINCIDENCIA""
),
ISNUMBER(SEARCH(UPPER(TRIM(rPatron)),UPPER(TRIM(D717))))
)
)
),
rConc"&amp;"epto,
""""
)
)
),
MAP(
reglas!$B$2:$B$240,
reglas!$C$2:$C$240,
reglas!$D$2:$D$240,
reglas!$E$2:$E$240,
LAMBDA(rEmisor,rPatron,rConcepto,rTipo,
IF(
AND(
OR(
UPPER(TRIM(rEmisor))=UPPER(TRIM(C717)),
UPPER(TRIM(rEmisor))=""CUALQUIERA""
),
OR(
UPPER(TRIM(rTipo"&amp;"))=""SOLO EMISOR"",
AND(
UPPER(TRIM(rTipo))=""EXACTA"",
UPPER(TRIM(D717))=UPPER(TRIM(rPatron))
),
AND(
OR(
UPPER(TRIM(rTipo))=""CONTIENE"",
UPPER(TRIM(rTipo))=""COINCIDENCIA""
),
ISNUMBER(SEARCH(UPPER(TRIM(rPatron)),UPPER(TRIM(D717))))
)
)
),
rConcepto,
"&amp;"""""
)
)
)&lt;&gt;""""
),
1
),
""""
)"),"OTROS GASTOS")</f>
        <v>OTROS GASTOS</v>
      </c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</row>
    <row r="718">
      <c r="A718" s="32"/>
      <c r="B718" s="28" t="s">
        <v>29</v>
      </c>
      <c r="C718" s="29" t="s">
        <v>278</v>
      </c>
      <c r="D718" s="29" t="s">
        <v>560</v>
      </c>
      <c r="E718" s="28">
        <v>3500.0</v>
      </c>
      <c r="F718" s="28">
        <v>0.0</v>
      </c>
      <c r="G718" s="28" t="s">
        <v>250</v>
      </c>
      <c r="H718" s="28">
        <f t="array" ref="H718">INDEX(CC!C:C,MATCH(1,(CC!A:A=G718)*(CC!B:B=I718),0))</f>
        <v>1402</v>
      </c>
      <c r="I718" s="28" t="s">
        <v>25</v>
      </c>
      <c r="J718" s="96">
        <v>3500.0</v>
      </c>
      <c r="K718" s="28" t="str">
        <f>IFERROR(__xludf.DUMMYFUNCTION("IFERROR(
INDEX(
FILTER(
MAP(
reglas!$B$2:$B$240,
reglas!$C$2:$C$240,
reglas!$D$2:$D$240,
reglas!$E$2:$E$240,
LAMBDA(rEmisor,rPatron,rConcepto,rTipo,
IF(
AND(
OR(
UPPER(TRIM(rEmisor))=UPPER(TRIM(C718)),
UPPER(TRIM(rEmisor))=""CUALQUIERA""
),
OR(
UPPER(TRIM"&amp;"(rTipo))=""SOLO EMISOR"",
AND(
UPPER(TRIM(rTipo))=""EXACTA"",
UPPER(TRIM(AG718))=UPPER(TRIM(rPatron))
),
AND(
OR(
UPPER(TRIM(rTipo))=""CONTIENE"",
UPPER(TRIM(rTipo))=""COINCIDENCIA""
),
ISNUMBER(SEARCH(UPPER(TRIM(rPatron)),UPPER(TRIM(D718))))
)
)
),
rConc"&amp;"epto,
""""
)
)
),
MAP(
reglas!$B$2:$B$240,
reglas!$C$2:$C$240,
reglas!$D$2:$D$240,
reglas!$E$2:$E$240,
LAMBDA(rEmisor,rPatron,rConcepto,rTipo,
IF(
AND(
OR(
UPPER(TRIM(rEmisor))=UPPER(TRIM(C718)),
UPPER(TRIM(rEmisor))=""CUALQUIERA""
),
OR(
UPPER(TRIM(rTipo"&amp;"))=""SOLO EMISOR"",
AND(
UPPER(TRIM(rTipo))=""EXACTA"",
UPPER(TRIM(D718))=UPPER(TRIM(rPatron))
),
AND(
OR(
UPPER(TRIM(rTipo))=""CONTIENE"",
UPPER(TRIM(rTipo))=""COINCIDENCIA""
),
ISNUMBER(SEARCH(UPPER(TRIM(rPatron)),UPPER(TRIM(D718))))
)
)
),
rConcepto,
"&amp;"""""
)
)
)&lt;&gt;""""
),
1
),
""""
)"),"MANIOBRAS")</f>
        <v>MANIOBRAS</v>
      </c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</row>
    <row r="719">
      <c r="A719" s="32"/>
      <c r="B719" s="28" t="s">
        <v>29</v>
      </c>
      <c r="C719" s="29" t="s">
        <v>172</v>
      </c>
      <c r="D719" s="29" t="s">
        <v>1713</v>
      </c>
      <c r="E719" s="28">
        <v>11500.0</v>
      </c>
      <c r="F719" s="28">
        <v>0.0</v>
      </c>
      <c r="G719" s="28" t="s">
        <v>250</v>
      </c>
      <c r="H719" s="28">
        <f t="array" ref="H719">INDEX(CC!C:C,MATCH(1,(CC!A:A=G719)*(CC!B:B=I719),0))</f>
        <v>1402</v>
      </c>
      <c r="I719" s="28" t="s">
        <v>25</v>
      </c>
      <c r="J719" s="28">
        <v>11500.0</v>
      </c>
      <c r="K719" s="28" t="str">
        <f>IFERROR(__xludf.DUMMYFUNCTION("IFERROR(
INDEX(
FILTER(
MAP(
reglas!$B$2:$B$240,
reglas!$C$2:$C$240,
reglas!$D$2:$D$240,
reglas!$E$2:$E$240,
LAMBDA(rEmisor,rPatron,rConcepto,rTipo,
IF(
AND(
OR(
UPPER(TRIM(rEmisor))=UPPER(TRIM(C719)),
UPPER(TRIM(rEmisor))=""CUALQUIERA""
),
OR(
UPPER(TRIM"&amp;"(rTipo))=""SOLO EMISOR"",
AND(
UPPER(TRIM(rTipo))=""EXACTA"",
UPPER(TRIM(AG719))=UPPER(TRIM(rPatron))
),
AND(
OR(
UPPER(TRIM(rTipo))=""CONTIENE"",
UPPER(TRIM(rTipo))=""COINCIDENCIA""
),
ISNUMBER(SEARCH(UPPER(TRIM(rPatron)),UPPER(TRIM(D719))))
)
)
),
rConc"&amp;"epto,
""""
)
)
),
MAP(
reglas!$B$2:$B$240,
reglas!$C$2:$C$240,
reglas!$D$2:$D$240,
reglas!$E$2:$E$240,
LAMBDA(rEmisor,rPatron,rConcepto,rTipo,
IF(
AND(
OR(
UPPER(TRIM(rEmisor))=UPPER(TRIM(C719)),
UPPER(TRIM(rEmisor))=""CUALQUIERA""
),
OR(
UPPER(TRIM(rTipo"&amp;"))=""SOLO EMISOR"",
AND(
UPPER(TRIM(rTipo))=""EXACTA"",
UPPER(TRIM(D719))=UPPER(TRIM(rPatron))
),
AND(
OR(
UPPER(TRIM(rTipo))=""CONTIENE"",
UPPER(TRIM(rTipo))=""COINCIDENCIA""
),
ISNUMBER(SEARCH(UPPER(TRIM(rPatron)),UPPER(TRIM(D719))))
)
)
),
rConcepto,
"&amp;"""""
)
)
)&lt;&gt;""""
),
1
),
""""
)"),"TRANSPORTE")</f>
        <v>TRANSPORTE</v>
      </c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</row>
    <row r="720">
      <c r="A720" s="28">
        <v>1.0</v>
      </c>
      <c r="B720" s="28" t="s">
        <v>29</v>
      </c>
      <c r="C720" s="29" t="s">
        <v>437</v>
      </c>
      <c r="D720" s="29" t="s">
        <v>1715</v>
      </c>
      <c r="E720" s="28">
        <v>3421.84</v>
      </c>
      <c r="F720" s="28">
        <v>0.0</v>
      </c>
      <c r="G720" s="28" t="s">
        <v>250</v>
      </c>
      <c r="H720" s="28">
        <f t="array" ref="H720">INDEX(CC!C:C,MATCH(1,(CC!A:A=G720)*(CC!B:B=I720),0))</f>
        <v>1402</v>
      </c>
      <c r="I720" s="28" t="s">
        <v>25</v>
      </c>
      <c r="J720" s="28">
        <v>3421.84</v>
      </c>
      <c r="K720" s="28" t="str">
        <f>IFERROR(__xludf.DUMMYFUNCTION("IFERROR(
INDEX(
FILTER(
MAP(
reglas!$B$2:$B$240,
reglas!$C$2:$C$240,
reglas!$D$2:$D$240,
reglas!$E$2:$E$240,
LAMBDA(rEmisor,rPatron,rConcepto,rTipo,
IF(
AND(
OR(
UPPER(TRIM(rEmisor))=UPPER(TRIM(C720)),
UPPER(TRIM(rEmisor))=""CUALQUIERA""
),
OR(
UPPER(TRIM"&amp;"(rTipo))=""SOLO EMISOR"",
AND(
UPPER(TRIM(rTipo))=""EXACTA"",
UPPER(TRIM(AG720))=UPPER(TRIM(rPatron))
),
AND(
OR(
UPPER(TRIM(rTipo))=""CONTIENE"",
UPPER(TRIM(rTipo))=""COINCIDENCIA""
),
ISNUMBER(SEARCH(UPPER(TRIM(rPatron)),UPPER(TRIM(D720))))
)
)
),
rConc"&amp;"epto,
""""
)
)
),
MAP(
reglas!$B$2:$B$240,
reglas!$C$2:$C$240,
reglas!$D$2:$D$240,
reglas!$E$2:$E$240,
LAMBDA(rEmisor,rPatron,rConcepto,rTipo,
IF(
AND(
OR(
UPPER(TRIM(rEmisor))=UPPER(TRIM(C720)),
UPPER(TRIM(rEmisor))=""CUALQUIERA""
),
OR(
UPPER(TRIM(rTipo"&amp;"))=""SOLO EMISOR"",
AND(
UPPER(TRIM(rTipo))=""EXACTA"",
UPPER(TRIM(D720))=UPPER(TRIM(rPatron))
),
AND(
OR(
UPPER(TRIM(rTipo))=""CONTIENE"",
UPPER(TRIM(rTipo))=""COINCIDENCIA""
),
ISNUMBER(SEARCH(UPPER(TRIM(rPatron)),UPPER(TRIM(D720))))
)
)
),
rConcepto,
"&amp;"""""
)
)
)&lt;&gt;""""
),
1
),
""""
)"),"MANIOBRAS")</f>
        <v>MANIOBRAS</v>
      </c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</row>
    <row r="721">
      <c r="A721" s="32"/>
      <c r="B721" s="28" t="s">
        <v>29</v>
      </c>
      <c r="C721" s="29" t="s">
        <v>172</v>
      </c>
      <c r="D721" s="29" t="s">
        <v>1713</v>
      </c>
      <c r="E721" s="28">
        <v>11500.0</v>
      </c>
      <c r="F721" s="28">
        <v>0.0</v>
      </c>
      <c r="G721" s="28" t="s">
        <v>250</v>
      </c>
      <c r="H721" s="28">
        <f t="array" ref="H721">INDEX(CC!C:C,MATCH(1,(CC!A:A=G721)*(CC!B:B=I721),0))</f>
        <v>1402</v>
      </c>
      <c r="I721" s="28" t="s">
        <v>25</v>
      </c>
      <c r="J721" s="28">
        <v>11500.0</v>
      </c>
      <c r="K721" s="28" t="str">
        <f>IFERROR(__xludf.DUMMYFUNCTION("IFERROR(
INDEX(
FILTER(
MAP(
reglas!$B$2:$B$240,
reglas!$C$2:$C$240,
reglas!$D$2:$D$240,
reglas!$E$2:$E$240,
LAMBDA(rEmisor,rPatron,rConcepto,rTipo,
IF(
AND(
OR(
UPPER(TRIM(rEmisor))=UPPER(TRIM(C721)),
UPPER(TRIM(rEmisor))=""CUALQUIERA""
),
OR(
UPPER(TRIM"&amp;"(rTipo))=""SOLO EMISOR"",
AND(
UPPER(TRIM(rTipo))=""EXACTA"",
UPPER(TRIM(AG721))=UPPER(TRIM(rPatron))
),
AND(
OR(
UPPER(TRIM(rTipo))=""CONTIENE"",
UPPER(TRIM(rTipo))=""COINCIDENCIA""
),
ISNUMBER(SEARCH(UPPER(TRIM(rPatron)),UPPER(TRIM(D721))))
)
)
),
rConc"&amp;"epto,
""""
)
)
),
MAP(
reglas!$B$2:$B$240,
reglas!$C$2:$C$240,
reglas!$D$2:$D$240,
reglas!$E$2:$E$240,
LAMBDA(rEmisor,rPatron,rConcepto,rTipo,
IF(
AND(
OR(
UPPER(TRIM(rEmisor))=UPPER(TRIM(C721)),
UPPER(TRIM(rEmisor))=""CUALQUIERA""
),
OR(
UPPER(TRIM(rTipo"&amp;"))=""SOLO EMISOR"",
AND(
UPPER(TRIM(rTipo))=""EXACTA"",
UPPER(TRIM(D721))=UPPER(TRIM(rPatron))
),
AND(
OR(
UPPER(TRIM(rTipo))=""CONTIENE"",
UPPER(TRIM(rTipo))=""COINCIDENCIA""
),
ISNUMBER(SEARCH(UPPER(TRIM(rPatron)),UPPER(TRIM(D721))))
)
)
),
rConcepto,
"&amp;"""""
)
)
)&lt;&gt;""""
),
1
),
""""
)"),"TRANSPORTE")</f>
        <v>TRANSPORTE</v>
      </c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</row>
    <row r="722">
      <c r="A722" s="32"/>
      <c r="B722" s="28" t="s">
        <v>29</v>
      </c>
      <c r="C722" s="29" t="s">
        <v>70</v>
      </c>
      <c r="D722" s="29" t="s">
        <v>1701</v>
      </c>
      <c r="E722" s="28">
        <v>2604.68</v>
      </c>
      <c r="F722" s="28">
        <v>0.0</v>
      </c>
      <c r="G722" s="28" t="s">
        <v>74</v>
      </c>
      <c r="H722" s="28">
        <f t="array" ref="H722">INDEX(CC!C:C,MATCH(1,(CC!A:A=G722)*(CC!B:B=I722),0))</f>
        <v>1503</v>
      </c>
      <c r="I722" s="28" t="s">
        <v>44</v>
      </c>
      <c r="J722" s="31">
        <v>2604.68</v>
      </c>
      <c r="K722" s="28" t="str">
        <f>IFERROR(__xludf.DUMMYFUNCTION("IFERROR(
INDEX(
FILTER(
MAP(
reglas!$B$2:$B$240,
reglas!$C$2:$C$240,
reglas!$D$2:$D$240,
reglas!$E$2:$E$240,
LAMBDA(rEmisor,rPatron,rConcepto,rTipo,
IF(
AND(
OR(
UPPER(TRIM(rEmisor))=UPPER(TRIM(C722)),
UPPER(TRIM(rEmisor))=""CUALQUIERA""
),
OR(
UPPER(TRIM"&amp;"(rTipo))=""SOLO EMISOR"",
AND(
UPPER(TRIM(rTipo))=""EXACTA"",
UPPER(TRIM(AG722))=UPPER(TRIM(rPatron))
),
AND(
OR(
UPPER(TRIM(rTipo))=""CONTIENE"",
UPPER(TRIM(rTipo))=""COINCIDENCIA""
),
ISNUMBER(SEARCH(UPPER(TRIM(rPatron)),UPPER(TRIM(D722))))
)
)
),
rConc"&amp;"epto,
""""
)
)
),
MAP(
reglas!$B$2:$B$240,
reglas!$C$2:$C$240,
reglas!$D$2:$D$240,
reglas!$E$2:$E$240,
LAMBDA(rEmisor,rPatron,rConcepto,rTipo,
IF(
AND(
OR(
UPPER(TRIM(rEmisor))=UPPER(TRIM(C722)),
UPPER(TRIM(rEmisor))=""CUALQUIERA""
),
OR(
UPPER(TRIM(rTipo"&amp;"))=""SOLO EMISOR"",
AND(
UPPER(TRIM(rTipo))=""EXACTA"",
UPPER(TRIM(D722))=UPPER(TRIM(rPatron))
),
AND(
OR(
UPPER(TRIM(rTipo))=""CONTIENE"",
UPPER(TRIM(rTipo))=""COINCIDENCIA""
),
ISNUMBER(SEARCH(UPPER(TRIM(rPatron)),UPPER(TRIM(D722))))
)
)
),
rConcepto,
"&amp;"""""
)
)
)&lt;&gt;""""
),
1
),
""""
)"),"MANIOBRAS")</f>
        <v>MANIOBRAS</v>
      </c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</row>
    <row r="723">
      <c r="A723" s="32"/>
      <c r="B723" s="32"/>
      <c r="C723" s="29" t="s">
        <v>70</v>
      </c>
      <c r="D723" s="29" t="s">
        <v>1716</v>
      </c>
      <c r="E723" s="28">
        <v>757.61</v>
      </c>
      <c r="F723" s="28">
        <v>0.0</v>
      </c>
      <c r="G723" s="28" t="s">
        <v>74</v>
      </c>
      <c r="H723" s="28">
        <f t="array" ref="H723">INDEX(CC!C:C,MATCH(1,(CC!A:A=G723)*(CC!B:B=I723),0))</f>
        <v>1503</v>
      </c>
      <c r="I723" s="28" t="s">
        <v>44</v>
      </c>
      <c r="J723" s="31">
        <v>757.61</v>
      </c>
      <c r="K723" s="28" t="str">
        <f>IFERROR(__xludf.DUMMYFUNCTION("IFERROR(
INDEX(
FILTER(
MAP(
reglas!$B$2:$B$240,
reglas!$C$2:$C$240,
reglas!$D$2:$D$240,
reglas!$E$2:$E$240,
LAMBDA(rEmisor,rPatron,rConcepto,rTipo,
IF(
AND(
OR(
UPPER(TRIM(rEmisor))=UPPER(TRIM(C723)),
UPPER(TRIM(rEmisor))=""CUALQUIERA""
),
OR(
UPPER(TRIM"&amp;"(rTipo))=""SOLO EMISOR"",
AND(
UPPER(TRIM(rTipo))=""EXACTA"",
UPPER(TRIM(AG723))=UPPER(TRIM(rPatron))
),
AND(
OR(
UPPER(TRIM(rTipo))=""CONTIENE"",
UPPER(TRIM(rTipo))=""COINCIDENCIA""
),
ISNUMBER(SEARCH(UPPER(TRIM(rPatron)),UPPER(TRIM(D723))))
)
)
),
rConc"&amp;"epto,
""""
)
)
),
MAP(
reglas!$B$2:$B$240,
reglas!$C$2:$C$240,
reglas!$D$2:$D$240,
reglas!$E$2:$E$240,
LAMBDA(rEmisor,rPatron,rConcepto,rTipo,
IF(
AND(
OR(
UPPER(TRIM(rEmisor))=UPPER(TRIM(C723)),
UPPER(TRIM(rEmisor))=""CUALQUIERA""
),
OR(
UPPER(TRIM(rTipo"&amp;"))=""SOLO EMISOR"",
AND(
UPPER(TRIM(rTipo))=""EXACTA"",
UPPER(TRIM(D723))=UPPER(TRIM(rPatron))
),
AND(
OR(
UPPER(TRIM(rTipo))=""CONTIENE"",
UPPER(TRIM(rTipo))=""COINCIDENCIA""
),
ISNUMBER(SEARCH(UPPER(TRIM(rPatron)),UPPER(TRIM(D723))))
)
)
),
rConcepto,
"&amp;"""""
)
)
)&lt;&gt;""""
),
1
),
""""
)"),"")</f>
        <v/>
      </c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</row>
    <row r="724">
      <c r="A724" s="32"/>
      <c r="B724" s="32"/>
      <c r="C724" s="29" t="s">
        <v>70</v>
      </c>
      <c r="D724" s="29" t="s">
        <v>1702</v>
      </c>
      <c r="E724" s="28">
        <v>711.73</v>
      </c>
      <c r="F724" s="28">
        <v>0.0</v>
      </c>
      <c r="G724" s="28" t="s">
        <v>74</v>
      </c>
      <c r="H724" s="28">
        <f t="array" ref="H724">INDEX(CC!C:C,MATCH(1,(CC!A:A=G724)*(CC!B:B=I724),0))</f>
        <v>1503</v>
      </c>
      <c r="I724" s="28" t="s">
        <v>44</v>
      </c>
      <c r="J724" s="31">
        <v>711.73</v>
      </c>
      <c r="K724" s="28" t="str">
        <f>IFERROR(__xludf.DUMMYFUNCTION("IFERROR(
INDEX(
FILTER(
MAP(
reglas!$B$2:$B$240,
reglas!$C$2:$C$240,
reglas!$D$2:$D$240,
reglas!$E$2:$E$240,
LAMBDA(rEmisor,rPatron,rConcepto,rTipo,
IF(
AND(
OR(
UPPER(TRIM(rEmisor))=UPPER(TRIM(C724)),
UPPER(TRIM(rEmisor))=""CUALQUIERA""
),
OR(
UPPER(TRIM"&amp;"(rTipo))=""SOLO EMISOR"",
AND(
UPPER(TRIM(rTipo))=""EXACTA"",
UPPER(TRIM(AG724))=UPPER(TRIM(rPatron))
),
AND(
OR(
UPPER(TRIM(rTipo))=""CONTIENE"",
UPPER(TRIM(rTipo))=""COINCIDENCIA""
),
ISNUMBER(SEARCH(UPPER(TRIM(rPatron)),UPPER(TRIM(D724))))
)
)
),
rConc"&amp;"epto,
""""
)
)
),
MAP(
reglas!$B$2:$B$240,
reglas!$C$2:$C$240,
reglas!$D$2:$D$240,
reglas!$E$2:$E$240,
LAMBDA(rEmisor,rPatron,rConcepto,rTipo,
IF(
AND(
OR(
UPPER(TRIM(rEmisor))=UPPER(TRIM(C724)),
UPPER(TRIM(rEmisor))=""CUALQUIERA""
),
OR(
UPPER(TRIM(rTipo"&amp;"))=""SOLO EMISOR"",
AND(
UPPER(TRIM(rTipo))=""EXACTA"",
UPPER(TRIM(D724))=UPPER(TRIM(rPatron))
),
AND(
OR(
UPPER(TRIM(rTipo))=""CONTIENE"",
UPPER(TRIM(rTipo))=""COINCIDENCIA""
),
ISNUMBER(SEARCH(UPPER(TRIM(rPatron)),UPPER(TRIM(D724))))
)
)
),
rConcepto,
"&amp;"""""
)
)
)&lt;&gt;""""
),
1
),
""""
)"),"MANIOBRAS")</f>
        <v>MANIOBRAS</v>
      </c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</row>
    <row r="725">
      <c r="A725" s="32"/>
      <c r="B725" s="32"/>
      <c r="C725" s="29" t="s">
        <v>70</v>
      </c>
      <c r="D725" s="29" t="s">
        <v>1705</v>
      </c>
      <c r="E725" s="28">
        <v>603.38</v>
      </c>
      <c r="F725" s="28">
        <v>0.0</v>
      </c>
      <c r="G725" s="28" t="s">
        <v>74</v>
      </c>
      <c r="H725" s="28">
        <f t="array" ref="H725">INDEX(CC!C:C,MATCH(1,(CC!A:A=G725)*(CC!B:B=I725),0))</f>
        <v>1503</v>
      </c>
      <c r="I725" s="28" t="s">
        <v>44</v>
      </c>
      <c r="J725" s="31">
        <v>603.38</v>
      </c>
      <c r="K725" s="28" t="str">
        <f>IFERROR(__xludf.DUMMYFUNCTION("IFERROR(
INDEX(
FILTER(
MAP(
reglas!$B$2:$B$240,
reglas!$C$2:$C$240,
reglas!$D$2:$D$240,
reglas!$E$2:$E$240,
LAMBDA(rEmisor,rPatron,rConcepto,rTipo,
IF(
AND(
OR(
UPPER(TRIM(rEmisor))=UPPER(TRIM(C725)),
UPPER(TRIM(rEmisor))=""CUALQUIERA""
),
OR(
UPPER(TRIM"&amp;"(rTipo))=""SOLO EMISOR"",
AND(
UPPER(TRIM(rTipo))=""EXACTA"",
UPPER(TRIM(AG725))=UPPER(TRIM(rPatron))
),
AND(
OR(
UPPER(TRIM(rTipo))=""CONTIENE"",
UPPER(TRIM(rTipo))=""COINCIDENCIA""
),
ISNUMBER(SEARCH(UPPER(TRIM(rPatron)),UPPER(TRIM(D725))))
)
)
),
rConc"&amp;"epto,
""""
)
)
),
MAP(
reglas!$B$2:$B$240,
reglas!$C$2:$C$240,
reglas!$D$2:$D$240,
reglas!$E$2:$E$240,
LAMBDA(rEmisor,rPatron,rConcepto,rTipo,
IF(
AND(
OR(
UPPER(TRIM(rEmisor))=UPPER(TRIM(C725)),
UPPER(TRIM(rEmisor))=""CUALQUIERA""
),
OR(
UPPER(TRIM(rTipo"&amp;"))=""SOLO EMISOR"",
AND(
UPPER(TRIM(rTipo))=""EXACTA"",
UPPER(TRIM(D725))=UPPER(TRIM(rPatron))
),
AND(
OR(
UPPER(TRIM(rTipo))=""CONTIENE"",
UPPER(TRIM(rTipo))=""COINCIDENCIA""
),
ISNUMBER(SEARCH(UPPER(TRIM(rPatron)),UPPER(TRIM(D725))))
)
)
),
rConcepto,
"&amp;"""""
)
)
)&lt;&gt;""""
),
1
),
""""
)"),"MANIOBRAS")</f>
        <v>MANIOBRAS</v>
      </c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</row>
    <row r="726">
      <c r="A726" s="32"/>
      <c r="B726" s="28" t="s">
        <v>29</v>
      </c>
      <c r="C726" s="29" t="s">
        <v>70</v>
      </c>
      <c r="D726" s="29" t="s">
        <v>1701</v>
      </c>
      <c r="E726" s="28">
        <v>3426.47</v>
      </c>
      <c r="F726" s="28">
        <v>0.0</v>
      </c>
      <c r="G726" s="28" t="s">
        <v>74</v>
      </c>
      <c r="H726" s="28">
        <f t="array" ref="H726">INDEX(CC!C:C,MATCH(1,(CC!A:A=G726)*(CC!B:B=I726),0))</f>
        <v>1503</v>
      </c>
      <c r="I726" s="28" t="s">
        <v>44</v>
      </c>
      <c r="J726" s="31">
        <v>3426.47</v>
      </c>
      <c r="K726" s="28" t="str">
        <f>IFERROR(__xludf.DUMMYFUNCTION("IFERROR(
INDEX(
FILTER(
MAP(
reglas!$B$2:$B$240,
reglas!$C$2:$C$240,
reglas!$D$2:$D$240,
reglas!$E$2:$E$240,
LAMBDA(rEmisor,rPatron,rConcepto,rTipo,
IF(
AND(
OR(
UPPER(TRIM(rEmisor))=UPPER(TRIM(C726)),
UPPER(TRIM(rEmisor))=""CUALQUIERA""
),
OR(
UPPER(TRIM"&amp;"(rTipo))=""SOLO EMISOR"",
AND(
UPPER(TRIM(rTipo))=""EXACTA"",
UPPER(TRIM(AG726))=UPPER(TRIM(rPatron))
),
AND(
OR(
UPPER(TRIM(rTipo))=""CONTIENE"",
UPPER(TRIM(rTipo))=""COINCIDENCIA""
),
ISNUMBER(SEARCH(UPPER(TRIM(rPatron)),UPPER(TRIM(D726))))
)
)
),
rConc"&amp;"epto,
""""
)
)
),
MAP(
reglas!$B$2:$B$240,
reglas!$C$2:$C$240,
reglas!$D$2:$D$240,
reglas!$E$2:$E$240,
LAMBDA(rEmisor,rPatron,rConcepto,rTipo,
IF(
AND(
OR(
UPPER(TRIM(rEmisor))=UPPER(TRIM(C726)),
UPPER(TRIM(rEmisor))=""CUALQUIERA""
),
OR(
UPPER(TRIM(rTipo"&amp;"))=""SOLO EMISOR"",
AND(
UPPER(TRIM(rTipo))=""EXACTA"",
UPPER(TRIM(D726))=UPPER(TRIM(rPatron))
),
AND(
OR(
UPPER(TRIM(rTipo))=""CONTIENE"",
UPPER(TRIM(rTipo))=""COINCIDENCIA""
),
ISNUMBER(SEARCH(UPPER(TRIM(rPatron)),UPPER(TRIM(D726))))
)
)
),
rConcepto,
"&amp;"""""
)
)
)&lt;&gt;""""
),
1
),
""""
)"),"MANIOBRAS")</f>
        <v>MANIOBRAS</v>
      </c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</row>
    <row r="727">
      <c r="A727" s="32"/>
      <c r="B727" s="32"/>
      <c r="C727" s="29" t="s">
        <v>70</v>
      </c>
      <c r="D727" s="29" t="s">
        <v>1716</v>
      </c>
      <c r="E727" s="28">
        <v>1303.17</v>
      </c>
      <c r="F727" s="28">
        <v>0.0</v>
      </c>
      <c r="G727" s="28" t="s">
        <v>74</v>
      </c>
      <c r="H727" s="28">
        <f t="array" ref="H727">INDEX(CC!C:C,MATCH(1,(CC!A:A=G727)*(CC!B:B=I727),0))</f>
        <v>1503</v>
      </c>
      <c r="I727" s="28" t="s">
        <v>44</v>
      </c>
      <c r="J727" s="31">
        <v>1303.17</v>
      </c>
      <c r="K727" s="28" t="str">
        <f>IFERROR(__xludf.DUMMYFUNCTION("IFERROR(
INDEX(
FILTER(
MAP(
reglas!$B$2:$B$240,
reglas!$C$2:$C$240,
reglas!$D$2:$D$240,
reglas!$E$2:$E$240,
LAMBDA(rEmisor,rPatron,rConcepto,rTipo,
IF(
AND(
OR(
UPPER(TRIM(rEmisor))=UPPER(TRIM(C727)),
UPPER(TRIM(rEmisor))=""CUALQUIERA""
),
OR(
UPPER(TRIM"&amp;"(rTipo))=""SOLO EMISOR"",
AND(
UPPER(TRIM(rTipo))=""EXACTA"",
UPPER(TRIM(AG727))=UPPER(TRIM(rPatron))
),
AND(
OR(
UPPER(TRIM(rTipo))=""CONTIENE"",
UPPER(TRIM(rTipo))=""COINCIDENCIA""
),
ISNUMBER(SEARCH(UPPER(TRIM(rPatron)),UPPER(TRIM(D727))))
)
)
),
rConc"&amp;"epto,
""""
)
)
),
MAP(
reglas!$B$2:$B$240,
reglas!$C$2:$C$240,
reglas!$D$2:$D$240,
reglas!$E$2:$E$240,
LAMBDA(rEmisor,rPatron,rConcepto,rTipo,
IF(
AND(
OR(
UPPER(TRIM(rEmisor))=UPPER(TRIM(C727)),
UPPER(TRIM(rEmisor))=""CUALQUIERA""
),
OR(
UPPER(TRIM(rTipo"&amp;"))=""SOLO EMISOR"",
AND(
UPPER(TRIM(rTipo))=""EXACTA"",
UPPER(TRIM(D727))=UPPER(TRIM(rPatron))
),
AND(
OR(
UPPER(TRIM(rTipo))=""CONTIENE"",
UPPER(TRIM(rTipo))=""COINCIDENCIA""
),
ISNUMBER(SEARCH(UPPER(TRIM(rPatron)),UPPER(TRIM(D727))))
)
)
),
rConcepto,
"&amp;"""""
)
)
)&lt;&gt;""""
),
1
),
""""
)"),"")</f>
        <v/>
      </c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</row>
    <row r="728">
      <c r="A728" s="32"/>
      <c r="B728" s="32"/>
      <c r="C728" s="29" t="s">
        <v>70</v>
      </c>
      <c r="D728" s="29" t="s">
        <v>1702</v>
      </c>
      <c r="E728" s="28">
        <v>1721.28</v>
      </c>
      <c r="F728" s="28">
        <v>0.0</v>
      </c>
      <c r="G728" s="28" t="s">
        <v>74</v>
      </c>
      <c r="H728" s="28">
        <f t="array" ref="H728">INDEX(CC!C:C,MATCH(1,(CC!A:A=G728)*(CC!B:B=I728),0))</f>
        <v>1503</v>
      </c>
      <c r="I728" s="28" t="s">
        <v>44</v>
      </c>
      <c r="J728" s="31">
        <v>1721.28</v>
      </c>
      <c r="K728" s="28" t="str">
        <f>IFERROR(__xludf.DUMMYFUNCTION("IFERROR(
INDEX(
FILTER(
MAP(
reglas!$B$2:$B$240,
reglas!$C$2:$C$240,
reglas!$D$2:$D$240,
reglas!$E$2:$E$240,
LAMBDA(rEmisor,rPatron,rConcepto,rTipo,
IF(
AND(
OR(
UPPER(TRIM(rEmisor))=UPPER(TRIM(C728)),
UPPER(TRIM(rEmisor))=""CUALQUIERA""
),
OR(
UPPER(TRIM"&amp;"(rTipo))=""SOLO EMISOR"",
AND(
UPPER(TRIM(rTipo))=""EXACTA"",
UPPER(TRIM(AG728))=UPPER(TRIM(rPatron))
),
AND(
OR(
UPPER(TRIM(rTipo))=""CONTIENE"",
UPPER(TRIM(rTipo))=""COINCIDENCIA""
),
ISNUMBER(SEARCH(UPPER(TRIM(rPatron)),UPPER(TRIM(D728))))
)
)
),
rConc"&amp;"epto,
""""
)
)
),
MAP(
reglas!$B$2:$B$240,
reglas!$C$2:$C$240,
reglas!$D$2:$D$240,
reglas!$E$2:$E$240,
LAMBDA(rEmisor,rPatron,rConcepto,rTipo,
IF(
AND(
OR(
UPPER(TRIM(rEmisor))=UPPER(TRIM(C728)),
UPPER(TRIM(rEmisor))=""CUALQUIERA""
),
OR(
UPPER(TRIM(rTipo"&amp;"))=""SOLO EMISOR"",
AND(
UPPER(TRIM(rTipo))=""EXACTA"",
UPPER(TRIM(D728))=UPPER(TRIM(rPatron))
),
AND(
OR(
UPPER(TRIM(rTipo))=""CONTIENE"",
UPPER(TRIM(rTipo))=""COINCIDENCIA""
),
ISNUMBER(SEARCH(UPPER(TRIM(rPatron)),UPPER(TRIM(D728))))
)
)
),
rConcepto,
"&amp;"""""
)
)
)&lt;&gt;""""
),
1
),
""""
)"),"MANIOBRAS")</f>
        <v>MANIOBRAS</v>
      </c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</row>
    <row r="729">
      <c r="A729" s="32"/>
      <c r="B729" s="32"/>
      <c r="C729" s="29" t="s">
        <v>70</v>
      </c>
      <c r="D729" s="29" t="s">
        <v>1705</v>
      </c>
      <c r="E729" s="28">
        <v>812.1</v>
      </c>
      <c r="F729" s="28">
        <v>0.0</v>
      </c>
      <c r="G729" s="28" t="s">
        <v>74</v>
      </c>
      <c r="H729" s="28">
        <f t="array" ref="H729">INDEX(CC!C:C,MATCH(1,(CC!A:A=G729)*(CC!B:B=I729),0))</f>
        <v>1503</v>
      </c>
      <c r="I729" s="28" t="s">
        <v>44</v>
      </c>
      <c r="J729" s="31">
        <v>812.1</v>
      </c>
      <c r="K729" s="28" t="str">
        <f>IFERROR(__xludf.DUMMYFUNCTION("IFERROR(
INDEX(
FILTER(
MAP(
reglas!$B$2:$B$240,
reglas!$C$2:$C$240,
reglas!$D$2:$D$240,
reglas!$E$2:$E$240,
LAMBDA(rEmisor,rPatron,rConcepto,rTipo,
IF(
AND(
OR(
UPPER(TRIM(rEmisor))=UPPER(TRIM(C729)),
UPPER(TRIM(rEmisor))=""CUALQUIERA""
),
OR(
UPPER(TRIM"&amp;"(rTipo))=""SOLO EMISOR"",
AND(
UPPER(TRIM(rTipo))=""EXACTA"",
UPPER(TRIM(AG729))=UPPER(TRIM(rPatron))
),
AND(
OR(
UPPER(TRIM(rTipo))=""CONTIENE"",
UPPER(TRIM(rTipo))=""COINCIDENCIA""
),
ISNUMBER(SEARCH(UPPER(TRIM(rPatron)),UPPER(TRIM(D729))))
)
)
),
rConc"&amp;"epto,
""""
)
)
),
MAP(
reglas!$B$2:$B$240,
reglas!$C$2:$C$240,
reglas!$D$2:$D$240,
reglas!$E$2:$E$240,
LAMBDA(rEmisor,rPatron,rConcepto,rTipo,
IF(
AND(
OR(
UPPER(TRIM(rEmisor))=UPPER(TRIM(C729)),
UPPER(TRIM(rEmisor))=""CUALQUIERA""
),
OR(
UPPER(TRIM(rTipo"&amp;"))=""SOLO EMISOR"",
AND(
UPPER(TRIM(rTipo))=""EXACTA"",
UPPER(TRIM(D729))=UPPER(TRIM(rPatron))
),
AND(
OR(
UPPER(TRIM(rTipo))=""CONTIENE"",
UPPER(TRIM(rTipo))=""COINCIDENCIA""
),
ISNUMBER(SEARCH(UPPER(TRIM(rPatron)),UPPER(TRIM(D729))))
)
)
),
rConcepto,
"&amp;"""""
)
)
)&lt;&gt;""""
),
1
),
""""
)"),"MANIOBRAS")</f>
        <v>MANIOBRAS</v>
      </c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</row>
    <row r="730">
      <c r="A730" s="32"/>
      <c r="B730" s="28" t="s">
        <v>29</v>
      </c>
      <c r="C730" s="29" t="s">
        <v>174</v>
      </c>
      <c r="D730" s="29" t="s">
        <v>1717</v>
      </c>
      <c r="E730" s="28">
        <v>2500.0</v>
      </c>
      <c r="F730" s="28">
        <v>0.0</v>
      </c>
      <c r="G730" s="28" t="s">
        <v>250</v>
      </c>
      <c r="H730" s="28">
        <f t="array" ref="H730">INDEX(CC!C:C,MATCH(1,(CC!A:A=G730)*(CC!B:B=I730),0))</f>
        <v>1402</v>
      </c>
      <c r="I730" s="28" t="s">
        <v>25</v>
      </c>
      <c r="J730" s="28">
        <v>2500.0</v>
      </c>
      <c r="K730" s="28" t="str">
        <f>IFERROR(__xludf.DUMMYFUNCTION("IFERROR(
INDEX(
FILTER(
MAP(
reglas!$B$2:$B$240,
reglas!$C$2:$C$240,
reglas!$D$2:$D$240,
reglas!$E$2:$E$240,
LAMBDA(rEmisor,rPatron,rConcepto,rTipo,
IF(
AND(
OR(
UPPER(TRIM(rEmisor))=UPPER(TRIM(C730)),
UPPER(TRIM(rEmisor))=""CUALQUIERA""
),
OR(
UPPER(TRIM"&amp;"(rTipo))=""SOLO EMISOR"",
AND(
UPPER(TRIM(rTipo))=""EXACTA"",
UPPER(TRIM(AG730))=UPPER(TRIM(rPatron))
),
AND(
OR(
UPPER(TRIM(rTipo))=""CONTIENE"",
UPPER(TRIM(rTipo))=""COINCIDENCIA""
),
ISNUMBER(SEARCH(UPPER(TRIM(rPatron)),UPPER(TRIM(D730))))
)
)
),
rConc"&amp;"epto,
""""
)
)
),
MAP(
reglas!$B$2:$B$240,
reglas!$C$2:$C$240,
reglas!$D$2:$D$240,
reglas!$E$2:$E$240,
LAMBDA(rEmisor,rPatron,rConcepto,rTipo,
IF(
AND(
OR(
UPPER(TRIM(rEmisor))=UPPER(TRIM(C730)),
UPPER(TRIM(rEmisor))=""CUALQUIERA""
),
OR(
UPPER(TRIM(rTipo"&amp;"))=""SOLO EMISOR"",
AND(
UPPER(TRIM(rTipo))=""EXACTA"",
UPPER(TRIM(D730))=UPPER(TRIM(rPatron))
),
AND(
OR(
UPPER(TRIM(rTipo))=""CONTIENE"",
UPPER(TRIM(rTipo))=""COINCIDENCIA""
),
ISNUMBER(SEARCH(UPPER(TRIM(rPatron)),UPPER(TRIM(D730))))
)
)
),
rConcepto,
"&amp;"""""
)
)
)&lt;&gt;""""
),
1
),
""""
)"),"TRANSPORTE")</f>
        <v>TRANSPORTE</v>
      </c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</row>
    <row r="731">
      <c r="A731" s="32"/>
      <c r="B731" s="28" t="s">
        <v>29</v>
      </c>
      <c r="C731" s="29" t="s">
        <v>516</v>
      </c>
      <c r="D731" s="29" t="s">
        <v>1718</v>
      </c>
      <c r="E731" s="28">
        <v>1176.72</v>
      </c>
      <c r="F731" s="28">
        <v>0.0</v>
      </c>
      <c r="G731" s="28" t="s">
        <v>250</v>
      </c>
      <c r="H731" s="28">
        <f t="array" ref="H731">INDEX(CC!C:C,MATCH(1,(CC!A:A=G731)*(CC!B:B=I731),0))</f>
        <v>1402</v>
      </c>
      <c r="I731" s="28" t="s">
        <v>25</v>
      </c>
      <c r="J731" s="28">
        <v>1176.72</v>
      </c>
      <c r="K731" s="28" t="str">
        <f>IFERROR(__xludf.DUMMYFUNCTION("IFERROR(
INDEX(
FILTER(
MAP(
reglas!$B$2:$B$240,
reglas!$C$2:$C$240,
reglas!$D$2:$D$240,
reglas!$E$2:$E$240,
LAMBDA(rEmisor,rPatron,rConcepto,rTipo,
IF(
AND(
OR(
UPPER(TRIM(rEmisor))=UPPER(TRIM(C731)),
UPPER(TRIM(rEmisor))=""CUALQUIERA""
),
OR(
UPPER(TRIM"&amp;"(rTipo))=""SOLO EMISOR"",
AND(
UPPER(TRIM(rTipo))=""EXACTA"",
UPPER(TRIM(AG731))=UPPER(TRIM(rPatron))
),
AND(
OR(
UPPER(TRIM(rTipo))=""CONTIENE"",
UPPER(TRIM(rTipo))=""COINCIDENCIA""
),
ISNUMBER(SEARCH(UPPER(TRIM(rPatron)),UPPER(TRIM(D731))))
)
)
),
rConc"&amp;"epto,
""""
)
)
),
MAP(
reglas!$B$2:$B$240,
reglas!$C$2:$C$240,
reglas!$D$2:$D$240,
reglas!$E$2:$E$240,
LAMBDA(rEmisor,rPatron,rConcepto,rTipo,
IF(
AND(
OR(
UPPER(TRIM(rEmisor))=UPPER(TRIM(C731)),
UPPER(TRIM(rEmisor))=""CUALQUIERA""
),
OR(
UPPER(TRIM(rTipo"&amp;"))=""SOLO EMISOR"",
AND(
UPPER(TRIM(rTipo))=""EXACTA"",
UPPER(TRIM(D731))=UPPER(TRIM(rPatron))
),
AND(
OR(
UPPER(TRIM(rTipo))=""CONTIENE"",
UPPER(TRIM(rTipo))=""COINCIDENCIA""
),
ISNUMBER(SEARCH(UPPER(TRIM(rPatron)),UPPER(TRIM(D731))))
)
)
),
rConcepto,
"&amp;"""""
)
)
)&lt;&gt;""""
),
1
),
""""
)"),"UNIFORMES")</f>
        <v>UNIFORMES</v>
      </c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</row>
    <row r="732">
      <c r="A732" s="32"/>
      <c r="B732" s="28" t="s">
        <v>29</v>
      </c>
      <c r="C732" s="29" t="s">
        <v>172</v>
      </c>
      <c r="D732" s="29" t="s">
        <v>1698</v>
      </c>
      <c r="E732" s="28">
        <v>11500.0</v>
      </c>
      <c r="F732" s="28">
        <v>0.0</v>
      </c>
      <c r="G732" s="28" t="s">
        <v>250</v>
      </c>
      <c r="H732" s="28">
        <f t="array" ref="H732">INDEX(CC!C:C,MATCH(1,(CC!A:A=G732)*(CC!B:B=I732),0))</f>
        <v>1402</v>
      </c>
      <c r="I732" s="28" t="s">
        <v>25</v>
      </c>
      <c r="J732" s="28">
        <v>11500.0</v>
      </c>
      <c r="K732" s="28" t="str">
        <f>IFERROR(__xludf.DUMMYFUNCTION("IFERROR(
INDEX(
FILTER(
MAP(
reglas!$B$2:$B$240,
reglas!$C$2:$C$240,
reglas!$D$2:$D$240,
reglas!$E$2:$E$240,
LAMBDA(rEmisor,rPatron,rConcepto,rTipo,
IF(
AND(
OR(
UPPER(TRIM(rEmisor))=UPPER(TRIM(C732)),
UPPER(TRIM(rEmisor))=""CUALQUIERA""
),
OR(
UPPER(TRIM"&amp;"(rTipo))=""SOLO EMISOR"",
AND(
UPPER(TRIM(rTipo))=""EXACTA"",
UPPER(TRIM(AG732))=UPPER(TRIM(rPatron))
),
AND(
OR(
UPPER(TRIM(rTipo))=""CONTIENE"",
UPPER(TRIM(rTipo))=""COINCIDENCIA""
),
ISNUMBER(SEARCH(UPPER(TRIM(rPatron)),UPPER(TRIM(D732))))
)
)
),
rConc"&amp;"epto,
""""
)
)
),
MAP(
reglas!$B$2:$B$240,
reglas!$C$2:$C$240,
reglas!$D$2:$D$240,
reglas!$E$2:$E$240,
LAMBDA(rEmisor,rPatron,rConcepto,rTipo,
IF(
AND(
OR(
UPPER(TRIM(rEmisor))=UPPER(TRIM(C732)),
UPPER(TRIM(rEmisor))=""CUALQUIERA""
),
OR(
UPPER(TRIM(rTipo"&amp;"))=""SOLO EMISOR"",
AND(
UPPER(TRIM(rTipo))=""EXACTA"",
UPPER(TRIM(D732))=UPPER(TRIM(rPatron))
),
AND(
OR(
UPPER(TRIM(rTipo))=""CONTIENE"",
UPPER(TRIM(rTipo))=""COINCIDENCIA""
),
ISNUMBER(SEARCH(UPPER(TRIM(rPatron)),UPPER(TRIM(D732))))
)
)
),
rConcepto,
"&amp;"""""
)
)
)&lt;&gt;""""
),
1
),
""""
)"),"TRANSPORTE")</f>
        <v>TRANSPORTE</v>
      </c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</row>
    <row r="733">
      <c r="A733" s="32"/>
      <c r="B733" s="28" t="s">
        <v>29</v>
      </c>
      <c r="C733" s="29" t="s">
        <v>169</v>
      </c>
      <c r="D733" s="29" t="s">
        <v>1719</v>
      </c>
      <c r="E733" s="28">
        <v>785.0</v>
      </c>
      <c r="F733" s="28">
        <v>0.0</v>
      </c>
      <c r="G733" s="28" t="s">
        <v>250</v>
      </c>
      <c r="H733" s="28">
        <f t="array" ref="H733">INDEX(CC!C:C,MATCH(1,(CC!A:A=G733)*(CC!B:B=I733),0))</f>
        <v>1402</v>
      </c>
      <c r="I733" s="28" t="s">
        <v>25</v>
      </c>
      <c r="J733" s="28">
        <v>785.0</v>
      </c>
      <c r="K733" s="28" t="str">
        <f>IFERROR(__xludf.DUMMYFUNCTION("IFERROR(
INDEX(
FILTER(
MAP(
reglas!$B$2:$B$240,
reglas!$C$2:$C$240,
reglas!$D$2:$D$240,
reglas!$E$2:$E$240,
LAMBDA(rEmisor,rPatron,rConcepto,rTipo,
IF(
AND(
OR(
UPPER(TRIM(rEmisor))=UPPER(TRIM(C733)),
UPPER(TRIM(rEmisor))=""CUALQUIERA""
),
OR(
UPPER(TRIM"&amp;"(rTipo))=""SOLO EMISOR"",
AND(
UPPER(TRIM(rTipo))=""EXACTA"",
UPPER(TRIM(AG733))=UPPER(TRIM(rPatron))
),
AND(
OR(
UPPER(TRIM(rTipo))=""CONTIENE"",
UPPER(TRIM(rTipo))=""COINCIDENCIA""
),
ISNUMBER(SEARCH(UPPER(TRIM(rPatron)),UPPER(TRIM(D733))))
)
)
),
rConc"&amp;"epto,
""""
)
)
),
MAP(
reglas!$B$2:$B$240,
reglas!$C$2:$C$240,
reglas!$D$2:$D$240,
reglas!$E$2:$E$240,
LAMBDA(rEmisor,rPatron,rConcepto,rTipo,
IF(
AND(
OR(
UPPER(TRIM(rEmisor))=UPPER(TRIM(C733)),
UPPER(TRIM(rEmisor))=""CUALQUIERA""
),
OR(
UPPER(TRIM(rTipo"&amp;"))=""SOLO EMISOR"",
AND(
UPPER(TRIM(rTipo))=""EXACTA"",
UPPER(TRIM(D733))=UPPER(TRIM(rPatron))
),
AND(
OR(
UPPER(TRIM(rTipo))=""CONTIENE"",
UPPER(TRIM(rTipo))=""COINCIDENCIA""
),
ISNUMBER(SEARCH(UPPER(TRIM(rPatron)),UPPER(TRIM(D733))))
)
)
),
rConcepto,
"&amp;"""""
)
)
)&lt;&gt;""""
),
1
),
""""
)"),"PATIO REGULADOR")</f>
        <v>PATIO REGULADOR</v>
      </c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</row>
    <row r="734">
      <c r="A734" s="32"/>
      <c r="B734" s="28" t="s">
        <v>29</v>
      </c>
      <c r="C734" s="29" t="s">
        <v>414</v>
      </c>
      <c r="D734" s="29" t="s">
        <v>415</v>
      </c>
      <c r="E734" s="28">
        <v>16280.23</v>
      </c>
      <c r="F734" s="28">
        <v>0.0</v>
      </c>
      <c r="G734" s="28" t="s">
        <v>225</v>
      </c>
      <c r="H734" s="28">
        <f t="array" ref="H734">INDEX(CC!C:C,MATCH(1,(CC!A:A=G734)*(CC!B:B=I734),0))</f>
        <v>102</v>
      </c>
      <c r="I734" s="28" t="s">
        <v>25</v>
      </c>
      <c r="J734" s="5"/>
      <c r="K734" s="28" t="str">
        <f>IFERROR(__xludf.DUMMYFUNCTION("IFERROR(
INDEX(
FILTER(
MAP(
reglas!$B$2:$B$240,
reglas!$C$2:$C$240,
reglas!$D$2:$D$240,
reglas!$E$2:$E$240,
LAMBDA(rEmisor,rPatron,rConcepto,rTipo,
IF(
AND(
OR(
UPPER(TRIM(rEmisor))=UPPER(TRIM(C734)),
UPPER(TRIM(rEmisor))=""CUALQUIERA""
),
OR(
UPPER(TRIM"&amp;"(rTipo))=""SOLO EMISOR"",
AND(
UPPER(TRIM(rTipo))=""EXACTA"",
UPPER(TRIM(AG734))=UPPER(TRIM(rPatron))
),
AND(
OR(
UPPER(TRIM(rTipo))=""CONTIENE"",
UPPER(TRIM(rTipo))=""COINCIDENCIA""
),
ISNUMBER(SEARCH(UPPER(TRIM(rPatron)),UPPER(TRIM(D734))))
)
)
),
rConc"&amp;"epto,
""""
)
)
),
MAP(
reglas!$B$2:$B$240,
reglas!$C$2:$C$240,
reglas!$D$2:$D$240,
reglas!$E$2:$E$240,
LAMBDA(rEmisor,rPatron,rConcepto,rTipo,
IF(
AND(
OR(
UPPER(TRIM(rEmisor))=UPPER(TRIM(C734)),
UPPER(TRIM(rEmisor))=""CUALQUIERA""
),
OR(
UPPER(TRIM(rTipo"&amp;"))=""SOLO EMISOR"",
AND(
UPPER(TRIM(rTipo))=""EXACTA"",
UPPER(TRIM(D734))=UPPER(TRIM(rPatron))
),
AND(
OR(
UPPER(TRIM(rTipo))=""CONTIENE"",
UPPER(TRIM(rTipo))=""COINCIDENCIA""
),
ISNUMBER(SEARCH(UPPER(TRIM(rPatron)),UPPER(TRIM(D734))))
)
)
),
rConcepto,
"&amp;"""""
)
)
)&lt;&gt;""""
),
1
),
""""
)"),"N/A")</f>
        <v>N/A</v>
      </c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</row>
    <row r="735">
      <c r="A735" s="32"/>
      <c r="B735" s="32"/>
      <c r="C735" s="29" t="s">
        <v>414</v>
      </c>
      <c r="D735" s="29" t="s">
        <v>416</v>
      </c>
      <c r="E735" s="28">
        <v>3401.3</v>
      </c>
      <c r="F735" s="28">
        <v>0.0</v>
      </c>
      <c r="G735" s="28" t="s">
        <v>225</v>
      </c>
      <c r="H735" s="28">
        <f t="array" ref="H735">INDEX(CC!C:C,MATCH(1,(CC!A:A=G735)*(CC!B:B=I735),0))</f>
        <v>102</v>
      </c>
      <c r="I735" s="28" t="s">
        <v>25</v>
      </c>
      <c r="J735" s="5"/>
      <c r="K735" s="28" t="str">
        <f>IFERROR(__xludf.DUMMYFUNCTION("IFERROR(
INDEX(
FILTER(
MAP(
reglas!$B$2:$B$240,
reglas!$C$2:$C$240,
reglas!$D$2:$D$240,
reglas!$E$2:$E$240,
LAMBDA(rEmisor,rPatron,rConcepto,rTipo,
IF(
AND(
OR(
UPPER(TRIM(rEmisor))=UPPER(TRIM(C735)),
UPPER(TRIM(rEmisor))=""CUALQUIERA""
),
OR(
UPPER(TRIM"&amp;"(rTipo))=""SOLO EMISOR"",
AND(
UPPER(TRIM(rTipo))=""EXACTA"",
UPPER(TRIM(AG735))=UPPER(TRIM(rPatron))
),
AND(
OR(
UPPER(TRIM(rTipo))=""CONTIENE"",
UPPER(TRIM(rTipo))=""COINCIDENCIA""
),
ISNUMBER(SEARCH(UPPER(TRIM(rPatron)),UPPER(TRIM(D735))))
)
)
),
rConc"&amp;"epto,
""""
)
)
),
MAP(
reglas!$B$2:$B$240,
reglas!$C$2:$C$240,
reglas!$D$2:$D$240,
reglas!$E$2:$E$240,
LAMBDA(rEmisor,rPatron,rConcepto,rTipo,
IF(
AND(
OR(
UPPER(TRIM(rEmisor))=UPPER(TRIM(C735)),
UPPER(TRIM(rEmisor))=""CUALQUIERA""
),
OR(
UPPER(TRIM(rTipo"&amp;"))=""SOLO EMISOR"",
AND(
UPPER(TRIM(rTipo))=""EXACTA"",
UPPER(TRIM(D735))=UPPER(TRIM(rPatron))
),
AND(
OR(
UPPER(TRIM(rTipo))=""CONTIENE"",
UPPER(TRIM(rTipo))=""COINCIDENCIA""
),
ISNUMBER(SEARCH(UPPER(TRIM(rPatron)),UPPER(TRIM(D735))))
)
)
),
rConcepto,
"&amp;"""""
)
)
)&lt;&gt;""""
),
1
),
""""
)"),"N/A")</f>
        <v>N/A</v>
      </c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</row>
    <row r="736">
      <c r="A736" s="32"/>
      <c r="B736" s="32"/>
      <c r="C736" s="29" t="s">
        <v>414</v>
      </c>
      <c r="D736" s="29" t="s">
        <v>417</v>
      </c>
      <c r="E736" s="28">
        <v>15750.89</v>
      </c>
      <c r="F736" s="28">
        <v>0.0</v>
      </c>
      <c r="G736" s="28" t="s">
        <v>225</v>
      </c>
      <c r="H736" s="28">
        <f t="array" ref="H736">INDEX(CC!C:C,MATCH(1,(CC!A:A=G736)*(CC!B:B=I736),0))</f>
        <v>102</v>
      </c>
      <c r="I736" s="28" t="s">
        <v>25</v>
      </c>
      <c r="J736" s="5"/>
      <c r="K736" s="28" t="str">
        <f>IFERROR(__xludf.DUMMYFUNCTION("IFERROR(
INDEX(
FILTER(
MAP(
reglas!$B$2:$B$240,
reglas!$C$2:$C$240,
reglas!$D$2:$D$240,
reglas!$E$2:$E$240,
LAMBDA(rEmisor,rPatron,rConcepto,rTipo,
IF(
AND(
OR(
UPPER(TRIM(rEmisor))=UPPER(TRIM(C736)),
UPPER(TRIM(rEmisor))=""CUALQUIERA""
),
OR(
UPPER(TRIM"&amp;"(rTipo))=""SOLO EMISOR"",
AND(
UPPER(TRIM(rTipo))=""EXACTA"",
UPPER(TRIM(AG736))=UPPER(TRIM(rPatron))
),
AND(
OR(
UPPER(TRIM(rTipo))=""CONTIENE"",
UPPER(TRIM(rTipo))=""COINCIDENCIA""
),
ISNUMBER(SEARCH(UPPER(TRIM(rPatron)),UPPER(TRIM(D736))))
)
)
),
rConc"&amp;"epto,
""""
)
)
),
MAP(
reglas!$B$2:$B$240,
reglas!$C$2:$C$240,
reglas!$D$2:$D$240,
reglas!$E$2:$E$240,
LAMBDA(rEmisor,rPatron,rConcepto,rTipo,
IF(
AND(
OR(
UPPER(TRIM(rEmisor))=UPPER(TRIM(C736)),
UPPER(TRIM(rEmisor))=""CUALQUIERA""
),
OR(
UPPER(TRIM(rTipo"&amp;"))=""SOLO EMISOR"",
AND(
UPPER(TRIM(rTipo))=""EXACTA"",
UPPER(TRIM(D736))=UPPER(TRIM(rPatron))
),
AND(
OR(
UPPER(TRIM(rTipo))=""CONTIENE"",
UPPER(TRIM(rTipo))=""COINCIDENCIA""
),
ISNUMBER(SEARCH(UPPER(TRIM(rPatron)),UPPER(TRIM(D736))))
)
)
),
rConcepto,
"&amp;"""""
)
)
)&lt;&gt;""""
),
1
),
""""
)"),"N/A")</f>
        <v>N/A</v>
      </c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</row>
    <row r="737">
      <c r="A737" s="32"/>
      <c r="B737" s="28" t="s">
        <v>29</v>
      </c>
      <c r="C737" s="29" t="s">
        <v>172</v>
      </c>
      <c r="D737" s="29" t="s">
        <v>1713</v>
      </c>
      <c r="E737" s="28">
        <v>11500.0</v>
      </c>
      <c r="F737" s="28">
        <v>0.0</v>
      </c>
      <c r="G737" s="28" t="s">
        <v>250</v>
      </c>
      <c r="H737" s="28">
        <f t="array" ref="H737">INDEX(CC!C:C,MATCH(1,(CC!A:A=G737)*(CC!B:B=I737),0))</f>
        <v>1402</v>
      </c>
      <c r="I737" s="28" t="s">
        <v>25</v>
      </c>
      <c r="J737" s="31">
        <v>11500.0</v>
      </c>
      <c r="K737" s="28" t="str">
        <f>IFERROR(__xludf.DUMMYFUNCTION("IFERROR(
INDEX(
FILTER(
MAP(
reglas!$B$2:$B$240,
reglas!$C$2:$C$240,
reglas!$D$2:$D$240,
reglas!$E$2:$E$240,
LAMBDA(rEmisor,rPatron,rConcepto,rTipo,
IF(
AND(
OR(
UPPER(TRIM(rEmisor))=UPPER(TRIM(C737)),
UPPER(TRIM(rEmisor))=""CUALQUIERA""
),
OR(
UPPER(TRIM"&amp;"(rTipo))=""SOLO EMISOR"",
AND(
UPPER(TRIM(rTipo))=""EXACTA"",
UPPER(TRIM(AG737))=UPPER(TRIM(rPatron))
),
AND(
OR(
UPPER(TRIM(rTipo))=""CONTIENE"",
UPPER(TRIM(rTipo))=""COINCIDENCIA""
),
ISNUMBER(SEARCH(UPPER(TRIM(rPatron)),UPPER(TRIM(D737))))
)
)
),
rConc"&amp;"epto,
""""
)
)
),
MAP(
reglas!$B$2:$B$240,
reglas!$C$2:$C$240,
reglas!$D$2:$D$240,
reglas!$E$2:$E$240,
LAMBDA(rEmisor,rPatron,rConcepto,rTipo,
IF(
AND(
OR(
UPPER(TRIM(rEmisor))=UPPER(TRIM(C737)),
UPPER(TRIM(rEmisor))=""CUALQUIERA""
),
OR(
UPPER(TRIM(rTipo"&amp;"))=""SOLO EMISOR"",
AND(
UPPER(TRIM(rTipo))=""EXACTA"",
UPPER(TRIM(D737))=UPPER(TRIM(rPatron))
),
AND(
OR(
UPPER(TRIM(rTipo))=""CONTIENE"",
UPPER(TRIM(rTipo))=""COINCIDENCIA""
),
ISNUMBER(SEARCH(UPPER(TRIM(rPatron)),UPPER(TRIM(D737))))
)
)
),
rConcepto,
"&amp;"""""
)
)
)&lt;&gt;""""
),
1
),
""""
)"),"TRANSPORTE")</f>
        <v>TRANSPORTE</v>
      </c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</row>
    <row r="738">
      <c r="A738" s="28">
        <v>1.0</v>
      </c>
      <c r="B738" s="28" t="s">
        <v>29</v>
      </c>
      <c r="C738" s="29" t="s">
        <v>271</v>
      </c>
      <c r="D738" s="29" t="s">
        <v>585</v>
      </c>
      <c r="E738" s="28">
        <v>625.51</v>
      </c>
      <c r="F738" s="28">
        <v>0.0</v>
      </c>
      <c r="G738" s="28" t="s">
        <v>84</v>
      </c>
      <c r="H738" s="28">
        <f t="array" ref="H738">INDEX(CC!C:C,MATCH(1,(CC!A:A=G738)*(CC!B:B=I738),0))</f>
        <v>1002</v>
      </c>
      <c r="I738" s="28" t="s">
        <v>25</v>
      </c>
      <c r="J738" s="31">
        <v>625.51</v>
      </c>
      <c r="K738" s="28" t="str">
        <f>IFERROR(__xludf.DUMMYFUNCTION("IFERROR(
INDEX(
FILTER(
MAP(
reglas!$B$2:$B$240,
reglas!$C$2:$C$240,
reglas!$D$2:$D$240,
reglas!$E$2:$E$240,
LAMBDA(rEmisor,rPatron,rConcepto,rTipo,
IF(
AND(
OR(
UPPER(TRIM(rEmisor))=UPPER(TRIM(C738)),
UPPER(TRIM(rEmisor))=""CUALQUIERA""
),
OR(
UPPER(TRIM"&amp;"(rTipo))=""SOLO EMISOR"",
AND(
UPPER(TRIM(rTipo))=""EXACTA"",
UPPER(TRIM(AG738))=UPPER(TRIM(rPatron))
),
AND(
OR(
UPPER(TRIM(rTipo))=""CONTIENE"",
UPPER(TRIM(rTipo))=""COINCIDENCIA""
),
ISNUMBER(SEARCH(UPPER(TRIM(rPatron)),UPPER(TRIM(D738))))
)
)
),
rConc"&amp;"epto,
""""
)
)
),
MAP(
reglas!$B$2:$B$240,
reglas!$C$2:$C$240,
reglas!$D$2:$D$240,
reglas!$E$2:$E$240,
LAMBDA(rEmisor,rPatron,rConcepto,rTipo,
IF(
AND(
OR(
UPPER(TRIM(rEmisor))=UPPER(TRIM(C738)),
UPPER(TRIM(rEmisor))=""CUALQUIERA""
),
OR(
UPPER(TRIM(rTipo"&amp;"))=""SOLO EMISOR"",
AND(
UPPER(TRIM(rTipo))=""EXACTA"",
UPPER(TRIM(D738))=UPPER(TRIM(rPatron))
),
AND(
OR(
UPPER(TRIM(rTipo))=""CONTIENE"",
UPPER(TRIM(rTipo))=""COINCIDENCIA""
),
ISNUMBER(SEARCH(UPPER(TRIM(rPatron)),UPPER(TRIM(D738))))
)
)
),
rConcepto,
"&amp;"""""
)
)
)&lt;&gt;""""
),
1
),
""""
)"),"MANIOBRAS")</f>
        <v>MANIOBRAS</v>
      </c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</row>
    <row r="739">
      <c r="A739" s="32"/>
      <c r="B739" s="32"/>
      <c r="C739" s="29" t="s">
        <v>271</v>
      </c>
      <c r="D739" s="29" t="s">
        <v>587</v>
      </c>
      <c r="E739" s="28">
        <v>572.3</v>
      </c>
      <c r="F739" s="28">
        <v>0.0</v>
      </c>
      <c r="G739" s="28" t="s">
        <v>84</v>
      </c>
      <c r="H739" s="28">
        <f t="array" ref="H739">INDEX(CC!C:C,MATCH(1,(CC!A:A=G739)*(CC!B:B=I739),0))</f>
        <v>1002</v>
      </c>
      <c r="I739" s="28" t="s">
        <v>25</v>
      </c>
      <c r="J739" s="31">
        <v>572.3</v>
      </c>
      <c r="K739" s="28" t="str">
        <f>IFERROR(__xludf.DUMMYFUNCTION("IFERROR(
INDEX(
FILTER(
MAP(
reglas!$B$2:$B$240,
reglas!$C$2:$C$240,
reglas!$D$2:$D$240,
reglas!$E$2:$E$240,
LAMBDA(rEmisor,rPatron,rConcepto,rTipo,
IF(
AND(
OR(
UPPER(TRIM(rEmisor))=UPPER(TRIM(C739)),
UPPER(TRIM(rEmisor))=""CUALQUIERA""
),
OR(
UPPER(TRIM"&amp;"(rTipo))=""SOLO EMISOR"",
AND(
UPPER(TRIM(rTipo))=""EXACTA"",
UPPER(TRIM(AG739))=UPPER(TRIM(rPatron))
),
AND(
OR(
UPPER(TRIM(rTipo))=""CONTIENE"",
UPPER(TRIM(rTipo))=""COINCIDENCIA""
),
ISNUMBER(SEARCH(UPPER(TRIM(rPatron)),UPPER(TRIM(D739))))
)
)
),
rConc"&amp;"epto,
""""
)
)
),
MAP(
reglas!$B$2:$B$240,
reglas!$C$2:$C$240,
reglas!$D$2:$D$240,
reglas!$E$2:$E$240,
LAMBDA(rEmisor,rPatron,rConcepto,rTipo,
IF(
AND(
OR(
UPPER(TRIM(rEmisor))=UPPER(TRIM(C739)),
UPPER(TRIM(rEmisor))=""CUALQUIERA""
),
OR(
UPPER(TRIM(rTipo"&amp;"))=""SOLO EMISOR"",
AND(
UPPER(TRIM(rTipo))=""EXACTA"",
UPPER(TRIM(D739))=UPPER(TRIM(rPatron))
),
AND(
OR(
UPPER(TRIM(rTipo))=""CONTIENE"",
UPPER(TRIM(rTipo))=""COINCIDENCIA""
),
ISNUMBER(SEARCH(UPPER(TRIM(rPatron)),UPPER(TRIM(D739))))
)
)
),
rConcepto,
"&amp;"""""
)
)
)&lt;&gt;""""
),
1
),
""""
)"),"MANIOBRAS")</f>
        <v>MANIOBRAS</v>
      </c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</row>
    <row r="740">
      <c r="A740" s="32"/>
      <c r="B740" s="32"/>
      <c r="C740" s="29" t="s">
        <v>271</v>
      </c>
      <c r="D740" s="29" t="s">
        <v>586</v>
      </c>
      <c r="E740" s="28">
        <v>1183.96</v>
      </c>
      <c r="F740" s="28">
        <v>0.0</v>
      </c>
      <c r="G740" s="28" t="s">
        <v>84</v>
      </c>
      <c r="H740" s="28">
        <f t="array" ref="H740">INDEX(CC!C:C,MATCH(1,(CC!A:A=G740)*(CC!B:B=I740),0))</f>
        <v>1002</v>
      </c>
      <c r="I740" s="28" t="s">
        <v>25</v>
      </c>
      <c r="J740" s="31">
        <v>1183.96</v>
      </c>
      <c r="K740" s="28" t="str">
        <f>IFERROR(__xludf.DUMMYFUNCTION("IFERROR(
INDEX(
FILTER(
MAP(
reglas!$B$2:$B$240,
reglas!$C$2:$C$240,
reglas!$D$2:$D$240,
reglas!$E$2:$E$240,
LAMBDA(rEmisor,rPatron,rConcepto,rTipo,
IF(
AND(
OR(
UPPER(TRIM(rEmisor))=UPPER(TRIM(C740)),
UPPER(TRIM(rEmisor))=""CUALQUIERA""
),
OR(
UPPER(TRIM"&amp;"(rTipo))=""SOLO EMISOR"",
AND(
UPPER(TRIM(rTipo))=""EXACTA"",
UPPER(TRIM(AG740))=UPPER(TRIM(rPatron))
),
AND(
OR(
UPPER(TRIM(rTipo))=""CONTIENE"",
UPPER(TRIM(rTipo))=""COINCIDENCIA""
),
ISNUMBER(SEARCH(UPPER(TRIM(rPatron)),UPPER(TRIM(D740))))
)
)
),
rConc"&amp;"epto,
""""
)
)
),
MAP(
reglas!$B$2:$B$240,
reglas!$C$2:$C$240,
reglas!$D$2:$D$240,
reglas!$E$2:$E$240,
LAMBDA(rEmisor,rPatron,rConcepto,rTipo,
IF(
AND(
OR(
UPPER(TRIM(rEmisor))=UPPER(TRIM(C740)),
UPPER(TRIM(rEmisor))=""CUALQUIERA""
),
OR(
UPPER(TRIM(rTipo"&amp;"))=""SOLO EMISOR"",
AND(
UPPER(TRIM(rTipo))=""EXACTA"",
UPPER(TRIM(D740))=UPPER(TRIM(rPatron))
),
AND(
OR(
UPPER(TRIM(rTipo))=""CONTIENE"",
UPPER(TRIM(rTipo))=""COINCIDENCIA""
),
ISNUMBER(SEARCH(UPPER(TRIM(rPatron)),UPPER(TRIM(D740))))
)
)
),
rConcepto,
"&amp;"""""
)
)
)&lt;&gt;""""
),
1
),
""""
)"),"MANIOBRAS")</f>
        <v>MANIOBRAS</v>
      </c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</row>
    <row r="741">
      <c r="A741" s="32"/>
      <c r="B741" s="32"/>
      <c r="C741" s="29" t="s">
        <v>271</v>
      </c>
      <c r="D741" s="29" t="s">
        <v>589</v>
      </c>
      <c r="E741" s="28">
        <v>757.25</v>
      </c>
      <c r="F741" s="28">
        <v>0.0</v>
      </c>
      <c r="G741" s="28" t="s">
        <v>84</v>
      </c>
      <c r="H741" s="28">
        <f t="array" ref="H741">INDEX(CC!C:C,MATCH(1,(CC!A:A=G741)*(CC!B:B=I741),0))</f>
        <v>1002</v>
      </c>
      <c r="I741" s="28" t="s">
        <v>25</v>
      </c>
      <c r="J741" s="31">
        <v>757.25</v>
      </c>
      <c r="K741" s="28" t="str">
        <f>IFERROR(__xludf.DUMMYFUNCTION("IFERROR(
INDEX(
FILTER(
MAP(
reglas!$B$2:$B$240,
reglas!$C$2:$C$240,
reglas!$D$2:$D$240,
reglas!$E$2:$E$240,
LAMBDA(rEmisor,rPatron,rConcepto,rTipo,
IF(
AND(
OR(
UPPER(TRIM(rEmisor))=UPPER(TRIM(C741)),
UPPER(TRIM(rEmisor))=""CUALQUIERA""
),
OR(
UPPER(TRIM"&amp;"(rTipo))=""SOLO EMISOR"",
AND(
UPPER(TRIM(rTipo))=""EXACTA"",
UPPER(TRIM(AG741))=UPPER(TRIM(rPatron))
),
AND(
OR(
UPPER(TRIM(rTipo))=""CONTIENE"",
UPPER(TRIM(rTipo))=""COINCIDENCIA""
),
ISNUMBER(SEARCH(UPPER(TRIM(rPatron)),UPPER(TRIM(D741))))
)
)
),
rConc"&amp;"epto,
""""
)
)
),
MAP(
reglas!$B$2:$B$240,
reglas!$C$2:$C$240,
reglas!$D$2:$D$240,
reglas!$E$2:$E$240,
LAMBDA(rEmisor,rPatron,rConcepto,rTipo,
IF(
AND(
OR(
UPPER(TRIM(rEmisor))=UPPER(TRIM(C741)),
UPPER(TRIM(rEmisor))=""CUALQUIERA""
),
OR(
UPPER(TRIM(rTipo"&amp;"))=""SOLO EMISOR"",
AND(
UPPER(TRIM(rTipo))=""EXACTA"",
UPPER(TRIM(D741))=UPPER(TRIM(rPatron))
),
AND(
OR(
UPPER(TRIM(rTipo))=""CONTIENE"",
UPPER(TRIM(rTipo))=""COINCIDENCIA""
),
ISNUMBER(SEARCH(UPPER(TRIM(rPatron)),UPPER(TRIM(D741))))
)
)
),
rConcepto,
"&amp;"""""
)
)
)&lt;&gt;""""
),
1
),
""""
)"),"MANIOBRAS")</f>
        <v>MANIOBRAS</v>
      </c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</row>
    <row r="742">
      <c r="A742" s="32"/>
      <c r="B742" s="32"/>
      <c r="C742" s="29" t="s">
        <v>271</v>
      </c>
      <c r="D742" s="29" t="s">
        <v>593</v>
      </c>
      <c r="E742" s="28">
        <v>408.74</v>
      </c>
      <c r="F742" s="28">
        <v>0.0</v>
      </c>
      <c r="G742" s="28" t="s">
        <v>84</v>
      </c>
      <c r="H742" s="28">
        <f t="array" ref="H742">INDEX(CC!C:C,MATCH(1,(CC!A:A=G742)*(CC!B:B=I742),0))</f>
        <v>1002</v>
      </c>
      <c r="I742" s="28" t="s">
        <v>25</v>
      </c>
      <c r="J742" s="31">
        <v>408.74</v>
      </c>
      <c r="K742" s="28" t="str">
        <f>IFERROR(__xludf.DUMMYFUNCTION("IFERROR(
INDEX(
FILTER(
MAP(
reglas!$B$2:$B$240,
reglas!$C$2:$C$240,
reglas!$D$2:$D$240,
reglas!$E$2:$E$240,
LAMBDA(rEmisor,rPatron,rConcepto,rTipo,
IF(
AND(
OR(
UPPER(TRIM(rEmisor))=UPPER(TRIM(C742)),
UPPER(TRIM(rEmisor))=""CUALQUIERA""
),
OR(
UPPER(TRIM"&amp;"(rTipo))=""SOLO EMISOR"",
AND(
UPPER(TRIM(rTipo))=""EXACTA"",
UPPER(TRIM(AG742))=UPPER(TRIM(rPatron))
),
AND(
OR(
UPPER(TRIM(rTipo))=""CONTIENE"",
UPPER(TRIM(rTipo))=""COINCIDENCIA""
),
ISNUMBER(SEARCH(UPPER(TRIM(rPatron)),UPPER(TRIM(D742))))
)
)
),
rConc"&amp;"epto,
""""
)
)
),
MAP(
reglas!$B$2:$B$240,
reglas!$C$2:$C$240,
reglas!$D$2:$D$240,
reglas!$E$2:$E$240,
LAMBDA(rEmisor,rPatron,rConcepto,rTipo,
IF(
AND(
OR(
UPPER(TRIM(rEmisor))=UPPER(TRIM(C742)),
UPPER(TRIM(rEmisor))=""CUALQUIERA""
),
OR(
UPPER(TRIM(rTipo"&amp;"))=""SOLO EMISOR"",
AND(
UPPER(TRIM(rTipo))=""EXACTA"",
UPPER(TRIM(D742))=UPPER(TRIM(rPatron))
),
AND(
OR(
UPPER(TRIM(rTipo))=""CONTIENE"",
UPPER(TRIM(rTipo))=""COINCIDENCIA""
),
ISNUMBER(SEARCH(UPPER(TRIM(rPatron)),UPPER(TRIM(D742))))
)
)
),
rConcepto,
"&amp;"""""
)
)
)&lt;&gt;""""
),
1
),
""""
)"),"MANIOBRAS")</f>
        <v>MANIOBRAS</v>
      </c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</row>
    <row r="743">
      <c r="A743" s="32"/>
      <c r="B743" s="32"/>
      <c r="C743" s="29" t="s">
        <v>271</v>
      </c>
      <c r="D743" s="29" t="s">
        <v>596</v>
      </c>
      <c r="E743" s="28">
        <v>656.65</v>
      </c>
      <c r="F743" s="28">
        <v>0.0</v>
      </c>
      <c r="G743" s="28" t="s">
        <v>84</v>
      </c>
      <c r="H743" s="28">
        <f t="array" ref="H743">INDEX(CC!C:C,MATCH(1,(CC!A:A=G743)*(CC!B:B=I743),0))</f>
        <v>1002</v>
      </c>
      <c r="I743" s="28" t="s">
        <v>25</v>
      </c>
      <c r="J743" s="31">
        <v>656.65</v>
      </c>
      <c r="K743" s="28" t="str">
        <f>IFERROR(__xludf.DUMMYFUNCTION("IFERROR(
INDEX(
FILTER(
MAP(
reglas!$B$2:$B$240,
reglas!$C$2:$C$240,
reglas!$D$2:$D$240,
reglas!$E$2:$E$240,
LAMBDA(rEmisor,rPatron,rConcepto,rTipo,
IF(
AND(
OR(
UPPER(TRIM(rEmisor))=UPPER(TRIM(C743)),
UPPER(TRIM(rEmisor))=""CUALQUIERA""
),
OR(
UPPER(TRIM"&amp;"(rTipo))=""SOLO EMISOR"",
AND(
UPPER(TRIM(rTipo))=""EXACTA"",
UPPER(TRIM(AG743))=UPPER(TRIM(rPatron))
),
AND(
OR(
UPPER(TRIM(rTipo))=""CONTIENE"",
UPPER(TRIM(rTipo))=""COINCIDENCIA""
),
ISNUMBER(SEARCH(UPPER(TRIM(rPatron)),UPPER(TRIM(D743))))
)
)
),
rConc"&amp;"epto,
""""
)
)
),
MAP(
reglas!$B$2:$B$240,
reglas!$C$2:$C$240,
reglas!$D$2:$D$240,
reglas!$E$2:$E$240,
LAMBDA(rEmisor,rPatron,rConcepto,rTipo,
IF(
AND(
OR(
UPPER(TRIM(rEmisor))=UPPER(TRIM(C743)),
UPPER(TRIM(rEmisor))=""CUALQUIERA""
),
OR(
UPPER(TRIM(rTipo"&amp;"))=""SOLO EMISOR"",
AND(
UPPER(TRIM(rTipo))=""EXACTA"",
UPPER(TRIM(D743))=UPPER(TRIM(rPatron))
),
AND(
OR(
UPPER(TRIM(rTipo))=""CONTIENE"",
UPPER(TRIM(rTipo))=""COINCIDENCIA""
),
ISNUMBER(SEARCH(UPPER(TRIM(rPatron)),UPPER(TRIM(D743))))
)
)
),
rConcepto,
"&amp;"""""
)
)
)&lt;&gt;""""
),
1
),
""""
)"),"MANIOBRAS")</f>
        <v>MANIOBRAS</v>
      </c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</row>
    <row r="744">
      <c r="A744" s="28">
        <v>1.0</v>
      </c>
      <c r="B744" s="28" t="s">
        <v>29</v>
      </c>
      <c r="C744" s="29" t="s">
        <v>215</v>
      </c>
      <c r="D744" s="29" t="s">
        <v>1720</v>
      </c>
      <c r="E744" s="28">
        <v>18000.0</v>
      </c>
      <c r="F744" s="28">
        <v>0.0</v>
      </c>
      <c r="G744" s="28" t="s">
        <v>581</v>
      </c>
      <c r="H744" s="28">
        <f t="array" ref="H744">INDEX(CC!C:C,MATCH(1,(CC!A:A=G744)*(CC!B:B=I744),0))</f>
        <v>202</v>
      </c>
      <c r="I744" s="28" t="s">
        <v>25</v>
      </c>
      <c r="J744" s="31">
        <v>18000.0</v>
      </c>
      <c r="K744" s="28" t="str">
        <f>IFERROR(__xludf.DUMMYFUNCTION("IFERROR(
INDEX(
FILTER(
MAP(
reglas!$B$2:$B$240,
reglas!$C$2:$C$240,
reglas!$D$2:$D$240,
reglas!$E$2:$E$240,
LAMBDA(rEmisor,rPatron,rConcepto,rTipo,
IF(
AND(
OR(
UPPER(TRIM(rEmisor))=UPPER(TRIM(C744)),
UPPER(TRIM(rEmisor))=""CUALQUIERA""
),
OR(
UPPER(TRIM"&amp;"(rTipo))=""SOLO EMISOR"",
AND(
UPPER(TRIM(rTipo))=""EXACTA"",
UPPER(TRIM(AG744))=UPPER(TRIM(rPatron))
),
AND(
OR(
UPPER(TRIM(rTipo))=""CONTIENE"",
UPPER(TRIM(rTipo))=""COINCIDENCIA""
),
ISNUMBER(SEARCH(UPPER(TRIM(rPatron)),UPPER(TRIM(D744))))
)
)
),
rConc"&amp;"epto,
""""
)
)
),
MAP(
reglas!$B$2:$B$240,
reglas!$C$2:$C$240,
reglas!$D$2:$D$240,
reglas!$E$2:$E$240,
LAMBDA(rEmisor,rPatron,rConcepto,rTipo,
IF(
AND(
OR(
UPPER(TRIM(rEmisor))=UPPER(TRIM(C744)),
UPPER(TRIM(rEmisor))=""CUALQUIERA""
),
OR(
UPPER(TRIM(rTipo"&amp;"))=""SOLO EMISOR"",
AND(
UPPER(TRIM(rTipo))=""EXACTA"",
UPPER(TRIM(D744))=UPPER(TRIM(rPatron))
),
AND(
OR(
UPPER(TRIM(rTipo))=""CONTIENE"",
UPPER(TRIM(rTipo))=""COINCIDENCIA""
),
ISNUMBER(SEARCH(UPPER(TRIM(rPatron)),UPPER(TRIM(D744))))
)
)
),
rConcepto,
"&amp;"""""
)
)
)&lt;&gt;""""
),
1
),
""""
)"),"ARRENDAMIENTO EQUIPO DE TRANSPORTE")</f>
        <v>ARRENDAMIENTO EQUIPO DE TRANSPORTE</v>
      </c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</row>
    <row r="745">
      <c r="A745" s="32"/>
      <c r="B745" s="32"/>
      <c r="C745" s="29" t="s">
        <v>215</v>
      </c>
      <c r="D745" s="29" t="s">
        <v>1721</v>
      </c>
      <c r="E745" s="28">
        <v>6300.0</v>
      </c>
      <c r="F745" s="28">
        <v>0.0</v>
      </c>
      <c r="G745" s="28" t="s">
        <v>581</v>
      </c>
      <c r="H745" s="28">
        <f t="array" ref="H745">INDEX(CC!C:C,MATCH(1,(CC!A:A=G745)*(CC!B:B=I745),0))</f>
        <v>202</v>
      </c>
      <c r="I745" s="28" t="s">
        <v>25</v>
      </c>
      <c r="J745" s="31">
        <v>6300.0</v>
      </c>
      <c r="K745" s="28" t="str">
        <f>IFERROR(__xludf.DUMMYFUNCTION("IFERROR(
INDEX(
FILTER(
MAP(
reglas!$B$2:$B$240,
reglas!$C$2:$C$240,
reglas!$D$2:$D$240,
reglas!$E$2:$E$240,
LAMBDA(rEmisor,rPatron,rConcepto,rTipo,
IF(
AND(
OR(
UPPER(TRIM(rEmisor))=UPPER(TRIM(C745)),
UPPER(TRIM(rEmisor))=""CUALQUIERA""
),
OR(
UPPER(TRIM"&amp;"(rTipo))=""SOLO EMISOR"",
AND(
UPPER(TRIM(rTipo))=""EXACTA"",
UPPER(TRIM(AG745))=UPPER(TRIM(rPatron))
),
AND(
OR(
UPPER(TRIM(rTipo))=""CONTIENE"",
UPPER(TRIM(rTipo))=""COINCIDENCIA""
),
ISNUMBER(SEARCH(UPPER(TRIM(rPatron)),UPPER(TRIM(D745))))
)
)
),
rConc"&amp;"epto,
""""
)
)
),
MAP(
reglas!$B$2:$B$240,
reglas!$C$2:$C$240,
reglas!$D$2:$D$240,
reglas!$E$2:$E$240,
LAMBDA(rEmisor,rPatron,rConcepto,rTipo,
IF(
AND(
OR(
UPPER(TRIM(rEmisor))=UPPER(TRIM(C745)),
UPPER(TRIM(rEmisor))=""CUALQUIERA""
),
OR(
UPPER(TRIM(rTipo"&amp;"))=""SOLO EMISOR"",
AND(
UPPER(TRIM(rTipo))=""EXACTA"",
UPPER(TRIM(D745))=UPPER(TRIM(rPatron))
),
AND(
OR(
UPPER(TRIM(rTipo))=""CONTIENE"",
UPPER(TRIM(rTipo))=""COINCIDENCIA""
),
ISNUMBER(SEARCH(UPPER(TRIM(rPatron)),UPPER(TRIM(D745))))
)
)
),
rConcepto,
"&amp;"""""
)
)
)&lt;&gt;""""
),
1
),
""""
)"),"ARRENDAMIENTO EQUIPO DE TRANSPORTE")</f>
        <v>ARRENDAMIENTO EQUIPO DE TRANSPORTE</v>
      </c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</row>
    <row r="746">
      <c r="A746" s="32"/>
      <c r="B746" s="32"/>
      <c r="C746" s="29" t="s">
        <v>215</v>
      </c>
      <c r="D746" s="29" t="s">
        <v>1722</v>
      </c>
      <c r="E746" s="28">
        <v>6300.0</v>
      </c>
      <c r="F746" s="28">
        <v>0.0</v>
      </c>
      <c r="G746" s="28" t="s">
        <v>581</v>
      </c>
      <c r="H746" s="28">
        <f t="array" ref="H746">INDEX(CC!C:C,MATCH(1,(CC!A:A=G746)*(CC!B:B=I746),0))</f>
        <v>202</v>
      </c>
      <c r="I746" s="28" t="s">
        <v>25</v>
      </c>
      <c r="J746" s="31">
        <v>6300.0</v>
      </c>
      <c r="K746" s="28" t="str">
        <f>IFERROR(__xludf.DUMMYFUNCTION("IFERROR(
INDEX(
FILTER(
MAP(
reglas!$B$2:$B$240,
reglas!$C$2:$C$240,
reglas!$D$2:$D$240,
reglas!$E$2:$E$240,
LAMBDA(rEmisor,rPatron,rConcepto,rTipo,
IF(
AND(
OR(
UPPER(TRIM(rEmisor))=UPPER(TRIM(C746)),
UPPER(TRIM(rEmisor))=""CUALQUIERA""
),
OR(
UPPER(TRIM"&amp;"(rTipo))=""SOLO EMISOR"",
AND(
UPPER(TRIM(rTipo))=""EXACTA"",
UPPER(TRIM(AG746))=UPPER(TRIM(rPatron))
),
AND(
OR(
UPPER(TRIM(rTipo))=""CONTIENE"",
UPPER(TRIM(rTipo))=""COINCIDENCIA""
),
ISNUMBER(SEARCH(UPPER(TRIM(rPatron)),UPPER(TRIM(D746))))
)
)
),
rConc"&amp;"epto,
""""
)
)
),
MAP(
reglas!$B$2:$B$240,
reglas!$C$2:$C$240,
reglas!$D$2:$D$240,
reglas!$E$2:$E$240,
LAMBDA(rEmisor,rPatron,rConcepto,rTipo,
IF(
AND(
OR(
UPPER(TRIM(rEmisor))=UPPER(TRIM(C746)),
UPPER(TRIM(rEmisor))=""CUALQUIERA""
),
OR(
UPPER(TRIM(rTipo"&amp;"))=""SOLO EMISOR"",
AND(
UPPER(TRIM(rTipo))=""EXACTA"",
UPPER(TRIM(D746))=UPPER(TRIM(rPatron))
),
AND(
OR(
UPPER(TRIM(rTipo))=""CONTIENE"",
UPPER(TRIM(rTipo))=""COINCIDENCIA""
),
ISNUMBER(SEARCH(UPPER(TRIM(rPatron)),UPPER(TRIM(D746))))
)
)
),
rConcepto,
"&amp;"""""
)
)
)&lt;&gt;""""
),
1
),
""""
)"),"ARRENDAMIENTO EQUIPO DE TRANSPORTE")</f>
        <v>ARRENDAMIENTO EQUIPO DE TRANSPORTE</v>
      </c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</row>
    <row r="747">
      <c r="A747" s="32"/>
      <c r="B747" s="28" t="s">
        <v>29</v>
      </c>
      <c r="C747" s="29" t="s">
        <v>276</v>
      </c>
      <c r="D747" s="29" t="s">
        <v>73</v>
      </c>
      <c r="E747" s="28">
        <v>3071.0</v>
      </c>
      <c r="F747" s="28">
        <v>0.0</v>
      </c>
      <c r="G747" s="28" t="s">
        <v>74</v>
      </c>
      <c r="H747" s="28">
        <f t="array" ref="H747">INDEX(CC!C:C,MATCH(1,(CC!A:A=G747)*(CC!B:B=I747),0))</f>
        <v>1503</v>
      </c>
      <c r="I747" s="28" t="s">
        <v>44</v>
      </c>
      <c r="J747" s="31">
        <v>3071.0</v>
      </c>
      <c r="K747" s="28" t="str">
        <f>IFERROR(__xludf.DUMMYFUNCTION("IFERROR(
INDEX(
FILTER(
MAP(
reglas!$B$2:$B$240,
reglas!$C$2:$C$240,
reglas!$D$2:$D$240,
reglas!$E$2:$E$240,
LAMBDA(rEmisor,rPatron,rConcepto,rTipo,
IF(
AND(
OR(
UPPER(TRIM(rEmisor))=UPPER(TRIM(C747)),
UPPER(TRIM(rEmisor))=""CUALQUIERA""
),
OR(
UPPER(TRIM"&amp;"(rTipo))=""SOLO EMISOR"",
AND(
UPPER(TRIM(rTipo))=""EXACTA"",
UPPER(TRIM(AG747))=UPPER(TRIM(rPatron))
),
AND(
OR(
UPPER(TRIM(rTipo))=""CONTIENE"",
UPPER(TRIM(rTipo))=""COINCIDENCIA""
),
ISNUMBER(SEARCH(UPPER(TRIM(rPatron)),UPPER(TRIM(D747))))
)
)
),
rConc"&amp;"epto,
""""
)
)
),
MAP(
reglas!$B$2:$B$240,
reglas!$C$2:$C$240,
reglas!$D$2:$D$240,
reglas!$E$2:$E$240,
LAMBDA(rEmisor,rPatron,rConcepto,rTipo,
IF(
AND(
OR(
UPPER(TRIM(rEmisor))=UPPER(TRIM(C747)),
UPPER(TRIM(rEmisor))=""CUALQUIERA""
),
OR(
UPPER(TRIM(rTipo"&amp;"))=""SOLO EMISOR"",
AND(
UPPER(TRIM(rTipo))=""EXACTA"",
UPPER(TRIM(D747))=UPPER(TRIM(rPatron))
),
AND(
OR(
UPPER(TRIM(rTipo))=""CONTIENE"",
UPPER(TRIM(rTipo))=""COINCIDENCIA""
),
ISNUMBER(SEARCH(UPPER(TRIM(rPatron)),UPPER(TRIM(D747))))
)
)
),
rConcepto,
"&amp;"""""
)
)
)&lt;&gt;""""
),
1
),
""""
)"),"MANIOBRAS")</f>
        <v>MANIOBRAS</v>
      </c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</row>
    <row r="748">
      <c r="A748" s="32"/>
      <c r="B748" s="32"/>
      <c r="C748" s="29" t="s">
        <v>276</v>
      </c>
      <c r="D748" s="29" t="s">
        <v>1038</v>
      </c>
      <c r="E748" s="28">
        <v>4360.25</v>
      </c>
      <c r="F748" s="28">
        <v>0.0</v>
      </c>
      <c r="G748" s="28" t="s">
        <v>74</v>
      </c>
      <c r="H748" s="28">
        <f t="array" ref="H748">INDEX(CC!C:C,MATCH(1,(CC!A:A=G748)*(CC!B:B=I748),0))</f>
        <v>1503</v>
      </c>
      <c r="I748" s="28" t="s">
        <v>44</v>
      </c>
      <c r="J748" s="31">
        <v>4360.25</v>
      </c>
      <c r="K748" s="28" t="str">
        <f>IFERROR(__xludf.DUMMYFUNCTION("IFERROR(
INDEX(
FILTER(
MAP(
reglas!$B$2:$B$240,
reglas!$C$2:$C$240,
reglas!$D$2:$D$240,
reglas!$E$2:$E$240,
LAMBDA(rEmisor,rPatron,rConcepto,rTipo,
IF(
AND(
OR(
UPPER(TRIM(rEmisor))=UPPER(TRIM(C748)),
UPPER(TRIM(rEmisor))=""CUALQUIERA""
),
OR(
UPPER(TRIM"&amp;"(rTipo))=""SOLO EMISOR"",
AND(
UPPER(TRIM(rTipo))=""EXACTA"",
UPPER(TRIM(AG748))=UPPER(TRIM(rPatron))
),
AND(
OR(
UPPER(TRIM(rTipo))=""CONTIENE"",
UPPER(TRIM(rTipo))=""COINCIDENCIA""
),
ISNUMBER(SEARCH(UPPER(TRIM(rPatron)),UPPER(TRIM(D748))))
)
)
),
rConc"&amp;"epto,
""""
)
)
),
MAP(
reglas!$B$2:$B$240,
reglas!$C$2:$C$240,
reglas!$D$2:$D$240,
reglas!$E$2:$E$240,
LAMBDA(rEmisor,rPatron,rConcepto,rTipo,
IF(
AND(
OR(
UPPER(TRIM(rEmisor))=UPPER(TRIM(C748)),
UPPER(TRIM(rEmisor))=""CUALQUIERA""
),
OR(
UPPER(TRIM(rTipo"&amp;"))=""SOLO EMISOR"",
AND(
UPPER(TRIM(rTipo))=""EXACTA"",
UPPER(TRIM(D748))=UPPER(TRIM(rPatron))
),
AND(
OR(
UPPER(TRIM(rTipo))=""CONTIENE"",
UPPER(TRIM(rTipo))=""COINCIDENCIA""
),
ISNUMBER(SEARCH(UPPER(TRIM(rPatron)),UPPER(TRIM(D748))))
)
)
),
rConcepto,
"&amp;"""""
)
)
)&lt;&gt;""""
),
1
),
""""
)"),"MANIOBRAS")</f>
        <v>MANIOBRAS</v>
      </c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</row>
    <row r="749">
      <c r="A749" s="32"/>
      <c r="B749" s="32"/>
      <c r="C749" s="29" t="s">
        <v>276</v>
      </c>
      <c r="D749" s="29" t="s">
        <v>77</v>
      </c>
      <c r="E749" s="28">
        <v>800.0</v>
      </c>
      <c r="F749" s="28">
        <v>0.0</v>
      </c>
      <c r="G749" s="28" t="s">
        <v>74</v>
      </c>
      <c r="H749" s="28">
        <f t="array" ref="H749">INDEX(CC!C:C,MATCH(1,(CC!A:A=G749)*(CC!B:B=I749),0))</f>
        <v>1503</v>
      </c>
      <c r="I749" s="28" t="s">
        <v>44</v>
      </c>
      <c r="J749" s="31">
        <v>800.0</v>
      </c>
      <c r="K749" s="28" t="str">
        <f>IFERROR(__xludf.DUMMYFUNCTION("IFERROR(
INDEX(
FILTER(
MAP(
reglas!$B$2:$B$240,
reglas!$C$2:$C$240,
reglas!$D$2:$D$240,
reglas!$E$2:$E$240,
LAMBDA(rEmisor,rPatron,rConcepto,rTipo,
IF(
AND(
OR(
UPPER(TRIM(rEmisor))=UPPER(TRIM(C749)),
UPPER(TRIM(rEmisor))=""CUALQUIERA""
),
OR(
UPPER(TRIM"&amp;"(rTipo))=""SOLO EMISOR"",
AND(
UPPER(TRIM(rTipo))=""EXACTA"",
UPPER(TRIM(AG749))=UPPER(TRIM(rPatron))
),
AND(
OR(
UPPER(TRIM(rTipo))=""CONTIENE"",
UPPER(TRIM(rTipo))=""COINCIDENCIA""
),
ISNUMBER(SEARCH(UPPER(TRIM(rPatron)),UPPER(TRIM(D749))))
)
)
),
rConc"&amp;"epto,
""""
)
)
),
MAP(
reglas!$B$2:$B$240,
reglas!$C$2:$C$240,
reglas!$D$2:$D$240,
reglas!$E$2:$E$240,
LAMBDA(rEmisor,rPatron,rConcepto,rTipo,
IF(
AND(
OR(
UPPER(TRIM(rEmisor))=UPPER(TRIM(C749)),
UPPER(TRIM(rEmisor))=""CUALQUIERA""
),
OR(
UPPER(TRIM(rTipo"&amp;"))=""SOLO EMISOR"",
AND(
UPPER(TRIM(rTipo))=""EXACTA"",
UPPER(TRIM(D749))=UPPER(TRIM(rPatron))
),
AND(
OR(
UPPER(TRIM(rTipo))=""CONTIENE"",
UPPER(TRIM(rTipo))=""COINCIDENCIA""
),
ISNUMBER(SEARCH(UPPER(TRIM(rPatron)),UPPER(TRIM(D749))))
)
)
),
rConcepto,
"&amp;"""""
)
)
)&lt;&gt;""""
),
1
),
""""
)"),"MANIOBRAS")</f>
        <v>MANIOBRAS</v>
      </c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</row>
    <row r="750">
      <c r="A750" s="32"/>
      <c r="B750" s="32"/>
      <c r="C750" s="29" t="s">
        <v>276</v>
      </c>
      <c r="D750" s="29" t="s">
        <v>1039</v>
      </c>
      <c r="E750" s="28">
        <v>619.36</v>
      </c>
      <c r="F750" s="28">
        <v>0.0</v>
      </c>
      <c r="G750" s="28" t="s">
        <v>74</v>
      </c>
      <c r="H750" s="28">
        <f t="array" ref="H750">INDEX(CC!C:C,MATCH(1,(CC!A:A=G750)*(CC!B:B=I750),0))</f>
        <v>1503</v>
      </c>
      <c r="I750" s="28" t="s">
        <v>44</v>
      </c>
      <c r="J750" s="31">
        <v>619.36</v>
      </c>
      <c r="K750" s="28" t="str">
        <f>IFERROR(__xludf.DUMMYFUNCTION("IFERROR(
INDEX(
FILTER(
MAP(
reglas!$B$2:$B$240,
reglas!$C$2:$C$240,
reglas!$D$2:$D$240,
reglas!$E$2:$E$240,
LAMBDA(rEmisor,rPatron,rConcepto,rTipo,
IF(
AND(
OR(
UPPER(TRIM(rEmisor))=UPPER(TRIM(C750)),
UPPER(TRIM(rEmisor))=""CUALQUIERA""
),
OR(
UPPER(TRIM"&amp;"(rTipo))=""SOLO EMISOR"",
AND(
UPPER(TRIM(rTipo))=""EXACTA"",
UPPER(TRIM(AG750))=UPPER(TRIM(rPatron))
),
AND(
OR(
UPPER(TRIM(rTipo))=""CONTIENE"",
UPPER(TRIM(rTipo))=""COINCIDENCIA""
),
ISNUMBER(SEARCH(UPPER(TRIM(rPatron)),UPPER(TRIM(D750))))
)
)
),
rConc"&amp;"epto,
""""
)
)
),
MAP(
reglas!$B$2:$B$240,
reglas!$C$2:$C$240,
reglas!$D$2:$D$240,
reglas!$E$2:$E$240,
LAMBDA(rEmisor,rPatron,rConcepto,rTipo,
IF(
AND(
OR(
UPPER(TRIM(rEmisor))=UPPER(TRIM(C750)),
UPPER(TRIM(rEmisor))=""CUALQUIERA""
),
OR(
UPPER(TRIM(rTipo"&amp;"))=""SOLO EMISOR"",
AND(
UPPER(TRIM(rTipo))=""EXACTA"",
UPPER(TRIM(D750))=UPPER(TRIM(rPatron))
),
AND(
OR(
UPPER(TRIM(rTipo))=""CONTIENE"",
UPPER(TRIM(rTipo))=""COINCIDENCIA""
),
ISNUMBER(SEARCH(UPPER(TRIM(rPatron)),UPPER(TRIM(D750))))
)
)
),
rConcepto,
"&amp;"""""
)
)
)&lt;&gt;""""
),
1
),
""""
)"),"MANIOBRAS")</f>
        <v>MANIOBRAS</v>
      </c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</row>
    <row r="751">
      <c r="A751" s="32"/>
      <c r="B751" s="28" t="s">
        <v>29</v>
      </c>
      <c r="C751" s="29" t="s">
        <v>1723</v>
      </c>
      <c r="D751" s="29" t="s">
        <v>1724</v>
      </c>
      <c r="E751" s="28">
        <v>700.0</v>
      </c>
      <c r="F751" s="28">
        <v>0.0</v>
      </c>
      <c r="G751" s="28" t="s">
        <v>84</v>
      </c>
      <c r="H751" s="28">
        <f t="array" ref="H751">INDEX(CC!C:C,MATCH(1,(CC!A:A=G751)*(CC!B:B=I751),0))</f>
        <v>1003</v>
      </c>
      <c r="I751" s="28" t="s">
        <v>44</v>
      </c>
      <c r="J751" s="31">
        <v>700.0</v>
      </c>
      <c r="K751" s="28" t="str">
        <f>IFERROR(__xludf.DUMMYFUNCTION("IFERROR(
INDEX(
FILTER(
MAP(
reglas!$B$2:$B$240,
reglas!$C$2:$C$240,
reglas!$D$2:$D$240,
reglas!$E$2:$E$240,
LAMBDA(rEmisor,rPatron,rConcepto,rTipo,
IF(
AND(
OR(
UPPER(TRIM(rEmisor))=UPPER(TRIM(C751)),
UPPER(TRIM(rEmisor))=""CUALQUIERA""
),
OR(
UPPER(TRIM"&amp;"(rTipo))=""SOLO EMISOR"",
AND(
UPPER(TRIM(rTipo))=""EXACTA"",
UPPER(TRIM(AG751))=UPPER(TRIM(rPatron))
),
AND(
OR(
UPPER(TRIM(rTipo))=""CONTIENE"",
UPPER(TRIM(rTipo))=""COINCIDENCIA""
),
ISNUMBER(SEARCH(UPPER(TRIM(rPatron)),UPPER(TRIM(D751))))
)
)
),
rConc"&amp;"epto,
""""
)
)
),
MAP(
reglas!$B$2:$B$240,
reglas!$C$2:$C$240,
reglas!$D$2:$D$240,
reglas!$E$2:$E$240,
LAMBDA(rEmisor,rPatron,rConcepto,rTipo,
IF(
AND(
OR(
UPPER(TRIM(rEmisor))=UPPER(TRIM(C751)),
UPPER(TRIM(rEmisor))=""CUALQUIERA""
),
OR(
UPPER(TRIM(rTipo"&amp;"))=""SOLO EMISOR"",
AND(
UPPER(TRIM(rTipo))=""EXACTA"",
UPPER(TRIM(D751))=UPPER(TRIM(rPatron))
),
AND(
OR(
UPPER(TRIM(rTipo))=""CONTIENE"",
UPPER(TRIM(rTipo))=""COINCIDENCIA""
),
ISNUMBER(SEARCH(UPPER(TRIM(rPatron)),UPPER(TRIM(D751))))
)
)
),
rConcepto,
"&amp;"""""
)
)
)&lt;&gt;""""
),
1
),
""""
)"),"")</f>
        <v/>
      </c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</row>
    <row r="752">
      <c r="A752" s="32"/>
      <c r="B752" s="28" t="s">
        <v>29</v>
      </c>
      <c r="C752" s="29" t="s">
        <v>172</v>
      </c>
      <c r="D752" s="29" t="s">
        <v>1710</v>
      </c>
      <c r="E752" s="28">
        <v>11500.0</v>
      </c>
      <c r="F752" s="28">
        <v>0.0</v>
      </c>
      <c r="G752" s="28" t="s">
        <v>250</v>
      </c>
      <c r="H752" s="28">
        <f t="array" ref="H752">INDEX(CC!C:C,MATCH(1,(CC!A:A=G752)*(CC!B:B=I752),0))</f>
        <v>1402</v>
      </c>
      <c r="I752" s="28" t="s">
        <v>25</v>
      </c>
      <c r="J752" s="31">
        <v>11500.0</v>
      </c>
      <c r="K752" s="28" t="str">
        <f>IFERROR(__xludf.DUMMYFUNCTION("IFERROR(
INDEX(
FILTER(
MAP(
reglas!$B$2:$B$240,
reglas!$C$2:$C$240,
reglas!$D$2:$D$240,
reglas!$E$2:$E$240,
LAMBDA(rEmisor,rPatron,rConcepto,rTipo,
IF(
AND(
OR(
UPPER(TRIM(rEmisor))=UPPER(TRIM(C752)),
UPPER(TRIM(rEmisor))=""CUALQUIERA""
),
OR(
UPPER(TRIM"&amp;"(rTipo))=""SOLO EMISOR"",
AND(
UPPER(TRIM(rTipo))=""EXACTA"",
UPPER(TRIM(AG752))=UPPER(TRIM(rPatron))
),
AND(
OR(
UPPER(TRIM(rTipo))=""CONTIENE"",
UPPER(TRIM(rTipo))=""COINCIDENCIA""
),
ISNUMBER(SEARCH(UPPER(TRIM(rPatron)),UPPER(TRIM(D752))))
)
)
),
rConc"&amp;"epto,
""""
)
)
),
MAP(
reglas!$B$2:$B$240,
reglas!$C$2:$C$240,
reglas!$D$2:$D$240,
reglas!$E$2:$E$240,
LAMBDA(rEmisor,rPatron,rConcepto,rTipo,
IF(
AND(
OR(
UPPER(TRIM(rEmisor))=UPPER(TRIM(C752)),
UPPER(TRIM(rEmisor))=""CUALQUIERA""
),
OR(
UPPER(TRIM(rTipo"&amp;"))=""SOLO EMISOR"",
AND(
UPPER(TRIM(rTipo))=""EXACTA"",
UPPER(TRIM(D752))=UPPER(TRIM(rPatron))
),
AND(
OR(
UPPER(TRIM(rTipo))=""CONTIENE"",
UPPER(TRIM(rTipo))=""COINCIDENCIA""
),
ISNUMBER(SEARCH(UPPER(TRIM(rPatron)),UPPER(TRIM(D752))))
)
)
),
rConcepto,
"&amp;"""""
)
)
)&lt;&gt;""""
),
1
),
""""
)"),"TRANSPORTE")</f>
        <v>TRANSPORTE</v>
      </c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</row>
    <row r="753">
      <c r="A753" s="28">
        <v>1.0</v>
      </c>
      <c r="B753" s="28" t="s">
        <v>29</v>
      </c>
      <c r="C753" s="29" t="s">
        <v>271</v>
      </c>
      <c r="D753" s="29" t="s">
        <v>585</v>
      </c>
      <c r="E753" s="28">
        <v>626.67</v>
      </c>
      <c r="F753" s="28">
        <v>0.0</v>
      </c>
      <c r="G753" s="28" t="s">
        <v>84</v>
      </c>
      <c r="H753" s="28">
        <f t="array" ref="H753">INDEX(CC!C:C,MATCH(1,(CC!A:A=G753)*(CC!B:B=I753),0))</f>
        <v>1002</v>
      </c>
      <c r="I753" s="28" t="s">
        <v>25</v>
      </c>
      <c r="J753" s="31">
        <v>626.67</v>
      </c>
      <c r="K753" s="28" t="str">
        <f>IFERROR(__xludf.DUMMYFUNCTION("IFERROR(
INDEX(
FILTER(
MAP(
reglas!$B$2:$B$240,
reglas!$C$2:$C$240,
reglas!$D$2:$D$240,
reglas!$E$2:$E$240,
LAMBDA(rEmisor,rPatron,rConcepto,rTipo,
IF(
AND(
OR(
UPPER(TRIM(rEmisor))=UPPER(TRIM(C753)),
UPPER(TRIM(rEmisor))=""CUALQUIERA""
),
OR(
UPPER(TRIM"&amp;"(rTipo))=""SOLO EMISOR"",
AND(
UPPER(TRIM(rTipo))=""EXACTA"",
UPPER(TRIM(AG753))=UPPER(TRIM(rPatron))
),
AND(
OR(
UPPER(TRIM(rTipo))=""CONTIENE"",
UPPER(TRIM(rTipo))=""COINCIDENCIA""
),
ISNUMBER(SEARCH(UPPER(TRIM(rPatron)),UPPER(TRIM(D753))))
)
)
),
rConc"&amp;"epto,
""""
)
)
),
MAP(
reglas!$B$2:$B$240,
reglas!$C$2:$C$240,
reglas!$D$2:$D$240,
reglas!$E$2:$E$240,
LAMBDA(rEmisor,rPatron,rConcepto,rTipo,
IF(
AND(
OR(
UPPER(TRIM(rEmisor))=UPPER(TRIM(C753)),
UPPER(TRIM(rEmisor))=""CUALQUIERA""
),
OR(
UPPER(TRIM(rTipo"&amp;"))=""SOLO EMISOR"",
AND(
UPPER(TRIM(rTipo))=""EXACTA"",
UPPER(TRIM(D753))=UPPER(TRIM(rPatron))
),
AND(
OR(
UPPER(TRIM(rTipo))=""CONTIENE"",
UPPER(TRIM(rTipo))=""COINCIDENCIA""
),
ISNUMBER(SEARCH(UPPER(TRIM(rPatron)),UPPER(TRIM(D753))))
)
)
),
rConcepto,
"&amp;"""""
)
)
)&lt;&gt;""""
),
1
),
""""
)"),"MANIOBRAS")</f>
        <v>MANIOBRAS</v>
      </c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</row>
    <row r="754">
      <c r="A754" s="32"/>
      <c r="B754" s="32"/>
      <c r="C754" s="29" t="s">
        <v>271</v>
      </c>
      <c r="D754" s="29" t="s">
        <v>587</v>
      </c>
      <c r="E754" s="28">
        <v>573.36</v>
      </c>
      <c r="F754" s="28">
        <v>0.0</v>
      </c>
      <c r="G754" s="28" t="s">
        <v>84</v>
      </c>
      <c r="H754" s="28">
        <f t="array" ref="H754">INDEX(CC!C:C,MATCH(1,(CC!A:A=G754)*(CC!B:B=I754),0))</f>
        <v>1002</v>
      </c>
      <c r="I754" s="28" t="s">
        <v>25</v>
      </c>
      <c r="J754" s="31">
        <v>573.36</v>
      </c>
      <c r="K754" s="28" t="str">
        <f>IFERROR(__xludf.DUMMYFUNCTION("IFERROR(
INDEX(
FILTER(
MAP(
reglas!$B$2:$B$240,
reglas!$C$2:$C$240,
reglas!$D$2:$D$240,
reglas!$E$2:$E$240,
LAMBDA(rEmisor,rPatron,rConcepto,rTipo,
IF(
AND(
OR(
UPPER(TRIM(rEmisor))=UPPER(TRIM(C754)),
UPPER(TRIM(rEmisor))=""CUALQUIERA""
),
OR(
UPPER(TRIM"&amp;"(rTipo))=""SOLO EMISOR"",
AND(
UPPER(TRIM(rTipo))=""EXACTA"",
UPPER(TRIM(AG754))=UPPER(TRIM(rPatron))
),
AND(
OR(
UPPER(TRIM(rTipo))=""CONTIENE"",
UPPER(TRIM(rTipo))=""COINCIDENCIA""
),
ISNUMBER(SEARCH(UPPER(TRIM(rPatron)),UPPER(TRIM(D754))))
)
)
),
rConc"&amp;"epto,
""""
)
)
),
MAP(
reglas!$B$2:$B$240,
reglas!$C$2:$C$240,
reglas!$D$2:$D$240,
reglas!$E$2:$E$240,
LAMBDA(rEmisor,rPatron,rConcepto,rTipo,
IF(
AND(
OR(
UPPER(TRIM(rEmisor))=UPPER(TRIM(C754)),
UPPER(TRIM(rEmisor))=""CUALQUIERA""
),
OR(
UPPER(TRIM(rTipo"&amp;"))=""SOLO EMISOR"",
AND(
UPPER(TRIM(rTipo))=""EXACTA"",
UPPER(TRIM(D754))=UPPER(TRIM(rPatron))
),
AND(
OR(
UPPER(TRIM(rTipo))=""CONTIENE"",
UPPER(TRIM(rTipo))=""COINCIDENCIA""
),
ISNUMBER(SEARCH(UPPER(TRIM(rPatron)),UPPER(TRIM(D754))))
)
)
),
rConcepto,
"&amp;"""""
)
)
)&lt;&gt;""""
),
1
),
""""
)"),"MANIOBRAS")</f>
        <v>MANIOBRAS</v>
      </c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</row>
    <row r="755">
      <c r="A755" s="32"/>
      <c r="B755" s="32"/>
      <c r="C755" s="29" t="s">
        <v>271</v>
      </c>
      <c r="D755" s="29" t="s">
        <v>589</v>
      </c>
      <c r="E755" s="28">
        <v>627.01</v>
      </c>
      <c r="F755" s="28">
        <v>0.0</v>
      </c>
      <c r="G755" s="28" t="s">
        <v>84</v>
      </c>
      <c r="H755" s="28">
        <f t="array" ref="H755">INDEX(CC!C:C,MATCH(1,(CC!A:A=G755)*(CC!B:B=I755),0))</f>
        <v>1002</v>
      </c>
      <c r="I755" s="28" t="s">
        <v>25</v>
      </c>
      <c r="J755" s="31">
        <v>627.01</v>
      </c>
      <c r="K755" s="28" t="str">
        <f>IFERROR(__xludf.DUMMYFUNCTION("IFERROR(
INDEX(
FILTER(
MAP(
reglas!$B$2:$B$240,
reglas!$C$2:$C$240,
reglas!$D$2:$D$240,
reglas!$E$2:$E$240,
LAMBDA(rEmisor,rPatron,rConcepto,rTipo,
IF(
AND(
OR(
UPPER(TRIM(rEmisor))=UPPER(TRIM(C755)),
UPPER(TRIM(rEmisor))=""CUALQUIERA""
),
OR(
UPPER(TRIM"&amp;"(rTipo))=""SOLO EMISOR"",
AND(
UPPER(TRIM(rTipo))=""EXACTA"",
UPPER(TRIM(AG755))=UPPER(TRIM(rPatron))
),
AND(
OR(
UPPER(TRIM(rTipo))=""CONTIENE"",
UPPER(TRIM(rTipo))=""COINCIDENCIA""
),
ISNUMBER(SEARCH(UPPER(TRIM(rPatron)),UPPER(TRIM(D755))))
)
)
),
rConc"&amp;"epto,
""""
)
)
),
MAP(
reglas!$B$2:$B$240,
reglas!$C$2:$C$240,
reglas!$D$2:$D$240,
reglas!$E$2:$E$240,
LAMBDA(rEmisor,rPatron,rConcepto,rTipo,
IF(
AND(
OR(
UPPER(TRIM(rEmisor))=UPPER(TRIM(C755)),
UPPER(TRIM(rEmisor))=""CUALQUIERA""
),
OR(
UPPER(TRIM(rTipo"&amp;"))=""SOLO EMISOR"",
AND(
UPPER(TRIM(rTipo))=""EXACTA"",
UPPER(TRIM(D755))=UPPER(TRIM(rPatron))
),
AND(
OR(
UPPER(TRIM(rTipo))=""CONTIENE"",
UPPER(TRIM(rTipo))=""COINCIDENCIA""
),
ISNUMBER(SEARCH(UPPER(TRIM(rPatron)),UPPER(TRIM(D755))))
)
)
),
rConcepto,
"&amp;"""""
)
)
)&lt;&gt;""""
),
1
),
""""
)"),"MANIOBRAS")</f>
        <v>MANIOBRAS</v>
      </c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</row>
    <row r="756">
      <c r="A756" s="32"/>
      <c r="B756" s="32"/>
      <c r="C756" s="29" t="s">
        <v>271</v>
      </c>
      <c r="D756" s="29" t="s">
        <v>596</v>
      </c>
      <c r="E756" s="28">
        <v>657.86</v>
      </c>
      <c r="F756" s="28">
        <v>0.0</v>
      </c>
      <c r="G756" s="28" t="s">
        <v>84</v>
      </c>
      <c r="H756" s="28">
        <f t="array" ref="H756">INDEX(CC!C:C,MATCH(1,(CC!A:A=G756)*(CC!B:B=I756),0))</f>
        <v>1002</v>
      </c>
      <c r="I756" s="28" t="s">
        <v>25</v>
      </c>
      <c r="J756" s="31">
        <v>657.86</v>
      </c>
      <c r="K756" s="28" t="str">
        <f>IFERROR(__xludf.DUMMYFUNCTION("IFERROR(
INDEX(
FILTER(
MAP(
reglas!$B$2:$B$240,
reglas!$C$2:$C$240,
reglas!$D$2:$D$240,
reglas!$E$2:$E$240,
LAMBDA(rEmisor,rPatron,rConcepto,rTipo,
IF(
AND(
OR(
UPPER(TRIM(rEmisor))=UPPER(TRIM(C756)),
UPPER(TRIM(rEmisor))=""CUALQUIERA""
),
OR(
UPPER(TRIM"&amp;"(rTipo))=""SOLO EMISOR"",
AND(
UPPER(TRIM(rTipo))=""EXACTA"",
UPPER(TRIM(AG756))=UPPER(TRIM(rPatron))
),
AND(
OR(
UPPER(TRIM(rTipo))=""CONTIENE"",
UPPER(TRIM(rTipo))=""COINCIDENCIA""
),
ISNUMBER(SEARCH(UPPER(TRIM(rPatron)),UPPER(TRIM(D756))))
)
)
),
rConc"&amp;"epto,
""""
)
)
),
MAP(
reglas!$B$2:$B$240,
reglas!$C$2:$C$240,
reglas!$D$2:$D$240,
reglas!$E$2:$E$240,
LAMBDA(rEmisor,rPatron,rConcepto,rTipo,
IF(
AND(
OR(
UPPER(TRIM(rEmisor))=UPPER(TRIM(C756)),
UPPER(TRIM(rEmisor))=""CUALQUIERA""
),
OR(
UPPER(TRIM(rTipo"&amp;"))=""SOLO EMISOR"",
AND(
UPPER(TRIM(rTipo))=""EXACTA"",
UPPER(TRIM(D756))=UPPER(TRIM(rPatron))
),
AND(
OR(
UPPER(TRIM(rTipo))=""CONTIENE"",
UPPER(TRIM(rTipo))=""COINCIDENCIA""
),
ISNUMBER(SEARCH(UPPER(TRIM(rPatron)),UPPER(TRIM(D756))))
)
)
),
rConcepto,
"&amp;"""""
)
)
)&lt;&gt;""""
),
1
),
""""
)"),"MANIOBRAS")</f>
        <v>MANIOBRAS</v>
      </c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</row>
    <row r="757">
      <c r="A757" s="32"/>
      <c r="B757" s="28" t="s">
        <v>29</v>
      </c>
      <c r="C757" s="29" t="s">
        <v>224</v>
      </c>
      <c r="D757" s="29" t="s">
        <v>1725</v>
      </c>
      <c r="E757" s="28">
        <v>1181.25</v>
      </c>
      <c r="F757" s="28">
        <v>0.0</v>
      </c>
      <c r="G757" s="28" t="s">
        <v>40</v>
      </c>
      <c r="H757" s="28">
        <f t="array" ref="H757">INDEX(CC!C:C,MATCH(1,(CC!A:A=G757)*(CC!B:B=I757),0))</f>
        <v>602</v>
      </c>
      <c r="I757" s="28" t="s">
        <v>25</v>
      </c>
      <c r="J757" s="31">
        <v>1181.25</v>
      </c>
      <c r="K757" s="28" t="str">
        <f>IFERROR(__xludf.DUMMYFUNCTION("IFERROR(
INDEX(
FILTER(
MAP(
reglas!$B$2:$B$240,
reglas!$C$2:$C$240,
reglas!$D$2:$D$240,
reglas!$E$2:$E$240,
LAMBDA(rEmisor,rPatron,rConcepto,rTipo,
IF(
AND(
OR(
UPPER(TRIM(rEmisor))=UPPER(TRIM(C757)),
UPPER(TRIM(rEmisor))=""CUALQUIERA""
),
OR(
UPPER(TRIM"&amp;"(rTipo))=""SOLO EMISOR"",
AND(
UPPER(TRIM(rTipo))=""EXACTA"",
UPPER(TRIM(AG757))=UPPER(TRIM(rPatron))
),
AND(
OR(
UPPER(TRIM(rTipo))=""CONTIENE"",
UPPER(TRIM(rTipo))=""COINCIDENCIA""
),
ISNUMBER(SEARCH(UPPER(TRIM(rPatron)),UPPER(TRIM(D757))))
)
)
),
rConc"&amp;"epto,
""""
)
)
),
MAP(
reglas!$B$2:$B$240,
reglas!$C$2:$C$240,
reglas!$D$2:$D$240,
reglas!$E$2:$E$240,
LAMBDA(rEmisor,rPatron,rConcepto,rTipo,
IF(
AND(
OR(
UPPER(TRIM(rEmisor))=UPPER(TRIM(C757)),
UPPER(TRIM(rEmisor))=""CUALQUIERA""
),
OR(
UPPER(TRIM(rTipo"&amp;"))=""SOLO EMISOR"",
AND(
UPPER(TRIM(rTipo))=""EXACTA"",
UPPER(TRIM(D757))=UPPER(TRIM(rPatron))
),
AND(
OR(
UPPER(TRIM(rTipo))=""CONTIENE"",
UPPER(TRIM(rTipo))=""COINCIDENCIA""
),
ISNUMBER(SEARCH(UPPER(TRIM(rPatron)),UPPER(TRIM(D757))))
)
)
),
rConcepto,
"&amp;"""""
)
)
)&lt;&gt;""""
),
1
),
""""
)"),"COMISIONES")</f>
        <v>COMISIONES</v>
      </c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</row>
    <row r="758">
      <c r="A758" s="28">
        <v>1.0</v>
      </c>
      <c r="B758" s="28" t="s">
        <v>29</v>
      </c>
      <c r="C758" s="29" t="s">
        <v>271</v>
      </c>
      <c r="D758" s="29" t="s">
        <v>585</v>
      </c>
      <c r="E758" s="28">
        <v>626.67</v>
      </c>
      <c r="F758" s="28">
        <v>0.0</v>
      </c>
      <c r="G758" s="28" t="s">
        <v>84</v>
      </c>
      <c r="H758" s="28">
        <f t="array" ref="H758">INDEX(CC!C:C,MATCH(1,(CC!A:A=G758)*(CC!B:B=I758),0))</f>
        <v>1002</v>
      </c>
      <c r="I758" s="28" t="s">
        <v>25</v>
      </c>
      <c r="J758" s="31">
        <v>626.67</v>
      </c>
      <c r="K758" s="28" t="str">
        <f>IFERROR(__xludf.DUMMYFUNCTION("IFERROR(
INDEX(
FILTER(
MAP(
reglas!$B$2:$B$240,
reglas!$C$2:$C$240,
reglas!$D$2:$D$240,
reglas!$E$2:$E$240,
LAMBDA(rEmisor,rPatron,rConcepto,rTipo,
IF(
AND(
OR(
UPPER(TRIM(rEmisor))=UPPER(TRIM(C758)),
UPPER(TRIM(rEmisor))=""CUALQUIERA""
),
OR(
UPPER(TRIM"&amp;"(rTipo))=""SOLO EMISOR"",
AND(
UPPER(TRIM(rTipo))=""EXACTA"",
UPPER(TRIM(AG758))=UPPER(TRIM(rPatron))
),
AND(
OR(
UPPER(TRIM(rTipo))=""CONTIENE"",
UPPER(TRIM(rTipo))=""COINCIDENCIA""
),
ISNUMBER(SEARCH(UPPER(TRIM(rPatron)),UPPER(TRIM(D758))))
)
)
),
rConc"&amp;"epto,
""""
)
)
),
MAP(
reglas!$B$2:$B$240,
reglas!$C$2:$C$240,
reglas!$D$2:$D$240,
reglas!$E$2:$E$240,
LAMBDA(rEmisor,rPatron,rConcepto,rTipo,
IF(
AND(
OR(
UPPER(TRIM(rEmisor))=UPPER(TRIM(C758)),
UPPER(TRIM(rEmisor))=""CUALQUIERA""
),
OR(
UPPER(TRIM(rTipo"&amp;"))=""SOLO EMISOR"",
AND(
UPPER(TRIM(rTipo))=""EXACTA"",
UPPER(TRIM(D758))=UPPER(TRIM(rPatron))
),
AND(
OR(
UPPER(TRIM(rTipo))=""CONTIENE"",
UPPER(TRIM(rTipo))=""COINCIDENCIA""
),
ISNUMBER(SEARCH(UPPER(TRIM(rPatron)),UPPER(TRIM(D758))))
)
)
),
rConcepto,
"&amp;"""""
)
)
)&lt;&gt;""""
),
1
),
""""
)"),"MANIOBRAS")</f>
        <v>MANIOBRAS</v>
      </c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</row>
    <row r="759">
      <c r="A759" s="32"/>
      <c r="B759" s="32"/>
      <c r="C759" s="29" t="s">
        <v>271</v>
      </c>
      <c r="D759" s="29" t="s">
        <v>587</v>
      </c>
      <c r="E759" s="28">
        <v>573.36</v>
      </c>
      <c r="F759" s="28">
        <v>0.0</v>
      </c>
      <c r="G759" s="28" t="s">
        <v>84</v>
      </c>
      <c r="H759" s="28">
        <f t="array" ref="H759">INDEX(CC!C:C,MATCH(1,(CC!A:A=G759)*(CC!B:B=I759),0))</f>
        <v>1002</v>
      </c>
      <c r="I759" s="28" t="s">
        <v>25</v>
      </c>
      <c r="J759" s="31">
        <v>573.36</v>
      </c>
      <c r="K759" s="28" t="str">
        <f>IFERROR(__xludf.DUMMYFUNCTION("IFERROR(
INDEX(
FILTER(
MAP(
reglas!$B$2:$B$240,
reglas!$C$2:$C$240,
reglas!$D$2:$D$240,
reglas!$E$2:$E$240,
LAMBDA(rEmisor,rPatron,rConcepto,rTipo,
IF(
AND(
OR(
UPPER(TRIM(rEmisor))=UPPER(TRIM(C759)),
UPPER(TRIM(rEmisor))=""CUALQUIERA""
),
OR(
UPPER(TRIM"&amp;"(rTipo))=""SOLO EMISOR"",
AND(
UPPER(TRIM(rTipo))=""EXACTA"",
UPPER(TRIM(AG759))=UPPER(TRIM(rPatron))
),
AND(
OR(
UPPER(TRIM(rTipo))=""CONTIENE"",
UPPER(TRIM(rTipo))=""COINCIDENCIA""
),
ISNUMBER(SEARCH(UPPER(TRIM(rPatron)),UPPER(TRIM(D759))))
)
)
),
rConc"&amp;"epto,
""""
)
)
),
MAP(
reglas!$B$2:$B$240,
reglas!$C$2:$C$240,
reglas!$D$2:$D$240,
reglas!$E$2:$E$240,
LAMBDA(rEmisor,rPatron,rConcepto,rTipo,
IF(
AND(
OR(
UPPER(TRIM(rEmisor))=UPPER(TRIM(C759)),
UPPER(TRIM(rEmisor))=""CUALQUIERA""
),
OR(
UPPER(TRIM(rTipo"&amp;"))=""SOLO EMISOR"",
AND(
UPPER(TRIM(rTipo))=""EXACTA"",
UPPER(TRIM(D759))=UPPER(TRIM(rPatron))
),
AND(
OR(
UPPER(TRIM(rTipo))=""CONTIENE"",
UPPER(TRIM(rTipo))=""COINCIDENCIA""
),
ISNUMBER(SEARCH(UPPER(TRIM(rPatron)),UPPER(TRIM(D759))))
)
)
),
rConcepto,
"&amp;"""""
)
)
)&lt;&gt;""""
),
1
),
""""
)"),"MANIOBRAS")</f>
        <v>MANIOBRAS</v>
      </c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</row>
    <row r="760">
      <c r="A760" s="32"/>
      <c r="B760" s="32"/>
      <c r="C760" s="29" t="s">
        <v>271</v>
      </c>
      <c r="D760" s="29" t="s">
        <v>589</v>
      </c>
      <c r="E760" s="28">
        <v>627.01</v>
      </c>
      <c r="F760" s="28">
        <v>0.0</v>
      </c>
      <c r="G760" s="28" t="s">
        <v>84</v>
      </c>
      <c r="H760" s="28">
        <f t="array" ref="H760">INDEX(CC!C:C,MATCH(1,(CC!A:A=G760)*(CC!B:B=I760),0))</f>
        <v>1002</v>
      </c>
      <c r="I760" s="28" t="s">
        <v>25</v>
      </c>
      <c r="J760" s="31">
        <v>627.01</v>
      </c>
      <c r="K760" s="28" t="str">
        <f>IFERROR(__xludf.DUMMYFUNCTION("IFERROR(
INDEX(
FILTER(
MAP(
reglas!$B$2:$B$240,
reglas!$C$2:$C$240,
reglas!$D$2:$D$240,
reglas!$E$2:$E$240,
LAMBDA(rEmisor,rPatron,rConcepto,rTipo,
IF(
AND(
OR(
UPPER(TRIM(rEmisor))=UPPER(TRIM(C760)),
UPPER(TRIM(rEmisor))=""CUALQUIERA""
),
OR(
UPPER(TRIM"&amp;"(rTipo))=""SOLO EMISOR"",
AND(
UPPER(TRIM(rTipo))=""EXACTA"",
UPPER(TRIM(AG760))=UPPER(TRIM(rPatron))
),
AND(
OR(
UPPER(TRIM(rTipo))=""CONTIENE"",
UPPER(TRIM(rTipo))=""COINCIDENCIA""
),
ISNUMBER(SEARCH(UPPER(TRIM(rPatron)),UPPER(TRIM(D760))))
)
)
),
rConc"&amp;"epto,
""""
)
)
),
MAP(
reglas!$B$2:$B$240,
reglas!$C$2:$C$240,
reglas!$D$2:$D$240,
reglas!$E$2:$E$240,
LAMBDA(rEmisor,rPatron,rConcepto,rTipo,
IF(
AND(
OR(
UPPER(TRIM(rEmisor))=UPPER(TRIM(C760)),
UPPER(TRIM(rEmisor))=""CUALQUIERA""
),
OR(
UPPER(TRIM(rTipo"&amp;"))=""SOLO EMISOR"",
AND(
UPPER(TRIM(rTipo))=""EXACTA"",
UPPER(TRIM(D760))=UPPER(TRIM(rPatron))
),
AND(
OR(
UPPER(TRIM(rTipo))=""CONTIENE"",
UPPER(TRIM(rTipo))=""COINCIDENCIA""
),
ISNUMBER(SEARCH(UPPER(TRIM(rPatron)),UPPER(TRIM(D760))))
)
)
),
rConcepto,
"&amp;"""""
)
)
)&lt;&gt;""""
),
1
),
""""
)"),"MANIOBRAS")</f>
        <v>MANIOBRAS</v>
      </c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</row>
    <row r="761">
      <c r="A761" s="32"/>
      <c r="B761" s="32"/>
      <c r="C761" s="29" t="s">
        <v>271</v>
      </c>
      <c r="D761" s="29" t="s">
        <v>596</v>
      </c>
      <c r="E761" s="28">
        <v>657.86</v>
      </c>
      <c r="F761" s="28">
        <v>0.0</v>
      </c>
      <c r="G761" s="28" t="s">
        <v>84</v>
      </c>
      <c r="H761" s="28">
        <f t="array" ref="H761">INDEX(CC!C:C,MATCH(1,(CC!A:A=G761)*(CC!B:B=I761),0))</f>
        <v>1002</v>
      </c>
      <c r="I761" s="28" t="s">
        <v>25</v>
      </c>
      <c r="J761" s="31">
        <v>657.86</v>
      </c>
      <c r="K761" s="28" t="str">
        <f>IFERROR(__xludf.DUMMYFUNCTION("IFERROR(
INDEX(
FILTER(
MAP(
reglas!$B$2:$B$240,
reglas!$C$2:$C$240,
reglas!$D$2:$D$240,
reglas!$E$2:$E$240,
LAMBDA(rEmisor,rPatron,rConcepto,rTipo,
IF(
AND(
OR(
UPPER(TRIM(rEmisor))=UPPER(TRIM(C761)),
UPPER(TRIM(rEmisor))=""CUALQUIERA""
),
OR(
UPPER(TRIM"&amp;"(rTipo))=""SOLO EMISOR"",
AND(
UPPER(TRIM(rTipo))=""EXACTA"",
UPPER(TRIM(AG761))=UPPER(TRIM(rPatron))
),
AND(
OR(
UPPER(TRIM(rTipo))=""CONTIENE"",
UPPER(TRIM(rTipo))=""COINCIDENCIA""
),
ISNUMBER(SEARCH(UPPER(TRIM(rPatron)),UPPER(TRIM(D761))))
)
)
),
rConc"&amp;"epto,
""""
)
)
),
MAP(
reglas!$B$2:$B$240,
reglas!$C$2:$C$240,
reglas!$D$2:$D$240,
reglas!$E$2:$E$240,
LAMBDA(rEmisor,rPatron,rConcepto,rTipo,
IF(
AND(
OR(
UPPER(TRIM(rEmisor))=UPPER(TRIM(C761)),
UPPER(TRIM(rEmisor))=""CUALQUIERA""
),
OR(
UPPER(TRIM(rTipo"&amp;"))=""SOLO EMISOR"",
AND(
UPPER(TRIM(rTipo))=""EXACTA"",
UPPER(TRIM(D761))=UPPER(TRIM(rPatron))
),
AND(
OR(
UPPER(TRIM(rTipo))=""CONTIENE"",
UPPER(TRIM(rTipo))=""COINCIDENCIA""
),
ISNUMBER(SEARCH(UPPER(TRIM(rPatron)),UPPER(TRIM(D761))))
)
)
),
rConcepto,
"&amp;"""""
)
)
)&lt;&gt;""""
),
1
),
""""
)"),"MANIOBRAS")</f>
        <v>MANIOBRAS</v>
      </c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</row>
    <row r="762">
      <c r="A762" s="32"/>
      <c r="B762" s="28" t="s">
        <v>29</v>
      </c>
      <c r="C762" s="29" t="s">
        <v>1726</v>
      </c>
      <c r="D762" s="29" t="s">
        <v>1052</v>
      </c>
      <c r="E762" s="28">
        <v>94.8</v>
      </c>
      <c r="F762" s="28">
        <v>0.0</v>
      </c>
      <c r="G762" s="28" t="s">
        <v>225</v>
      </c>
      <c r="H762" s="28">
        <f t="array" ref="H762">INDEX(CC!C:C,MATCH(1,(CC!A:A=G762)*(CC!B:B=I762),0))</f>
        <v>102</v>
      </c>
      <c r="I762" s="28" t="s">
        <v>25</v>
      </c>
      <c r="J762" s="31">
        <v>94.8</v>
      </c>
      <c r="K762" s="28" t="str">
        <f>IFERROR(__xludf.DUMMYFUNCTION("IFERROR(
INDEX(
FILTER(
MAP(
reglas!$B$2:$B$240,
reglas!$C$2:$C$240,
reglas!$D$2:$D$240,
reglas!$E$2:$E$240,
LAMBDA(rEmisor,rPatron,rConcepto,rTipo,
IF(
AND(
OR(
UPPER(TRIM(rEmisor))=UPPER(TRIM(C762)),
UPPER(TRIM(rEmisor))=""CUALQUIERA""
),
OR(
UPPER(TRIM"&amp;"(rTipo))=""SOLO EMISOR"",
AND(
UPPER(TRIM(rTipo))=""EXACTA"",
UPPER(TRIM(AG762))=UPPER(TRIM(rPatron))
),
AND(
OR(
UPPER(TRIM(rTipo))=""CONTIENE"",
UPPER(TRIM(rTipo))=""COINCIDENCIA""
),
ISNUMBER(SEARCH(UPPER(TRIM(rPatron)),UPPER(TRIM(D762))))
)
)
),
rConc"&amp;"epto,
""""
)
)
),
MAP(
reglas!$B$2:$B$240,
reglas!$C$2:$C$240,
reglas!$D$2:$D$240,
reglas!$E$2:$E$240,
LAMBDA(rEmisor,rPatron,rConcepto,rTipo,
IF(
AND(
OR(
UPPER(TRIM(rEmisor))=UPPER(TRIM(C762)),
UPPER(TRIM(rEmisor))=""CUALQUIERA""
),
OR(
UPPER(TRIM(rTipo"&amp;"))=""SOLO EMISOR"",
AND(
UPPER(TRIM(rTipo))=""EXACTA"",
UPPER(TRIM(D762))=UPPER(TRIM(rPatron))
),
AND(
OR(
UPPER(TRIM(rTipo))=""CONTIENE"",
UPPER(TRIM(rTipo))=""COINCIDENCIA""
),
ISNUMBER(SEARCH(UPPER(TRIM(rPatron)),UPPER(TRIM(D762))))
)
)
),
rConcepto,
"&amp;"""""
)
)
)&lt;&gt;""""
),
1
),
""""
)"),"")</f>
        <v/>
      </c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</row>
    <row r="763">
      <c r="A763" s="28">
        <v>1.0</v>
      </c>
      <c r="B763" s="28" t="s">
        <v>29</v>
      </c>
      <c r="C763" s="29" t="s">
        <v>271</v>
      </c>
      <c r="D763" s="29" t="s">
        <v>585</v>
      </c>
      <c r="E763" s="28">
        <v>626.67</v>
      </c>
      <c r="F763" s="28">
        <v>0.0</v>
      </c>
      <c r="G763" s="28" t="s">
        <v>84</v>
      </c>
      <c r="H763" s="28">
        <f t="array" ref="H763">INDEX(CC!C:C,MATCH(1,(CC!A:A=G763)*(CC!B:B=I763),0))</f>
        <v>1002</v>
      </c>
      <c r="I763" s="28" t="s">
        <v>25</v>
      </c>
      <c r="J763" s="31">
        <v>626.67</v>
      </c>
      <c r="K763" s="28" t="str">
        <f>IFERROR(__xludf.DUMMYFUNCTION("IFERROR(
INDEX(
FILTER(
MAP(
reglas!$B$2:$B$240,
reglas!$C$2:$C$240,
reglas!$D$2:$D$240,
reglas!$E$2:$E$240,
LAMBDA(rEmisor,rPatron,rConcepto,rTipo,
IF(
AND(
OR(
UPPER(TRIM(rEmisor))=UPPER(TRIM(C763)),
UPPER(TRIM(rEmisor))=""CUALQUIERA""
),
OR(
UPPER(TRIM"&amp;"(rTipo))=""SOLO EMISOR"",
AND(
UPPER(TRIM(rTipo))=""EXACTA"",
UPPER(TRIM(AG763))=UPPER(TRIM(rPatron))
),
AND(
OR(
UPPER(TRIM(rTipo))=""CONTIENE"",
UPPER(TRIM(rTipo))=""COINCIDENCIA""
),
ISNUMBER(SEARCH(UPPER(TRIM(rPatron)),UPPER(TRIM(D763))))
)
)
),
rConc"&amp;"epto,
""""
)
)
),
MAP(
reglas!$B$2:$B$240,
reglas!$C$2:$C$240,
reglas!$D$2:$D$240,
reglas!$E$2:$E$240,
LAMBDA(rEmisor,rPatron,rConcepto,rTipo,
IF(
AND(
OR(
UPPER(TRIM(rEmisor))=UPPER(TRIM(C763)),
UPPER(TRIM(rEmisor))=""CUALQUIERA""
),
OR(
UPPER(TRIM(rTipo"&amp;"))=""SOLO EMISOR"",
AND(
UPPER(TRIM(rTipo))=""EXACTA"",
UPPER(TRIM(D763))=UPPER(TRIM(rPatron))
),
AND(
OR(
UPPER(TRIM(rTipo))=""CONTIENE"",
UPPER(TRIM(rTipo))=""COINCIDENCIA""
),
ISNUMBER(SEARCH(UPPER(TRIM(rPatron)),UPPER(TRIM(D763))))
)
)
),
rConcepto,
"&amp;"""""
)
)
)&lt;&gt;""""
),
1
),
""""
)"),"MANIOBRAS")</f>
        <v>MANIOBRAS</v>
      </c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</row>
    <row r="764">
      <c r="A764" s="32"/>
      <c r="B764" s="32"/>
      <c r="C764" s="29" t="s">
        <v>271</v>
      </c>
      <c r="D764" s="29" t="s">
        <v>587</v>
      </c>
      <c r="E764" s="28">
        <v>573.36</v>
      </c>
      <c r="F764" s="28">
        <v>0.0</v>
      </c>
      <c r="G764" s="28" t="s">
        <v>84</v>
      </c>
      <c r="H764" s="28">
        <f t="array" ref="H764">INDEX(CC!C:C,MATCH(1,(CC!A:A=G764)*(CC!B:B=I764),0))</f>
        <v>1002</v>
      </c>
      <c r="I764" s="28" t="s">
        <v>25</v>
      </c>
      <c r="J764" s="31">
        <v>573.36</v>
      </c>
      <c r="K764" s="28" t="str">
        <f>IFERROR(__xludf.DUMMYFUNCTION("IFERROR(
INDEX(
FILTER(
MAP(
reglas!$B$2:$B$240,
reglas!$C$2:$C$240,
reglas!$D$2:$D$240,
reglas!$E$2:$E$240,
LAMBDA(rEmisor,rPatron,rConcepto,rTipo,
IF(
AND(
OR(
UPPER(TRIM(rEmisor))=UPPER(TRIM(C764)),
UPPER(TRIM(rEmisor))=""CUALQUIERA""
),
OR(
UPPER(TRIM"&amp;"(rTipo))=""SOLO EMISOR"",
AND(
UPPER(TRIM(rTipo))=""EXACTA"",
UPPER(TRIM(AG764))=UPPER(TRIM(rPatron))
),
AND(
OR(
UPPER(TRIM(rTipo))=""CONTIENE"",
UPPER(TRIM(rTipo))=""COINCIDENCIA""
),
ISNUMBER(SEARCH(UPPER(TRIM(rPatron)),UPPER(TRIM(D764))))
)
)
),
rConc"&amp;"epto,
""""
)
)
),
MAP(
reglas!$B$2:$B$240,
reglas!$C$2:$C$240,
reglas!$D$2:$D$240,
reglas!$E$2:$E$240,
LAMBDA(rEmisor,rPatron,rConcepto,rTipo,
IF(
AND(
OR(
UPPER(TRIM(rEmisor))=UPPER(TRIM(C764)),
UPPER(TRIM(rEmisor))=""CUALQUIERA""
),
OR(
UPPER(TRIM(rTipo"&amp;"))=""SOLO EMISOR"",
AND(
UPPER(TRIM(rTipo))=""EXACTA"",
UPPER(TRIM(D764))=UPPER(TRIM(rPatron))
),
AND(
OR(
UPPER(TRIM(rTipo))=""CONTIENE"",
UPPER(TRIM(rTipo))=""COINCIDENCIA""
),
ISNUMBER(SEARCH(UPPER(TRIM(rPatron)),UPPER(TRIM(D764))))
)
)
),
rConcepto,
"&amp;"""""
)
)
)&lt;&gt;""""
),
1
),
""""
)"),"MANIOBRAS")</f>
        <v>MANIOBRAS</v>
      </c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</row>
    <row r="765">
      <c r="A765" s="32"/>
      <c r="B765" s="32"/>
      <c r="C765" s="29" t="s">
        <v>271</v>
      </c>
      <c r="D765" s="29" t="s">
        <v>589</v>
      </c>
      <c r="E765" s="28">
        <v>627.01</v>
      </c>
      <c r="F765" s="28">
        <v>0.0</v>
      </c>
      <c r="G765" s="28" t="s">
        <v>84</v>
      </c>
      <c r="H765" s="28">
        <f t="array" ref="H765">INDEX(CC!C:C,MATCH(1,(CC!A:A=G765)*(CC!B:B=I765),0))</f>
        <v>1002</v>
      </c>
      <c r="I765" s="28" t="s">
        <v>25</v>
      </c>
      <c r="J765" s="31">
        <v>627.01</v>
      </c>
      <c r="K765" s="28" t="str">
        <f>IFERROR(__xludf.DUMMYFUNCTION("IFERROR(
INDEX(
FILTER(
MAP(
reglas!$B$2:$B$240,
reglas!$C$2:$C$240,
reglas!$D$2:$D$240,
reglas!$E$2:$E$240,
LAMBDA(rEmisor,rPatron,rConcepto,rTipo,
IF(
AND(
OR(
UPPER(TRIM(rEmisor))=UPPER(TRIM(C765)),
UPPER(TRIM(rEmisor))=""CUALQUIERA""
),
OR(
UPPER(TRIM"&amp;"(rTipo))=""SOLO EMISOR"",
AND(
UPPER(TRIM(rTipo))=""EXACTA"",
UPPER(TRIM(AG765))=UPPER(TRIM(rPatron))
),
AND(
OR(
UPPER(TRIM(rTipo))=""CONTIENE"",
UPPER(TRIM(rTipo))=""COINCIDENCIA""
),
ISNUMBER(SEARCH(UPPER(TRIM(rPatron)),UPPER(TRIM(D765))))
)
)
),
rConc"&amp;"epto,
""""
)
)
),
MAP(
reglas!$B$2:$B$240,
reglas!$C$2:$C$240,
reglas!$D$2:$D$240,
reglas!$E$2:$E$240,
LAMBDA(rEmisor,rPatron,rConcepto,rTipo,
IF(
AND(
OR(
UPPER(TRIM(rEmisor))=UPPER(TRIM(C765)),
UPPER(TRIM(rEmisor))=""CUALQUIERA""
),
OR(
UPPER(TRIM(rTipo"&amp;"))=""SOLO EMISOR"",
AND(
UPPER(TRIM(rTipo))=""EXACTA"",
UPPER(TRIM(D765))=UPPER(TRIM(rPatron))
),
AND(
OR(
UPPER(TRIM(rTipo))=""CONTIENE"",
UPPER(TRIM(rTipo))=""COINCIDENCIA""
),
ISNUMBER(SEARCH(UPPER(TRIM(rPatron)),UPPER(TRIM(D765))))
)
)
),
rConcepto,
"&amp;"""""
)
)
)&lt;&gt;""""
),
1
),
""""
)"),"MANIOBRAS")</f>
        <v>MANIOBRAS</v>
      </c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</row>
    <row r="766">
      <c r="A766" s="32"/>
      <c r="B766" s="32"/>
      <c r="C766" s="29" t="s">
        <v>271</v>
      </c>
      <c r="D766" s="29" t="s">
        <v>596</v>
      </c>
      <c r="E766" s="28">
        <v>657.86</v>
      </c>
      <c r="F766" s="28">
        <v>0.0</v>
      </c>
      <c r="G766" s="28" t="s">
        <v>84</v>
      </c>
      <c r="H766" s="28">
        <f t="array" ref="H766">INDEX(CC!C:C,MATCH(1,(CC!A:A=G766)*(CC!B:B=I766),0))</f>
        <v>1002</v>
      </c>
      <c r="I766" s="28" t="s">
        <v>25</v>
      </c>
      <c r="J766" s="31">
        <v>657.86</v>
      </c>
      <c r="K766" s="28" t="str">
        <f>IFERROR(__xludf.DUMMYFUNCTION("IFERROR(
INDEX(
FILTER(
MAP(
reglas!$B$2:$B$240,
reglas!$C$2:$C$240,
reglas!$D$2:$D$240,
reglas!$E$2:$E$240,
LAMBDA(rEmisor,rPatron,rConcepto,rTipo,
IF(
AND(
OR(
UPPER(TRIM(rEmisor))=UPPER(TRIM(C766)),
UPPER(TRIM(rEmisor))=""CUALQUIERA""
),
OR(
UPPER(TRIM"&amp;"(rTipo))=""SOLO EMISOR"",
AND(
UPPER(TRIM(rTipo))=""EXACTA"",
UPPER(TRIM(AG766))=UPPER(TRIM(rPatron))
),
AND(
OR(
UPPER(TRIM(rTipo))=""CONTIENE"",
UPPER(TRIM(rTipo))=""COINCIDENCIA""
),
ISNUMBER(SEARCH(UPPER(TRIM(rPatron)),UPPER(TRIM(D766))))
)
)
),
rConc"&amp;"epto,
""""
)
)
),
MAP(
reglas!$B$2:$B$240,
reglas!$C$2:$C$240,
reglas!$D$2:$D$240,
reglas!$E$2:$E$240,
LAMBDA(rEmisor,rPatron,rConcepto,rTipo,
IF(
AND(
OR(
UPPER(TRIM(rEmisor))=UPPER(TRIM(C766)),
UPPER(TRIM(rEmisor))=""CUALQUIERA""
),
OR(
UPPER(TRIM(rTipo"&amp;"))=""SOLO EMISOR"",
AND(
UPPER(TRIM(rTipo))=""EXACTA"",
UPPER(TRIM(D766))=UPPER(TRIM(rPatron))
),
AND(
OR(
UPPER(TRIM(rTipo))=""CONTIENE"",
UPPER(TRIM(rTipo))=""COINCIDENCIA""
),
ISNUMBER(SEARCH(UPPER(TRIM(rPatron)),UPPER(TRIM(D766))))
)
)
),
rConcepto,
"&amp;"""""
)
)
)&lt;&gt;""""
),
1
),
""""
)"),"MANIOBRAS")</f>
        <v>MANIOBRAS</v>
      </c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</row>
    <row r="767">
      <c r="A767" s="32"/>
      <c r="B767" s="28" t="s">
        <v>29</v>
      </c>
      <c r="C767" s="29" t="s">
        <v>208</v>
      </c>
      <c r="D767" s="29" t="s">
        <v>1727</v>
      </c>
      <c r="E767" s="28">
        <v>41464.24</v>
      </c>
      <c r="F767" s="28">
        <v>0.0</v>
      </c>
      <c r="G767" s="28" t="s">
        <v>601</v>
      </c>
      <c r="H767" s="28">
        <f t="array" ref="H767">INDEX(CC!C:C,MATCH(1,(CC!A:A=G767)*(CC!B:B=I767),0))</f>
        <v>402</v>
      </c>
      <c r="I767" s="28" t="s">
        <v>25</v>
      </c>
      <c r="J767" s="31">
        <v>7289.02</v>
      </c>
      <c r="K767" s="28" t="str">
        <f>IFERROR(__xludf.DUMMYFUNCTION("IFERROR(
INDEX(
FILTER(
MAP(
reglas!$B$2:$B$240,
reglas!$C$2:$C$240,
reglas!$D$2:$D$240,
reglas!$E$2:$E$240,
LAMBDA(rEmisor,rPatron,rConcepto,rTipo,
IF(
AND(
OR(
UPPER(TRIM(rEmisor))=UPPER(TRIM(C767)),
UPPER(TRIM(rEmisor))=""CUALQUIERA""
),
OR(
UPPER(TRIM"&amp;"(rTipo))=""SOLO EMISOR"",
AND(
UPPER(TRIM(rTipo))=""EXACTA"",
UPPER(TRIM(AG767))=UPPER(TRIM(rPatron))
),
AND(
OR(
UPPER(TRIM(rTipo))=""CONTIENE"",
UPPER(TRIM(rTipo))=""COINCIDENCIA""
),
ISNUMBER(SEARCH(UPPER(TRIM(rPatron)),UPPER(TRIM(D767))))
)
)
),
rConc"&amp;"epto,
""""
)
)
),
MAP(
reglas!$B$2:$B$240,
reglas!$C$2:$C$240,
reglas!$D$2:$D$240,
reglas!$E$2:$E$240,
LAMBDA(rEmisor,rPatron,rConcepto,rTipo,
IF(
AND(
OR(
UPPER(TRIM(rEmisor))=UPPER(TRIM(C767)),
UPPER(TRIM(rEmisor))=""CUALQUIERA""
),
OR(
UPPER(TRIM(rTipo"&amp;"))=""SOLO EMISOR"",
AND(
UPPER(TRIM(rTipo))=""EXACTA"",
UPPER(TRIM(D767))=UPPER(TRIM(rPatron))
),
AND(
OR(
UPPER(TRIM(rTipo))=""CONTIENE"",
UPPER(TRIM(rTipo))=""COINCIDENCIA""
),
ISNUMBER(SEARCH(UPPER(TRIM(rPatron)),UPPER(TRIM(D767))))
)
)
),
rConcepto,
"&amp;"""""
)
)
)&lt;&gt;""""
),
1
),
""""
)"),"HONORARIOS ADICIONALES")</f>
        <v>HONORARIOS ADICIONALES</v>
      </c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</row>
    <row r="768">
      <c r="A768" s="32"/>
      <c r="B768" s="32"/>
      <c r="C768" s="29" t="s">
        <v>208</v>
      </c>
      <c r="D768" s="29" t="s">
        <v>1727</v>
      </c>
      <c r="E768" s="32"/>
      <c r="F768" s="32"/>
      <c r="G768" s="28" t="s">
        <v>250</v>
      </c>
      <c r="H768" s="28">
        <f t="array" ref="H768">INDEX(CC!C:C,MATCH(1,(CC!A:A=G768)*(CC!B:B=I768),0))</f>
        <v>1402</v>
      </c>
      <c r="I768" s="28" t="s">
        <v>25</v>
      </c>
      <c r="J768" s="31">
        <v>7289.02</v>
      </c>
      <c r="K768" s="28" t="str">
        <f>IFERROR(__xludf.DUMMYFUNCTION("IFERROR(
INDEX(
FILTER(
MAP(
reglas!$B$2:$B$240,
reglas!$C$2:$C$240,
reglas!$D$2:$D$240,
reglas!$E$2:$E$240,
LAMBDA(rEmisor,rPatron,rConcepto,rTipo,
IF(
AND(
OR(
UPPER(TRIM(rEmisor))=UPPER(TRIM(C768)),
UPPER(TRIM(rEmisor))=""CUALQUIERA""
),
OR(
UPPER(TRIM"&amp;"(rTipo))=""SOLO EMISOR"",
AND(
UPPER(TRIM(rTipo))=""EXACTA"",
UPPER(TRIM(AG768))=UPPER(TRIM(rPatron))
),
AND(
OR(
UPPER(TRIM(rTipo))=""CONTIENE"",
UPPER(TRIM(rTipo))=""COINCIDENCIA""
),
ISNUMBER(SEARCH(UPPER(TRIM(rPatron)),UPPER(TRIM(D768))))
)
)
),
rConc"&amp;"epto,
""""
)
)
),
MAP(
reglas!$B$2:$B$240,
reglas!$C$2:$C$240,
reglas!$D$2:$D$240,
reglas!$E$2:$E$240,
LAMBDA(rEmisor,rPatron,rConcepto,rTipo,
IF(
AND(
OR(
UPPER(TRIM(rEmisor))=UPPER(TRIM(C768)),
UPPER(TRIM(rEmisor))=""CUALQUIERA""
),
OR(
UPPER(TRIM(rTipo"&amp;"))=""SOLO EMISOR"",
AND(
UPPER(TRIM(rTipo))=""EXACTA"",
UPPER(TRIM(D768))=UPPER(TRIM(rPatron))
),
AND(
OR(
UPPER(TRIM(rTipo))=""CONTIENE"",
UPPER(TRIM(rTipo))=""COINCIDENCIA""
),
ISNUMBER(SEARCH(UPPER(TRIM(rPatron)),UPPER(TRIM(D768))))
)
)
),
rConcepto,
"&amp;"""""
)
)
)&lt;&gt;""""
),
1
),
""""
)"),"HONORARIOS ADICIONALES")</f>
        <v>HONORARIOS ADICIONALES</v>
      </c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</row>
    <row r="769">
      <c r="A769" s="32"/>
      <c r="B769" s="32"/>
      <c r="C769" s="29" t="s">
        <v>208</v>
      </c>
      <c r="D769" s="29" t="s">
        <v>1727</v>
      </c>
      <c r="E769" s="32"/>
      <c r="F769" s="32"/>
      <c r="G769" s="28" t="s">
        <v>225</v>
      </c>
      <c r="H769" s="28">
        <f t="array" ref="H769">INDEX(CC!C:C,MATCH(1,(CC!A:A=G769)*(CC!B:B=I769),0))</f>
        <v>102</v>
      </c>
      <c r="I769" s="28" t="s">
        <v>25</v>
      </c>
      <c r="J769" s="31">
        <v>26886.21</v>
      </c>
      <c r="K769" s="28" t="str">
        <f>IFERROR(__xludf.DUMMYFUNCTION("IFERROR(
INDEX(
FILTER(
MAP(
reglas!$B$2:$B$240,
reglas!$C$2:$C$240,
reglas!$D$2:$D$240,
reglas!$E$2:$E$240,
LAMBDA(rEmisor,rPatron,rConcepto,rTipo,
IF(
AND(
OR(
UPPER(TRIM(rEmisor))=UPPER(TRIM(C769)),
UPPER(TRIM(rEmisor))=""CUALQUIERA""
),
OR(
UPPER(TRIM"&amp;"(rTipo))=""SOLO EMISOR"",
AND(
UPPER(TRIM(rTipo))=""EXACTA"",
UPPER(TRIM(AG769))=UPPER(TRIM(rPatron))
),
AND(
OR(
UPPER(TRIM(rTipo))=""CONTIENE"",
UPPER(TRIM(rTipo))=""COINCIDENCIA""
),
ISNUMBER(SEARCH(UPPER(TRIM(rPatron)),UPPER(TRIM(D769))))
)
)
),
rConc"&amp;"epto,
""""
)
)
),
MAP(
reglas!$B$2:$B$240,
reglas!$C$2:$C$240,
reglas!$D$2:$D$240,
reglas!$E$2:$E$240,
LAMBDA(rEmisor,rPatron,rConcepto,rTipo,
IF(
AND(
OR(
UPPER(TRIM(rEmisor))=UPPER(TRIM(C769)),
UPPER(TRIM(rEmisor))=""CUALQUIERA""
),
OR(
UPPER(TRIM(rTipo"&amp;"))=""SOLO EMISOR"",
AND(
UPPER(TRIM(rTipo))=""EXACTA"",
UPPER(TRIM(D769))=UPPER(TRIM(rPatron))
),
AND(
OR(
UPPER(TRIM(rTipo))=""CONTIENE"",
UPPER(TRIM(rTipo))=""COINCIDENCIA""
),
ISNUMBER(SEARCH(UPPER(TRIM(rPatron)),UPPER(TRIM(D769))))
)
)
),
rConcepto,
"&amp;"""""
)
)
)&lt;&gt;""""
),
1
),
""""
)"),"HONORARIOS ADICIONALES")</f>
        <v>HONORARIOS ADICIONALES</v>
      </c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</row>
    <row r="770">
      <c r="A770" s="28">
        <v>1.0</v>
      </c>
      <c r="B770" s="28" t="s">
        <v>29</v>
      </c>
      <c r="C770" s="29" t="s">
        <v>271</v>
      </c>
      <c r="D770" s="29" t="s">
        <v>585</v>
      </c>
      <c r="E770" s="28">
        <v>626.67</v>
      </c>
      <c r="F770" s="28">
        <v>0.0</v>
      </c>
      <c r="G770" s="28" t="s">
        <v>84</v>
      </c>
      <c r="H770" s="28">
        <f t="array" ref="H770">INDEX(CC!C:C,MATCH(1,(CC!A:A=G770)*(CC!B:B=I770),0))</f>
        <v>1002</v>
      </c>
      <c r="I770" s="28" t="s">
        <v>25</v>
      </c>
      <c r="J770" s="31">
        <v>626.67</v>
      </c>
      <c r="K770" s="28" t="str">
        <f>IFERROR(__xludf.DUMMYFUNCTION("IFERROR(
INDEX(
FILTER(
MAP(
reglas!$B$2:$B$240,
reglas!$C$2:$C$240,
reglas!$D$2:$D$240,
reglas!$E$2:$E$240,
LAMBDA(rEmisor,rPatron,rConcepto,rTipo,
IF(
AND(
OR(
UPPER(TRIM(rEmisor))=UPPER(TRIM(C770)),
UPPER(TRIM(rEmisor))=""CUALQUIERA""
),
OR(
UPPER(TRIM"&amp;"(rTipo))=""SOLO EMISOR"",
AND(
UPPER(TRIM(rTipo))=""EXACTA"",
UPPER(TRIM(AG770))=UPPER(TRIM(rPatron))
),
AND(
OR(
UPPER(TRIM(rTipo))=""CONTIENE"",
UPPER(TRIM(rTipo))=""COINCIDENCIA""
),
ISNUMBER(SEARCH(UPPER(TRIM(rPatron)),UPPER(TRIM(D770))))
)
)
),
rConc"&amp;"epto,
""""
)
)
),
MAP(
reglas!$B$2:$B$240,
reglas!$C$2:$C$240,
reglas!$D$2:$D$240,
reglas!$E$2:$E$240,
LAMBDA(rEmisor,rPatron,rConcepto,rTipo,
IF(
AND(
OR(
UPPER(TRIM(rEmisor))=UPPER(TRIM(C770)),
UPPER(TRIM(rEmisor))=""CUALQUIERA""
),
OR(
UPPER(TRIM(rTipo"&amp;"))=""SOLO EMISOR"",
AND(
UPPER(TRIM(rTipo))=""EXACTA"",
UPPER(TRIM(D770))=UPPER(TRIM(rPatron))
),
AND(
OR(
UPPER(TRIM(rTipo))=""CONTIENE"",
UPPER(TRIM(rTipo))=""COINCIDENCIA""
),
ISNUMBER(SEARCH(UPPER(TRIM(rPatron)),UPPER(TRIM(D770))))
)
)
),
rConcepto,
"&amp;"""""
)
)
)&lt;&gt;""""
),
1
),
""""
)"),"MANIOBRAS")</f>
        <v>MANIOBRAS</v>
      </c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</row>
    <row r="771">
      <c r="A771" s="32"/>
      <c r="B771" s="32"/>
      <c r="C771" s="29" t="s">
        <v>271</v>
      </c>
      <c r="D771" s="29" t="s">
        <v>587</v>
      </c>
      <c r="E771" s="28">
        <v>573.36</v>
      </c>
      <c r="F771" s="28">
        <v>0.0</v>
      </c>
      <c r="G771" s="28" t="s">
        <v>84</v>
      </c>
      <c r="H771" s="28">
        <f t="array" ref="H771">INDEX(CC!C:C,MATCH(1,(CC!A:A=G771)*(CC!B:B=I771),0))</f>
        <v>1002</v>
      </c>
      <c r="I771" s="28" t="s">
        <v>25</v>
      </c>
      <c r="J771" s="31">
        <v>573.36</v>
      </c>
      <c r="K771" s="28" t="str">
        <f>IFERROR(__xludf.DUMMYFUNCTION("IFERROR(
INDEX(
FILTER(
MAP(
reglas!$B$2:$B$240,
reglas!$C$2:$C$240,
reglas!$D$2:$D$240,
reglas!$E$2:$E$240,
LAMBDA(rEmisor,rPatron,rConcepto,rTipo,
IF(
AND(
OR(
UPPER(TRIM(rEmisor))=UPPER(TRIM(C771)),
UPPER(TRIM(rEmisor))=""CUALQUIERA""
),
OR(
UPPER(TRIM"&amp;"(rTipo))=""SOLO EMISOR"",
AND(
UPPER(TRIM(rTipo))=""EXACTA"",
UPPER(TRIM(AG771))=UPPER(TRIM(rPatron))
),
AND(
OR(
UPPER(TRIM(rTipo))=""CONTIENE"",
UPPER(TRIM(rTipo))=""COINCIDENCIA""
),
ISNUMBER(SEARCH(UPPER(TRIM(rPatron)),UPPER(TRIM(D771))))
)
)
),
rConc"&amp;"epto,
""""
)
)
),
MAP(
reglas!$B$2:$B$240,
reglas!$C$2:$C$240,
reglas!$D$2:$D$240,
reglas!$E$2:$E$240,
LAMBDA(rEmisor,rPatron,rConcepto,rTipo,
IF(
AND(
OR(
UPPER(TRIM(rEmisor))=UPPER(TRIM(C771)),
UPPER(TRIM(rEmisor))=""CUALQUIERA""
),
OR(
UPPER(TRIM(rTipo"&amp;"))=""SOLO EMISOR"",
AND(
UPPER(TRIM(rTipo))=""EXACTA"",
UPPER(TRIM(D771))=UPPER(TRIM(rPatron))
),
AND(
OR(
UPPER(TRIM(rTipo))=""CONTIENE"",
UPPER(TRIM(rTipo))=""COINCIDENCIA""
),
ISNUMBER(SEARCH(UPPER(TRIM(rPatron)),UPPER(TRIM(D771))))
)
)
),
rConcepto,
"&amp;"""""
)
)
)&lt;&gt;""""
),
1
),
""""
)"),"MANIOBRAS")</f>
        <v>MANIOBRAS</v>
      </c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</row>
    <row r="772">
      <c r="A772" s="32"/>
      <c r="B772" s="32"/>
      <c r="C772" s="29" t="s">
        <v>271</v>
      </c>
      <c r="D772" s="29" t="s">
        <v>589</v>
      </c>
      <c r="E772" s="28">
        <v>627.01</v>
      </c>
      <c r="F772" s="28">
        <v>0.0</v>
      </c>
      <c r="G772" s="28" t="s">
        <v>84</v>
      </c>
      <c r="H772" s="28">
        <f t="array" ref="H772">INDEX(CC!C:C,MATCH(1,(CC!A:A=G772)*(CC!B:B=I772),0))</f>
        <v>1002</v>
      </c>
      <c r="I772" s="28" t="s">
        <v>25</v>
      </c>
      <c r="J772" s="31">
        <v>627.01</v>
      </c>
      <c r="K772" s="28" t="str">
        <f>IFERROR(__xludf.DUMMYFUNCTION("IFERROR(
INDEX(
FILTER(
MAP(
reglas!$B$2:$B$240,
reglas!$C$2:$C$240,
reglas!$D$2:$D$240,
reglas!$E$2:$E$240,
LAMBDA(rEmisor,rPatron,rConcepto,rTipo,
IF(
AND(
OR(
UPPER(TRIM(rEmisor))=UPPER(TRIM(C772)),
UPPER(TRIM(rEmisor))=""CUALQUIERA""
),
OR(
UPPER(TRIM"&amp;"(rTipo))=""SOLO EMISOR"",
AND(
UPPER(TRIM(rTipo))=""EXACTA"",
UPPER(TRIM(AG772))=UPPER(TRIM(rPatron))
),
AND(
OR(
UPPER(TRIM(rTipo))=""CONTIENE"",
UPPER(TRIM(rTipo))=""COINCIDENCIA""
),
ISNUMBER(SEARCH(UPPER(TRIM(rPatron)),UPPER(TRIM(D772))))
)
)
),
rConc"&amp;"epto,
""""
)
)
),
MAP(
reglas!$B$2:$B$240,
reglas!$C$2:$C$240,
reglas!$D$2:$D$240,
reglas!$E$2:$E$240,
LAMBDA(rEmisor,rPatron,rConcepto,rTipo,
IF(
AND(
OR(
UPPER(TRIM(rEmisor))=UPPER(TRIM(C772)),
UPPER(TRIM(rEmisor))=""CUALQUIERA""
),
OR(
UPPER(TRIM(rTipo"&amp;"))=""SOLO EMISOR"",
AND(
UPPER(TRIM(rTipo))=""EXACTA"",
UPPER(TRIM(D772))=UPPER(TRIM(rPatron))
),
AND(
OR(
UPPER(TRIM(rTipo))=""CONTIENE"",
UPPER(TRIM(rTipo))=""COINCIDENCIA""
),
ISNUMBER(SEARCH(UPPER(TRIM(rPatron)),UPPER(TRIM(D772))))
)
)
),
rConcepto,
"&amp;"""""
)
)
)&lt;&gt;""""
),
1
),
""""
)"),"MANIOBRAS")</f>
        <v>MANIOBRAS</v>
      </c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</row>
    <row r="773">
      <c r="A773" s="32"/>
      <c r="B773" s="32"/>
      <c r="C773" s="29" t="s">
        <v>271</v>
      </c>
      <c r="D773" s="29" t="s">
        <v>596</v>
      </c>
      <c r="E773" s="28">
        <v>657.86</v>
      </c>
      <c r="F773" s="28">
        <v>0.0</v>
      </c>
      <c r="G773" s="28" t="s">
        <v>84</v>
      </c>
      <c r="H773" s="28">
        <f t="array" ref="H773">INDEX(CC!C:C,MATCH(1,(CC!A:A=G773)*(CC!B:B=I773),0))</f>
        <v>1002</v>
      </c>
      <c r="I773" s="28" t="s">
        <v>25</v>
      </c>
      <c r="J773" s="31">
        <v>657.86</v>
      </c>
      <c r="K773" s="28" t="str">
        <f>IFERROR(__xludf.DUMMYFUNCTION("IFERROR(
INDEX(
FILTER(
MAP(
reglas!$B$2:$B$240,
reglas!$C$2:$C$240,
reglas!$D$2:$D$240,
reglas!$E$2:$E$240,
LAMBDA(rEmisor,rPatron,rConcepto,rTipo,
IF(
AND(
OR(
UPPER(TRIM(rEmisor))=UPPER(TRIM(C773)),
UPPER(TRIM(rEmisor))=""CUALQUIERA""
),
OR(
UPPER(TRIM"&amp;"(rTipo))=""SOLO EMISOR"",
AND(
UPPER(TRIM(rTipo))=""EXACTA"",
UPPER(TRIM(AG773))=UPPER(TRIM(rPatron))
),
AND(
OR(
UPPER(TRIM(rTipo))=""CONTIENE"",
UPPER(TRIM(rTipo))=""COINCIDENCIA""
),
ISNUMBER(SEARCH(UPPER(TRIM(rPatron)),UPPER(TRIM(D773))))
)
)
),
rConc"&amp;"epto,
""""
)
)
),
MAP(
reglas!$B$2:$B$240,
reglas!$C$2:$C$240,
reglas!$D$2:$D$240,
reglas!$E$2:$E$240,
LAMBDA(rEmisor,rPatron,rConcepto,rTipo,
IF(
AND(
OR(
UPPER(TRIM(rEmisor))=UPPER(TRIM(C773)),
UPPER(TRIM(rEmisor))=""CUALQUIERA""
),
OR(
UPPER(TRIM(rTipo"&amp;"))=""SOLO EMISOR"",
AND(
UPPER(TRIM(rTipo))=""EXACTA"",
UPPER(TRIM(D773))=UPPER(TRIM(rPatron))
),
AND(
OR(
UPPER(TRIM(rTipo))=""CONTIENE"",
UPPER(TRIM(rTipo))=""COINCIDENCIA""
),
ISNUMBER(SEARCH(UPPER(TRIM(rPatron)),UPPER(TRIM(D773))))
)
)
),
rConcepto,
"&amp;"""""
)
)
)&lt;&gt;""""
),
1
),
""""
)"),"MANIOBRAS")</f>
        <v>MANIOBRAS</v>
      </c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</row>
    <row r="774">
      <c r="A774" s="28">
        <v>1.0</v>
      </c>
      <c r="B774" s="28" t="s">
        <v>29</v>
      </c>
      <c r="C774" s="29" t="s">
        <v>271</v>
      </c>
      <c r="D774" s="29" t="s">
        <v>585</v>
      </c>
      <c r="E774" s="28">
        <v>626.67</v>
      </c>
      <c r="F774" s="28">
        <v>0.0</v>
      </c>
      <c r="G774" s="28" t="s">
        <v>84</v>
      </c>
      <c r="H774" s="28">
        <f t="array" ref="H774">INDEX(CC!C:C,MATCH(1,(CC!A:A=G774)*(CC!B:B=I774),0))</f>
        <v>1002</v>
      </c>
      <c r="I774" s="28" t="s">
        <v>25</v>
      </c>
      <c r="J774" s="31">
        <v>626.67</v>
      </c>
      <c r="K774" s="28" t="str">
        <f>IFERROR(__xludf.DUMMYFUNCTION("IFERROR(
INDEX(
FILTER(
MAP(
reglas!$B$2:$B$240,
reglas!$C$2:$C$240,
reglas!$D$2:$D$240,
reglas!$E$2:$E$240,
LAMBDA(rEmisor,rPatron,rConcepto,rTipo,
IF(
AND(
OR(
UPPER(TRIM(rEmisor))=UPPER(TRIM(C774)),
UPPER(TRIM(rEmisor))=""CUALQUIERA""
),
OR(
UPPER(TRIM"&amp;"(rTipo))=""SOLO EMISOR"",
AND(
UPPER(TRIM(rTipo))=""EXACTA"",
UPPER(TRIM(AG774))=UPPER(TRIM(rPatron))
),
AND(
OR(
UPPER(TRIM(rTipo))=""CONTIENE"",
UPPER(TRIM(rTipo))=""COINCIDENCIA""
),
ISNUMBER(SEARCH(UPPER(TRIM(rPatron)),UPPER(TRIM(D774))))
)
)
),
rConc"&amp;"epto,
""""
)
)
),
MAP(
reglas!$B$2:$B$240,
reglas!$C$2:$C$240,
reglas!$D$2:$D$240,
reglas!$E$2:$E$240,
LAMBDA(rEmisor,rPatron,rConcepto,rTipo,
IF(
AND(
OR(
UPPER(TRIM(rEmisor))=UPPER(TRIM(C774)),
UPPER(TRIM(rEmisor))=""CUALQUIERA""
),
OR(
UPPER(TRIM(rTipo"&amp;"))=""SOLO EMISOR"",
AND(
UPPER(TRIM(rTipo))=""EXACTA"",
UPPER(TRIM(D774))=UPPER(TRIM(rPatron))
),
AND(
OR(
UPPER(TRIM(rTipo))=""CONTIENE"",
UPPER(TRIM(rTipo))=""COINCIDENCIA""
),
ISNUMBER(SEARCH(UPPER(TRIM(rPatron)),UPPER(TRIM(D774))))
)
)
),
rConcepto,
"&amp;"""""
)
)
)&lt;&gt;""""
),
1
),
""""
)"),"MANIOBRAS")</f>
        <v>MANIOBRAS</v>
      </c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</row>
    <row r="775">
      <c r="A775" s="32"/>
      <c r="B775" s="32"/>
      <c r="C775" s="29" t="s">
        <v>271</v>
      </c>
      <c r="D775" s="29" t="s">
        <v>586</v>
      </c>
      <c r="E775" s="28">
        <v>627.01</v>
      </c>
      <c r="F775" s="28">
        <v>0.0</v>
      </c>
      <c r="G775" s="28" t="s">
        <v>84</v>
      </c>
      <c r="H775" s="28">
        <f t="array" ref="H775">INDEX(CC!C:C,MATCH(1,(CC!A:A=G775)*(CC!B:B=I775),0))</f>
        <v>1002</v>
      </c>
      <c r="I775" s="28" t="s">
        <v>25</v>
      </c>
      <c r="J775" s="31">
        <v>627.01</v>
      </c>
      <c r="K775" s="28" t="str">
        <f>IFERROR(__xludf.DUMMYFUNCTION("IFERROR(
INDEX(
FILTER(
MAP(
reglas!$B$2:$B$240,
reglas!$C$2:$C$240,
reglas!$D$2:$D$240,
reglas!$E$2:$E$240,
LAMBDA(rEmisor,rPatron,rConcepto,rTipo,
IF(
AND(
OR(
UPPER(TRIM(rEmisor))=UPPER(TRIM(C775)),
UPPER(TRIM(rEmisor))=""CUALQUIERA""
),
OR(
UPPER(TRIM"&amp;"(rTipo))=""SOLO EMISOR"",
AND(
UPPER(TRIM(rTipo))=""EXACTA"",
UPPER(TRIM(AG775))=UPPER(TRIM(rPatron))
),
AND(
OR(
UPPER(TRIM(rTipo))=""CONTIENE"",
UPPER(TRIM(rTipo))=""COINCIDENCIA""
),
ISNUMBER(SEARCH(UPPER(TRIM(rPatron)),UPPER(TRIM(D775))))
)
)
),
rConc"&amp;"epto,
""""
)
)
),
MAP(
reglas!$B$2:$B$240,
reglas!$C$2:$C$240,
reglas!$D$2:$D$240,
reglas!$E$2:$E$240,
LAMBDA(rEmisor,rPatron,rConcepto,rTipo,
IF(
AND(
OR(
UPPER(TRIM(rEmisor))=UPPER(TRIM(C775)),
UPPER(TRIM(rEmisor))=""CUALQUIERA""
),
OR(
UPPER(TRIM(rTipo"&amp;"))=""SOLO EMISOR"",
AND(
UPPER(TRIM(rTipo))=""EXACTA"",
UPPER(TRIM(D775))=UPPER(TRIM(rPatron))
),
AND(
OR(
UPPER(TRIM(rTipo))=""CONTIENE"",
UPPER(TRIM(rTipo))=""COINCIDENCIA""
),
ISNUMBER(SEARCH(UPPER(TRIM(rPatron)),UPPER(TRIM(D775))))
)
)
),
rConcepto,
"&amp;"""""
)
)
)&lt;&gt;""""
),
1
),
""""
)"),"MANIOBRAS")</f>
        <v>MANIOBRAS</v>
      </c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</row>
    <row r="776">
      <c r="A776" s="32"/>
      <c r="B776" s="32"/>
      <c r="C776" s="29" t="s">
        <v>271</v>
      </c>
      <c r="D776" s="29" t="s">
        <v>587</v>
      </c>
      <c r="E776" s="28">
        <v>573.36</v>
      </c>
      <c r="F776" s="28">
        <v>0.0</v>
      </c>
      <c r="G776" s="28" t="s">
        <v>84</v>
      </c>
      <c r="H776" s="28">
        <f t="array" ref="H776">INDEX(CC!C:C,MATCH(1,(CC!A:A=G776)*(CC!B:B=I776),0))</f>
        <v>1002</v>
      </c>
      <c r="I776" s="28" t="s">
        <v>25</v>
      </c>
      <c r="J776" s="31">
        <v>573.36</v>
      </c>
      <c r="K776" s="28" t="str">
        <f>IFERROR(__xludf.DUMMYFUNCTION("IFERROR(
INDEX(
FILTER(
MAP(
reglas!$B$2:$B$240,
reglas!$C$2:$C$240,
reglas!$D$2:$D$240,
reglas!$E$2:$E$240,
LAMBDA(rEmisor,rPatron,rConcepto,rTipo,
IF(
AND(
OR(
UPPER(TRIM(rEmisor))=UPPER(TRIM(C776)),
UPPER(TRIM(rEmisor))=""CUALQUIERA""
),
OR(
UPPER(TRIM"&amp;"(rTipo))=""SOLO EMISOR"",
AND(
UPPER(TRIM(rTipo))=""EXACTA"",
UPPER(TRIM(AG776))=UPPER(TRIM(rPatron))
),
AND(
OR(
UPPER(TRIM(rTipo))=""CONTIENE"",
UPPER(TRIM(rTipo))=""COINCIDENCIA""
),
ISNUMBER(SEARCH(UPPER(TRIM(rPatron)),UPPER(TRIM(D776))))
)
)
),
rConc"&amp;"epto,
""""
)
)
),
MAP(
reglas!$B$2:$B$240,
reglas!$C$2:$C$240,
reglas!$D$2:$D$240,
reglas!$E$2:$E$240,
LAMBDA(rEmisor,rPatron,rConcepto,rTipo,
IF(
AND(
OR(
UPPER(TRIM(rEmisor))=UPPER(TRIM(C776)),
UPPER(TRIM(rEmisor))=""CUALQUIERA""
),
OR(
UPPER(TRIM(rTipo"&amp;"))=""SOLO EMISOR"",
AND(
UPPER(TRIM(rTipo))=""EXACTA"",
UPPER(TRIM(D776))=UPPER(TRIM(rPatron))
),
AND(
OR(
UPPER(TRIM(rTipo))=""CONTIENE"",
UPPER(TRIM(rTipo))=""COINCIDENCIA""
),
ISNUMBER(SEARCH(UPPER(TRIM(rPatron)),UPPER(TRIM(D776))))
)
)
),
rConcepto,
"&amp;"""""
)
)
)&lt;&gt;""""
),
1
),
""""
)"),"MANIOBRAS")</f>
        <v>MANIOBRAS</v>
      </c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</row>
    <row r="777">
      <c r="A777" s="32"/>
      <c r="B777" s="32"/>
      <c r="C777" s="29" t="s">
        <v>271</v>
      </c>
      <c r="D777" s="29" t="s">
        <v>589</v>
      </c>
      <c r="E777" s="28">
        <v>627.01</v>
      </c>
      <c r="F777" s="28">
        <v>0.0</v>
      </c>
      <c r="G777" s="28" t="s">
        <v>84</v>
      </c>
      <c r="H777" s="28">
        <f t="array" ref="H777">INDEX(CC!C:C,MATCH(1,(CC!A:A=G777)*(CC!B:B=I777),0))</f>
        <v>1002</v>
      </c>
      <c r="I777" s="28" t="s">
        <v>25</v>
      </c>
      <c r="J777" s="31">
        <v>627.01</v>
      </c>
      <c r="K777" s="28" t="str">
        <f>IFERROR(__xludf.DUMMYFUNCTION("IFERROR(
INDEX(
FILTER(
MAP(
reglas!$B$2:$B$240,
reglas!$C$2:$C$240,
reglas!$D$2:$D$240,
reglas!$E$2:$E$240,
LAMBDA(rEmisor,rPatron,rConcepto,rTipo,
IF(
AND(
OR(
UPPER(TRIM(rEmisor))=UPPER(TRIM(C777)),
UPPER(TRIM(rEmisor))=""CUALQUIERA""
),
OR(
UPPER(TRIM"&amp;"(rTipo))=""SOLO EMISOR"",
AND(
UPPER(TRIM(rTipo))=""EXACTA"",
UPPER(TRIM(AG777))=UPPER(TRIM(rPatron))
),
AND(
OR(
UPPER(TRIM(rTipo))=""CONTIENE"",
UPPER(TRIM(rTipo))=""COINCIDENCIA""
),
ISNUMBER(SEARCH(UPPER(TRIM(rPatron)),UPPER(TRIM(D777))))
)
)
),
rConc"&amp;"epto,
""""
)
)
),
MAP(
reglas!$B$2:$B$240,
reglas!$C$2:$C$240,
reglas!$D$2:$D$240,
reglas!$E$2:$E$240,
LAMBDA(rEmisor,rPatron,rConcepto,rTipo,
IF(
AND(
OR(
UPPER(TRIM(rEmisor))=UPPER(TRIM(C777)),
UPPER(TRIM(rEmisor))=""CUALQUIERA""
),
OR(
UPPER(TRIM(rTipo"&amp;"))=""SOLO EMISOR"",
AND(
UPPER(TRIM(rTipo))=""EXACTA"",
UPPER(TRIM(D777))=UPPER(TRIM(rPatron))
),
AND(
OR(
UPPER(TRIM(rTipo))=""CONTIENE"",
UPPER(TRIM(rTipo))=""COINCIDENCIA""
),
ISNUMBER(SEARCH(UPPER(TRIM(rPatron)),UPPER(TRIM(D777))))
)
)
),
rConcepto,
"&amp;"""""
)
)
)&lt;&gt;""""
),
1
),
""""
)"),"MANIOBRAS")</f>
        <v>MANIOBRAS</v>
      </c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</row>
    <row r="778">
      <c r="A778" s="32"/>
      <c r="B778" s="32"/>
      <c r="C778" s="29" t="s">
        <v>271</v>
      </c>
      <c r="D778" s="29" t="s">
        <v>593</v>
      </c>
      <c r="E778" s="28">
        <v>412.41</v>
      </c>
      <c r="F778" s="28">
        <v>0.0</v>
      </c>
      <c r="G778" s="28" t="s">
        <v>84</v>
      </c>
      <c r="H778" s="28">
        <f t="array" ref="H778">INDEX(CC!C:C,MATCH(1,(CC!A:A=G778)*(CC!B:B=I778),0))</f>
        <v>1002</v>
      </c>
      <c r="I778" s="28" t="s">
        <v>25</v>
      </c>
      <c r="J778" s="31">
        <v>412.41</v>
      </c>
      <c r="K778" s="28" t="str">
        <f>IFERROR(__xludf.DUMMYFUNCTION("IFERROR(
INDEX(
FILTER(
MAP(
reglas!$B$2:$B$240,
reglas!$C$2:$C$240,
reglas!$D$2:$D$240,
reglas!$E$2:$E$240,
LAMBDA(rEmisor,rPatron,rConcepto,rTipo,
IF(
AND(
OR(
UPPER(TRIM(rEmisor))=UPPER(TRIM(C778)),
UPPER(TRIM(rEmisor))=""CUALQUIERA""
),
OR(
UPPER(TRIM"&amp;"(rTipo))=""SOLO EMISOR"",
AND(
UPPER(TRIM(rTipo))=""EXACTA"",
UPPER(TRIM(AG778))=UPPER(TRIM(rPatron))
),
AND(
OR(
UPPER(TRIM(rTipo))=""CONTIENE"",
UPPER(TRIM(rTipo))=""COINCIDENCIA""
),
ISNUMBER(SEARCH(UPPER(TRIM(rPatron)),UPPER(TRIM(D778))))
)
)
),
rConc"&amp;"epto,
""""
)
)
),
MAP(
reglas!$B$2:$B$240,
reglas!$C$2:$C$240,
reglas!$D$2:$D$240,
reglas!$E$2:$E$240,
LAMBDA(rEmisor,rPatron,rConcepto,rTipo,
IF(
AND(
OR(
UPPER(TRIM(rEmisor))=UPPER(TRIM(C778)),
UPPER(TRIM(rEmisor))=""CUALQUIERA""
),
OR(
UPPER(TRIM(rTipo"&amp;"))=""SOLO EMISOR"",
AND(
UPPER(TRIM(rTipo))=""EXACTA"",
UPPER(TRIM(D778))=UPPER(TRIM(rPatron))
),
AND(
OR(
UPPER(TRIM(rTipo))=""CONTIENE"",
UPPER(TRIM(rTipo))=""COINCIDENCIA""
),
ISNUMBER(SEARCH(UPPER(TRIM(rPatron)),UPPER(TRIM(D778))))
)
)
),
rConcepto,
"&amp;"""""
)
)
)&lt;&gt;""""
),
1
),
""""
)"),"MANIOBRAS")</f>
        <v>MANIOBRAS</v>
      </c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</row>
    <row r="779">
      <c r="A779" s="32"/>
      <c r="B779" s="32"/>
      <c r="C779" s="29" t="s">
        <v>271</v>
      </c>
      <c r="D779" s="29" t="s">
        <v>596</v>
      </c>
      <c r="E779" s="28">
        <v>657.86</v>
      </c>
      <c r="F779" s="28">
        <v>0.0</v>
      </c>
      <c r="G779" s="28" t="s">
        <v>84</v>
      </c>
      <c r="H779" s="28">
        <f t="array" ref="H779">INDEX(CC!C:C,MATCH(1,(CC!A:A=G779)*(CC!B:B=I779),0))</f>
        <v>1002</v>
      </c>
      <c r="I779" s="28" t="s">
        <v>25</v>
      </c>
      <c r="J779" s="31">
        <v>657.86</v>
      </c>
      <c r="K779" s="28" t="str">
        <f>IFERROR(__xludf.DUMMYFUNCTION("IFERROR(
INDEX(
FILTER(
MAP(
reglas!$B$2:$B$240,
reglas!$C$2:$C$240,
reglas!$D$2:$D$240,
reglas!$E$2:$E$240,
LAMBDA(rEmisor,rPatron,rConcepto,rTipo,
IF(
AND(
OR(
UPPER(TRIM(rEmisor))=UPPER(TRIM(C779)),
UPPER(TRIM(rEmisor))=""CUALQUIERA""
),
OR(
UPPER(TRIM"&amp;"(rTipo))=""SOLO EMISOR"",
AND(
UPPER(TRIM(rTipo))=""EXACTA"",
UPPER(TRIM(AG779))=UPPER(TRIM(rPatron))
),
AND(
OR(
UPPER(TRIM(rTipo))=""CONTIENE"",
UPPER(TRIM(rTipo))=""COINCIDENCIA""
),
ISNUMBER(SEARCH(UPPER(TRIM(rPatron)),UPPER(TRIM(D779))))
)
)
),
rConc"&amp;"epto,
""""
)
)
),
MAP(
reglas!$B$2:$B$240,
reglas!$C$2:$C$240,
reglas!$D$2:$D$240,
reglas!$E$2:$E$240,
LAMBDA(rEmisor,rPatron,rConcepto,rTipo,
IF(
AND(
OR(
UPPER(TRIM(rEmisor))=UPPER(TRIM(C779)),
UPPER(TRIM(rEmisor))=""CUALQUIERA""
),
OR(
UPPER(TRIM(rTipo"&amp;"))=""SOLO EMISOR"",
AND(
UPPER(TRIM(rTipo))=""EXACTA"",
UPPER(TRIM(D779))=UPPER(TRIM(rPatron))
),
AND(
OR(
UPPER(TRIM(rTipo))=""CONTIENE"",
UPPER(TRIM(rTipo))=""COINCIDENCIA""
),
ISNUMBER(SEARCH(UPPER(TRIM(rPatron)),UPPER(TRIM(D779))))
)
)
),
rConcepto,
"&amp;"""""
)
)
)&lt;&gt;""""
),
1
),
""""
)"),"MANIOBRAS")</f>
        <v>MANIOBRAS</v>
      </c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</row>
    <row r="780">
      <c r="A780" s="32"/>
      <c r="B780" s="28" t="s">
        <v>29</v>
      </c>
      <c r="C780" s="29" t="s">
        <v>172</v>
      </c>
      <c r="D780" s="29" t="s">
        <v>1710</v>
      </c>
      <c r="E780" s="28">
        <v>11500.0</v>
      </c>
      <c r="F780" s="28">
        <v>0.0</v>
      </c>
      <c r="G780" s="28" t="s">
        <v>250</v>
      </c>
      <c r="H780" s="28">
        <f t="array" ref="H780">INDEX(CC!C:C,MATCH(1,(CC!A:A=G780)*(CC!B:B=I780),0))</f>
        <v>1402</v>
      </c>
      <c r="I780" s="28" t="s">
        <v>25</v>
      </c>
      <c r="J780" s="31">
        <v>11500.0</v>
      </c>
      <c r="K780" s="28" t="str">
        <f>IFERROR(__xludf.DUMMYFUNCTION("IFERROR(
INDEX(
FILTER(
MAP(
reglas!$B$2:$B$240,
reglas!$C$2:$C$240,
reglas!$D$2:$D$240,
reglas!$E$2:$E$240,
LAMBDA(rEmisor,rPatron,rConcepto,rTipo,
IF(
AND(
OR(
UPPER(TRIM(rEmisor))=UPPER(TRIM(C780)),
UPPER(TRIM(rEmisor))=""CUALQUIERA""
),
OR(
UPPER(TRIM"&amp;"(rTipo))=""SOLO EMISOR"",
AND(
UPPER(TRIM(rTipo))=""EXACTA"",
UPPER(TRIM(AG780))=UPPER(TRIM(rPatron))
),
AND(
OR(
UPPER(TRIM(rTipo))=""CONTIENE"",
UPPER(TRIM(rTipo))=""COINCIDENCIA""
),
ISNUMBER(SEARCH(UPPER(TRIM(rPatron)),UPPER(TRIM(D780))))
)
)
),
rConc"&amp;"epto,
""""
)
)
),
MAP(
reglas!$B$2:$B$240,
reglas!$C$2:$C$240,
reglas!$D$2:$D$240,
reglas!$E$2:$E$240,
LAMBDA(rEmisor,rPatron,rConcepto,rTipo,
IF(
AND(
OR(
UPPER(TRIM(rEmisor))=UPPER(TRIM(C780)),
UPPER(TRIM(rEmisor))=""CUALQUIERA""
),
OR(
UPPER(TRIM(rTipo"&amp;"))=""SOLO EMISOR"",
AND(
UPPER(TRIM(rTipo))=""EXACTA"",
UPPER(TRIM(D780))=UPPER(TRIM(rPatron))
),
AND(
OR(
UPPER(TRIM(rTipo))=""CONTIENE"",
UPPER(TRIM(rTipo))=""COINCIDENCIA""
),
ISNUMBER(SEARCH(UPPER(TRIM(rPatron)),UPPER(TRIM(D780))))
)
)
),
rConcepto,
"&amp;"""""
)
)
)&lt;&gt;""""
),
1
),
""""
)"),"TRANSPORTE")</f>
        <v>TRANSPORTE</v>
      </c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</row>
    <row r="781">
      <c r="A781" s="32"/>
      <c r="B781" s="28" t="s">
        <v>29</v>
      </c>
      <c r="C781" s="29" t="s">
        <v>169</v>
      </c>
      <c r="D781" s="29" t="s">
        <v>1728</v>
      </c>
      <c r="E781" s="28">
        <v>425.0</v>
      </c>
      <c r="F781" s="28">
        <v>0.0</v>
      </c>
      <c r="G781" s="28" t="s">
        <v>250</v>
      </c>
      <c r="H781" s="28">
        <f t="array" ref="H781">INDEX(CC!C:C,MATCH(1,(CC!A:A=G781)*(CC!B:B=I781),0))</f>
        <v>1402</v>
      </c>
      <c r="I781" s="28" t="s">
        <v>25</v>
      </c>
      <c r="J781" s="31">
        <v>425.0</v>
      </c>
      <c r="K781" s="28" t="str">
        <f>IFERROR(__xludf.DUMMYFUNCTION("IFERROR(
INDEX(
FILTER(
MAP(
reglas!$B$2:$B$240,
reglas!$C$2:$C$240,
reglas!$D$2:$D$240,
reglas!$E$2:$E$240,
LAMBDA(rEmisor,rPatron,rConcepto,rTipo,
IF(
AND(
OR(
UPPER(TRIM(rEmisor))=UPPER(TRIM(C781)),
UPPER(TRIM(rEmisor))=""CUALQUIERA""
),
OR(
UPPER(TRIM"&amp;"(rTipo))=""SOLO EMISOR"",
AND(
UPPER(TRIM(rTipo))=""EXACTA"",
UPPER(TRIM(AG781))=UPPER(TRIM(rPatron))
),
AND(
OR(
UPPER(TRIM(rTipo))=""CONTIENE"",
UPPER(TRIM(rTipo))=""COINCIDENCIA""
),
ISNUMBER(SEARCH(UPPER(TRIM(rPatron)),UPPER(TRIM(D781))))
)
)
),
rConc"&amp;"epto,
""""
)
)
),
MAP(
reglas!$B$2:$B$240,
reglas!$C$2:$C$240,
reglas!$D$2:$D$240,
reglas!$E$2:$E$240,
LAMBDA(rEmisor,rPatron,rConcepto,rTipo,
IF(
AND(
OR(
UPPER(TRIM(rEmisor))=UPPER(TRIM(C781)),
UPPER(TRIM(rEmisor))=""CUALQUIERA""
),
OR(
UPPER(TRIM(rTipo"&amp;"))=""SOLO EMISOR"",
AND(
UPPER(TRIM(rTipo))=""EXACTA"",
UPPER(TRIM(D781))=UPPER(TRIM(rPatron))
),
AND(
OR(
UPPER(TRIM(rTipo))=""CONTIENE"",
UPPER(TRIM(rTipo))=""COINCIDENCIA""
),
ISNUMBER(SEARCH(UPPER(TRIM(rPatron)),UPPER(TRIM(D781))))
)
)
),
rConcepto,
"&amp;"""""
)
)
)&lt;&gt;""""
),
1
),
""""
)"),"PATIO REGULADOR")</f>
        <v>PATIO REGULADOR</v>
      </c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</row>
    <row r="782">
      <c r="A782" s="32"/>
      <c r="B782" s="28" t="s">
        <v>29</v>
      </c>
      <c r="C782" s="29" t="s">
        <v>1726</v>
      </c>
      <c r="D782" s="29" t="s">
        <v>1052</v>
      </c>
      <c r="E782" s="28">
        <v>95.57</v>
      </c>
      <c r="F782" s="28">
        <v>0.0</v>
      </c>
      <c r="G782" s="28" t="s">
        <v>225</v>
      </c>
      <c r="H782" s="28">
        <f t="array" ref="H782">INDEX(CC!C:C,MATCH(1,(CC!A:A=G782)*(CC!B:B=I782),0))</f>
        <v>102</v>
      </c>
      <c r="I782" s="28" t="s">
        <v>25</v>
      </c>
      <c r="J782" s="31">
        <v>95.57</v>
      </c>
      <c r="K782" s="28" t="str">
        <f>IFERROR(__xludf.DUMMYFUNCTION("IFERROR(
INDEX(
FILTER(
MAP(
reglas!$B$2:$B$240,
reglas!$C$2:$C$240,
reglas!$D$2:$D$240,
reglas!$E$2:$E$240,
LAMBDA(rEmisor,rPatron,rConcepto,rTipo,
IF(
AND(
OR(
UPPER(TRIM(rEmisor))=UPPER(TRIM(C782)),
UPPER(TRIM(rEmisor))=""CUALQUIERA""
),
OR(
UPPER(TRIM"&amp;"(rTipo))=""SOLO EMISOR"",
AND(
UPPER(TRIM(rTipo))=""EXACTA"",
UPPER(TRIM(AG782))=UPPER(TRIM(rPatron))
),
AND(
OR(
UPPER(TRIM(rTipo))=""CONTIENE"",
UPPER(TRIM(rTipo))=""COINCIDENCIA""
),
ISNUMBER(SEARCH(UPPER(TRIM(rPatron)),UPPER(TRIM(D782))))
)
)
),
rConc"&amp;"epto,
""""
)
)
),
MAP(
reglas!$B$2:$B$240,
reglas!$C$2:$C$240,
reglas!$D$2:$D$240,
reglas!$E$2:$E$240,
LAMBDA(rEmisor,rPatron,rConcepto,rTipo,
IF(
AND(
OR(
UPPER(TRIM(rEmisor))=UPPER(TRIM(C782)),
UPPER(TRIM(rEmisor))=""CUALQUIERA""
),
OR(
UPPER(TRIM(rTipo"&amp;"))=""SOLO EMISOR"",
AND(
UPPER(TRIM(rTipo))=""EXACTA"",
UPPER(TRIM(D782))=UPPER(TRIM(rPatron))
),
AND(
OR(
UPPER(TRIM(rTipo))=""CONTIENE"",
UPPER(TRIM(rTipo))=""COINCIDENCIA""
),
ISNUMBER(SEARCH(UPPER(TRIM(rPatron)),UPPER(TRIM(D782))))
)
)
),
rConcepto,
"&amp;"""""
)
)
)&lt;&gt;""""
),
1
),
""""
)"),"")</f>
        <v/>
      </c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</row>
    <row r="783">
      <c r="A783" s="32"/>
      <c r="B783" s="28" t="s">
        <v>29</v>
      </c>
      <c r="C783" s="29" t="s">
        <v>169</v>
      </c>
      <c r="D783" s="29" t="s">
        <v>1729</v>
      </c>
      <c r="E783" s="28">
        <v>305.0</v>
      </c>
      <c r="F783" s="28">
        <v>0.0</v>
      </c>
      <c r="G783" s="28" t="s">
        <v>250</v>
      </c>
      <c r="H783" s="28">
        <f t="array" ref="H783">INDEX(CC!C:C,MATCH(1,(CC!A:A=G783)*(CC!B:B=I783),0))</f>
        <v>1402</v>
      </c>
      <c r="I783" s="28" t="s">
        <v>25</v>
      </c>
      <c r="J783" s="31">
        <v>305.0</v>
      </c>
      <c r="K783" s="28" t="str">
        <f>IFERROR(__xludf.DUMMYFUNCTION("IFERROR(
INDEX(
FILTER(
MAP(
reglas!$B$2:$B$240,
reglas!$C$2:$C$240,
reglas!$D$2:$D$240,
reglas!$E$2:$E$240,
LAMBDA(rEmisor,rPatron,rConcepto,rTipo,
IF(
AND(
OR(
UPPER(TRIM(rEmisor))=UPPER(TRIM(C783)),
UPPER(TRIM(rEmisor))=""CUALQUIERA""
),
OR(
UPPER(TRIM"&amp;"(rTipo))=""SOLO EMISOR"",
AND(
UPPER(TRIM(rTipo))=""EXACTA"",
UPPER(TRIM(AG783))=UPPER(TRIM(rPatron))
),
AND(
OR(
UPPER(TRIM(rTipo))=""CONTIENE"",
UPPER(TRIM(rTipo))=""COINCIDENCIA""
),
ISNUMBER(SEARCH(UPPER(TRIM(rPatron)),UPPER(TRIM(D783))))
)
)
),
rConc"&amp;"epto,
""""
)
)
),
MAP(
reglas!$B$2:$B$240,
reglas!$C$2:$C$240,
reglas!$D$2:$D$240,
reglas!$E$2:$E$240,
LAMBDA(rEmisor,rPatron,rConcepto,rTipo,
IF(
AND(
OR(
UPPER(TRIM(rEmisor))=UPPER(TRIM(C783)),
UPPER(TRIM(rEmisor))=""CUALQUIERA""
),
OR(
UPPER(TRIM(rTipo"&amp;"))=""SOLO EMISOR"",
AND(
UPPER(TRIM(rTipo))=""EXACTA"",
UPPER(TRIM(D783))=UPPER(TRIM(rPatron))
),
AND(
OR(
UPPER(TRIM(rTipo))=""CONTIENE"",
UPPER(TRIM(rTipo))=""COINCIDENCIA""
),
ISNUMBER(SEARCH(UPPER(TRIM(rPatron)),UPPER(TRIM(D783))))
)
)
),
rConcepto,
"&amp;"""""
)
)
)&lt;&gt;""""
),
1
),
""""
)"),"PATIO REGULADOR")</f>
        <v>PATIO REGULADOR</v>
      </c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</row>
    <row r="784">
      <c r="A784" s="32"/>
      <c r="B784" s="28" t="s">
        <v>29</v>
      </c>
      <c r="C784" s="29" t="s">
        <v>354</v>
      </c>
      <c r="D784" s="29" t="s">
        <v>1730</v>
      </c>
      <c r="E784" s="28">
        <v>193738.79</v>
      </c>
      <c r="F784" s="28">
        <v>0.0</v>
      </c>
      <c r="G784" s="28" t="s">
        <v>601</v>
      </c>
      <c r="H784" s="28">
        <f t="array" ref="H784">INDEX(CC!C:C,MATCH(1,(CC!A:A=G784)*(CC!B:B=I784),0))</f>
        <v>402</v>
      </c>
      <c r="I784" s="28" t="s">
        <v>25</v>
      </c>
      <c r="J784" s="78"/>
      <c r="K784" s="28" t="str">
        <f>IFERROR(__xludf.DUMMYFUNCTION("IFERROR(
INDEX(
FILTER(
MAP(
reglas!$B$2:$B$240,
reglas!$C$2:$C$240,
reglas!$D$2:$D$240,
reglas!$E$2:$E$240,
LAMBDA(rEmisor,rPatron,rConcepto,rTipo,
IF(
AND(
OR(
UPPER(TRIM(rEmisor))=UPPER(TRIM(C784)),
UPPER(TRIM(rEmisor))=""CUALQUIERA""
),
OR(
UPPER(TRIM"&amp;"(rTipo))=""SOLO EMISOR"",
AND(
UPPER(TRIM(rTipo))=""EXACTA"",
UPPER(TRIM(AG784))=UPPER(TRIM(rPatron))
),
AND(
OR(
UPPER(TRIM(rTipo))=""CONTIENE"",
UPPER(TRIM(rTipo))=""COINCIDENCIA""
),
ISNUMBER(SEARCH(UPPER(TRIM(rPatron)),UPPER(TRIM(D784))))
)
)
),
rConc"&amp;"epto,
""""
)
)
),
MAP(
reglas!$B$2:$B$240,
reglas!$C$2:$C$240,
reglas!$D$2:$D$240,
reglas!$E$2:$E$240,
LAMBDA(rEmisor,rPatron,rConcepto,rTipo,
IF(
AND(
OR(
UPPER(TRIM(rEmisor))=UPPER(TRIM(C784)),
UPPER(TRIM(rEmisor))=""CUALQUIERA""
),
OR(
UPPER(TRIM(rTipo"&amp;"))=""SOLO EMISOR"",
AND(
UPPER(TRIM(rTipo))=""EXACTA"",
UPPER(TRIM(D784))=UPPER(TRIM(rPatron))
),
AND(
OR(
UPPER(TRIM(rTipo))=""CONTIENE"",
UPPER(TRIM(rTipo))=""COINCIDENCIA""
),
ISNUMBER(SEARCH(UPPER(TRIM(rPatron)),UPPER(TRIM(D784))))
)
)
),
rConcepto,
"&amp;"""""
)
)
)&lt;&gt;""""
),
1
),
""""
)"),"N/A")</f>
        <v>N/A</v>
      </c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</row>
    <row r="785">
      <c r="A785" s="32"/>
      <c r="B785" s="32"/>
      <c r="C785" s="29" t="s">
        <v>354</v>
      </c>
      <c r="D785" s="29" t="s">
        <v>1730</v>
      </c>
      <c r="E785" s="32"/>
      <c r="F785" s="32"/>
      <c r="G785" s="28" t="s">
        <v>225</v>
      </c>
      <c r="H785" s="28">
        <f t="array" ref="H785">INDEX(CC!C:C,MATCH(1,(CC!A:A=G785)*(CC!B:B=I785),0))</f>
        <v>102</v>
      </c>
      <c r="I785" s="28" t="s">
        <v>25</v>
      </c>
      <c r="J785" s="78"/>
      <c r="K785" s="28" t="str">
        <f>IFERROR(__xludf.DUMMYFUNCTION("IFERROR(
INDEX(
FILTER(
MAP(
reglas!$B$2:$B$240,
reglas!$C$2:$C$240,
reglas!$D$2:$D$240,
reglas!$E$2:$E$240,
LAMBDA(rEmisor,rPatron,rConcepto,rTipo,
IF(
AND(
OR(
UPPER(TRIM(rEmisor))=UPPER(TRIM(C785)),
UPPER(TRIM(rEmisor))=""CUALQUIERA""
),
OR(
UPPER(TRIM"&amp;"(rTipo))=""SOLO EMISOR"",
AND(
UPPER(TRIM(rTipo))=""EXACTA"",
UPPER(TRIM(AG785))=UPPER(TRIM(rPatron))
),
AND(
OR(
UPPER(TRIM(rTipo))=""CONTIENE"",
UPPER(TRIM(rTipo))=""COINCIDENCIA""
),
ISNUMBER(SEARCH(UPPER(TRIM(rPatron)),UPPER(TRIM(D785))))
)
)
),
rConc"&amp;"epto,
""""
)
)
),
MAP(
reglas!$B$2:$B$240,
reglas!$C$2:$C$240,
reglas!$D$2:$D$240,
reglas!$E$2:$E$240,
LAMBDA(rEmisor,rPatron,rConcepto,rTipo,
IF(
AND(
OR(
UPPER(TRIM(rEmisor))=UPPER(TRIM(C785)),
UPPER(TRIM(rEmisor))=""CUALQUIERA""
),
OR(
UPPER(TRIM(rTipo"&amp;"))=""SOLO EMISOR"",
AND(
UPPER(TRIM(rTipo))=""EXACTA"",
UPPER(TRIM(D785))=UPPER(TRIM(rPatron))
),
AND(
OR(
UPPER(TRIM(rTipo))=""CONTIENE"",
UPPER(TRIM(rTipo))=""COINCIDENCIA""
),
ISNUMBER(SEARCH(UPPER(TRIM(rPatron)),UPPER(TRIM(D785))))
)
)
),
rConcepto,
"&amp;"""""
)
)
)&lt;&gt;""""
),
1
),
""""
)"),"N/A")</f>
        <v>N/A</v>
      </c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</row>
    <row r="786">
      <c r="A786" s="32"/>
      <c r="B786" s="32"/>
      <c r="C786" s="29" t="s">
        <v>354</v>
      </c>
      <c r="D786" s="29" t="s">
        <v>1730</v>
      </c>
      <c r="E786" s="32"/>
      <c r="F786" s="32"/>
      <c r="G786" s="28" t="s">
        <v>554</v>
      </c>
      <c r="H786" s="28">
        <f t="array" ref="H786">INDEX(CC!C:C,MATCH(1,(CC!A:A=G786)*(CC!B:B=I786),0))</f>
        <v>1702</v>
      </c>
      <c r="I786" s="28" t="s">
        <v>25</v>
      </c>
      <c r="J786" s="78"/>
      <c r="K786" s="28" t="str">
        <f>IFERROR(__xludf.DUMMYFUNCTION("IFERROR(
INDEX(
FILTER(
MAP(
reglas!$B$2:$B$240,
reglas!$C$2:$C$240,
reglas!$D$2:$D$240,
reglas!$E$2:$E$240,
LAMBDA(rEmisor,rPatron,rConcepto,rTipo,
IF(
AND(
OR(
UPPER(TRIM(rEmisor))=UPPER(TRIM(C786)),
UPPER(TRIM(rEmisor))=""CUALQUIERA""
),
OR(
UPPER(TRIM"&amp;"(rTipo))=""SOLO EMISOR"",
AND(
UPPER(TRIM(rTipo))=""EXACTA"",
UPPER(TRIM(AG786))=UPPER(TRIM(rPatron))
),
AND(
OR(
UPPER(TRIM(rTipo))=""CONTIENE"",
UPPER(TRIM(rTipo))=""COINCIDENCIA""
),
ISNUMBER(SEARCH(UPPER(TRIM(rPatron)),UPPER(TRIM(D786))))
)
)
),
rConc"&amp;"epto,
""""
)
)
),
MAP(
reglas!$B$2:$B$240,
reglas!$C$2:$C$240,
reglas!$D$2:$D$240,
reglas!$E$2:$E$240,
LAMBDA(rEmisor,rPatron,rConcepto,rTipo,
IF(
AND(
OR(
UPPER(TRIM(rEmisor))=UPPER(TRIM(C786)),
UPPER(TRIM(rEmisor))=""CUALQUIERA""
),
OR(
UPPER(TRIM(rTipo"&amp;"))=""SOLO EMISOR"",
AND(
UPPER(TRIM(rTipo))=""EXACTA"",
UPPER(TRIM(D786))=UPPER(TRIM(rPatron))
),
AND(
OR(
UPPER(TRIM(rTipo))=""CONTIENE"",
UPPER(TRIM(rTipo))=""COINCIDENCIA""
),
ISNUMBER(SEARCH(UPPER(TRIM(rPatron)),UPPER(TRIM(D786))))
)
)
),
rConcepto,
"&amp;"""""
)
)
)&lt;&gt;""""
),
1
),
""""
)"),"N/A")</f>
        <v>N/A</v>
      </c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</row>
    <row r="787">
      <c r="A787" s="32"/>
      <c r="B787" s="32"/>
      <c r="C787" s="29" t="s">
        <v>354</v>
      </c>
      <c r="D787" s="29" t="s">
        <v>1730</v>
      </c>
      <c r="E787" s="32"/>
      <c r="F787" s="32"/>
      <c r="G787" s="28" t="s">
        <v>84</v>
      </c>
      <c r="H787" s="28">
        <f t="array" ref="H787">INDEX(CC!C:C,MATCH(1,(CC!A:A=G787)*(CC!B:B=I787),0))</f>
        <v>1002</v>
      </c>
      <c r="I787" s="28" t="s">
        <v>25</v>
      </c>
      <c r="J787" s="78"/>
      <c r="K787" s="28" t="str">
        <f>IFERROR(__xludf.DUMMYFUNCTION("IFERROR(
INDEX(
FILTER(
MAP(
reglas!$B$2:$B$240,
reglas!$C$2:$C$240,
reglas!$D$2:$D$240,
reglas!$E$2:$E$240,
LAMBDA(rEmisor,rPatron,rConcepto,rTipo,
IF(
AND(
OR(
UPPER(TRIM(rEmisor))=UPPER(TRIM(C787)),
UPPER(TRIM(rEmisor))=""CUALQUIERA""
),
OR(
UPPER(TRIM"&amp;"(rTipo))=""SOLO EMISOR"",
AND(
UPPER(TRIM(rTipo))=""EXACTA"",
UPPER(TRIM(AG787))=UPPER(TRIM(rPatron))
),
AND(
OR(
UPPER(TRIM(rTipo))=""CONTIENE"",
UPPER(TRIM(rTipo))=""COINCIDENCIA""
),
ISNUMBER(SEARCH(UPPER(TRIM(rPatron)),UPPER(TRIM(D787))))
)
)
),
rConc"&amp;"epto,
""""
)
)
),
MAP(
reglas!$B$2:$B$240,
reglas!$C$2:$C$240,
reglas!$D$2:$D$240,
reglas!$E$2:$E$240,
LAMBDA(rEmisor,rPatron,rConcepto,rTipo,
IF(
AND(
OR(
UPPER(TRIM(rEmisor))=UPPER(TRIM(C787)),
UPPER(TRIM(rEmisor))=""CUALQUIERA""
),
OR(
UPPER(TRIM(rTipo"&amp;"))=""SOLO EMISOR"",
AND(
UPPER(TRIM(rTipo))=""EXACTA"",
UPPER(TRIM(D787))=UPPER(TRIM(rPatron))
),
AND(
OR(
UPPER(TRIM(rTipo))=""CONTIENE"",
UPPER(TRIM(rTipo))=""COINCIDENCIA""
),
ISNUMBER(SEARCH(UPPER(TRIM(rPatron)),UPPER(TRIM(D787))))
)
)
),
rConcepto,
"&amp;"""""
)
)
)&lt;&gt;""""
),
1
),
""""
)"),"N/A")</f>
        <v>N/A</v>
      </c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</row>
    <row r="788">
      <c r="A788" s="32"/>
      <c r="B788" s="32"/>
      <c r="C788" s="29" t="s">
        <v>354</v>
      </c>
      <c r="D788" s="29" t="s">
        <v>1730</v>
      </c>
      <c r="E788" s="32"/>
      <c r="F788" s="32"/>
      <c r="G788" s="28" t="s">
        <v>539</v>
      </c>
      <c r="H788" s="28">
        <f t="array" ref="H788">INDEX(CC!C:C,MATCH(1,(CC!A:A=G788)*(CC!B:B=I788),0))</f>
        <v>1302</v>
      </c>
      <c r="I788" s="28" t="s">
        <v>25</v>
      </c>
      <c r="J788" s="78"/>
      <c r="K788" s="28" t="str">
        <f>IFERROR(__xludf.DUMMYFUNCTION("IFERROR(
INDEX(
FILTER(
MAP(
reglas!$B$2:$B$240,
reglas!$C$2:$C$240,
reglas!$D$2:$D$240,
reglas!$E$2:$E$240,
LAMBDA(rEmisor,rPatron,rConcepto,rTipo,
IF(
AND(
OR(
UPPER(TRIM(rEmisor))=UPPER(TRIM(C788)),
UPPER(TRIM(rEmisor))=""CUALQUIERA""
),
OR(
UPPER(TRIM"&amp;"(rTipo))=""SOLO EMISOR"",
AND(
UPPER(TRIM(rTipo))=""EXACTA"",
UPPER(TRIM(AG788))=UPPER(TRIM(rPatron))
),
AND(
OR(
UPPER(TRIM(rTipo))=""CONTIENE"",
UPPER(TRIM(rTipo))=""COINCIDENCIA""
),
ISNUMBER(SEARCH(UPPER(TRIM(rPatron)),UPPER(TRIM(D788))))
)
)
),
rConc"&amp;"epto,
""""
)
)
),
MAP(
reglas!$B$2:$B$240,
reglas!$C$2:$C$240,
reglas!$D$2:$D$240,
reglas!$E$2:$E$240,
LAMBDA(rEmisor,rPatron,rConcepto,rTipo,
IF(
AND(
OR(
UPPER(TRIM(rEmisor))=UPPER(TRIM(C788)),
UPPER(TRIM(rEmisor))=""CUALQUIERA""
),
OR(
UPPER(TRIM(rTipo"&amp;"))=""SOLO EMISOR"",
AND(
UPPER(TRIM(rTipo))=""EXACTA"",
UPPER(TRIM(D788))=UPPER(TRIM(rPatron))
),
AND(
OR(
UPPER(TRIM(rTipo))=""CONTIENE"",
UPPER(TRIM(rTipo))=""COINCIDENCIA""
),
ISNUMBER(SEARCH(UPPER(TRIM(rPatron)),UPPER(TRIM(D788))))
)
)
),
rConcepto,
"&amp;"""""
)
)
)&lt;&gt;""""
),
1
),
""""
)"),"N/A")</f>
        <v>N/A</v>
      </c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</row>
    <row r="789">
      <c r="A789" s="32"/>
      <c r="B789" s="32"/>
      <c r="C789" s="29" t="s">
        <v>354</v>
      </c>
      <c r="D789" s="29" t="s">
        <v>1730</v>
      </c>
      <c r="E789" s="32"/>
      <c r="F789" s="32"/>
      <c r="G789" s="28" t="s">
        <v>250</v>
      </c>
      <c r="H789" s="28">
        <f t="array" ref="H789">INDEX(CC!C:C,MATCH(1,(CC!A:A=G789)*(CC!B:B=I789),0))</f>
        <v>1402</v>
      </c>
      <c r="I789" s="28" t="s">
        <v>25</v>
      </c>
      <c r="J789" s="78"/>
      <c r="K789" s="28" t="str">
        <f>IFERROR(__xludf.DUMMYFUNCTION("IFERROR(
INDEX(
FILTER(
MAP(
reglas!$B$2:$B$240,
reglas!$C$2:$C$240,
reglas!$D$2:$D$240,
reglas!$E$2:$E$240,
LAMBDA(rEmisor,rPatron,rConcepto,rTipo,
IF(
AND(
OR(
UPPER(TRIM(rEmisor))=UPPER(TRIM(C789)),
UPPER(TRIM(rEmisor))=""CUALQUIERA""
),
OR(
UPPER(TRIM"&amp;"(rTipo))=""SOLO EMISOR"",
AND(
UPPER(TRIM(rTipo))=""EXACTA"",
UPPER(TRIM(AG789))=UPPER(TRIM(rPatron))
),
AND(
OR(
UPPER(TRIM(rTipo))=""CONTIENE"",
UPPER(TRIM(rTipo))=""COINCIDENCIA""
),
ISNUMBER(SEARCH(UPPER(TRIM(rPatron)),UPPER(TRIM(D789))))
)
)
),
rConc"&amp;"epto,
""""
)
)
),
MAP(
reglas!$B$2:$B$240,
reglas!$C$2:$C$240,
reglas!$D$2:$D$240,
reglas!$E$2:$E$240,
LAMBDA(rEmisor,rPatron,rConcepto,rTipo,
IF(
AND(
OR(
UPPER(TRIM(rEmisor))=UPPER(TRIM(C789)),
UPPER(TRIM(rEmisor))=""CUALQUIERA""
),
OR(
UPPER(TRIM(rTipo"&amp;"))=""SOLO EMISOR"",
AND(
UPPER(TRIM(rTipo))=""EXACTA"",
UPPER(TRIM(D789))=UPPER(TRIM(rPatron))
),
AND(
OR(
UPPER(TRIM(rTipo))=""CONTIENE"",
UPPER(TRIM(rTipo))=""COINCIDENCIA""
),
ISNUMBER(SEARCH(UPPER(TRIM(rPatron)),UPPER(TRIM(D789))))
)
)
),
rConcepto,
"&amp;"""""
)
)
)&lt;&gt;""""
),
1
),
""""
)"),"N/A")</f>
        <v>N/A</v>
      </c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</row>
    <row r="790">
      <c r="A790" s="32"/>
      <c r="B790" s="32"/>
      <c r="C790" s="29" t="s">
        <v>354</v>
      </c>
      <c r="D790" s="29" t="s">
        <v>1730</v>
      </c>
      <c r="E790" s="32"/>
      <c r="F790" s="32"/>
      <c r="G790" s="28" t="s">
        <v>74</v>
      </c>
      <c r="H790" s="28">
        <f t="array" ref="H790">INDEX(CC!C:C,MATCH(1,(CC!A:A=G790)*(CC!B:B=I790),0))</f>
        <v>1502</v>
      </c>
      <c r="I790" s="28" t="s">
        <v>25</v>
      </c>
      <c r="J790" s="78"/>
      <c r="K790" s="28" t="str">
        <f>IFERROR(__xludf.DUMMYFUNCTION("IFERROR(
INDEX(
FILTER(
MAP(
reglas!$B$2:$B$240,
reglas!$C$2:$C$240,
reglas!$D$2:$D$240,
reglas!$E$2:$E$240,
LAMBDA(rEmisor,rPatron,rConcepto,rTipo,
IF(
AND(
OR(
UPPER(TRIM(rEmisor))=UPPER(TRIM(C790)),
UPPER(TRIM(rEmisor))=""CUALQUIERA""
),
OR(
UPPER(TRIM"&amp;"(rTipo))=""SOLO EMISOR"",
AND(
UPPER(TRIM(rTipo))=""EXACTA"",
UPPER(TRIM(AG790))=UPPER(TRIM(rPatron))
),
AND(
OR(
UPPER(TRIM(rTipo))=""CONTIENE"",
UPPER(TRIM(rTipo))=""COINCIDENCIA""
),
ISNUMBER(SEARCH(UPPER(TRIM(rPatron)),UPPER(TRIM(D790))))
)
)
),
rConc"&amp;"epto,
""""
)
)
),
MAP(
reglas!$B$2:$B$240,
reglas!$C$2:$C$240,
reglas!$D$2:$D$240,
reglas!$E$2:$E$240,
LAMBDA(rEmisor,rPatron,rConcepto,rTipo,
IF(
AND(
OR(
UPPER(TRIM(rEmisor))=UPPER(TRIM(C790)),
UPPER(TRIM(rEmisor))=""CUALQUIERA""
),
OR(
UPPER(TRIM(rTipo"&amp;"))=""SOLO EMISOR"",
AND(
UPPER(TRIM(rTipo))=""EXACTA"",
UPPER(TRIM(D790))=UPPER(TRIM(rPatron))
),
AND(
OR(
UPPER(TRIM(rTipo))=""CONTIENE"",
UPPER(TRIM(rTipo))=""COINCIDENCIA""
),
ISNUMBER(SEARCH(UPPER(TRIM(rPatron)),UPPER(TRIM(D790))))
)
)
),
rConcepto,
"&amp;"""""
)
)
)&lt;&gt;""""
),
1
),
""""
)"),"N/A")</f>
        <v>N/A</v>
      </c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</row>
    <row r="791">
      <c r="A791" s="32"/>
      <c r="B791" s="32"/>
      <c r="C791" s="29" t="s">
        <v>354</v>
      </c>
      <c r="D791" s="29" t="s">
        <v>1730</v>
      </c>
      <c r="E791" s="32"/>
      <c r="F791" s="32"/>
      <c r="G791" s="28" t="s">
        <v>55</v>
      </c>
      <c r="H791" s="28">
        <f t="array" ref="H791">INDEX(CC!C:C,MATCH(1,(CC!A:A=G791)*(CC!B:B=I791),0))</f>
        <v>902</v>
      </c>
      <c r="I791" s="28" t="s">
        <v>25</v>
      </c>
      <c r="J791" s="78"/>
      <c r="K791" s="28" t="str">
        <f>IFERROR(__xludf.DUMMYFUNCTION("IFERROR(
INDEX(
FILTER(
MAP(
reglas!$B$2:$B$240,
reglas!$C$2:$C$240,
reglas!$D$2:$D$240,
reglas!$E$2:$E$240,
LAMBDA(rEmisor,rPatron,rConcepto,rTipo,
IF(
AND(
OR(
UPPER(TRIM(rEmisor))=UPPER(TRIM(C791)),
UPPER(TRIM(rEmisor))=""CUALQUIERA""
),
OR(
UPPER(TRIM"&amp;"(rTipo))=""SOLO EMISOR"",
AND(
UPPER(TRIM(rTipo))=""EXACTA"",
UPPER(TRIM(AG791))=UPPER(TRIM(rPatron))
),
AND(
OR(
UPPER(TRIM(rTipo))=""CONTIENE"",
UPPER(TRIM(rTipo))=""COINCIDENCIA""
),
ISNUMBER(SEARCH(UPPER(TRIM(rPatron)),UPPER(TRIM(D791))))
)
)
),
rConc"&amp;"epto,
""""
)
)
),
MAP(
reglas!$B$2:$B$240,
reglas!$C$2:$C$240,
reglas!$D$2:$D$240,
reglas!$E$2:$E$240,
LAMBDA(rEmisor,rPatron,rConcepto,rTipo,
IF(
AND(
OR(
UPPER(TRIM(rEmisor))=UPPER(TRIM(C791)),
UPPER(TRIM(rEmisor))=""CUALQUIERA""
),
OR(
UPPER(TRIM(rTipo"&amp;"))=""SOLO EMISOR"",
AND(
UPPER(TRIM(rTipo))=""EXACTA"",
UPPER(TRIM(D791))=UPPER(TRIM(rPatron))
),
AND(
OR(
UPPER(TRIM(rTipo))=""CONTIENE"",
UPPER(TRIM(rTipo))=""COINCIDENCIA""
),
ISNUMBER(SEARCH(UPPER(TRIM(rPatron)),UPPER(TRIM(D791))))
)
)
),
rConcepto,
"&amp;"""""
)
)
)&lt;&gt;""""
),
1
),
""""
)"),"N/A")</f>
        <v>N/A</v>
      </c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</row>
    <row r="792">
      <c r="A792" s="32"/>
      <c r="B792" s="32"/>
      <c r="C792" s="29" t="s">
        <v>354</v>
      </c>
      <c r="D792" s="29" t="s">
        <v>1730</v>
      </c>
      <c r="E792" s="32"/>
      <c r="F792" s="32"/>
      <c r="G792" s="28" t="s">
        <v>40</v>
      </c>
      <c r="H792" s="28">
        <f t="array" ref="H792">INDEX(CC!C:C,MATCH(1,(CC!A:A=G792)*(CC!B:B=I792),0))</f>
        <v>602</v>
      </c>
      <c r="I792" s="28" t="s">
        <v>25</v>
      </c>
      <c r="J792" s="78"/>
      <c r="K792" s="28" t="str">
        <f>IFERROR(__xludf.DUMMYFUNCTION("IFERROR(
INDEX(
FILTER(
MAP(
reglas!$B$2:$B$240,
reglas!$C$2:$C$240,
reglas!$D$2:$D$240,
reglas!$E$2:$E$240,
LAMBDA(rEmisor,rPatron,rConcepto,rTipo,
IF(
AND(
OR(
UPPER(TRIM(rEmisor))=UPPER(TRIM(C792)),
UPPER(TRIM(rEmisor))=""CUALQUIERA""
),
OR(
UPPER(TRIM"&amp;"(rTipo))=""SOLO EMISOR"",
AND(
UPPER(TRIM(rTipo))=""EXACTA"",
UPPER(TRIM(AG792))=UPPER(TRIM(rPatron))
),
AND(
OR(
UPPER(TRIM(rTipo))=""CONTIENE"",
UPPER(TRIM(rTipo))=""COINCIDENCIA""
),
ISNUMBER(SEARCH(UPPER(TRIM(rPatron)),UPPER(TRIM(D792))))
)
)
),
rConc"&amp;"epto,
""""
)
)
),
MAP(
reglas!$B$2:$B$240,
reglas!$C$2:$C$240,
reglas!$D$2:$D$240,
reglas!$E$2:$E$240,
LAMBDA(rEmisor,rPatron,rConcepto,rTipo,
IF(
AND(
OR(
UPPER(TRIM(rEmisor))=UPPER(TRIM(C792)),
UPPER(TRIM(rEmisor))=""CUALQUIERA""
),
OR(
UPPER(TRIM(rTipo"&amp;"))=""SOLO EMISOR"",
AND(
UPPER(TRIM(rTipo))=""EXACTA"",
UPPER(TRIM(D792))=UPPER(TRIM(rPatron))
),
AND(
OR(
UPPER(TRIM(rTipo))=""CONTIENE"",
UPPER(TRIM(rTipo))=""COINCIDENCIA""
),
ISNUMBER(SEARCH(UPPER(TRIM(rPatron)),UPPER(TRIM(D792))))
)
)
),
rConcepto,
"&amp;"""""
)
)
)&lt;&gt;""""
),
1
),
""""
)"),"N/A")</f>
        <v>N/A</v>
      </c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</row>
    <row r="793">
      <c r="A793" s="32"/>
      <c r="B793" s="32"/>
      <c r="C793" s="29" t="s">
        <v>354</v>
      </c>
      <c r="D793" s="29" t="s">
        <v>1730</v>
      </c>
      <c r="E793" s="32"/>
      <c r="F793" s="32"/>
      <c r="G793" s="28" t="s">
        <v>385</v>
      </c>
      <c r="H793" s="28">
        <f t="array" ref="H793">INDEX(CC!C:C,MATCH(1,(CC!A:A=G793)*(CC!B:B=I793),0))</f>
        <v>502</v>
      </c>
      <c r="I793" s="28" t="s">
        <v>25</v>
      </c>
      <c r="J793" s="78"/>
      <c r="K793" s="28" t="str">
        <f>IFERROR(__xludf.DUMMYFUNCTION("IFERROR(
INDEX(
FILTER(
MAP(
reglas!$B$2:$B$240,
reglas!$C$2:$C$240,
reglas!$D$2:$D$240,
reglas!$E$2:$E$240,
LAMBDA(rEmisor,rPatron,rConcepto,rTipo,
IF(
AND(
OR(
UPPER(TRIM(rEmisor))=UPPER(TRIM(C793)),
UPPER(TRIM(rEmisor))=""CUALQUIERA""
),
OR(
UPPER(TRIM"&amp;"(rTipo))=""SOLO EMISOR"",
AND(
UPPER(TRIM(rTipo))=""EXACTA"",
UPPER(TRIM(AG793))=UPPER(TRIM(rPatron))
),
AND(
OR(
UPPER(TRIM(rTipo))=""CONTIENE"",
UPPER(TRIM(rTipo))=""COINCIDENCIA""
),
ISNUMBER(SEARCH(UPPER(TRIM(rPatron)),UPPER(TRIM(D793))))
)
)
),
rConc"&amp;"epto,
""""
)
)
),
MAP(
reglas!$B$2:$B$240,
reglas!$C$2:$C$240,
reglas!$D$2:$D$240,
reglas!$E$2:$E$240,
LAMBDA(rEmisor,rPatron,rConcepto,rTipo,
IF(
AND(
OR(
UPPER(TRIM(rEmisor))=UPPER(TRIM(C793)),
UPPER(TRIM(rEmisor))=""CUALQUIERA""
),
OR(
UPPER(TRIM(rTipo"&amp;"))=""SOLO EMISOR"",
AND(
UPPER(TRIM(rTipo))=""EXACTA"",
UPPER(TRIM(D793))=UPPER(TRIM(rPatron))
),
AND(
OR(
UPPER(TRIM(rTipo))=""CONTIENE"",
UPPER(TRIM(rTipo))=""COINCIDENCIA""
),
ISNUMBER(SEARCH(UPPER(TRIM(rPatron)),UPPER(TRIM(D793))))
)
)
),
rConcepto,
"&amp;"""""
)
)
)&lt;&gt;""""
),
1
),
""""
)"),"N/A")</f>
        <v>N/A</v>
      </c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</row>
    <row r="794">
      <c r="A794" s="32"/>
      <c r="B794" s="28" t="s">
        <v>29</v>
      </c>
      <c r="C794" s="29" t="s">
        <v>278</v>
      </c>
      <c r="D794" s="29" t="s">
        <v>560</v>
      </c>
      <c r="E794" s="28">
        <v>3500.0</v>
      </c>
      <c r="F794" s="28">
        <v>0.0</v>
      </c>
      <c r="G794" s="28" t="s">
        <v>250</v>
      </c>
      <c r="H794" s="28">
        <f t="array" ref="H794">INDEX(CC!C:C,MATCH(1,(CC!A:A=G794)*(CC!B:B=I794),0))</f>
        <v>1402</v>
      </c>
      <c r="I794" s="28" t="s">
        <v>25</v>
      </c>
      <c r="J794" s="31">
        <v>3500.0</v>
      </c>
      <c r="K794" s="28" t="str">
        <f>IFERROR(__xludf.DUMMYFUNCTION("IFERROR(
INDEX(
FILTER(
MAP(
reglas!$B$2:$B$240,
reglas!$C$2:$C$240,
reglas!$D$2:$D$240,
reglas!$E$2:$E$240,
LAMBDA(rEmisor,rPatron,rConcepto,rTipo,
IF(
AND(
OR(
UPPER(TRIM(rEmisor))=UPPER(TRIM(C794)),
UPPER(TRIM(rEmisor))=""CUALQUIERA""
),
OR(
UPPER(TRIM"&amp;"(rTipo))=""SOLO EMISOR"",
AND(
UPPER(TRIM(rTipo))=""EXACTA"",
UPPER(TRIM(AG794))=UPPER(TRIM(rPatron))
),
AND(
OR(
UPPER(TRIM(rTipo))=""CONTIENE"",
UPPER(TRIM(rTipo))=""COINCIDENCIA""
),
ISNUMBER(SEARCH(UPPER(TRIM(rPatron)),UPPER(TRIM(D794))))
)
)
),
rConc"&amp;"epto,
""""
)
)
),
MAP(
reglas!$B$2:$B$240,
reglas!$C$2:$C$240,
reglas!$D$2:$D$240,
reglas!$E$2:$E$240,
LAMBDA(rEmisor,rPatron,rConcepto,rTipo,
IF(
AND(
OR(
UPPER(TRIM(rEmisor))=UPPER(TRIM(C794)),
UPPER(TRIM(rEmisor))=""CUALQUIERA""
),
OR(
UPPER(TRIM(rTipo"&amp;"))=""SOLO EMISOR"",
AND(
UPPER(TRIM(rTipo))=""EXACTA"",
UPPER(TRIM(D794))=UPPER(TRIM(rPatron))
),
AND(
OR(
UPPER(TRIM(rTipo))=""CONTIENE"",
UPPER(TRIM(rTipo))=""COINCIDENCIA""
),
ISNUMBER(SEARCH(UPPER(TRIM(rPatron)),UPPER(TRIM(D794))))
)
)
),
rConcepto,
"&amp;"""""
)
)
)&lt;&gt;""""
),
1
),
""""
)"),"MANIOBRAS")</f>
        <v>MANIOBRAS</v>
      </c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</row>
    <row r="795">
      <c r="A795" s="32"/>
      <c r="B795" s="28" t="s">
        <v>29</v>
      </c>
      <c r="C795" s="29" t="s">
        <v>1731</v>
      </c>
      <c r="D795" s="29" t="s">
        <v>1732</v>
      </c>
      <c r="E795" s="28">
        <v>186.36</v>
      </c>
      <c r="F795" s="28">
        <v>0.0</v>
      </c>
      <c r="G795" s="28" t="s">
        <v>250</v>
      </c>
      <c r="H795" s="28">
        <f t="array" ref="H795">INDEX(CC!C:C,MATCH(1,(CC!A:A=G795)*(CC!B:B=I795),0))</f>
        <v>1402</v>
      </c>
      <c r="I795" s="28" t="s">
        <v>25</v>
      </c>
      <c r="J795" s="31">
        <v>186.36</v>
      </c>
      <c r="K795" s="28" t="str">
        <f>IFERROR(__xludf.DUMMYFUNCTION("IFERROR(
INDEX(
FILTER(
MAP(
reglas!$B$2:$B$240,
reglas!$C$2:$C$240,
reglas!$D$2:$D$240,
reglas!$E$2:$E$240,
LAMBDA(rEmisor,rPatron,rConcepto,rTipo,
IF(
AND(
OR(
UPPER(TRIM(rEmisor))=UPPER(TRIM(C795)),
UPPER(TRIM(rEmisor))=""CUALQUIERA""
),
OR(
UPPER(TRIM"&amp;"(rTipo))=""SOLO EMISOR"",
AND(
UPPER(TRIM(rTipo))=""EXACTA"",
UPPER(TRIM(AG795))=UPPER(TRIM(rPatron))
),
AND(
OR(
UPPER(TRIM(rTipo))=""CONTIENE"",
UPPER(TRIM(rTipo))=""COINCIDENCIA""
),
ISNUMBER(SEARCH(UPPER(TRIM(rPatron)),UPPER(TRIM(D795))))
)
)
),
rConc"&amp;"epto,
""""
)
)
),
MAP(
reglas!$B$2:$B$240,
reglas!$C$2:$C$240,
reglas!$D$2:$D$240,
reglas!$E$2:$E$240,
LAMBDA(rEmisor,rPatron,rConcepto,rTipo,
IF(
AND(
OR(
UPPER(TRIM(rEmisor))=UPPER(TRIM(C795)),
UPPER(TRIM(rEmisor))=""CUALQUIERA""
),
OR(
UPPER(TRIM(rTipo"&amp;"))=""SOLO EMISOR"",
AND(
UPPER(TRIM(rTipo))=""EXACTA"",
UPPER(TRIM(D795))=UPPER(TRIM(rPatron))
),
AND(
OR(
UPPER(TRIM(rTipo))=""CONTIENE"",
UPPER(TRIM(rTipo))=""COINCIDENCIA""
),
ISNUMBER(SEARCH(UPPER(TRIM(rPatron)),UPPER(TRIM(D795))))
)
)
),
rConcepto,
"&amp;"""""
)
)
)&lt;&gt;""""
),
1
),
""""
)"),"UNIFORMES")</f>
        <v>UNIFORMES</v>
      </c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</row>
    <row r="796">
      <c r="A796" s="32"/>
      <c r="B796" s="28" t="s">
        <v>29</v>
      </c>
      <c r="C796" s="29" t="s">
        <v>172</v>
      </c>
      <c r="D796" s="29" t="s">
        <v>1711</v>
      </c>
      <c r="E796" s="28">
        <v>11500.0</v>
      </c>
      <c r="F796" s="28">
        <v>0.0</v>
      </c>
      <c r="G796" s="28" t="s">
        <v>250</v>
      </c>
      <c r="H796" s="28">
        <f t="array" ref="H796">INDEX(CC!C:C,MATCH(1,(CC!A:A=G796)*(CC!B:B=I796),0))</f>
        <v>1402</v>
      </c>
      <c r="I796" s="28" t="s">
        <v>25</v>
      </c>
      <c r="J796" s="31">
        <v>11500.0</v>
      </c>
      <c r="K796" s="28" t="str">
        <f>IFERROR(__xludf.DUMMYFUNCTION("IFERROR(
INDEX(
FILTER(
MAP(
reglas!$B$2:$B$240,
reglas!$C$2:$C$240,
reglas!$D$2:$D$240,
reglas!$E$2:$E$240,
LAMBDA(rEmisor,rPatron,rConcepto,rTipo,
IF(
AND(
OR(
UPPER(TRIM(rEmisor))=UPPER(TRIM(C796)),
UPPER(TRIM(rEmisor))=""CUALQUIERA""
),
OR(
UPPER(TRIM"&amp;"(rTipo))=""SOLO EMISOR"",
AND(
UPPER(TRIM(rTipo))=""EXACTA"",
UPPER(TRIM(AG796))=UPPER(TRIM(rPatron))
),
AND(
OR(
UPPER(TRIM(rTipo))=""CONTIENE"",
UPPER(TRIM(rTipo))=""COINCIDENCIA""
),
ISNUMBER(SEARCH(UPPER(TRIM(rPatron)),UPPER(TRIM(D796))))
)
)
),
rConc"&amp;"epto,
""""
)
)
),
MAP(
reglas!$B$2:$B$240,
reglas!$C$2:$C$240,
reglas!$D$2:$D$240,
reglas!$E$2:$E$240,
LAMBDA(rEmisor,rPatron,rConcepto,rTipo,
IF(
AND(
OR(
UPPER(TRIM(rEmisor))=UPPER(TRIM(C796)),
UPPER(TRIM(rEmisor))=""CUALQUIERA""
),
OR(
UPPER(TRIM(rTipo"&amp;"))=""SOLO EMISOR"",
AND(
UPPER(TRIM(rTipo))=""EXACTA"",
UPPER(TRIM(D796))=UPPER(TRIM(rPatron))
),
AND(
OR(
UPPER(TRIM(rTipo))=""CONTIENE"",
UPPER(TRIM(rTipo))=""COINCIDENCIA""
),
ISNUMBER(SEARCH(UPPER(TRIM(rPatron)),UPPER(TRIM(D796))))
)
)
),
rConcepto,
"&amp;"""""
)
)
)&lt;&gt;""""
),
1
),
""""
)"),"TRANSPORTE")</f>
        <v>TRANSPORTE</v>
      </c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</row>
    <row r="797">
      <c r="A797" s="32"/>
      <c r="B797" s="28" t="s">
        <v>29</v>
      </c>
      <c r="C797" s="29" t="s">
        <v>331</v>
      </c>
      <c r="D797" s="29" t="s">
        <v>33</v>
      </c>
      <c r="E797" s="28">
        <v>0.01</v>
      </c>
      <c r="F797" s="28">
        <v>0.0</v>
      </c>
      <c r="G797" s="28" t="s">
        <v>385</v>
      </c>
      <c r="H797" s="28">
        <f t="array" ref="H797">INDEX(CC!C:C,MATCH(1,(CC!A:A=G797)*(CC!B:B=I797),0))</f>
        <v>502</v>
      </c>
      <c r="I797" s="28" t="s">
        <v>25</v>
      </c>
      <c r="J797" s="28">
        <v>0.01</v>
      </c>
      <c r="K797" s="28" t="str">
        <f>IFERROR(__xludf.DUMMYFUNCTION("IFERROR(
INDEX(
FILTER(
MAP(
reglas!$B$2:$B$240,
reglas!$C$2:$C$240,
reglas!$D$2:$D$240,
reglas!$E$2:$E$240,
LAMBDA(rEmisor,rPatron,rConcepto,rTipo,
IF(
AND(
OR(
UPPER(TRIM(rEmisor))=UPPER(TRIM(C797)),
UPPER(TRIM(rEmisor))=""CUALQUIERA""
),
OR(
UPPER(TRIM"&amp;"(rTipo))=""SOLO EMISOR"",
AND(
UPPER(TRIM(rTipo))=""EXACTA"",
UPPER(TRIM(AG797))=UPPER(TRIM(rPatron))
),
AND(
OR(
UPPER(TRIM(rTipo))=""CONTIENE"",
UPPER(TRIM(rTipo))=""COINCIDENCIA""
),
ISNUMBER(SEARCH(UPPER(TRIM(rPatron)),UPPER(TRIM(D797))))
)
)
),
rConc"&amp;"epto,
""""
)
)
),
MAP(
reglas!$B$2:$B$240,
reglas!$C$2:$C$240,
reglas!$D$2:$D$240,
reglas!$E$2:$E$240,
LAMBDA(rEmisor,rPatron,rConcepto,rTipo,
IF(
AND(
OR(
UPPER(TRIM(rEmisor))=UPPER(TRIM(C797)),
UPPER(TRIM(rEmisor))=""CUALQUIERA""
),
OR(
UPPER(TRIM(rTipo"&amp;"))=""SOLO EMISOR"",
AND(
UPPER(TRIM(rTipo))=""EXACTA"",
UPPER(TRIM(D797))=UPPER(TRIM(rPatron))
),
AND(
OR(
UPPER(TRIM(rTipo))=""CONTIENE"",
UPPER(TRIM(rTipo))=""COINCIDENCIA""
),
ISNUMBER(SEARCH(UPPER(TRIM(rPatron)),UPPER(TRIM(D797))))
)
)
),
rConcepto,
"&amp;"""""
)
)
)&lt;&gt;""""
),
1
),
""""
)"),"N/A")</f>
        <v>N/A</v>
      </c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</row>
    <row r="798">
      <c r="A798" s="28">
        <v>1.0</v>
      </c>
      <c r="B798" s="28" t="s">
        <v>29</v>
      </c>
      <c r="C798" s="29" t="s">
        <v>315</v>
      </c>
      <c r="D798" s="29" t="s">
        <v>1733</v>
      </c>
      <c r="E798" s="28">
        <v>1499.0</v>
      </c>
      <c r="F798" s="28">
        <v>0.0</v>
      </c>
      <c r="G798" s="28" t="s">
        <v>225</v>
      </c>
      <c r="H798" s="28">
        <f t="array" ref="H798">INDEX(CC!C:C,MATCH(1,(CC!A:A=G798)*(CC!B:B=I798),0))</f>
        <v>102</v>
      </c>
      <c r="I798" s="28" t="s">
        <v>25</v>
      </c>
      <c r="J798" s="28">
        <v>1499.0</v>
      </c>
      <c r="K798" s="28" t="str">
        <f>IFERROR(__xludf.DUMMYFUNCTION("IFERROR(
INDEX(
FILTER(
MAP(
reglas!$B$2:$B$240,
reglas!$C$2:$C$240,
reglas!$D$2:$D$240,
reglas!$E$2:$E$240,
LAMBDA(rEmisor,rPatron,rConcepto,rTipo,
IF(
AND(
OR(
UPPER(TRIM(rEmisor))=UPPER(TRIM(C798)),
UPPER(TRIM(rEmisor))=""CUALQUIERA""
),
OR(
UPPER(TRIM"&amp;"(rTipo))=""SOLO EMISOR"",
AND(
UPPER(TRIM(rTipo))=""EXACTA"",
UPPER(TRIM(AG798))=UPPER(TRIM(rPatron))
),
AND(
OR(
UPPER(TRIM(rTipo))=""CONTIENE"",
UPPER(TRIM(rTipo))=""COINCIDENCIA""
),
ISNUMBER(SEARCH(UPPER(TRIM(rPatron)),UPPER(TRIM(D798))))
)
)
),
rConc"&amp;"epto,
""""
)
)
),
MAP(
reglas!$B$2:$B$240,
reglas!$C$2:$C$240,
reglas!$D$2:$D$240,
reglas!$E$2:$E$240,
LAMBDA(rEmisor,rPatron,rConcepto,rTipo,
IF(
AND(
OR(
UPPER(TRIM(rEmisor))=UPPER(TRIM(C798)),
UPPER(TRIM(rEmisor))=""CUALQUIERA""
),
OR(
UPPER(TRIM(rTipo"&amp;"))=""SOLO EMISOR"",
AND(
UPPER(TRIM(rTipo))=""EXACTA"",
UPPER(TRIM(D798))=UPPER(TRIM(rPatron))
),
AND(
OR(
UPPER(TRIM(rTipo))=""CONTIENE"",
UPPER(TRIM(rTipo))=""COINCIDENCIA""
),
ISNUMBER(SEARCH(UPPER(TRIM(rPatron)),UPPER(TRIM(D798))))
)
)
),
rConcepto,
"&amp;"""""
)
)
)&lt;&gt;""""
),
1
),
""""
)"),"OFICINA VIRTUAL")</f>
        <v>OFICINA VIRTUAL</v>
      </c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</row>
    <row r="799">
      <c r="A799" s="32"/>
      <c r="B799" s="28" t="s">
        <v>29</v>
      </c>
      <c r="C799" s="29" t="s">
        <v>169</v>
      </c>
      <c r="D799" s="29" t="s">
        <v>1734</v>
      </c>
      <c r="E799" s="28">
        <v>425.0</v>
      </c>
      <c r="F799" s="28">
        <v>0.0</v>
      </c>
      <c r="G799" s="28" t="s">
        <v>250</v>
      </c>
      <c r="H799" s="28">
        <f t="array" ref="H799">INDEX(CC!C:C,MATCH(1,(CC!A:A=G799)*(CC!B:B=I799),0))</f>
        <v>1402</v>
      </c>
      <c r="I799" s="28" t="s">
        <v>25</v>
      </c>
      <c r="J799" s="28">
        <v>425.0</v>
      </c>
      <c r="K799" s="28" t="str">
        <f>IFERROR(__xludf.DUMMYFUNCTION("IFERROR(
INDEX(
FILTER(
MAP(
reglas!$B$2:$B$240,
reglas!$C$2:$C$240,
reglas!$D$2:$D$240,
reglas!$E$2:$E$240,
LAMBDA(rEmisor,rPatron,rConcepto,rTipo,
IF(
AND(
OR(
UPPER(TRIM(rEmisor))=UPPER(TRIM(C799)),
UPPER(TRIM(rEmisor))=""CUALQUIERA""
),
OR(
UPPER(TRIM"&amp;"(rTipo))=""SOLO EMISOR"",
AND(
UPPER(TRIM(rTipo))=""EXACTA"",
UPPER(TRIM(AG799))=UPPER(TRIM(rPatron))
),
AND(
OR(
UPPER(TRIM(rTipo))=""CONTIENE"",
UPPER(TRIM(rTipo))=""COINCIDENCIA""
),
ISNUMBER(SEARCH(UPPER(TRIM(rPatron)),UPPER(TRIM(D799))))
)
)
),
rConc"&amp;"epto,
""""
)
)
),
MAP(
reglas!$B$2:$B$240,
reglas!$C$2:$C$240,
reglas!$D$2:$D$240,
reglas!$E$2:$E$240,
LAMBDA(rEmisor,rPatron,rConcepto,rTipo,
IF(
AND(
OR(
UPPER(TRIM(rEmisor))=UPPER(TRIM(C799)),
UPPER(TRIM(rEmisor))=""CUALQUIERA""
),
OR(
UPPER(TRIM(rTipo"&amp;"))=""SOLO EMISOR"",
AND(
UPPER(TRIM(rTipo))=""EXACTA"",
UPPER(TRIM(D799))=UPPER(TRIM(rPatron))
),
AND(
OR(
UPPER(TRIM(rTipo))=""CONTIENE"",
UPPER(TRIM(rTipo))=""COINCIDENCIA""
),
ISNUMBER(SEARCH(UPPER(TRIM(rPatron)),UPPER(TRIM(D799))))
)
)
),
rConcepto,
"&amp;"""""
)
)
)&lt;&gt;""""
),
1
),
""""
)"),"PATIO REGULADOR")</f>
        <v>PATIO REGULADOR</v>
      </c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</row>
    <row r="800">
      <c r="A800" s="28">
        <v>1.0</v>
      </c>
      <c r="B800" s="28" t="s">
        <v>29</v>
      </c>
      <c r="C800" s="29" t="s">
        <v>89</v>
      </c>
      <c r="D800" s="29" t="s">
        <v>426</v>
      </c>
      <c r="E800" s="28">
        <v>801.9</v>
      </c>
      <c r="F800" s="28">
        <v>0.0</v>
      </c>
      <c r="G800" s="28" t="s">
        <v>601</v>
      </c>
      <c r="H800" s="28">
        <f t="array" ref="H800">INDEX(CC!C:C,MATCH(1,(CC!A:A=G800)*(CC!B:B=I800),0))</f>
        <v>402</v>
      </c>
      <c r="I800" s="28" t="s">
        <v>25</v>
      </c>
      <c r="J800" s="97">
        <v>801.9</v>
      </c>
      <c r="K800" s="28" t="str">
        <f>IFERROR(__xludf.DUMMYFUNCTION("IFERROR(
INDEX(
FILTER(
MAP(
reglas!$B$2:$B$240,
reglas!$C$2:$C$240,
reglas!$D$2:$D$240,
reglas!$E$2:$E$240,
LAMBDA(rEmisor,rPatron,rConcepto,rTipo,
IF(
AND(
OR(
UPPER(TRIM(rEmisor))=UPPER(TRIM(C800)),
UPPER(TRIM(rEmisor))=""CUALQUIERA""
),
OR(
UPPER(TRIM"&amp;"(rTipo))=""SOLO EMISOR"",
AND(
UPPER(TRIM(rTipo))=""EXACTA"",
UPPER(TRIM(AG800))=UPPER(TRIM(rPatron))
),
AND(
OR(
UPPER(TRIM(rTipo))=""CONTIENE"",
UPPER(TRIM(rTipo))=""COINCIDENCIA""
),
ISNUMBER(SEARCH(UPPER(TRIM(rPatron)),UPPER(TRIM(D800))))
)
)
),
rConc"&amp;"epto,
""""
)
)
),
MAP(
reglas!$B$2:$B$240,
reglas!$C$2:$C$240,
reglas!$D$2:$D$240,
reglas!$E$2:$E$240,
LAMBDA(rEmisor,rPatron,rConcepto,rTipo,
IF(
AND(
OR(
UPPER(TRIM(rEmisor))=UPPER(TRIM(C800)),
UPPER(TRIM(rEmisor))=""CUALQUIERA""
),
OR(
UPPER(TRIM(rTipo"&amp;"))=""SOLO EMISOR"",
AND(
UPPER(TRIM(rTipo))=""EXACTA"",
UPPER(TRIM(D800))=UPPER(TRIM(rPatron))
),
AND(
OR(
UPPER(TRIM(rTipo))=""CONTIENE"",
UPPER(TRIM(rTipo))=""COINCIDENCIA""
),
ISNUMBER(SEARCH(UPPER(TRIM(rPatron)),UPPER(TRIM(D800))))
)
)
),
rConcepto,
"&amp;"""""
)
)
)&lt;&gt;""""
),
1
),
""""
)"),"MANIOBRAS")</f>
        <v>MANIOBRAS</v>
      </c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</row>
    <row r="801">
      <c r="A801" s="32"/>
      <c r="B801" s="28" t="s">
        <v>29</v>
      </c>
      <c r="C801" s="29" t="s">
        <v>278</v>
      </c>
      <c r="D801" s="29" t="s">
        <v>560</v>
      </c>
      <c r="E801" s="28">
        <v>3500.0</v>
      </c>
      <c r="F801" s="28">
        <v>0.0</v>
      </c>
      <c r="G801" s="28" t="s">
        <v>250</v>
      </c>
      <c r="H801" s="28">
        <f t="array" ref="H801">INDEX(CC!C:C,MATCH(1,(CC!A:A=G801)*(CC!B:B=I801),0))</f>
        <v>1402</v>
      </c>
      <c r="I801" s="28" t="s">
        <v>25</v>
      </c>
      <c r="J801" s="96">
        <v>3500.0</v>
      </c>
      <c r="K801" s="28" t="str">
        <f>IFERROR(__xludf.DUMMYFUNCTION("IFERROR(
INDEX(
FILTER(
MAP(
reglas!$B$2:$B$240,
reglas!$C$2:$C$240,
reglas!$D$2:$D$240,
reglas!$E$2:$E$240,
LAMBDA(rEmisor,rPatron,rConcepto,rTipo,
IF(
AND(
OR(
UPPER(TRIM(rEmisor))=UPPER(TRIM(C801)),
UPPER(TRIM(rEmisor))=""CUALQUIERA""
),
OR(
UPPER(TRIM"&amp;"(rTipo))=""SOLO EMISOR"",
AND(
UPPER(TRIM(rTipo))=""EXACTA"",
UPPER(TRIM(AG801))=UPPER(TRIM(rPatron))
),
AND(
OR(
UPPER(TRIM(rTipo))=""CONTIENE"",
UPPER(TRIM(rTipo))=""COINCIDENCIA""
),
ISNUMBER(SEARCH(UPPER(TRIM(rPatron)),UPPER(TRIM(D801))))
)
)
),
rConc"&amp;"epto,
""""
)
)
),
MAP(
reglas!$B$2:$B$240,
reglas!$C$2:$C$240,
reglas!$D$2:$D$240,
reglas!$E$2:$E$240,
LAMBDA(rEmisor,rPatron,rConcepto,rTipo,
IF(
AND(
OR(
UPPER(TRIM(rEmisor))=UPPER(TRIM(C801)),
UPPER(TRIM(rEmisor))=""CUALQUIERA""
),
OR(
UPPER(TRIM(rTipo"&amp;"))=""SOLO EMISOR"",
AND(
UPPER(TRIM(rTipo))=""EXACTA"",
UPPER(TRIM(D801))=UPPER(TRIM(rPatron))
),
AND(
OR(
UPPER(TRIM(rTipo))=""CONTIENE"",
UPPER(TRIM(rTipo))=""COINCIDENCIA""
),
ISNUMBER(SEARCH(UPPER(TRIM(rPatron)),UPPER(TRIM(D801))))
)
)
),
rConcepto,
"&amp;"""""
)
)
)&lt;&gt;""""
),
1
),
""""
)"),"MANIOBRAS")</f>
        <v>MANIOBRAS</v>
      </c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</row>
    <row r="802">
      <c r="A802" s="32"/>
      <c r="B802" s="28" t="s">
        <v>29</v>
      </c>
      <c r="C802" s="29" t="s">
        <v>278</v>
      </c>
      <c r="D802" s="29" t="s">
        <v>898</v>
      </c>
      <c r="E802" s="28">
        <v>1000.0</v>
      </c>
      <c r="F802" s="28">
        <v>0.0</v>
      </c>
      <c r="G802" s="28" t="s">
        <v>250</v>
      </c>
      <c r="H802" s="28">
        <f t="array" ref="H802">INDEX(CC!C:C,MATCH(1,(CC!A:A=G802)*(CC!B:B=I802),0))</f>
        <v>1402</v>
      </c>
      <c r="I802" s="28" t="s">
        <v>25</v>
      </c>
      <c r="J802" s="28">
        <v>1000.0</v>
      </c>
      <c r="K802" s="28" t="str">
        <f>IFERROR(__xludf.DUMMYFUNCTION("IFERROR(
INDEX(
FILTER(
MAP(
reglas!$B$2:$B$240,
reglas!$C$2:$C$240,
reglas!$D$2:$D$240,
reglas!$E$2:$E$240,
LAMBDA(rEmisor,rPatron,rConcepto,rTipo,
IF(
AND(
OR(
UPPER(TRIM(rEmisor))=UPPER(TRIM(C802)),
UPPER(TRIM(rEmisor))=""CUALQUIERA""
),
OR(
UPPER(TRIM"&amp;"(rTipo))=""SOLO EMISOR"",
AND(
UPPER(TRIM(rTipo))=""EXACTA"",
UPPER(TRIM(AG802))=UPPER(TRIM(rPatron))
),
AND(
OR(
UPPER(TRIM(rTipo))=""CONTIENE"",
UPPER(TRIM(rTipo))=""COINCIDENCIA""
),
ISNUMBER(SEARCH(UPPER(TRIM(rPatron)),UPPER(TRIM(D802))))
)
)
),
rConc"&amp;"epto,
""""
)
)
),
MAP(
reglas!$B$2:$B$240,
reglas!$C$2:$C$240,
reglas!$D$2:$D$240,
reglas!$E$2:$E$240,
LAMBDA(rEmisor,rPatron,rConcepto,rTipo,
IF(
AND(
OR(
UPPER(TRIM(rEmisor))=UPPER(TRIM(C802)),
UPPER(TRIM(rEmisor))=""CUALQUIERA""
),
OR(
UPPER(TRIM(rTipo"&amp;"))=""SOLO EMISOR"",
AND(
UPPER(TRIM(rTipo))=""EXACTA"",
UPPER(TRIM(D802))=UPPER(TRIM(rPatron))
),
AND(
OR(
UPPER(TRIM(rTipo))=""CONTIENE"",
UPPER(TRIM(rTipo))=""COINCIDENCIA""
),
ISNUMBER(SEARCH(UPPER(TRIM(rPatron)),UPPER(TRIM(D802))))
)
)
),
rConcepto,
"&amp;"""""
)
)
)&lt;&gt;""""
),
1
),
""""
)"),"MANIOBRAS")</f>
        <v>MANIOBRAS</v>
      </c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</row>
    <row r="803">
      <c r="A803" s="32"/>
      <c r="B803" s="28" t="s">
        <v>29</v>
      </c>
      <c r="C803" s="29" t="s">
        <v>331</v>
      </c>
      <c r="D803" s="29" t="s">
        <v>33</v>
      </c>
      <c r="E803" s="28">
        <v>0.01</v>
      </c>
      <c r="F803" s="28">
        <v>0.0</v>
      </c>
      <c r="G803" s="28" t="s">
        <v>385</v>
      </c>
      <c r="H803" s="28">
        <f t="array" ref="H803">INDEX(CC!C:C,MATCH(1,(CC!A:A=G803)*(CC!B:B=I803),0))</f>
        <v>502</v>
      </c>
      <c r="I803" s="28" t="s">
        <v>25</v>
      </c>
      <c r="J803" s="28">
        <v>0.01</v>
      </c>
      <c r="K803" s="28" t="str">
        <f>IFERROR(__xludf.DUMMYFUNCTION("IFERROR(
INDEX(
FILTER(
MAP(
reglas!$B$2:$B$240,
reglas!$C$2:$C$240,
reglas!$D$2:$D$240,
reglas!$E$2:$E$240,
LAMBDA(rEmisor,rPatron,rConcepto,rTipo,
IF(
AND(
OR(
UPPER(TRIM(rEmisor))=UPPER(TRIM(C803)),
UPPER(TRIM(rEmisor))=""CUALQUIERA""
),
OR(
UPPER(TRIM"&amp;"(rTipo))=""SOLO EMISOR"",
AND(
UPPER(TRIM(rTipo))=""EXACTA"",
UPPER(TRIM(AG803))=UPPER(TRIM(rPatron))
),
AND(
OR(
UPPER(TRIM(rTipo))=""CONTIENE"",
UPPER(TRIM(rTipo))=""COINCIDENCIA""
),
ISNUMBER(SEARCH(UPPER(TRIM(rPatron)),UPPER(TRIM(D803))))
)
)
),
rConc"&amp;"epto,
""""
)
)
),
MAP(
reglas!$B$2:$B$240,
reglas!$C$2:$C$240,
reglas!$D$2:$D$240,
reglas!$E$2:$E$240,
LAMBDA(rEmisor,rPatron,rConcepto,rTipo,
IF(
AND(
OR(
UPPER(TRIM(rEmisor))=UPPER(TRIM(C803)),
UPPER(TRIM(rEmisor))=""CUALQUIERA""
),
OR(
UPPER(TRIM(rTipo"&amp;"))=""SOLO EMISOR"",
AND(
UPPER(TRIM(rTipo))=""EXACTA"",
UPPER(TRIM(D803))=UPPER(TRIM(rPatron))
),
AND(
OR(
UPPER(TRIM(rTipo))=""CONTIENE"",
UPPER(TRIM(rTipo))=""COINCIDENCIA""
),
ISNUMBER(SEARCH(UPPER(TRIM(rPatron)),UPPER(TRIM(D803))))
)
)
),
rConcepto,
"&amp;"""""
)
)
)&lt;&gt;""""
),
1
),
""""
)"),"N/A")</f>
        <v>N/A</v>
      </c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</row>
    <row r="804">
      <c r="A804" s="32"/>
      <c r="B804" s="28" t="s">
        <v>29</v>
      </c>
      <c r="C804" s="29" t="s">
        <v>172</v>
      </c>
      <c r="D804" s="29" t="s">
        <v>1710</v>
      </c>
      <c r="E804" s="28">
        <v>11500.0</v>
      </c>
      <c r="F804" s="28">
        <v>0.0</v>
      </c>
      <c r="G804" s="28" t="s">
        <v>250</v>
      </c>
      <c r="H804" s="28">
        <f t="array" ref="H804">INDEX(CC!C:C,MATCH(1,(CC!A:A=G804)*(CC!B:B=I804),0))</f>
        <v>1402</v>
      </c>
      <c r="I804" s="28" t="s">
        <v>25</v>
      </c>
      <c r="J804" s="28">
        <v>11500.0</v>
      </c>
      <c r="K804" s="28" t="str">
        <f>IFERROR(__xludf.DUMMYFUNCTION("IFERROR(
INDEX(
FILTER(
MAP(
reglas!$B$2:$B$240,
reglas!$C$2:$C$240,
reglas!$D$2:$D$240,
reglas!$E$2:$E$240,
LAMBDA(rEmisor,rPatron,rConcepto,rTipo,
IF(
AND(
OR(
UPPER(TRIM(rEmisor))=UPPER(TRIM(C804)),
UPPER(TRIM(rEmisor))=""CUALQUIERA""
),
OR(
UPPER(TRIM"&amp;"(rTipo))=""SOLO EMISOR"",
AND(
UPPER(TRIM(rTipo))=""EXACTA"",
UPPER(TRIM(AG804))=UPPER(TRIM(rPatron))
),
AND(
OR(
UPPER(TRIM(rTipo))=""CONTIENE"",
UPPER(TRIM(rTipo))=""COINCIDENCIA""
),
ISNUMBER(SEARCH(UPPER(TRIM(rPatron)),UPPER(TRIM(D804))))
)
)
),
rConc"&amp;"epto,
""""
)
)
),
MAP(
reglas!$B$2:$B$240,
reglas!$C$2:$C$240,
reglas!$D$2:$D$240,
reglas!$E$2:$E$240,
LAMBDA(rEmisor,rPatron,rConcepto,rTipo,
IF(
AND(
OR(
UPPER(TRIM(rEmisor))=UPPER(TRIM(C804)),
UPPER(TRIM(rEmisor))=""CUALQUIERA""
),
OR(
UPPER(TRIM(rTipo"&amp;"))=""SOLO EMISOR"",
AND(
UPPER(TRIM(rTipo))=""EXACTA"",
UPPER(TRIM(D804))=UPPER(TRIM(rPatron))
),
AND(
OR(
UPPER(TRIM(rTipo))=""CONTIENE"",
UPPER(TRIM(rTipo))=""COINCIDENCIA""
),
ISNUMBER(SEARCH(UPPER(TRIM(rPatron)),UPPER(TRIM(D804))))
)
)
),
rConcepto,
"&amp;"""""
)
)
)&lt;&gt;""""
),
1
),
""""
)"),"TRANSPORTE")</f>
        <v>TRANSPORTE</v>
      </c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</row>
    <row r="805">
      <c r="A805" s="32"/>
      <c r="B805" s="28" t="s">
        <v>29</v>
      </c>
      <c r="C805" s="29" t="s">
        <v>172</v>
      </c>
      <c r="D805" s="29" t="s">
        <v>1698</v>
      </c>
      <c r="E805" s="28">
        <v>11500.0</v>
      </c>
      <c r="F805" s="28">
        <v>0.0</v>
      </c>
      <c r="G805" s="28" t="s">
        <v>250</v>
      </c>
      <c r="H805" s="28">
        <f t="array" ref="H805">INDEX(CC!C:C,MATCH(1,(CC!A:A=G805)*(CC!B:B=I805),0))</f>
        <v>1402</v>
      </c>
      <c r="I805" s="28" t="s">
        <v>25</v>
      </c>
      <c r="J805" s="28">
        <v>11500.0</v>
      </c>
      <c r="K805" s="28" t="str">
        <f>IFERROR(__xludf.DUMMYFUNCTION("IFERROR(
INDEX(
FILTER(
MAP(
reglas!$B$2:$B$240,
reglas!$C$2:$C$240,
reglas!$D$2:$D$240,
reglas!$E$2:$E$240,
LAMBDA(rEmisor,rPatron,rConcepto,rTipo,
IF(
AND(
OR(
UPPER(TRIM(rEmisor))=UPPER(TRIM(C805)),
UPPER(TRIM(rEmisor))=""CUALQUIERA""
),
OR(
UPPER(TRIM"&amp;"(rTipo))=""SOLO EMISOR"",
AND(
UPPER(TRIM(rTipo))=""EXACTA"",
UPPER(TRIM(AG805))=UPPER(TRIM(rPatron))
),
AND(
OR(
UPPER(TRIM(rTipo))=""CONTIENE"",
UPPER(TRIM(rTipo))=""COINCIDENCIA""
),
ISNUMBER(SEARCH(UPPER(TRIM(rPatron)),UPPER(TRIM(D805))))
)
)
),
rConc"&amp;"epto,
""""
)
)
),
MAP(
reglas!$B$2:$B$240,
reglas!$C$2:$C$240,
reglas!$D$2:$D$240,
reglas!$E$2:$E$240,
LAMBDA(rEmisor,rPatron,rConcepto,rTipo,
IF(
AND(
OR(
UPPER(TRIM(rEmisor))=UPPER(TRIM(C805)),
UPPER(TRIM(rEmisor))=""CUALQUIERA""
),
OR(
UPPER(TRIM(rTipo"&amp;"))=""SOLO EMISOR"",
AND(
UPPER(TRIM(rTipo))=""EXACTA"",
UPPER(TRIM(D805))=UPPER(TRIM(rPatron))
),
AND(
OR(
UPPER(TRIM(rTipo))=""CONTIENE"",
UPPER(TRIM(rTipo))=""COINCIDENCIA""
),
ISNUMBER(SEARCH(UPPER(TRIM(rPatron)),UPPER(TRIM(D805))))
)
)
),
rConcepto,
"&amp;"""""
)
)
)&lt;&gt;""""
),
1
),
""""
)"),"TRANSPORTE")</f>
        <v>TRANSPORTE</v>
      </c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</row>
    <row r="806">
      <c r="A806" s="32"/>
      <c r="B806" s="28" t="s">
        <v>29</v>
      </c>
      <c r="C806" s="29" t="s">
        <v>278</v>
      </c>
      <c r="D806" s="29" t="s">
        <v>898</v>
      </c>
      <c r="E806" s="28">
        <v>1000.0</v>
      </c>
      <c r="F806" s="28">
        <v>0.0</v>
      </c>
      <c r="G806" s="28" t="s">
        <v>250</v>
      </c>
      <c r="H806" s="28">
        <f t="array" ref="H806">INDEX(CC!C:C,MATCH(1,(CC!A:A=G806)*(CC!B:B=I806),0))</f>
        <v>1402</v>
      </c>
      <c r="I806" s="28" t="s">
        <v>25</v>
      </c>
      <c r="J806" s="28">
        <v>1000.0</v>
      </c>
      <c r="K806" s="28" t="str">
        <f>IFERROR(__xludf.DUMMYFUNCTION("IFERROR(
INDEX(
FILTER(
MAP(
reglas!$B$2:$B$240,
reglas!$C$2:$C$240,
reglas!$D$2:$D$240,
reglas!$E$2:$E$240,
LAMBDA(rEmisor,rPatron,rConcepto,rTipo,
IF(
AND(
OR(
UPPER(TRIM(rEmisor))=UPPER(TRIM(C806)),
UPPER(TRIM(rEmisor))=""CUALQUIERA""
),
OR(
UPPER(TRIM"&amp;"(rTipo))=""SOLO EMISOR"",
AND(
UPPER(TRIM(rTipo))=""EXACTA"",
UPPER(TRIM(AG806))=UPPER(TRIM(rPatron))
),
AND(
OR(
UPPER(TRIM(rTipo))=""CONTIENE"",
UPPER(TRIM(rTipo))=""COINCIDENCIA""
),
ISNUMBER(SEARCH(UPPER(TRIM(rPatron)),UPPER(TRIM(D806))))
)
)
),
rConc"&amp;"epto,
""""
)
)
),
MAP(
reglas!$B$2:$B$240,
reglas!$C$2:$C$240,
reglas!$D$2:$D$240,
reglas!$E$2:$E$240,
LAMBDA(rEmisor,rPatron,rConcepto,rTipo,
IF(
AND(
OR(
UPPER(TRIM(rEmisor))=UPPER(TRIM(C806)),
UPPER(TRIM(rEmisor))=""CUALQUIERA""
),
OR(
UPPER(TRIM(rTipo"&amp;"))=""SOLO EMISOR"",
AND(
UPPER(TRIM(rTipo))=""EXACTA"",
UPPER(TRIM(D806))=UPPER(TRIM(rPatron))
),
AND(
OR(
UPPER(TRIM(rTipo))=""CONTIENE"",
UPPER(TRIM(rTipo))=""COINCIDENCIA""
),
ISNUMBER(SEARCH(UPPER(TRIM(rPatron)),UPPER(TRIM(D806))))
)
)
),
rConcepto,
"&amp;"""""
)
)
)&lt;&gt;""""
),
1
),
""""
)"),"MANIOBRAS")</f>
        <v>MANIOBRAS</v>
      </c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</row>
    <row r="807">
      <c r="A807" s="28">
        <v>1.0</v>
      </c>
      <c r="B807" s="28" t="s">
        <v>29</v>
      </c>
      <c r="C807" s="29" t="s">
        <v>462</v>
      </c>
      <c r="D807" s="29" t="s">
        <v>1735</v>
      </c>
      <c r="E807" s="28">
        <v>2149.0</v>
      </c>
      <c r="F807" s="28">
        <v>0.0</v>
      </c>
      <c r="G807" s="28" t="s">
        <v>395</v>
      </c>
      <c r="H807" s="28">
        <f t="array" ref="H807">INDEX(CC!C:C,MATCH(1,(CC!A:A=G807)*(CC!B:B=I807),0))</f>
        <v>1103</v>
      </c>
      <c r="I807" s="28" t="s">
        <v>44</v>
      </c>
      <c r="J807" s="28">
        <v>2149.0</v>
      </c>
      <c r="K807" s="28" t="str">
        <f>IFERROR(__xludf.DUMMYFUNCTION("IFERROR(
INDEX(
FILTER(
MAP(
reglas!$B$2:$B$240,
reglas!$C$2:$C$240,
reglas!$D$2:$D$240,
reglas!$E$2:$E$240,
LAMBDA(rEmisor,rPatron,rConcepto,rTipo,
IF(
AND(
OR(
UPPER(TRIM(rEmisor))=UPPER(TRIM(C807)),
UPPER(TRIM(rEmisor))=""CUALQUIERA""
),
OR(
UPPER(TRIM"&amp;"(rTipo))=""SOLO EMISOR"",
AND(
UPPER(TRIM(rTipo))=""EXACTA"",
UPPER(TRIM(AG807))=UPPER(TRIM(rPatron))
),
AND(
OR(
UPPER(TRIM(rTipo))=""CONTIENE"",
UPPER(TRIM(rTipo))=""COINCIDENCIA""
),
ISNUMBER(SEARCH(UPPER(TRIM(rPatron)),UPPER(TRIM(D807))))
)
)
),
rConc"&amp;"epto,
""""
)
)
),
MAP(
reglas!$B$2:$B$240,
reglas!$C$2:$C$240,
reglas!$D$2:$D$240,
reglas!$E$2:$E$240,
LAMBDA(rEmisor,rPatron,rConcepto,rTipo,
IF(
AND(
OR(
UPPER(TRIM(rEmisor))=UPPER(TRIM(C807)),
UPPER(TRIM(rEmisor))=""CUALQUIERA""
),
OR(
UPPER(TRIM(rTipo"&amp;"))=""SOLO EMISOR"",
AND(
UPPER(TRIM(rTipo))=""EXACTA"",
UPPER(TRIM(D807))=UPPER(TRIM(rPatron))
),
AND(
OR(
UPPER(TRIM(rTipo))=""CONTIENE"",
UPPER(TRIM(rTipo))=""COINCIDENCIA""
),
ISNUMBER(SEARCH(UPPER(TRIM(rPatron)),UPPER(TRIM(D807))))
)
)
),
rConcepto,
"&amp;"""""
)
)
)&lt;&gt;""""
),
1
),
""""
)"),"MANIOBRAS")</f>
        <v>MANIOBRAS</v>
      </c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</row>
    <row r="808">
      <c r="A808" s="28">
        <v>1.0</v>
      </c>
      <c r="B808" s="28" t="s">
        <v>29</v>
      </c>
      <c r="C808" s="29" t="s">
        <v>462</v>
      </c>
      <c r="D808" s="29" t="s">
        <v>1736</v>
      </c>
      <c r="E808" s="28">
        <v>2149.0</v>
      </c>
      <c r="F808" s="28">
        <v>0.0</v>
      </c>
      <c r="G808" s="28" t="s">
        <v>395</v>
      </c>
      <c r="H808" s="28">
        <f t="array" ref="H808">INDEX(CC!C:C,MATCH(1,(CC!A:A=G808)*(CC!B:B=I808),0))</f>
        <v>1103</v>
      </c>
      <c r="I808" s="28" t="s">
        <v>44</v>
      </c>
      <c r="J808" s="28">
        <v>2149.0</v>
      </c>
      <c r="K808" s="28" t="str">
        <f>IFERROR(__xludf.DUMMYFUNCTION("IFERROR(
INDEX(
FILTER(
MAP(
reglas!$B$2:$B$240,
reglas!$C$2:$C$240,
reglas!$D$2:$D$240,
reglas!$E$2:$E$240,
LAMBDA(rEmisor,rPatron,rConcepto,rTipo,
IF(
AND(
OR(
UPPER(TRIM(rEmisor))=UPPER(TRIM(C808)),
UPPER(TRIM(rEmisor))=""CUALQUIERA""
),
OR(
UPPER(TRIM"&amp;"(rTipo))=""SOLO EMISOR"",
AND(
UPPER(TRIM(rTipo))=""EXACTA"",
UPPER(TRIM(AG808))=UPPER(TRIM(rPatron))
),
AND(
OR(
UPPER(TRIM(rTipo))=""CONTIENE"",
UPPER(TRIM(rTipo))=""COINCIDENCIA""
),
ISNUMBER(SEARCH(UPPER(TRIM(rPatron)),UPPER(TRIM(D808))))
)
)
),
rConc"&amp;"epto,
""""
)
)
),
MAP(
reglas!$B$2:$B$240,
reglas!$C$2:$C$240,
reglas!$D$2:$D$240,
reglas!$E$2:$E$240,
LAMBDA(rEmisor,rPatron,rConcepto,rTipo,
IF(
AND(
OR(
UPPER(TRIM(rEmisor))=UPPER(TRIM(C808)),
UPPER(TRIM(rEmisor))=""CUALQUIERA""
),
OR(
UPPER(TRIM(rTipo"&amp;"))=""SOLO EMISOR"",
AND(
UPPER(TRIM(rTipo))=""EXACTA"",
UPPER(TRIM(D808))=UPPER(TRIM(rPatron))
),
AND(
OR(
UPPER(TRIM(rTipo))=""CONTIENE"",
UPPER(TRIM(rTipo))=""COINCIDENCIA""
),
ISNUMBER(SEARCH(UPPER(TRIM(rPatron)),UPPER(TRIM(D808))))
)
)
),
rConcepto,
"&amp;"""""
)
)
)&lt;&gt;""""
),
1
),
""""
)"),"MANIOBRAS")</f>
        <v>MANIOBRAS</v>
      </c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</row>
    <row r="809">
      <c r="A809" s="32"/>
      <c r="B809" s="28" t="s">
        <v>29</v>
      </c>
      <c r="C809" s="29" t="s">
        <v>278</v>
      </c>
      <c r="D809" s="29" t="s">
        <v>898</v>
      </c>
      <c r="E809" s="28">
        <v>1000.0</v>
      </c>
      <c r="F809" s="28">
        <v>0.0</v>
      </c>
      <c r="G809" s="28" t="s">
        <v>250</v>
      </c>
      <c r="H809" s="28">
        <f t="array" ref="H809">INDEX(CC!C:C,MATCH(1,(CC!A:A=G809)*(CC!B:B=I809),0))</f>
        <v>1402</v>
      </c>
      <c r="I809" s="28" t="s">
        <v>25</v>
      </c>
      <c r="J809" s="28">
        <v>1000.0</v>
      </c>
      <c r="K809" s="28" t="str">
        <f>IFERROR(__xludf.DUMMYFUNCTION("IFERROR(
INDEX(
FILTER(
MAP(
reglas!$B$2:$B$240,
reglas!$C$2:$C$240,
reglas!$D$2:$D$240,
reglas!$E$2:$E$240,
LAMBDA(rEmisor,rPatron,rConcepto,rTipo,
IF(
AND(
OR(
UPPER(TRIM(rEmisor))=UPPER(TRIM(C809)),
UPPER(TRIM(rEmisor))=""CUALQUIERA""
),
OR(
UPPER(TRIM"&amp;"(rTipo))=""SOLO EMISOR"",
AND(
UPPER(TRIM(rTipo))=""EXACTA"",
UPPER(TRIM(AG809))=UPPER(TRIM(rPatron))
),
AND(
OR(
UPPER(TRIM(rTipo))=""CONTIENE"",
UPPER(TRIM(rTipo))=""COINCIDENCIA""
),
ISNUMBER(SEARCH(UPPER(TRIM(rPatron)),UPPER(TRIM(D809))))
)
)
),
rConc"&amp;"epto,
""""
)
)
),
MAP(
reglas!$B$2:$B$240,
reglas!$C$2:$C$240,
reglas!$D$2:$D$240,
reglas!$E$2:$E$240,
LAMBDA(rEmisor,rPatron,rConcepto,rTipo,
IF(
AND(
OR(
UPPER(TRIM(rEmisor))=UPPER(TRIM(C809)),
UPPER(TRIM(rEmisor))=""CUALQUIERA""
),
OR(
UPPER(TRIM(rTipo"&amp;"))=""SOLO EMISOR"",
AND(
UPPER(TRIM(rTipo))=""EXACTA"",
UPPER(TRIM(D809))=UPPER(TRIM(rPatron))
),
AND(
OR(
UPPER(TRIM(rTipo))=""CONTIENE"",
UPPER(TRIM(rTipo))=""COINCIDENCIA""
),
ISNUMBER(SEARCH(UPPER(TRIM(rPatron)),UPPER(TRIM(D809))))
)
)
),
rConcepto,
"&amp;"""""
)
)
)&lt;&gt;""""
),
1
),
""""
)"),"MANIOBRAS")</f>
        <v>MANIOBRAS</v>
      </c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</row>
    <row r="810">
      <c r="A810" s="32"/>
      <c r="B810" s="28" t="s">
        <v>29</v>
      </c>
      <c r="C810" s="29" t="s">
        <v>331</v>
      </c>
      <c r="D810" s="29" t="s">
        <v>33</v>
      </c>
      <c r="E810" s="28">
        <v>0.01</v>
      </c>
      <c r="F810" s="28">
        <v>0.0</v>
      </c>
      <c r="G810" s="28" t="s">
        <v>385</v>
      </c>
      <c r="H810" s="28">
        <f t="array" ref="H810">INDEX(CC!C:C,MATCH(1,(CC!A:A=G810)*(CC!B:B=I810),0))</f>
        <v>502</v>
      </c>
      <c r="I810" s="28" t="s">
        <v>25</v>
      </c>
      <c r="J810" s="28">
        <v>0.01</v>
      </c>
      <c r="K810" s="28" t="str">
        <f>IFERROR(__xludf.DUMMYFUNCTION("IFERROR(
INDEX(
FILTER(
MAP(
reglas!$B$2:$B$240,
reglas!$C$2:$C$240,
reglas!$D$2:$D$240,
reglas!$E$2:$E$240,
LAMBDA(rEmisor,rPatron,rConcepto,rTipo,
IF(
AND(
OR(
UPPER(TRIM(rEmisor))=UPPER(TRIM(C810)),
UPPER(TRIM(rEmisor))=""CUALQUIERA""
),
OR(
UPPER(TRIM"&amp;"(rTipo))=""SOLO EMISOR"",
AND(
UPPER(TRIM(rTipo))=""EXACTA"",
UPPER(TRIM(AG810))=UPPER(TRIM(rPatron))
),
AND(
OR(
UPPER(TRIM(rTipo))=""CONTIENE"",
UPPER(TRIM(rTipo))=""COINCIDENCIA""
),
ISNUMBER(SEARCH(UPPER(TRIM(rPatron)),UPPER(TRIM(D810))))
)
)
),
rConc"&amp;"epto,
""""
)
)
),
MAP(
reglas!$B$2:$B$240,
reglas!$C$2:$C$240,
reglas!$D$2:$D$240,
reglas!$E$2:$E$240,
LAMBDA(rEmisor,rPatron,rConcepto,rTipo,
IF(
AND(
OR(
UPPER(TRIM(rEmisor))=UPPER(TRIM(C810)),
UPPER(TRIM(rEmisor))=""CUALQUIERA""
),
OR(
UPPER(TRIM(rTipo"&amp;"))=""SOLO EMISOR"",
AND(
UPPER(TRIM(rTipo))=""EXACTA"",
UPPER(TRIM(D810))=UPPER(TRIM(rPatron))
),
AND(
OR(
UPPER(TRIM(rTipo))=""CONTIENE"",
UPPER(TRIM(rTipo))=""COINCIDENCIA""
),
ISNUMBER(SEARCH(UPPER(TRIM(rPatron)),UPPER(TRIM(D810))))
)
)
),
rConcepto,
"&amp;"""""
)
)
)&lt;&gt;""""
),
1
),
""""
)"),"N/A")</f>
        <v>N/A</v>
      </c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</row>
    <row r="811">
      <c r="A811" s="32"/>
      <c r="B811" s="28" t="s">
        <v>29</v>
      </c>
      <c r="C811" s="29" t="s">
        <v>278</v>
      </c>
      <c r="D811" s="29" t="s">
        <v>898</v>
      </c>
      <c r="E811" s="28">
        <v>1000.0</v>
      </c>
      <c r="F811" s="28">
        <v>0.0</v>
      </c>
      <c r="G811" s="28" t="s">
        <v>250</v>
      </c>
      <c r="H811" s="28">
        <f t="array" ref="H811">INDEX(CC!C:C,MATCH(1,(CC!A:A=G811)*(CC!B:B=I811),0))</f>
        <v>1402</v>
      </c>
      <c r="I811" s="28" t="s">
        <v>25</v>
      </c>
      <c r="J811" s="28">
        <v>1000.0</v>
      </c>
      <c r="K811" s="28" t="str">
        <f>IFERROR(__xludf.DUMMYFUNCTION("IFERROR(
INDEX(
FILTER(
MAP(
reglas!$B$2:$B$240,
reglas!$C$2:$C$240,
reglas!$D$2:$D$240,
reglas!$E$2:$E$240,
LAMBDA(rEmisor,rPatron,rConcepto,rTipo,
IF(
AND(
OR(
UPPER(TRIM(rEmisor))=UPPER(TRIM(C811)),
UPPER(TRIM(rEmisor))=""CUALQUIERA""
),
OR(
UPPER(TRIM"&amp;"(rTipo))=""SOLO EMISOR"",
AND(
UPPER(TRIM(rTipo))=""EXACTA"",
UPPER(TRIM(AG811))=UPPER(TRIM(rPatron))
),
AND(
OR(
UPPER(TRIM(rTipo))=""CONTIENE"",
UPPER(TRIM(rTipo))=""COINCIDENCIA""
),
ISNUMBER(SEARCH(UPPER(TRIM(rPatron)),UPPER(TRIM(D811))))
)
)
),
rConc"&amp;"epto,
""""
)
)
),
MAP(
reglas!$B$2:$B$240,
reglas!$C$2:$C$240,
reglas!$D$2:$D$240,
reglas!$E$2:$E$240,
LAMBDA(rEmisor,rPatron,rConcepto,rTipo,
IF(
AND(
OR(
UPPER(TRIM(rEmisor))=UPPER(TRIM(C811)),
UPPER(TRIM(rEmisor))=""CUALQUIERA""
),
OR(
UPPER(TRIM(rTipo"&amp;"))=""SOLO EMISOR"",
AND(
UPPER(TRIM(rTipo))=""EXACTA"",
UPPER(TRIM(D811))=UPPER(TRIM(rPatron))
),
AND(
OR(
UPPER(TRIM(rTipo))=""CONTIENE"",
UPPER(TRIM(rTipo))=""COINCIDENCIA""
),
ISNUMBER(SEARCH(UPPER(TRIM(rPatron)),UPPER(TRIM(D811))))
)
)
),
rConcepto,
"&amp;"""""
)
)
)&lt;&gt;""""
),
1
),
""""
)"),"MANIOBRAS")</f>
        <v>MANIOBRAS</v>
      </c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</row>
    <row r="812">
      <c r="A812" s="32"/>
      <c r="B812" s="28" t="s">
        <v>29</v>
      </c>
      <c r="C812" s="29" t="s">
        <v>419</v>
      </c>
      <c r="D812" s="29" t="s">
        <v>420</v>
      </c>
      <c r="E812" s="28">
        <v>60414.18</v>
      </c>
      <c r="F812" s="28">
        <v>0.0</v>
      </c>
      <c r="G812" s="28" t="s">
        <v>225</v>
      </c>
      <c r="H812" s="28">
        <f t="array" ref="H812">INDEX(CC!C:C,MATCH(1,(CC!A:A=G812)*(CC!B:B=I812),0))</f>
        <v>102</v>
      </c>
      <c r="I812" s="28" t="s">
        <v>25</v>
      </c>
      <c r="J812" s="5"/>
      <c r="K812" s="28" t="str">
        <f>IFERROR(__xludf.DUMMYFUNCTION("IFERROR(
INDEX(
FILTER(
MAP(
reglas!$B$2:$B$240,
reglas!$C$2:$C$240,
reglas!$D$2:$D$240,
reglas!$E$2:$E$240,
LAMBDA(rEmisor,rPatron,rConcepto,rTipo,
IF(
AND(
OR(
UPPER(TRIM(rEmisor))=UPPER(TRIM(C812)),
UPPER(TRIM(rEmisor))=""CUALQUIERA""
),
OR(
UPPER(TRIM"&amp;"(rTipo))=""SOLO EMISOR"",
AND(
UPPER(TRIM(rTipo))=""EXACTA"",
UPPER(TRIM(AG812))=UPPER(TRIM(rPatron))
),
AND(
OR(
UPPER(TRIM(rTipo))=""CONTIENE"",
UPPER(TRIM(rTipo))=""COINCIDENCIA""
),
ISNUMBER(SEARCH(UPPER(TRIM(rPatron)),UPPER(TRIM(D812))))
)
)
),
rConc"&amp;"epto,
""""
)
)
),
MAP(
reglas!$B$2:$B$240,
reglas!$C$2:$C$240,
reglas!$D$2:$D$240,
reglas!$E$2:$E$240,
LAMBDA(rEmisor,rPatron,rConcepto,rTipo,
IF(
AND(
OR(
UPPER(TRIM(rEmisor))=UPPER(TRIM(C812)),
UPPER(TRIM(rEmisor))=""CUALQUIERA""
),
OR(
UPPER(TRIM(rTipo"&amp;"))=""SOLO EMISOR"",
AND(
UPPER(TRIM(rTipo))=""EXACTA"",
UPPER(TRIM(D812))=UPPER(TRIM(rPatron))
),
AND(
OR(
UPPER(TRIM(rTipo))=""CONTIENE"",
UPPER(TRIM(rTipo))=""COINCIDENCIA""
),
ISNUMBER(SEARCH(UPPER(TRIM(rPatron)),UPPER(TRIM(D812))))
)
)
),
rConcepto,
"&amp;"""""
)
)
)&lt;&gt;""""
),
1
),
""""
)"),"N/A")</f>
        <v>N/A</v>
      </c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</row>
    <row r="813">
      <c r="A813" s="32"/>
      <c r="B813" s="28" t="s">
        <v>29</v>
      </c>
      <c r="C813" s="29" t="s">
        <v>278</v>
      </c>
      <c r="D813" s="29" t="s">
        <v>560</v>
      </c>
      <c r="E813" s="28">
        <v>3500.0</v>
      </c>
      <c r="F813" s="28">
        <v>0.0</v>
      </c>
      <c r="G813" s="28" t="s">
        <v>250</v>
      </c>
      <c r="H813" s="28">
        <f t="array" ref="H813">INDEX(CC!C:C,MATCH(1,(CC!A:A=G813)*(CC!B:B=I813),0))</f>
        <v>1402</v>
      </c>
      <c r="I813" s="28" t="s">
        <v>25</v>
      </c>
      <c r="J813" s="96">
        <v>3500.0</v>
      </c>
      <c r="K813" s="28" t="str">
        <f>IFERROR(__xludf.DUMMYFUNCTION("IFERROR(
INDEX(
FILTER(
MAP(
reglas!$B$2:$B$240,
reglas!$C$2:$C$240,
reglas!$D$2:$D$240,
reglas!$E$2:$E$240,
LAMBDA(rEmisor,rPatron,rConcepto,rTipo,
IF(
AND(
OR(
UPPER(TRIM(rEmisor))=UPPER(TRIM(C813)),
UPPER(TRIM(rEmisor))=""CUALQUIERA""
),
OR(
UPPER(TRIM"&amp;"(rTipo))=""SOLO EMISOR"",
AND(
UPPER(TRIM(rTipo))=""EXACTA"",
UPPER(TRIM(AG813))=UPPER(TRIM(rPatron))
),
AND(
OR(
UPPER(TRIM(rTipo))=""CONTIENE"",
UPPER(TRIM(rTipo))=""COINCIDENCIA""
),
ISNUMBER(SEARCH(UPPER(TRIM(rPatron)),UPPER(TRIM(D813))))
)
)
),
rConc"&amp;"epto,
""""
)
)
),
MAP(
reglas!$B$2:$B$240,
reglas!$C$2:$C$240,
reglas!$D$2:$D$240,
reglas!$E$2:$E$240,
LAMBDA(rEmisor,rPatron,rConcepto,rTipo,
IF(
AND(
OR(
UPPER(TRIM(rEmisor))=UPPER(TRIM(C813)),
UPPER(TRIM(rEmisor))=""CUALQUIERA""
),
OR(
UPPER(TRIM(rTipo"&amp;"))=""SOLO EMISOR"",
AND(
UPPER(TRIM(rTipo))=""EXACTA"",
UPPER(TRIM(D813))=UPPER(TRIM(rPatron))
),
AND(
OR(
UPPER(TRIM(rTipo))=""CONTIENE"",
UPPER(TRIM(rTipo))=""COINCIDENCIA""
),
ISNUMBER(SEARCH(UPPER(TRIM(rPatron)),UPPER(TRIM(D813))))
)
)
),
rConcepto,
"&amp;"""""
)
)
)&lt;&gt;""""
),
1
),
""""
)"),"MANIOBRAS")</f>
        <v>MANIOBRAS</v>
      </c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</row>
    <row r="814">
      <c r="A814" s="32"/>
      <c r="B814" s="28" t="s">
        <v>29</v>
      </c>
      <c r="C814" s="29" t="s">
        <v>172</v>
      </c>
      <c r="D814" s="29" t="s">
        <v>1698</v>
      </c>
      <c r="E814" s="28">
        <v>11500.0</v>
      </c>
      <c r="F814" s="28">
        <v>0.0</v>
      </c>
      <c r="G814" s="28" t="s">
        <v>250</v>
      </c>
      <c r="H814" s="28">
        <f t="array" ref="H814">INDEX(CC!C:C,MATCH(1,(CC!A:A=G814)*(CC!B:B=I814),0))</f>
        <v>1402</v>
      </c>
      <c r="I814" s="28" t="s">
        <v>25</v>
      </c>
      <c r="J814" s="28">
        <v>11500.0</v>
      </c>
      <c r="K814" s="28" t="str">
        <f>IFERROR(__xludf.DUMMYFUNCTION("IFERROR(
INDEX(
FILTER(
MAP(
reglas!$B$2:$B$240,
reglas!$C$2:$C$240,
reglas!$D$2:$D$240,
reglas!$E$2:$E$240,
LAMBDA(rEmisor,rPatron,rConcepto,rTipo,
IF(
AND(
OR(
UPPER(TRIM(rEmisor))=UPPER(TRIM(C814)),
UPPER(TRIM(rEmisor))=""CUALQUIERA""
),
OR(
UPPER(TRIM"&amp;"(rTipo))=""SOLO EMISOR"",
AND(
UPPER(TRIM(rTipo))=""EXACTA"",
UPPER(TRIM(AG814))=UPPER(TRIM(rPatron))
),
AND(
OR(
UPPER(TRIM(rTipo))=""CONTIENE"",
UPPER(TRIM(rTipo))=""COINCIDENCIA""
),
ISNUMBER(SEARCH(UPPER(TRIM(rPatron)),UPPER(TRIM(D814))))
)
)
),
rConc"&amp;"epto,
""""
)
)
),
MAP(
reglas!$B$2:$B$240,
reglas!$C$2:$C$240,
reglas!$D$2:$D$240,
reglas!$E$2:$E$240,
LAMBDA(rEmisor,rPatron,rConcepto,rTipo,
IF(
AND(
OR(
UPPER(TRIM(rEmisor))=UPPER(TRIM(C814)),
UPPER(TRIM(rEmisor))=""CUALQUIERA""
),
OR(
UPPER(TRIM(rTipo"&amp;"))=""SOLO EMISOR"",
AND(
UPPER(TRIM(rTipo))=""EXACTA"",
UPPER(TRIM(D814))=UPPER(TRIM(rPatron))
),
AND(
OR(
UPPER(TRIM(rTipo))=""CONTIENE"",
UPPER(TRIM(rTipo))=""COINCIDENCIA""
),
ISNUMBER(SEARCH(UPPER(TRIM(rPatron)),UPPER(TRIM(D814))))
)
)
),
rConcepto,
"&amp;"""""
)
)
)&lt;&gt;""""
),
1
),
""""
)"),"TRANSPORTE")</f>
        <v>TRANSPORTE</v>
      </c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</row>
    <row r="815">
      <c r="A815" s="32"/>
      <c r="B815" s="28" t="s">
        <v>29</v>
      </c>
      <c r="C815" s="29" t="s">
        <v>302</v>
      </c>
      <c r="D815" s="29" t="s">
        <v>1737</v>
      </c>
      <c r="E815" s="28">
        <v>9200.0</v>
      </c>
      <c r="F815" s="28">
        <v>0.0</v>
      </c>
      <c r="G815" s="28" t="s">
        <v>554</v>
      </c>
      <c r="H815" s="28">
        <f t="array" ref="H815">INDEX(CC!C:C,MATCH(1,(CC!A:A=G815)*(CC!B:B=I815),0))</f>
        <v>1703</v>
      </c>
      <c r="I815" s="28" t="s">
        <v>44</v>
      </c>
      <c r="J815" s="28">
        <v>9200.0</v>
      </c>
      <c r="K815" s="28" t="str">
        <f>IFERROR(__xludf.DUMMYFUNCTION("IFERROR(
INDEX(
FILTER(
MAP(
reglas!$B$2:$B$240,
reglas!$C$2:$C$240,
reglas!$D$2:$D$240,
reglas!$E$2:$E$240,
LAMBDA(rEmisor,rPatron,rConcepto,rTipo,
IF(
AND(
OR(
UPPER(TRIM(rEmisor))=UPPER(TRIM(C815)),
UPPER(TRIM(rEmisor))=""CUALQUIERA""
),
OR(
UPPER(TRIM"&amp;"(rTipo))=""SOLO EMISOR"",
AND(
UPPER(TRIM(rTipo))=""EXACTA"",
UPPER(TRIM(AG815))=UPPER(TRIM(rPatron))
),
AND(
OR(
UPPER(TRIM(rTipo))=""CONTIENE"",
UPPER(TRIM(rTipo))=""COINCIDENCIA""
),
ISNUMBER(SEARCH(UPPER(TRIM(rPatron)),UPPER(TRIM(D815))))
)
)
),
rConc"&amp;"epto,
""""
)
)
),
MAP(
reglas!$B$2:$B$240,
reglas!$C$2:$C$240,
reglas!$D$2:$D$240,
reglas!$E$2:$E$240,
LAMBDA(rEmisor,rPatron,rConcepto,rTipo,
IF(
AND(
OR(
UPPER(TRIM(rEmisor))=UPPER(TRIM(C815)),
UPPER(TRIM(rEmisor))=""CUALQUIERA""
),
OR(
UPPER(TRIM(rTipo"&amp;"))=""SOLO EMISOR"",
AND(
UPPER(TRIM(rTipo))=""EXACTA"",
UPPER(TRIM(D815))=UPPER(TRIM(rPatron))
),
AND(
OR(
UPPER(TRIM(rTipo))=""CONTIENE"",
UPPER(TRIM(rTipo))=""COINCIDENCIA""
),
ISNUMBER(SEARCH(UPPER(TRIM(rPatron)),UPPER(TRIM(D815))))
)
)
),
rConcepto,
"&amp;"""""
)
)
)&lt;&gt;""""
),
1
),
""""
)"),"TRANSPORTE")</f>
        <v>TRANSPORTE</v>
      </c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</row>
    <row r="816">
      <c r="A816" s="32"/>
      <c r="B816" s="28" t="s">
        <v>29</v>
      </c>
      <c r="C816" s="29" t="s">
        <v>172</v>
      </c>
      <c r="D816" s="29" t="s">
        <v>1698</v>
      </c>
      <c r="E816" s="28">
        <v>11500.0</v>
      </c>
      <c r="F816" s="28">
        <v>0.0</v>
      </c>
      <c r="G816" s="28" t="s">
        <v>250</v>
      </c>
      <c r="H816" s="28">
        <f t="array" ref="H816">INDEX(CC!C:C,MATCH(1,(CC!A:A=G816)*(CC!B:B=I816),0))</f>
        <v>1402</v>
      </c>
      <c r="I816" s="28" t="s">
        <v>25</v>
      </c>
      <c r="J816" s="28">
        <v>11500.0</v>
      </c>
      <c r="K816" s="28" t="str">
        <f>IFERROR(__xludf.DUMMYFUNCTION("IFERROR(
INDEX(
FILTER(
MAP(
reglas!$B$2:$B$240,
reglas!$C$2:$C$240,
reglas!$D$2:$D$240,
reglas!$E$2:$E$240,
LAMBDA(rEmisor,rPatron,rConcepto,rTipo,
IF(
AND(
OR(
UPPER(TRIM(rEmisor))=UPPER(TRIM(C816)),
UPPER(TRIM(rEmisor))=""CUALQUIERA""
),
OR(
UPPER(TRIM"&amp;"(rTipo))=""SOLO EMISOR"",
AND(
UPPER(TRIM(rTipo))=""EXACTA"",
UPPER(TRIM(AG816))=UPPER(TRIM(rPatron))
),
AND(
OR(
UPPER(TRIM(rTipo))=""CONTIENE"",
UPPER(TRIM(rTipo))=""COINCIDENCIA""
),
ISNUMBER(SEARCH(UPPER(TRIM(rPatron)),UPPER(TRIM(D816))))
)
)
),
rConc"&amp;"epto,
""""
)
)
),
MAP(
reglas!$B$2:$B$240,
reglas!$C$2:$C$240,
reglas!$D$2:$D$240,
reglas!$E$2:$E$240,
LAMBDA(rEmisor,rPatron,rConcepto,rTipo,
IF(
AND(
OR(
UPPER(TRIM(rEmisor))=UPPER(TRIM(C816)),
UPPER(TRIM(rEmisor))=""CUALQUIERA""
),
OR(
UPPER(TRIM(rTipo"&amp;"))=""SOLO EMISOR"",
AND(
UPPER(TRIM(rTipo))=""EXACTA"",
UPPER(TRIM(D816))=UPPER(TRIM(rPatron))
),
AND(
OR(
UPPER(TRIM(rTipo))=""CONTIENE"",
UPPER(TRIM(rTipo))=""COINCIDENCIA""
),
ISNUMBER(SEARCH(UPPER(TRIM(rPatron)),UPPER(TRIM(D816))))
)
)
),
rConcepto,
"&amp;"""""
)
)
)&lt;&gt;""""
),
1
),
""""
)"),"TRANSPORTE")</f>
        <v>TRANSPORTE</v>
      </c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</row>
    <row r="817">
      <c r="A817" s="32"/>
      <c r="B817" s="28" t="s">
        <v>29</v>
      </c>
      <c r="C817" s="29" t="s">
        <v>1738</v>
      </c>
      <c r="D817" s="29" t="s">
        <v>1739</v>
      </c>
      <c r="E817" s="28">
        <v>17400.0</v>
      </c>
      <c r="F817" s="28">
        <v>0.0</v>
      </c>
      <c r="G817" s="28" t="s">
        <v>1113</v>
      </c>
      <c r="H817" s="28">
        <f t="array" ref="H817">INDEX(CC!C:C,MATCH(1,(CC!A:A=G817)*(CC!B:B=I817),0))</f>
        <v>702</v>
      </c>
      <c r="I817" s="28" t="s">
        <v>25</v>
      </c>
      <c r="J817" s="5"/>
      <c r="K817" s="28" t="str">
        <f>IFERROR(__xludf.DUMMYFUNCTION("IFERROR(
INDEX(
FILTER(
MAP(
reglas!$B$2:$B$240,
reglas!$C$2:$C$240,
reglas!$D$2:$D$240,
reglas!$E$2:$E$240,
LAMBDA(rEmisor,rPatron,rConcepto,rTipo,
IF(
AND(
OR(
UPPER(TRIM(rEmisor))=UPPER(TRIM(C817)),
UPPER(TRIM(rEmisor))=""CUALQUIERA""
),
OR(
UPPER(TRIM"&amp;"(rTipo))=""SOLO EMISOR"",
AND(
UPPER(TRIM(rTipo))=""EXACTA"",
UPPER(TRIM(AG817))=UPPER(TRIM(rPatron))
),
AND(
OR(
UPPER(TRIM(rTipo))=""CONTIENE"",
UPPER(TRIM(rTipo))=""COINCIDENCIA""
),
ISNUMBER(SEARCH(UPPER(TRIM(rPatron)),UPPER(TRIM(D817))))
)
)
),
rConc"&amp;"epto,
""""
)
)
),
MAP(
reglas!$B$2:$B$240,
reglas!$C$2:$C$240,
reglas!$D$2:$D$240,
reglas!$E$2:$E$240,
LAMBDA(rEmisor,rPatron,rConcepto,rTipo,
IF(
AND(
OR(
UPPER(TRIM(rEmisor))=UPPER(TRIM(C817)),
UPPER(TRIM(rEmisor))=""CUALQUIERA""
),
OR(
UPPER(TRIM(rTipo"&amp;"))=""SOLO EMISOR"",
AND(
UPPER(TRIM(rTipo))=""EXACTA"",
UPPER(TRIM(D817))=UPPER(TRIM(rPatron))
),
AND(
OR(
UPPER(TRIM(rTipo))=""CONTIENE"",
UPPER(TRIM(rTipo))=""COINCIDENCIA""
),
ISNUMBER(SEARCH(UPPER(TRIM(rPatron)),UPPER(TRIM(D817))))
)
)
),
rConcepto,
"&amp;"""""
)
)
)&lt;&gt;""""
),
1
),
""""
)"),"")</f>
        <v/>
      </c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</row>
    <row r="818">
      <c r="A818" s="32"/>
      <c r="B818" s="32"/>
      <c r="C818" s="29" t="s">
        <v>1738</v>
      </c>
      <c r="D818" s="29" t="s">
        <v>1739</v>
      </c>
      <c r="E818" s="28">
        <v>2175.0</v>
      </c>
      <c r="F818" s="28">
        <v>0.0</v>
      </c>
      <c r="G818" s="28" t="s">
        <v>1113</v>
      </c>
      <c r="H818" s="28">
        <f t="array" ref="H818">INDEX(CC!C:C,MATCH(1,(CC!A:A=G818)*(CC!B:B=I818),0))</f>
        <v>702</v>
      </c>
      <c r="I818" s="28" t="s">
        <v>25</v>
      </c>
      <c r="J818" s="5"/>
      <c r="K818" s="28" t="str">
        <f>IFERROR(__xludf.DUMMYFUNCTION("IFERROR(
INDEX(
FILTER(
MAP(
reglas!$B$2:$B$240,
reglas!$C$2:$C$240,
reglas!$D$2:$D$240,
reglas!$E$2:$E$240,
LAMBDA(rEmisor,rPatron,rConcepto,rTipo,
IF(
AND(
OR(
UPPER(TRIM(rEmisor))=UPPER(TRIM(C818)),
UPPER(TRIM(rEmisor))=""CUALQUIERA""
),
OR(
UPPER(TRIM"&amp;"(rTipo))=""SOLO EMISOR"",
AND(
UPPER(TRIM(rTipo))=""EXACTA"",
UPPER(TRIM(AG818))=UPPER(TRIM(rPatron))
),
AND(
OR(
UPPER(TRIM(rTipo))=""CONTIENE"",
UPPER(TRIM(rTipo))=""COINCIDENCIA""
),
ISNUMBER(SEARCH(UPPER(TRIM(rPatron)),UPPER(TRIM(D818))))
)
)
),
rConc"&amp;"epto,
""""
)
)
),
MAP(
reglas!$B$2:$B$240,
reglas!$C$2:$C$240,
reglas!$D$2:$D$240,
reglas!$E$2:$E$240,
LAMBDA(rEmisor,rPatron,rConcepto,rTipo,
IF(
AND(
OR(
UPPER(TRIM(rEmisor))=UPPER(TRIM(C818)),
UPPER(TRIM(rEmisor))=""CUALQUIERA""
),
OR(
UPPER(TRIM(rTipo"&amp;"))=""SOLO EMISOR"",
AND(
UPPER(TRIM(rTipo))=""EXACTA"",
UPPER(TRIM(D818))=UPPER(TRIM(rPatron))
),
AND(
OR(
UPPER(TRIM(rTipo))=""CONTIENE"",
UPPER(TRIM(rTipo))=""COINCIDENCIA""
),
ISNUMBER(SEARCH(UPPER(TRIM(rPatron)),UPPER(TRIM(D818))))
)
)
),
rConcepto,
"&amp;"""""
)
)
)&lt;&gt;""""
),
1
),
""""
)"),"")</f>
        <v/>
      </c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</row>
    <row r="819">
      <c r="A819" s="28">
        <v>1.0</v>
      </c>
      <c r="B819" s="28" t="s">
        <v>29</v>
      </c>
      <c r="C819" s="29" t="s">
        <v>450</v>
      </c>
      <c r="D819" s="29" t="s">
        <v>1740</v>
      </c>
      <c r="E819" s="28">
        <v>9098.04</v>
      </c>
      <c r="F819" s="28">
        <v>0.0</v>
      </c>
      <c r="G819" s="28" t="s">
        <v>250</v>
      </c>
      <c r="H819" s="28">
        <f t="array" ref="H819">INDEX(CC!C:C,MATCH(1,(CC!A:A=G819)*(CC!B:B=I819),0))</f>
        <v>1402</v>
      </c>
      <c r="I819" s="28" t="s">
        <v>25</v>
      </c>
      <c r="J819" s="28">
        <v>9098.04</v>
      </c>
      <c r="K819" s="28" t="str">
        <f>IFERROR(__xludf.DUMMYFUNCTION("IFERROR(
INDEX(
FILTER(
MAP(
reglas!$B$2:$B$240,
reglas!$C$2:$C$240,
reglas!$D$2:$D$240,
reglas!$E$2:$E$240,
LAMBDA(rEmisor,rPatron,rConcepto,rTipo,
IF(
AND(
OR(
UPPER(TRIM(rEmisor))=UPPER(TRIM(C819)),
UPPER(TRIM(rEmisor))=""CUALQUIERA""
),
OR(
UPPER(TRIM"&amp;"(rTipo))=""SOLO EMISOR"",
AND(
UPPER(TRIM(rTipo))=""EXACTA"",
UPPER(TRIM(AG819))=UPPER(TRIM(rPatron))
),
AND(
OR(
UPPER(TRIM(rTipo))=""CONTIENE"",
UPPER(TRIM(rTipo))=""COINCIDENCIA""
),
ISNUMBER(SEARCH(UPPER(TRIM(rPatron)),UPPER(TRIM(D819))))
)
)
),
rConc"&amp;"epto,
""""
)
)
),
MAP(
reglas!$B$2:$B$240,
reglas!$C$2:$C$240,
reglas!$D$2:$D$240,
reglas!$E$2:$E$240,
LAMBDA(rEmisor,rPatron,rConcepto,rTipo,
IF(
AND(
OR(
UPPER(TRIM(rEmisor))=UPPER(TRIM(C819)),
UPPER(TRIM(rEmisor))=""CUALQUIERA""
),
OR(
UPPER(TRIM(rTipo"&amp;"))=""SOLO EMISOR"",
AND(
UPPER(TRIM(rTipo))=""EXACTA"",
UPPER(TRIM(D819))=UPPER(TRIM(rPatron))
),
AND(
OR(
UPPER(TRIM(rTipo))=""CONTIENE"",
UPPER(TRIM(rTipo))=""COINCIDENCIA""
),
ISNUMBER(SEARCH(UPPER(TRIM(rPatron)),UPPER(TRIM(D819))))
)
)
),
rConcepto,
"&amp;"""""
)
)
)&lt;&gt;""""
),
1
),
""""
)"),"ARRENDAMIENTO")</f>
        <v>ARRENDAMIENTO</v>
      </c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</row>
    <row r="820">
      <c r="A820" s="32"/>
      <c r="B820" s="28" t="s">
        <v>29</v>
      </c>
      <c r="C820" s="29" t="s">
        <v>172</v>
      </c>
      <c r="D820" s="29" t="s">
        <v>1713</v>
      </c>
      <c r="E820" s="28">
        <v>11500.0</v>
      </c>
      <c r="F820" s="28">
        <v>0.0</v>
      </c>
      <c r="G820" s="28" t="s">
        <v>250</v>
      </c>
      <c r="H820" s="28">
        <f t="array" ref="H820">INDEX(CC!C:C,MATCH(1,(CC!A:A=G820)*(CC!B:B=I820),0))</f>
        <v>1402</v>
      </c>
      <c r="I820" s="28" t="s">
        <v>25</v>
      </c>
      <c r="J820" s="28">
        <v>11500.0</v>
      </c>
      <c r="K820" s="28" t="str">
        <f>IFERROR(__xludf.DUMMYFUNCTION("IFERROR(
INDEX(
FILTER(
MAP(
reglas!$B$2:$B$240,
reglas!$C$2:$C$240,
reglas!$D$2:$D$240,
reglas!$E$2:$E$240,
LAMBDA(rEmisor,rPatron,rConcepto,rTipo,
IF(
AND(
OR(
UPPER(TRIM(rEmisor))=UPPER(TRIM(C820)),
UPPER(TRIM(rEmisor))=""CUALQUIERA""
),
OR(
UPPER(TRIM"&amp;"(rTipo))=""SOLO EMISOR"",
AND(
UPPER(TRIM(rTipo))=""EXACTA"",
UPPER(TRIM(AG820))=UPPER(TRIM(rPatron))
),
AND(
OR(
UPPER(TRIM(rTipo))=""CONTIENE"",
UPPER(TRIM(rTipo))=""COINCIDENCIA""
),
ISNUMBER(SEARCH(UPPER(TRIM(rPatron)),UPPER(TRIM(D820))))
)
)
),
rConc"&amp;"epto,
""""
)
)
),
MAP(
reglas!$B$2:$B$240,
reglas!$C$2:$C$240,
reglas!$D$2:$D$240,
reglas!$E$2:$E$240,
LAMBDA(rEmisor,rPatron,rConcepto,rTipo,
IF(
AND(
OR(
UPPER(TRIM(rEmisor))=UPPER(TRIM(C820)),
UPPER(TRIM(rEmisor))=""CUALQUIERA""
),
OR(
UPPER(TRIM(rTipo"&amp;"))=""SOLO EMISOR"",
AND(
UPPER(TRIM(rTipo))=""EXACTA"",
UPPER(TRIM(D820))=UPPER(TRIM(rPatron))
),
AND(
OR(
UPPER(TRIM(rTipo))=""CONTIENE"",
UPPER(TRIM(rTipo))=""COINCIDENCIA""
),
ISNUMBER(SEARCH(UPPER(TRIM(rPatron)),UPPER(TRIM(D820))))
)
)
),
rConcepto,
"&amp;"""""
)
)
)&lt;&gt;""""
),
1
),
""""
)"),"TRANSPORTE")</f>
        <v>TRANSPORTE</v>
      </c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</row>
    <row r="821">
      <c r="A821" s="32"/>
      <c r="B821" s="28" t="s">
        <v>29</v>
      </c>
      <c r="C821" s="29" t="s">
        <v>419</v>
      </c>
      <c r="D821" s="29" t="s">
        <v>420</v>
      </c>
      <c r="E821" s="28">
        <v>34434.79</v>
      </c>
      <c r="F821" s="28">
        <v>0.0</v>
      </c>
      <c r="G821" s="28" t="s">
        <v>225</v>
      </c>
      <c r="H821" s="28">
        <f t="array" ref="H821">INDEX(CC!C:C,MATCH(1,(CC!A:A=G821)*(CC!B:B=I821),0))</f>
        <v>102</v>
      </c>
      <c r="I821" s="28" t="s">
        <v>25</v>
      </c>
      <c r="J821" s="5"/>
      <c r="K821" s="28" t="str">
        <f>IFERROR(__xludf.DUMMYFUNCTION("IFERROR(
INDEX(
FILTER(
MAP(
reglas!$B$2:$B$240,
reglas!$C$2:$C$240,
reglas!$D$2:$D$240,
reglas!$E$2:$E$240,
LAMBDA(rEmisor,rPatron,rConcepto,rTipo,
IF(
AND(
OR(
UPPER(TRIM(rEmisor))=UPPER(TRIM(C821)),
UPPER(TRIM(rEmisor))=""CUALQUIERA""
),
OR(
UPPER(TRIM"&amp;"(rTipo))=""SOLO EMISOR"",
AND(
UPPER(TRIM(rTipo))=""EXACTA"",
UPPER(TRIM(AG821))=UPPER(TRIM(rPatron))
),
AND(
OR(
UPPER(TRIM(rTipo))=""CONTIENE"",
UPPER(TRIM(rTipo))=""COINCIDENCIA""
),
ISNUMBER(SEARCH(UPPER(TRIM(rPatron)),UPPER(TRIM(D821))))
)
)
),
rConc"&amp;"epto,
""""
)
)
),
MAP(
reglas!$B$2:$B$240,
reglas!$C$2:$C$240,
reglas!$D$2:$D$240,
reglas!$E$2:$E$240,
LAMBDA(rEmisor,rPatron,rConcepto,rTipo,
IF(
AND(
OR(
UPPER(TRIM(rEmisor))=UPPER(TRIM(C821)),
UPPER(TRIM(rEmisor))=""CUALQUIERA""
),
OR(
UPPER(TRIM(rTipo"&amp;"))=""SOLO EMISOR"",
AND(
UPPER(TRIM(rTipo))=""EXACTA"",
UPPER(TRIM(D821))=UPPER(TRIM(rPatron))
),
AND(
OR(
UPPER(TRIM(rTipo))=""CONTIENE"",
UPPER(TRIM(rTipo))=""COINCIDENCIA""
),
ISNUMBER(SEARCH(UPPER(TRIM(rPatron)),UPPER(TRIM(D821))))
)
)
),
rConcepto,
"&amp;"""""
)
)
)&lt;&gt;""""
),
1
),
""""
)"),"N/A")</f>
        <v>N/A</v>
      </c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</row>
    <row r="822">
      <c r="A822" s="28">
        <v>1.0</v>
      </c>
      <c r="B822" s="28" t="s">
        <v>29</v>
      </c>
      <c r="C822" s="29" t="s">
        <v>450</v>
      </c>
      <c r="D822" s="29" t="s">
        <v>1740</v>
      </c>
      <c r="E822" s="28">
        <v>6065.36</v>
      </c>
      <c r="F822" s="28">
        <v>0.0</v>
      </c>
      <c r="G822" s="28" t="s">
        <v>84</v>
      </c>
      <c r="H822" s="28">
        <f t="array" ref="H822">INDEX(CC!C:C,MATCH(1,(CC!A:A=G822)*(CC!B:B=I822),0))</f>
        <v>1002</v>
      </c>
      <c r="I822" s="28" t="s">
        <v>25</v>
      </c>
      <c r="J822" s="28">
        <v>6065.36</v>
      </c>
      <c r="K822" s="28" t="str">
        <f>IFERROR(__xludf.DUMMYFUNCTION("IFERROR(
INDEX(
FILTER(
MAP(
reglas!$B$2:$B$240,
reglas!$C$2:$C$240,
reglas!$D$2:$D$240,
reglas!$E$2:$E$240,
LAMBDA(rEmisor,rPatron,rConcepto,rTipo,
IF(
AND(
OR(
UPPER(TRIM(rEmisor))=UPPER(TRIM(C822)),
UPPER(TRIM(rEmisor))=""CUALQUIERA""
),
OR(
UPPER(TRIM"&amp;"(rTipo))=""SOLO EMISOR"",
AND(
UPPER(TRIM(rTipo))=""EXACTA"",
UPPER(TRIM(AG822))=UPPER(TRIM(rPatron))
),
AND(
OR(
UPPER(TRIM(rTipo))=""CONTIENE"",
UPPER(TRIM(rTipo))=""COINCIDENCIA""
),
ISNUMBER(SEARCH(UPPER(TRIM(rPatron)),UPPER(TRIM(D822))))
)
)
),
rConc"&amp;"epto,
""""
)
)
),
MAP(
reglas!$B$2:$B$240,
reglas!$C$2:$C$240,
reglas!$D$2:$D$240,
reglas!$E$2:$E$240,
LAMBDA(rEmisor,rPatron,rConcepto,rTipo,
IF(
AND(
OR(
UPPER(TRIM(rEmisor))=UPPER(TRIM(C822)),
UPPER(TRIM(rEmisor))=""CUALQUIERA""
),
OR(
UPPER(TRIM(rTipo"&amp;"))=""SOLO EMISOR"",
AND(
UPPER(TRIM(rTipo))=""EXACTA"",
UPPER(TRIM(D822))=UPPER(TRIM(rPatron))
),
AND(
OR(
UPPER(TRIM(rTipo))=""CONTIENE"",
UPPER(TRIM(rTipo))=""COINCIDENCIA""
),
ISNUMBER(SEARCH(UPPER(TRIM(rPatron)),UPPER(TRIM(D822))))
)
)
),
rConcepto,
"&amp;"""""
)
)
)&lt;&gt;""""
),
1
),
""""
)"),"ARRENDAMIENTO")</f>
        <v>ARRENDAMIENTO</v>
      </c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</row>
    <row r="823">
      <c r="A823" s="32"/>
      <c r="B823" s="28" t="s">
        <v>29</v>
      </c>
      <c r="C823" s="29" t="s">
        <v>278</v>
      </c>
      <c r="D823" s="29" t="s">
        <v>560</v>
      </c>
      <c r="E823" s="28">
        <v>3500.0</v>
      </c>
      <c r="F823" s="28">
        <v>0.0</v>
      </c>
      <c r="G823" s="28" t="s">
        <v>250</v>
      </c>
      <c r="H823" s="28">
        <f t="array" ref="H823">INDEX(CC!C:C,MATCH(1,(CC!A:A=G823)*(CC!B:B=I823),0))</f>
        <v>1402</v>
      </c>
      <c r="I823" s="28" t="s">
        <v>25</v>
      </c>
      <c r="J823" s="96">
        <v>3500.0</v>
      </c>
      <c r="K823" s="28" t="str">
        <f>IFERROR(__xludf.DUMMYFUNCTION("IFERROR(
INDEX(
FILTER(
MAP(
reglas!$B$2:$B$240,
reglas!$C$2:$C$240,
reglas!$D$2:$D$240,
reglas!$E$2:$E$240,
LAMBDA(rEmisor,rPatron,rConcepto,rTipo,
IF(
AND(
OR(
UPPER(TRIM(rEmisor))=UPPER(TRIM(C823)),
UPPER(TRIM(rEmisor))=""CUALQUIERA""
),
OR(
UPPER(TRIM"&amp;"(rTipo))=""SOLO EMISOR"",
AND(
UPPER(TRIM(rTipo))=""EXACTA"",
UPPER(TRIM(AG823))=UPPER(TRIM(rPatron))
),
AND(
OR(
UPPER(TRIM(rTipo))=""CONTIENE"",
UPPER(TRIM(rTipo))=""COINCIDENCIA""
),
ISNUMBER(SEARCH(UPPER(TRIM(rPatron)),UPPER(TRIM(D823))))
)
)
),
rConc"&amp;"epto,
""""
)
)
),
MAP(
reglas!$B$2:$B$240,
reglas!$C$2:$C$240,
reglas!$D$2:$D$240,
reglas!$E$2:$E$240,
LAMBDA(rEmisor,rPatron,rConcepto,rTipo,
IF(
AND(
OR(
UPPER(TRIM(rEmisor))=UPPER(TRIM(C823)),
UPPER(TRIM(rEmisor))=""CUALQUIERA""
),
OR(
UPPER(TRIM(rTipo"&amp;"))=""SOLO EMISOR"",
AND(
UPPER(TRIM(rTipo))=""EXACTA"",
UPPER(TRIM(D823))=UPPER(TRIM(rPatron))
),
AND(
OR(
UPPER(TRIM(rTipo))=""CONTIENE"",
UPPER(TRIM(rTipo))=""COINCIDENCIA""
),
ISNUMBER(SEARCH(UPPER(TRIM(rPatron)),UPPER(TRIM(D823))))
)
)
),
rConcepto,
"&amp;"""""
)
)
)&lt;&gt;""""
),
1
),
""""
)"),"MANIOBRAS")</f>
        <v>MANIOBRAS</v>
      </c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</row>
    <row r="824">
      <c r="A824" s="28">
        <v>1.0</v>
      </c>
      <c r="B824" s="28" t="s">
        <v>29</v>
      </c>
      <c r="C824" s="29" t="s">
        <v>1741</v>
      </c>
      <c r="D824" s="29" t="s">
        <v>1742</v>
      </c>
      <c r="E824" s="28">
        <v>52.86</v>
      </c>
      <c r="F824" s="28">
        <v>0.0</v>
      </c>
      <c r="G824" s="28" t="s">
        <v>55</v>
      </c>
      <c r="H824" s="28">
        <f t="array" ref="H824">INDEX(CC!C:C,MATCH(1,(CC!A:A=G824)*(CC!B:B=I824),0))</f>
        <v>903</v>
      </c>
      <c r="I824" s="28" t="s">
        <v>44</v>
      </c>
      <c r="J824" s="97">
        <v>52.86</v>
      </c>
      <c r="K824" s="28" t="str">
        <f>IFERROR(__xludf.DUMMYFUNCTION("IFERROR(
INDEX(
FILTER(
MAP(
reglas!$B$2:$B$240,
reglas!$C$2:$C$240,
reglas!$D$2:$D$240,
reglas!$E$2:$E$240,
LAMBDA(rEmisor,rPatron,rConcepto,rTipo,
IF(
AND(
OR(
UPPER(TRIM(rEmisor))=UPPER(TRIM(C824)),
UPPER(TRIM(rEmisor))=""CUALQUIERA""
),
OR(
UPPER(TRIM"&amp;"(rTipo))=""SOLO EMISOR"",
AND(
UPPER(TRIM(rTipo))=""EXACTA"",
UPPER(TRIM(AG824))=UPPER(TRIM(rPatron))
),
AND(
OR(
UPPER(TRIM(rTipo))=""CONTIENE"",
UPPER(TRIM(rTipo))=""COINCIDENCIA""
),
ISNUMBER(SEARCH(UPPER(TRIM(rPatron)),UPPER(TRIM(D824))))
)
)
),
rConc"&amp;"epto,
""""
)
)
),
MAP(
reglas!$B$2:$B$240,
reglas!$C$2:$C$240,
reglas!$D$2:$D$240,
reglas!$E$2:$E$240,
LAMBDA(rEmisor,rPatron,rConcepto,rTipo,
IF(
AND(
OR(
UPPER(TRIM(rEmisor))=UPPER(TRIM(C824)),
UPPER(TRIM(rEmisor))=""CUALQUIERA""
),
OR(
UPPER(TRIM(rTipo"&amp;"))=""SOLO EMISOR"",
AND(
UPPER(TRIM(rTipo))=""EXACTA"",
UPPER(TRIM(D824))=UPPER(TRIM(rPatron))
),
AND(
OR(
UPPER(TRIM(rTipo))=""CONTIENE"",
UPPER(TRIM(rTipo))=""COINCIDENCIA""
),
ISNUMBER(SEARCH(UPPER(TRIM(rPatron)),UPPER(TRIM(D824))))
)
)
),
rConcepto,
"&amp;"""""
)
)
)&lt;&gt;""""
),
1
),
""""
)"),"")</f>
        <v/>
      </c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</row>
    <row r="825">
      <c r="A825" s="32"/>
      <c r="B825" s="32"/>
      <c r="C825" s="29" t="s">
        <v>1741</v>
      </c>
      <c r="D825" s="29" t="s">
        <v>1743</v>
      </c>
      <c r="E825" s="28">
        <v>519.95</v>
      </c>
      <c r="F825" s="28">
        <v>0.0</v>
      </c>
      <c r="G825" s="28" t="s">
        <v>55</v>
      </c>
      <c r="H825" s="28">
        <f t="array" ref="H825">INDEX(CC!C:C,MATCH(1,(CC!A:A=G825)*(CC!B:B=I825),0))</f>
        <v>903</v>
      </c>
      <c r="I825" s="28" t="s">
        <v>44</v>
      </c>
      <c r="J825" s="97">
        <v>519.95</v>
      </c>
      <c r="K825" s="28" t="str">
        <f>IFERROR(__xludf.DUMMYFUNCTION("IFERROR(
INDEX(
FILTER(
MAP(
reglas!$B$2:$B$240,
reglas!$C$2:$C$240,
reglas!$D$2:$D$240,
reglas!$E$2:$E$240,
LAMBDA(rEmisor,rPatron,rConcepto,rTipo,
IF(
AND(
OR(
UPPER(TRIM(rEmisor))=UPPER(TRIM(C825)),
UPPER(TRIM(rEmisor))=""CUALQUIERA""
),
OR(
UPPER(TRIM"&amp;"(rTipo))=""SOLO EMISOR"",
AND(
UPPER(TRIM(rTipo))=""EXACTA"",
UPPER(TRIM(AG825))=UPPER(TRIM(rPatron))
),
AND(
OR(
UPPER(TRIM(rTipo))=""CONTIENE"",
UPPER(TRIM(rTipo))=""COINCIDENCIA""
),
ISNUMBER(SEARCH(UPPER(TRIM(rPatron)),UPPER(TRIM(D825))))
)
)
),
rConc"&amp;"epto,
""""
)
)
),
MAP(
reglas!$B$2:$B$240,
reglas!$C$2:$C$240,
reglas!$D$2:$D$240,
reglas!$E$2:$E$240,
LAMBDA(rEmisor,rPatron,rConcepto,rTipo,
IF(
AND(
OR(
UPPER(TRIM(rEmisor))=UPPER(TRIM(C825)),
UPPER(TRIM(rEmisor))=""CUALQUIERA""
),
OR(
UPPER(TRIM(rTipo"&amp;"))=""SOLO EMISOR"",
AND(
UPPER(TRIM(rTipo))=""EXACTA"",
UPPER(TRIM(D825))=UPPER(TRIM(rPatron))
),
AND(
OR(
UPPER(TRIM(rTipo))=""CONTIENE"",
UPPER(TRIM(rTipo))=""COINCIDENCIA""
),
ISNUMBER(SEARCH(UPPER(TRIM(rPatron)),UPPER(TRIM(D825))))
)
)
),
rConcepto,
"&amp;"""""
)
)
)&lt;&gt;""""
),
1
),
""""
)"),"")</f>
        <v/>
      </c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</row>
    <row r="826">
      <c r="A826" s="32"/>
      <c r="B826" s="32"/>
      <c r="C826" s="29" t="s">
        <v>1741</v>
      </c>
      <c r="D826" s="29" t="s">
        <v>1744</v>
      </c>
      <c r="E826" s="28">
        <v>18.2</v>
      </c>
      <c r="F826" s="28">
        <v>0.0</v>
      </c>
      <c r="G826" s="28" t="s">
        <v>55</v>
      </c>
      <c r="H826" s="28">
        <f t="array" ref="H826">INDEX(CC!C:C,MATCH(1,(CC!A:A=G826)*(CC!B:B=I826),0))</f>
        <v>903</v>
      </c>
      <c r="I826" s="28" t="s">
        <v>44</v>
      </c>
      <c r="J826" s="97">
        <v>18.2</v>
      </c>
      <c r="K826" s="28" t="str">
        <f>IFERROR(__xludf.DUMMYFUNCTION("IFERROR(
INDEX(
FILTER(
MAP(
reglas!$B$2:$B$240,
reglas!$C$2:$C$240,
reglas!$D$2:$D$240,
reglas!$E$2:$E$240,
LAMBDA(rEmisor,rPatron,rConcepto,rTipo,
IF(
AND(
OR(
UPPER(TRIM(rEmisor))=UPPER(TRIM(C826)),
UPPER(TRIM(rEmisor))=""CUALQUIERA""
),
OR(
UPPER(TRIM"&amp;"(rTipo))=""SOLO EMISOR"",
AND(
UPPER(TRIM(rTipo))=""EXACTA"",
UPPER(TRIM(AG826))=UPPER(TRIM(rPatron))
),
AND(
OR(
UPPER(TRIM(rTipo))=""CONTIENE"",
UPPER(TRIM(rTipo))=""COINCIDENCIA""
),
ISNUMBER(SEARCH(UPPER(TRIM(rPatron)),UPPER(TRIM(D826))))
)
)
),
rConc"&amp;"epto,
""""
)
)
),
MAP(
reglas!$B$2:$B$240,
reglas!$C$2:$C$240,
reglas!$D$2:$D$240,
reglas!$E$2:$E$240,
LAMBDA(rEmisor,rPatron,rConcepto,rTipo,
IF(
AND(
OR(
UPPER(TRIM(rEmisor))=UPPER(TRIM(C826)),
UPPER(TRIM(rEmisor))=""CUALQUIERA""
),
OR(
UPPER(TRIM(rTipo"&amp;"))=""SOLO EMISOR"",
AND(
UPPER(TRIM(rTipo))=""EXACTA"",
UPPER(TRIM(D826))=UPPER(TRIM(rPatron))
),
AND(
OR(
UPPER(TRIM(rTipo))=""CONTIENE"",
UPPER(TRIM(rTipo))=""COINCIDENCIA""
),
ISNUMBER(SEARCH(UPPER(TRIM(rPatron)),UPPER(TRIM(D826))))
)
)
),
rConcepto,
"&amp;"""""
)
)
)&lt;&gt;""""
),
1
),
""""
)"),"")</f>
        <v/>
      </c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</row>
    <row r="827">
      <c r="A827" s="32"/>
      <c r="B827" s="32"/>
      <c r="C827" s="29" t="s">
        <v>1741</v>
      </c>
      <c r="D827" s="29" t="s">
        <v>1745</v>
      </c>
      <c r="E827" s="28">
        <v>1359.85</v>
      </c>
      <c r="F827" s="28">
        <v>0.0</v>
      </c>
      <c r="G827" s="28" t="s">
        <v>55</v>
      </c>
      <c r="H827" s="28">
        <f t="array" ref="H827">INDEX(CC!C:C,MATCH(1,(CC!A:A=G827)*(CC!B:B=I827),0))</f>
        <v>903</v>
      </c>
      <c r="I827" s="28" t="s">
        <v>44</v>
      </c>
      <c r="J827" s="98">
        <v>1359.85</v>
      </c>
      <c r="K827" s="28" t="str">
        <f>IFERROR(__xludf.DUMMYFUNCTION("IFERROR(
INDEX(
FILTER(
MAP(
reglas!$B$2:$B$240,
reglas!$C$2:$C$240,
reglas!$D$2:$D$240,
reglas!$E$2:$E$240,
LAMBDA(rEmisor,rPatron,rConcepto,rTipo,
IF(
AND(
OR(
UPPER(TRIM(rEmisor))=UPPER(TRIM(C827)),
UPPER(TRIM(rEmisor))=""CUALQUIERA""
),
OR(
UPPER(TRIM"&amp;"(rTipo))=""SOLO EMISOR"",
AND(
UPPER(TRIM(rTipo))=""EXACTA"",
UPPER(TRIM(AG827))=UPPER(TRIM(rPatron))
),
AND(
OR(
UPPER(TRIM(rTipo))=""CONTIENE"",
UPPER(TRIM(rTipo))=""COINCIDENCIA""
),
ISNUMBER(SEARCH(UPPER(TRIM(rPatron)),UPPER(TRIM(D827))))
)
)
),
rConc"&amp;"epto,
""""
)
)
),
MAP(
reglas!$B$2:$B$240,
reglas!$C$2:$C$240,
reglas!$D$2:$D$240,
reglas!$E$2:$E$240,
LAMBDA(rEmisor,rPatron,rConcepto,rTipo,
IF(
AND(
OR(
UPPER(TRIM(rEmisor))=UPPER(TRIM(C827)),
UPPER(TRIM(rEmisor))=""CUALQUIERA""
),
OR(
UPPER(TRIM(rTipo"&amp;"))=""SOLO EMISOR"",
AND(
UPPER(TRIM(rTipo))=""EXACTA"",
UPPER(TRIM(D827))=UPPER(TRIM(rPatron))
),
AND(
OR(
UPPER(TRIM(rTipo))=""CONTIENE"",
UPPER(TRIM(rTipo))=""COINCIDENCIA""
),
ISNUMBER(SEARCH(UPPER(TRIM(rPatron)),UPPER(TRIM(D827))))
)
)
),
rConcepto,
"&amp;"""""
)
)
)&lt;&gt;""""
),
1
),
""""
)"),"")</f>
        <v/>
      </c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</row>
    <row r="828">
      <c r="A828" s="32"/>
      <c r="B828" s="32"/>
      <c r="C828" s="29" t="s">
        <v>1741</v>
      </c>
      <c r="D828" s="29" t="s">
        <v>1746</v>
      </c>
      <c r="E828" s="28">
        <v>1706.49</v>
      </c>
      <c r="F828" s="28">
        <v>0.0</v>
      </c>
      <c r="G828" s="28" t="s">
        <v>55</v>
      </c>
      <c r="H828" s="28">
        <f t="array" ref="H828">INDEX(CC!C:C,MATCH(1,(CC!A:A=G828)*(CC!B:B=I828),0))</f>
        <v>903</v>
      </c>
      <c r="I828" s="28" t="s">
        <v>44</v>
      </c>
      <c r="J828" s="98">
        <v>1706.49</v>
      </c>
      <c r="K828" s="28" t="str">
        <f>IFERROR(__xludf.DUMMYFUNCTION("IFERROR(
INDEX(
FILTER(
MAP(
reglas!$B$2:$B$240,
reglas!$C$2:$C$240,
reglas!$D$2:$D$240,
reglas!$E$2:$E$240,
LAMBDA(rEmisor,rPatron,rConcepto,rTipo,
IF(
AND(
OR(
UPPER(TRIM(rEmisor))=UPPER(TRIM(C828)),
UPPER(TRIM(rEmisor))=""CUALQUIERA""
),
OR(
UPPER(TRIM"&amp;"(rTipo))=""SOLO EMISOR"",
AND(
UPPER(TRIM(rTipo))=""EXACTA"",
UPPER(TRIM(AG828))=UPPER(TRIM(rPatron))
),
AND(
OR(
UPPER(TRIM(rTipo))=""CONTIENE"",
UPPER(TRIM(rTipo))=""COINCIDENCIA""
),
ISNUMBER(SEARCH(UPPER(TRIM(rPatron)),UPPER(TRIM(D828))))
)
)
),
rConc"&amp;"epto,
""""
)
)
),
MAP(
reglas!$B$2:$B$240,
reglas!$C$2:$C$240,
reglas!$D$2:$D$240,
reglas!$E$2:$E$240,
LAMBDA(rEmisor,rPatron,rConcepto,rTipo,
IF(
AND(
OR(
UPPER(TRIM(rEmisor))=UPPER(TRIM(C828)),
UPPER(TRIM(rEmisor))=""CUALQUIERA""
),
OR(
UPPER(TRIM(rTipo"&amp;"))=""SOLO EMISOR"",
AND(
UPPER(TRIM(rTipo))=""EXACTA"",
UPPER(TRIM(D828))=UPPER(TRIM(rPatron))
),
AND(
OR(
UPPER(TRIM(rTipo))=""CONTIENE"",
UPPER(TRIM(rTipo))=""COINCIDENCIA""
),
ISNUMBER(SEARCH(UPPER(TRIM(rPatron)),UPPER(TRIM(D828))))
)
)
),
rConcepto,
"&amp;"""""
)
)
)&lt;&gt;""""
),
1
),
""""
)"),"")</f>
        <v/>
      </c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</row>
    <row r="829">
      <c r="A829" s="32"/>
      <c r="B829" s="32"/>
      <c r="C829" s="29" t="s">
        <v>1741</v>
      </c>
      <c r="D829" s="29" t="s">
        <v>1747</v>
      </c>
      <c r="E829" s="28">
        <v>346.63</v>
      </c>
      <c r="F829" s="28">
        <v>0.0</v>
      </c>
      <c r="G829" s="28" t="s">
        <v>55</v>
      </c>
      <c r="H829" s="28">
        <f t="array" ref="H829">INDEX(CC!C:C,MATCH(1,(CC!A:A=G829)*(CC!B:B=I829),0))</f>
        <v>903</v>
      </c>
      <c r="I829" s="28" t="s">
        <v>44</v>
      </c>
      <c r="J829" s="97">
        <v>346.63</v>
      </c>
      <c r="K829" s="28" t="str">
        <f>IFERROR(__xludf.DUMMYFUNCTION("IFERROR(
INDEX(
FILTER(
MAP(
reglas!$B$2:$B$240,
reglas!$C$2:$C$240,
reglas!$D$2:$D$240,
reglas!$E$2:$E$240,
LAMBDA(rEmisor,rPatron,rConcepto,rTipo,
IF(
AND(
OR(
UPPER(TRIM(rEmisor))=UPPER(TRIM(C829)),
UPPER(TRIM(rEmisor))=""CUALQUIERA""
),
OR(
UPPER(TRIM"&amp;"(rTipo))=""SOLO EMISOR"",
AND(
UPPER(TRIM(rTipo))=""EXACTA"",
UPPER(TRIM(AG829))=UPPER(TRIM(rPatron))
),
AND(
OR(
UPPER(TRIM(rTipo))=""CONTIENE"",
UPPER(TRIM(rTipo))=""COINCIDENCIA""
),
ISNUMBER(SEARCH(UPPER(TRIM(rPatron)),UPPER(TRIM(D829))))
)
)
),
rConc"&amp;"epto,
""""
)
)
),
MAP(
reglas!$B$2:$B$240,
reglas!$C$2:$C$240,
reglas!$D$2:$D$240,
reglas!$E$2:$E$240,
LAMBDA(rEmisor,rPatron,rConcepto,rTipo,
IF(
AND(
OR(
UPPER(TRIM(rEmisor))=UPPER(TRIM(C829)),
UPPER(TRIM(rEmisor))=""CUALQUIERA""
),
OR(
UPPER(TRIM(rTipo"&amp;"))=""SOLO EMISOR"",
AND(
UPPER(TRIM(rTipo))=""EXACTA"",
UPPER(TRIM(D829))=UPPER(TRIM(rPatron))
),
AND(
OR(
UPPER(TRIM(rTipo))=""CONTIENE"",
UPPER(TRIM(rTipo))=""COINCIDENCIA""
),
ISNUMBER(SEARCH(UPPER(TRIM(rPatron)),UPPER(TRIM(D829))))
)
)
),
rConcepto,
"&amp;"""""
)
)
)&lt;&gt;""""
),
1
),
""""
)"),"")</f>
        <v/>
      </c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</row>
    <row r="830">
      <c r="A830" s="32"/>
      <c r="B830" s="32"/>
      <c r="C830" s="29" t="s">
        <v>1741</v>
      </c>
      <c r="D830" s="29" t="s">
        <v>1748</v>
      </c>
      <c r="E830" s="28">
        <v>86.66</v>
      </c>
      <c r="F830" s="28">
        <v>0.0</v>
      </c>
      <c r="G830" s="28" t="s">
        <v>55</v>
      </c>
      <c r="H830" s="28">
        <f t="array" ref="H830">INDEX(CC!C:C,MATCH(1,(CC!A:A=G830)*(CC!B:B=I830),0))</f>
        <v>903</v>
      </c>
      <c r="I830" s="28" t="s">
        <v>44</v>
      </c>
      <c r="J830" s="97">
        <v>86.66</v>
      </c>
      <c r="K830" s="28" t="str">
        <f>IFERROR(__xludf.DUMMYFUNCTION("IFERROR(
INDEX(
FILTER(
MAP(
reglas!$B$2:$B$240,
reglas!$C$2:$C$240,
reglas!$D$2:$D$240,
reglas!$E$2:$E$240,
LAMBDA(rEmisor,rPatron,rConcepto,rTipo,
IF(
AND(
OR(
UPPER(TRIM(rEmisor))=UPPER(TRIM(C830)),
UPPER(TRIM(rEmisor))=""CUALQUIERA""
),
OR(
UPPER(TRIM"&amp;"(rTipo))=""SOLO EMISOR"",
AND(
UPPER(TRIM(rTipo))=""EXACTA"",
UPPER(TRIM(AG830))=UPPER(TRIM(rPatron))
),
AND(
OR(
UPPER(TRIM(rTipo))=""CONTIENE"",
UPPER(TRIM(rTipo))=""COINCIDENCIA""
),
ISNUMBER(SEARCH(UPPER(TRIM(rPatron)),UPPER(TRIM(D830))))
)
)
),
rConc"&amp;"epto,
""""
)
)
),
MAP(
reglas!$B$2:$B$240,
reglas!$C$2:$C$240,
reglas!$D$2:$D$240,
reglas!$E$2:$E$240,
LAMBDA(rEmisor,rPatron,rConcepto,rTipo,
IF(
AND(
OR(
UPPER(TRIM(rEmisor))=UPPER(TRIM(C830)),
UPPER(TRIM(rEmisor))=""CUALQUIERA""
),
OR(
UPPER(TRIM(rTipo"&amp;"))=""SOLO EMISOR"",
AND(
UPPER(TRIM(rTipo))=""EXACTA"",
UPPER(TRIM(D830))=UPPER(TRIM(rPatron))
),
AND(
OR(
UPPER(TRIM(rTipo))=""CONTIENE"",
UPPER(TRIM(rTipo))=""COINCIDENCIA""
),
ISNUMBER(SEARCH(UPPER(TRIM(rPatron)),UPPER(TRIM(D830))))
)
)
),
rConcepto,
"&amp;"""""
)
)
)&lt;&gt;""""
),
1
),
""""
)"),"")</f>
        <v/>
      </c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</row>
    <row r="831">
      <c r="A831" s="32"/>
      <c r="B831" s="32"/>
      <c r="C831" s="29" t="s">
        <v>1741</v>
      </c>
      <c r="D831" s="29" t="s">
        <v>1749</v>
      </c>
      <c r="E831" s="28">
        <v>86.66</v>
      </c>
      <c r="F831" s="28">
        <v>0.0</v>
      </c>
      <c r="G831" s="28" t="s">
        <v>55</v>
      </c>
      <c r="H831" s="28">
        <f t="array" ref="H831">INDEX(CC!C:C,MATCH(1,(CC!A:A=G831)*(CC!B:B=I831),0))</f>
        <v>903</v>
      </c>
      <c r="I831" s="28" t="s">
        <v>44</v>
      </c>
      <c r="J831" s="97">
        <v>86.66</v>
      </c>
      <c r="K831" s="28" t="str">
        <f>IFERROR(__xludf.DUMMYFUNCTION("IFERROR(
INDEX(
FILTER(
MAP(
reglas!$B$2:$B$240,
reglas!$C$2:$C$240,
reglas!$D$2:$D$240,
reglas!$E$2:$E$240,
LAMBDA(rEmisor,rPatron,rConcepto,rTipo,
IF(
AND(
OR(
UPPER(TRIM(rEmisor))=UPPER(TRIM(C831)),
UPPER(TRIM(rEmisor))=""CUALQUIERA""
),
OR(
UPPER(TRIM"&amp;"(rTipo))=""SOLO EMISOR"",
AND(
UPPER(TRIM(rTipo))=""EXACTA"",
UPPER(TRIM(AG831))=UPPER(TRIM(rPatron))
),
AND(
OR(
UPPER(TRIM(rTipo))=""CONTIENE"",
UPPER(TRIM(rTipo))=""COINCIDENCIA""
),
ISNUMBER(SEARCH(UPPER(TRIM(rPatron)),UPPER(TRIM(D831))))
)
)
),
rConc"&amp;"epto,
""""
)
)
),
MAP(
reglas!$B$2:$B$240,
reglas!$C$2:$C$240,
reglas!$D$2:$D$240,
reglas!$E$2:$E$240,
LAMBDA(rEmisor,rPatron,rConcepto,rTipo,
IF(
AND(
OR(
UPPER(TRIM(rEmisor))=UPPER(TRIM(C831)),
UPPER(TRIM(rEmisor))=""CUALQUIERA""
),
OR(
UPPER(TRIM(rTipo"&amp;"))=""SOLO EMISOR"",
AND(
UPPER(TRIM(rTipo))=""EXACTA"",
UPPER(TRIM(D831))=UPPER(TRIM(rPatron))
),
AND(
OR(
UPPER(TRIM(rTipo))=""CONTIENE"",
UPPER(TRIM(rTipo))=""COINCIDENCIA""
),
ISNUMBER(SEARCH(UPPER(TRIM(rPatron)),UPPER(TRIM(D831))))
)
)
),
rConcepto,
"&amp;"""""
)
)
)&lt;&gt;""""
),
1
),
""""
)"),"")</f>
        <v/>
      </c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</row>
    <row r="832">
      <c r="A832" s="32"/>
      <c r="B832" s="32"/>
      <c r="C832" s="29" t="s">
        <v>1741</v>
      </c>
      <c r="D832" s="29" t="s">
        <v>1750</v>
      </c>
      <c r="E832" s="28">
        <v>86.66</v>
      </c>
      <c r="F832" s="28">
        <v>0.0</v>
      </c>
      <c r="G832" s="28" t="s">
        <v>55</v>
      </c>
      <c r="H832" s="28">
        <f t="array" ref="H832">INDEX(CC!C:C,MATCH(1,(CC!A:A=G832)*(CC!B:B=I832),0))</f>
        <v>903</v>
      </c>
      <c r="I832" s="28" t="s">
        <v>44</v>
      </c>
      <c r="J832" s="97">
        <v>86.66</v>
      </c>
      <c r="K832" s="28" t="str">
        <f>IFERROR(__xludf.DUMMYFUNCTION("IFERROR(
INDEX(
FILTER(
MAP(
reglas!$B$2:$B$240,
reglas!$C$2:$C$240,
reglas!$D$2:$D$240,
reglas!$E$2:$E$240,
LAMBDA(rEmisor,rPatron,rConcepto,rTipo,
IF(
AND(
OR(
UPPER(TRIM(rEmisor))=UPPER(TRIM(C832)),
UPPER(TRIM(rEmisor))=""CUALQUIERA""
),
OR(
UPPER(TRIM"&amp;"(rTipo))=""SOLO EMISOR"",
AND(
UPPER(TRIM(rTipo))=""EXACTA"",
UPPER(TRIM(AG832))=UPPER(TRIM(rPatron))
),
AND(
OR(
UPPER(TRIM(rTipo))=""CONTIENE"",
UPPER(TRIM(rTipo))=""COINCIDENCIA""
),
ISNUMBER(SEARCH(UPPER(TRIM(rPatron)),UPPER(TRIM(D832))))
)
)
),
rConc"&amp;"epto,
""""
)
)
),
MAP(
reglas!$B$2:$B$240,
reglas!$C$2:$C$240,
reglas!$D$2:$D$240,
reglas!$E$2:$E$240,
LAMBDA(rEmisor,rPatron,rConcepto,rTipo,
IF(
AND(
OR(
UPPER(TRIM(rEmisor))=UPPER(TRIM(C832)),
UPPER(TRIM(rEmisor))=""CUALQUIERA""
),
OR(
UPPER(TRIM(rTipo"&amp;"))=""SOLO EMISOR"",
AND(
UPPER(TRIM(rTipo))=""EXACTA"",
UPPER(TRIM(D832))=UPPER(TRIM(rPatron))
),
AND(
OR(
UPPER(TRIM(rTipo))=""CONTIENE"",
UPPER(TRIM(rTipo))=""COINCIDENCIA""
),
ISNUMBER(SEARCH(UPPER(TRIM(rPatron)),UPPER(TRIM(D832))))
)
)
),
rConcepto,
"&amp;"""""
)
)
)&lt;&gt;""""
),
1
),
""""
)"),"")</f>
        <v/>
      </c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</row>
    <row r="833">
      <c r="A833" s="28">
        <v>1.0</v>
      </c>
      <c r="B833" s="28" t="s">
        <v>29</v>
      </c>
      <c r="C833" s="29" t="s">
        <v>281</v>
      </c>
      <c r="D833" s="29" t="s">
        <v>1751</v>
      </c>
      <c r="E833" s="28">
        <v>700.0</v>
      </c>
      <c r="F833" s="28">
        <v>0.0</v>
      </c>
      <c r="G833" s="28" t="s">
        <v>84</v>
      </c>
      <c r="H833" s="28">
        <f t="array" ref="H833">INDEX(CC!C:C,MATCH(1,(CC!A:A=G833)*(CC!B:B=I833),0))</f>
        <v>1002</v>
      </c>
      <c r="I833" s="28" t="s">
        <v>25</v>
      </c>
      <c r="J833" s="28">
        <v>700.0</v>
      </c>
      <c r="K833" s="28" t="str">
        <f>IFERROR(__xludf.DUMMYFUNCTION("IFERROR(
INDEX(
FILTER(
MAP(
reglas!$B$2:$B$240,
reglas!$C$2:$C$240,
reglas!$D$2:$D$240,
reglas!$E$2:$E$240,
LAMBDA(rEmisor,rPatron,rConcepto,rTipo,
IF(
AND(
OR(
UPPER(TRIM(rEmisor))=UPPER(TRIM(C833)),
UPPER(TRIM(rEmisor))=""CUALQUIERA""
),
OR(
UPPER(TRIM"&amp;"(rTipo))=""SOLO EMISOR"",
AND(
UPPER(TRIM(rTipo))=""EXACTA"",
UPPER(TRIM(AG833))=UPPER(TRIM(rPatron))
),
AND(
OR(
UPPER(TRIM(rTipo))=""CONTIENE"",
UPPER(TRIM(rTipo))=""COINCIDENCIA""
),
ISNUMBER(SEARCH(UPPER(TRIM(rPatron)),UPPER(TRIM(D833))))
)
)
),
rConc"&amp;"epto,
""""
)
)
),
MAP(
reglas!$B$2:$B$240,
reglas!$C$2:$C$240,
reglas!$D$2:$D$240,
reglas!$E$2:$E$240,
LAMBDA(rEmisor,rPatron,rConcepto,rTipo,
IF(
AND(
OR(
UPPER(TRIM(rEmisor))=UPPER(TRIM(C833)),
UPPER(TRIM(rEmisor))=""CUALQUIERA""
),
OR(
UPPER(TRIM(rTipo"&amp;"))=""SOLO EMISOR"",
AND(
UPPER(TRIM(rTipo))=""EXACTA"",
UPPER(TRIM(D833))=UPPER(TRIM(rPatron))
),
AND(
OR(
UPPER(TRIM(rTipo))=""CONTIENE"",
UPPER(TRIM(rTipo))=""COINCIDENCIA""
),
ISNUMBER(SEARCH(UPPER(TRIM(rPatron)),UPPER(TRIM(D833))))
)
)
),
rConcepto,
"&amp;"""""
)
)
)&lt;&gt;""""
),
1
),
""""
)"),"TRANSPORTE")</f>
        <v>TRANSPORTE</v>
      </c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</row>
    <row r="834">
      <c r="A834" s="32"/>
      <c r="B834" s="28" t="s">
        <v>29</v>
      </c>
      <c r="C834" s="29" t="s">
        <v>278</v>
      </c>
      <c r="D834" s="29" t="s">
        <v>1697</v>
      </c>
      <c r="E834" s="28">
        <v>500.0</v>
      </c>
      <c r="F834" s="28">
        <v>0.0</v>
      </c>
      <c r="G834" s="28" t="s">
        <v>250</v>
      </c>
      <c r="H834" s="28">
        <f t="array" ref="H834">INDEX(CC!C:C,MATCH(1,(CC!A:A=G834)*(CC!B:B=I834),0))</f>
        <v>1402</v>
      </c>
      <c r="I834" s="28" t="s">
        <v>25</v>
      </c>
      <c r="J834" s="28">
        <v>500.0</v>
      </c>
      <c r="K834" s="28" t="str">
        <f>IFERROR(__xludf.DUMMYFUNCTION("IFERROR(
INDEX(
FILTER(
MAP(
reglas!$B$2:$B$240,
reglas!$C$2:$C$240,
reglas!$D$2:$D$240,
reglas!$E$2:$E$240,
LAMBDA(rEmisor,rPatron,rConcepto,rTipo,
IF(
AND(
OR(
UPPER(TRIM(rEmisor))=UPPER(TRIM(C834)),
UPPER(TRIM(rEmisor))=""CUALQUIERA""
),
OR(
UPPER(TRIM"&amp;"(rTipo))=""SOLO EMISOR"",
AND(
UPPER(TRIM(rTipo))=""EXACTA"",
UPPER(TRIM(AG834))=UPPER(TRIM(rPatron))
),
AND(
OR(
UPPER(TRIM(rTipo))=""CONTIENE"",
UPPER(TRIM(rTipo))=""COINCIDENCIA""
),
ISNUMBER(SEARCH(UPPER(TRIM(rPatron)),UPPER(TRIM(D834))))
)
)
),
rConc"&amp;"epto,
""""
)
)
),
MAP(
reglas!$B$2:$B$240,
reglas!$C$2:$C$240,
reglas!$D$2:$D$240,
reglas!$E$2:$E$240,
LAMBDA(rEmisor,rPatron,rConcepto,rTipo,
IF(
AND(
OR(
UPPER(TRIM(rEmisor))=UPPER(TRIM(C834)),
UPPER(TRIM(rEmisor))=""CUALQUIERA""
),
OR(
UPPER(TRIM(rTipo"&amp;"))=""SOLO EMISOR"",
AND(
UPPER(TRIM(rTipo))=""EXACTA"",
UPPER(TRIM(D834))=UPPER(TRIM(rPatron))
),
AND(
OR(
UPPER(TRIM(rTipo))=""CONTIENE"",
UPPER(TRIM(rTipo))=""COINCIDENCIA""
),
ISNUMBER(SEARCH(UPPER(TRIM(rPatron)),UPPER(TRIM(D834))))
)
)
),
rConcepto,
"&amp;"""""
)
)
)&lt;&gt;""""
),
1
),
""""
)"),"MANIOBRAS")</f>
        <v>MANIOBRAS</v>
      </c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</row>
    <row r="835">
      <c r="A835" s="32"/>
      <c r="B835" s="32"/>
      <c r="C835" s="29" t="s">
        <v>278</v>
      </c>
      <c r="D835" s="29" t="s">
        <v>1752</v>
      </c>
      <c r="E835" s="28">
        <v>350.0</v>
      </c>
      <c r="F835" s="28">
        <v>0.0</v>
      </c>
      <c r="G835" s="28" t="s">
        <v>250</v>
      </c>
      <c r="H835" s="28">
        <f t="array" ref="H835">INDEX(CC!C:C,MATCH(1,(CC!A:A=G835)*(CC!B:B=I835),0))</f>
        <v>1402</v>
      </c>
      <c r="I835" s="28" t="s">
        <v>25</v>
      </c>
      <c r="J835" s="28">
        <v>350.0</v>
      </c>
      <c r="K835" s="28" t="str">
        <f>IFERROR(__xludf.DUMMYFUNCTION("IFERROR(
INDEX(
FILTER(
MAP(
reglas!$B$2:$B$240,
reglas!$C$2:$C$240,
reglas!$D$2:$D$240,
reglas!$E$2:$E$240,
LAMBDA(rEmisor,rPatron,rConcepto,rTipo,
IF(
AND(
OR(
UPPER(TRIM(rEmisor))=UPPER(TRIM(C835)),
UPPER(TRIM(rEmisor))=""CUALQUIERA""
),
OR(
UPPER(TRIM"&amp;"(rTipo))=""SOLO EMISOR"",
AND(
UPPER(TRIM(rTipo))=""EXACTA"",
UPPER(TRIM(AG835))=UPPER(TRIM(rPatron))
),
AND(
OR(
UPPER(TRIM(rTipo))=""CONTIENE"",
UPPER(TRIM(rTipo))=""COINCIDENCIA""
),
ISNUMBER(SEARCH(UPPER(TRIM(rPatron)),UPPER(TRIM(D835))))
)
)
),
rConc"&amp;"epto,
""""
)
)
),
MAP(
reglas!$B$2:$B$240,
reglas!$C$2:$C$240,
reglas!$D$2:$D$240,
reglas!$E$2:$E$240,
LAMBDA(rEmisor,rPatron,rConcepto,rTipo,
IF(
AND(
OR(
UPPER(TRIM(rEmisor))=UPPER(TRIM(C835)),
UPPER(TRIM(rEmisor))=""CUALQUIERA""
),
OR(
UPPER(TRIM(rTipo"&amp;"))=""SOLO EMISOR"",
AND(
UPPER(TRIM(rTipo))=""EXACTA"",
UPPER(TRIM(D835))=UPPER(TRIM(rPatron))
),
AND(
OR(
UPPER(TRIM(rTipo))=""CONTIENE"",
UPPER(TRIM(rTipo))=""COINCIDENCIA""
),
ISNUMBER(SEARCH(UPPER(TRIM(rPatron)),UPPER(TRIM(D835))))
)
)
),
rConcepto,
"&amp;"""""
)
)
)&lt;&gt;""""
),
1
),
""""
)"),"MANIOBRAS")</f>
        <v>MANIOBRAS</v>
      </c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</row>
    <row r="836">
      <c r="A836" s="28">
        <v>1.0</v>
      </c>
      <c r="B836" s="28" t="s">
        <v>29</v>
      </c>
      <c r="C836" s="29" t="s">
        <v>271</v>
      </c>
      <c r="D836" s="29" t="s">
        <v>585</v>
      </c>
      <c r="E836" s="28">
        <v>623.81</v>
      </c>
      <c r="F836" s="28">
        <v>0.0</v>
      </c>
      <c r="G836" s="28" t="s">
        <v>84</v>
      </c>
      <c r="H836" s="28">
        <f t="array" ref="H836">INDEX(CC!C:C,MATCH(1,(CC!A:A=G836)*(CC!B:B=I836),0))</f>
        <v>1002</v>
      </c>
      <c r="I836" s="28" t="s">
        <v>25</v>
      </c>
      <c r="J836" s="28">
        <v>623.81</v>
      </c>
      <c r="K836" s="28" t="str">
        <f>IFERROR(__xludf.DUMMYFUNCTION("IFERROR(
INDEX(
FILTER(
MAP(
reglas!$B$2:$B$240,
reglas!$C$2:$C$240,
reglas!$D$2:$D$240,
reglas!$E$2:$E$240,
LAMBDA(rEmisor,rPatron,rConcepto,rTipo,
IF(
AND(
OR(
UPPER(TRIM(rEmisor))=UPPER(TRIM(C836)),
UPPER(TRIM(rEmisor))=""CUALQUIERA""
),
OR(
UPPER(TRIM"&amp;"(rTipo))=""SOLO EMISOR"",
AND(
UPPER(TRIM(rTipo))=""EXACTA"",
UPPER(TRIM(AG836))=UPPER(TRIM(rPatron))
),
AND(
OR(
UPPER(TRIM(rTipo))=""CONTIENE"",
UPPER(TRIM(rTipo))=""COINCIDENCIA""
),
ISNUMBER(SEARCH(UPPER(TRIM(rPatron)),UPPER(TRIM(D836))))
)
)
),
rConc"&amp;"epto,
""""
)
)
),
MAP(
reglas!$B$2:$B$240,
reglas!$C$2:$C$240,
reglas!$D$2:$D$240,
reglas!$E$2:$E$240,
LAMBDA(rEmisor,rPatron,rConcepto,rTipo,
IF(
AND(
OR(
UPPER(TRIM(rEmisor))=UPPER(TRIM(C836)),
UPPER(TRIM(rEmisor))=""CUALQUIERA""
),
OR(
UPPER(TRIM(rTipo"&amp;"))=""SOLO EMISOR"",
AND(
UPPER(TRIM(rTipo))=""EXACTA"",
UPPER(TRIM(D836))=UPPER(TRIM(rPatron))
),
AND(
OR(
UPPER(TRIM(rTipo))=""CONTIENE"",
UPPER(TRIM(rTipo))=""COINCIDENCIA""
),
ISNUMBER(SEARCH(UPPER(TRIM(rPatron)),UPPER(TRIM(D836))))
)
)
),
rConcepto,
"&amp;"""""
)
)
)&lt;&gt;""""
),
1
),
""""
)"),"MANIOBRAS")</f>
        <v>MANIOBRAS</v>
      </c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</row>
    <row r="837">
      <c r="A837" s="32"/>
      <c r="B837" s="32"/>
      <c r="C837" s="29" t="s">
        <v>271</v>
      </c>
      <c r="D837" s="29" t="s">
        <v>587</v>
      </c>
      <c r="E837" s="28">
        <v>570.75</v>
      </c>
      <c r="F837" s="28">
        <v>0.0</v>
      </c>
      <c r="G837" s="28" t="s">
        <v>84</v>
      </c>
      <c r="H837" s="28">
        <f t="array" ref="H837">INDEX(CC!C:C,MATCH(1,(CC!A:A=G837)*(CC!B:B=I837),0))</f>
        <v>1002</v>
      </c>
      <c r="I837" s="28" t="s">
        <v>25</v>
      </c>
      <c r="J837" s="28">
        <v>570.75</v>
      </c>
      <c r="K837" s="28" t="str">
        <f>IFERROR(__xludf.DUMMYFUNCTION("IFERROR(
INDEX(
FILTER(
MAP(
reglas!$B$2:$B$240,
reglas!$C$2:$C$240,
reglas!$D$2:$D$240,
reglas!$E$2:$E$240,
LAMBDA(rEmisor,rPatron,rConcepto,rTipo,
IF(
AND(
OR(
UPPER(TRIM(rEmisor))=UPPER(TRIM(C837)),
UPPER(TRIM(rEmisor))=""CUALQUIERA""
),
OR(
UPPER(TRIM"&amp;"(rTipo))=""SOLO EMISOR"",
AND(
UPPER(TRIM(rTipo))=""EXACTA"",
UPPER(TRIM(AG837))=UPPER(TRIM(rPatron))
),
AND(
OR(
UPPER(TRIM(rTipo))=""CONTIENE"",
UPPER(TRIM(rTipo))=""COINCIDENCIA""
),
ISNUMBER(SEARCH(UPPER(TRIM(rPatron)),UPPER(TRIM(D837))))
)
)
),
rConc"&amp;"epto,
""""
)
)
),
MAP(
reglas!$B$2:$B$240,
reglas!$C$2:$C$240,
reglas!$D$2:$D$240,
reglas!$E$2:$E$240,
LAMBDA(rEmisor,rPatron,rConcepto,rTipo,
IF(
AND(
OR(
UPPER(TRIM(rEmisor))=UPPER(TRIM(C837)),
UPPER(TRIM(rEmisor))=""CUALQUIERA""
),
OR(
UPPER(TRIM(rTipo"&amp;"))=""SOLO EMISOR"",
AND(
UPPER(TRIM(rTipo))=""EXACTA"",
UPPER(TRIM(D837))=UPPER(TRIM(rPatron))
),
AND(
OR(
UPPER(TRIM(rTipo))=""CONTIENE"",
UPPER(TRIM(rTipo))=""COINCIDENCIA""
),
ISNUMBER(SEARCH(UPPER(TRIM(rPatron)),UPPER(TRIM(D837))))
)
)
),
rConcepto,
"&amp;"""""
)
)
)&lt;&gt;""""
),
1
),
""""
)"),"MANIOBRAS")</f>
        <v>MANIOBRAS</v>
      </c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</row>
    <row r="838">
      <c r="A838" s="32"/>
      <c r="B838" s="32"/>
      <c r="C838" s="29" t="s">
        <v>271</v>
      </c>
      <c r="D838" s="29" t="s">
        <v>589</v>
      </c>
      <c r="E838" s="28">
        <v>624.15</v>
      </c>
      <c r="F838" s="28">
        <v>0.0</v>
      </c>
      <c r="G838" s="28" t="s">
        <v>84</v>
      </c>
      <c r="H838" s="28">
        <f t="array" ref="H838">INDEX(CC!C:C,MATCH(1,(CC!A:A=G838)*(CC!B:B=I838),0))</f>
        <v>1002</v>
      </c>
      <c r="I838" s="28" t="s">
        <v>25</v>
      </c>
      <c r="J838" s="28">
        <v>624.15</v>
      </c>
      <c r="K838" s="28" t="str">
        <f>IFERROR(__xludf.DUMMYFUNCTION("IFERROR(
INDEX(
FILTER(
MAP(
reglas!$B$2:$B$240,
reglas!$C$2:$C$240,
reglas!$D$2:$D$240,
reglas!$E$2:$E$240,
LAMBDA(rEmisor,rPatron,rConcepto,rTipo,
IF(
AND(
OR(
UPPER(TRIM(rEmisor))=UPPER(TRIM(C838)),
UPPER(TRIM(rEmisor))=""CUALQUIERA""
),
OR(
UPPER(TRIM"&amp;"(rTipo))=""SOLO EMISOR"",
AND(
UPPER(TRIM(rTipo))=""EXACTA"",
UPPER(TRIM(AG838))=UPPER(TRIM(rPatron))
),
AND(
OR(
UPPER(TRIM(rTipo))=""CONTIENE"",
UPPER(TRIM(rTipo))=""COINCIDENCIA""
),
ISNUMBER(SEARCH(UPPER(TRIM(rPatron)),UPPER(TRIM(D838))))
)
)
),
rConc"&amp;"epto,
""""
)
)
),
MAP(
reglas!$B$2:$B$240,
reglas!$C$2:$C$240,
reglas!$D$2:$D$240,
reglas!$E$2:$E$240,
LAMBDA(rEmisor,rPatron,rConcepto,rTipo,
IF(
AND(
OR(
UPPER(TRIM(rEmisor))=UPPER(TRIM(C838)),
UPPER(TRIM(rEmisor))=""CUALQUIERA""
),
OR(
UPPER(TRIM(rTipo"&amp;"))=""SOLO EMISOR"",
AND(
UPPER(TRIM(rTipo))=""EXACTA"",
UPPER(TRIM(D838))=UPPER(TRIM(rPatron))
),
AND(
OR(
UPPER(TRIM(rTipo))=""CONTIENE"",
UPPER(TRIM(rTipo))=""COINCIDENCIA""
),
ISNUMBER(SEARCH(UPPER(TRIM(rPatron)),UPPER(TRIM(D838))))
)
)
),
rConcepto,
"&amp;"""""
)
)
)&lt;&gt;""""
),
1
),
""""
)"),"MANIOBRAS")</f>
        <v>MANIOBRAS</v>
      </c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</row>
    <row r="839">
      <c r="A839" s="32"/>
      <c r="B839" s="32"/>
      <c r="C839" s="29" t="s">
        <v>271</v>
      </c>
      <c r="D839" s="29" t="s">
        <v>596</v>
      </c>
      <c r="E839" s="28">
        <v>654.87</v>
      </c>
      <c r="F839" s="28">
        <v>0.0</v>
      </c>
      <c r="G839" s="28" t="s">
        <v>84</v>
      </c>
      <c r="H839" s="28">
        <f t="array" ref="H839">INDEX(CC!C:C,MATCH(1,(CC!A:A=G839)*(CC!B:B=I839),0))</f>
        <v>1002</v>
      </c>
      <c r="I839" s="28" t="s">
        <v>25</v>
      </c>
      <c r="J839" s="28">
        <v>654.87</v>
      </c>
      <c r="K839" s="28" t="str">
        <f>IFERROR(__xludf.DUMMYFUNCTION("IFERROR(
INDEX(
FILTER(
MAP(
reglas!$B$2:$B$240,
reglas!$C$2:$C$240,
reglas!$D$2:$D$240,
reglas!$E$2:$E$240,
LAMBDA(rEmisor,rPatron,rConcepto,rTipo,
IF(
AND(
OR(
UPPER(TRIM(rEmisor))=UPPER(TRIM(C839)),
UPPER(TRIM(rEmisor))=""CUALQUIERA""
),
OR(
UPPER(TRIM"&amp;"(rTipo))=""SOLO EMISOR"",
AND(
UPPER(TRIM(rTipo))=""EXACTA"",
UPPER(TRIM(AG839))=UPPER(TRIM(rPatron))
),
AND(
OR(
UPPER(TRIM(rTipo))=""CONTIENE"",
UPPER(TRIM(rTipo))=""COINCIDENCIA""
),
ISNUMBER(SEARCH(UPPER(TRIM(rPatron)),UPPER(TRIM(D839))))
)
)
),
rConc"&amp;"epto,
""""
)
)
),
MAP(
reglas!$B$2:$B$240,
reglas!$C$2:$C$240,
reglas!$D$2:$D$240,
reglas!$E$2:$E$240,
LAMBDA(rEmisor,rPatron,rConcepto,rTipo,
IF(
AND(
OR(
UPPER(TRIM(rEmisor))=UPPER(TRIM(C839)),
UPPER(TRIM(rEmisor))=""CUALQUIERA""
),
OR(
UPPER(TRIM(rTipo"&amp;"))=""SOLO EMISOR"",
AND(
UPPER(TRIM(rTipo))=""EXACTA"",
UPPER(TRIM(D839))=UPPER(TRIM(rPatron))
),
AND(
OR(
UPPER(TRIM(rTipo))=""CONTIENE"",
UPPER(TRIM(rTipo))=""COINCIDENCIA""
),
ISNUMBER(SEARCH(UPPER(TRIM(rPatron)),UPPER(TRIM(D839))))
)
)
),
rConcepto,
"&amp;"""""
)
)
)&lt;&gt;""""
),
1
),
""""
)"),"MANIOBRAS")</f>
        <v>MANIOBRAS</v>
      </c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</row>
    <row r="840">
      <c r="A840" s="32"/>
      <c r="B840" s="28" t="s">
        <v>29</v>
      </c>
      <c r="C840" s="29" t="s">
        <v>453</v>
      </c>
      <c r="D840" s="29" t="s">
        <v>454</v>
      </c>
      <c r="E840" s="28">
        <v>207500.0</v>
      </c>
      <c r="F840" s="28">
        <v>0.0</v>
      </c>
      <c r="G840" s="28" t="s">
        <v>225</v>
      </c>
      <c r="H840" s="28">
        <f t="array" ref="H840">INDEX(CC!C:C,MATCH(1,(CC!A:A=G840)*(CC!B:B=I840),0))</f>
        <v>102</v>
      </c>
      <c r="I840" s="28" t="s">
        <v>25</v>
      </c>
      <c r="J840" s="5"/>
      <c r="K840" s="28" t="str">
        <f>IFERROR(__xludf.DUMMYFUNCTION("IFERROR(
INDEX(
FILTER(
MAP(
reglas!$B$2:$B$240,
reglas!$C$2:$C$240,
reglas!$D$2:$D$240,
reglas!$E$2:$E$240,
LAMBDA(rEmisor,rPatron,rConcepto,rTipo,
IF(
AND(
OR(
UPPER(TRIM(rEmisor))=UPPER(TRIM(C840)),
UPPER(TRIM(rEmisor))=""CUALQUIERA""
),
OR(
UPPER(TRIM"&amp;"(rTipo))=""SOLO EMISOR"",
AND(
UPPER(TRIM(rTipo))=""EXACTA"",
UPPER(TRIM(AG840))=UPPER(TRIM(rPatron))
),
AND(
OR(
UPPER(TRIM(rTipo))=""CONTIENE"",
UPPER(TRIM(rTipo))=""COINCIDENCIA""
),
ISNUMBER(SEARCH(UPPER(TRIM(rPatron)),UPPER(TRIM(D840))))
)
)
),
rConc"&amp;"epto,
""""
)
)
),
MAP(
reglas!$B$2:$B$240,
reglas!$C$2:$C$240,
reglas!$D$2:$D$240,
reglas!$E$2:$E$240,
LAMBDA(rEmisor,rPatron,rConcepto,rTipo,
IF(
AND(
OR(
UPPER(TRIM(rEmisor))=UPPER(TRIM(C840)),
UPPER(TRIM(rEmisor))=""CUALQUIERA""
),
OR(
UPPER(TRIM(rTipo"&amp;"))=""SOLO EMISOR"",
AND(
UPPER(TRIM(rTipo))=""EXACTA"",
UPPER(TRIM(D840))=UPPER(TRIM(rPatron))
),
AND(
OR(
UPPER(TRIM(rTipo))=""CONTIENE"",
UPPER(TRIM(rTipo))=""COINCIDENCIA""
),
ISNUMBER(SEARCH(UPPER(TRIM(rPatron)),UPPER(TRIM(D840))))
)
)
),
rConcepto,
"&amp;"""""
)
)
)&lt;&gt;""""
),
1
),
""""
)"),"OTRAS ASESORIAS")</f>
        <v>OTRAS ASESORIAS</v>
      </c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</row>
    <row r="841">
      <c r="A841" s="32"/>
      <c r="B841" s="28" t="s">
        <v>29</v>
      </c>
      <c r="C841" s="29" t="s">
        <v>278</v>
      </c>
      <c r="D841" s="29" t="s">
        <v>1697</v>
      </c>
      <c r="E841" s="28">
        <v>500.0</v>
      </c>
      <c r="F841" s="28">
        <v>0.0</v>
      </c>
      <c r="G841" s="28" t="s">
        <v>250</v>
      </c>
      <c r="H841" s="28">
        <f t="array" ref="H841">INDEX(CC!C:C,MATCH(1,(CC!A:A=G841)*(CC!B:B=I841),0))</f>
        <v>1402</v>
      </c>
      <c r="I841" s="28" t="s">
        <v>25</v>
      </c>
      <c r="J841" s="28">
        <v>500.0</v>
      </c>
      <c r="K841" s="28" t="str">
        <f>IFERROR(__xludf.DUMMYFUNCTION("IFERROR(
INDEX(
FILTER(
MAP(
reglas!$B$2:$B$240,
reglas!$C$2:$C$240,
reglas!$D$2:$D$240,
reglas!$E$2:$E$240,
LAMBDA(rEmisor,rPatron,rConcepto,rTipo,
IF(
AND(
OR(
UPPER(TRIM(rEmisor))=UPPER(TRIM(C841)),
UPPER(TRIM(rEmisor))=""CUALQUIERA""
),
OR(
UPPER(TRIM"&amp;"(rTipo))=""SOLO EMISOR"",
AND(
UPPER(TRIM(rTipo))=""EXACTA"",
UPPER(TRIM(AG841))=UPPER(TRIM(rPatron))
),
AND(
OR(
UPPER(TRIM(rTipo))=""CONTIENE"",
UPPER(TRIM(rTipo))=""COINCIDENCIA""
),
ISNUMBER(SEARCH(UPPER(TRIM(rPatron)),UPPER(TRIM(D841))))
)
)
),
rConc"&amp;"epto,
""""
)
)
),
MAP(
reglas!$B$2:$B$240,
reglas!$C$2:$C$240,
reglas!$D$2:$D$240,
reglas!$E$2:$E$240,
LAMBDA(rEmisor,rPatron,rConcepto,rTipo,
IF(
AND(
OR(
UPPER(TRIM(rEmisor))=UPPER(TRIM(C841)),
UPPER(TRIM(rEmisor))=""CUALQUIERA""
),
OR(
UPPER(TRIM(rTipo"&amp;"))=""SOLO EMISOR"",
AND(
UPPER(TRIM(rTipo))=""EXACTA"",
UPPER(TRIM(D841))=UPPER(TRIM(rPatron))
),
AND(
OR(
UPPER(TRIM(rTipo))=""CONTIENE"",
UPPER(TRIM(rTipo))=""COINCIDENCIA""
),
ISNUMBER(SEARCH(UPPER(TRIM(rPatron)),UPPER(TRIM(D841))))
)
)
),
rConcepto,
"&amp;"""""
)
)
)&lt;&gt;""""
),
1
),
""""
)"),"MANIOBRAS")</f>
        <v>MANIOBRAS</v>
      </c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</row>
    <row r="842">
      <c r="A842" s="32"/>
      <c r="B842" s="32"/>
      <c r="C842" s="29" t="s">
        <v>278</v>
      </c>
      <c r="D842" s="29" t="s">
        <v>1752</v>
      </c>
      <c r="E842" s="28">
        <v>350.0</v>
      </c>
      <c r="F842" s="28">
        <v>0.0</v>
      </c>
      <c r="G842" s="28" t="s">
        <v>250</v>
      </c>
      <c r="H842" s="28">
        <f t="array" ref="H842">INDEX(CC!C:C,MATCH(1,(CC!A:A=G842)*(CC!B:B=I842),0))</f>
        <v>1402</v>
      </c>
      <c r="I842" s="28" t="s">
        <v>25</v>
      </c>
      <c r="J842" s="28">
        <v>350.0</v>
      </c>
      <c r="K842" s="28" t="str">
        <f>IFERROR(__xludf.DUMMYFUNCTION("IFERROR(
INDEX(
FILTER(
MAP(
reglas!$B$2:$B$240,
reglas!$C$2:$C$240,
reglas!$D$2:$D$240,
reglas!$E$2:$E$240,
LAMBDA(rEmisor,rPatron,rConcepto,rTipo,
IF(
AND(
OR(
UPPER(TRIM(rEmisor))=UPPER(TRIM(C842)),
UPPER(TRIM(rEmisor))=""CUALQUIERA""
),
OR(
UPPER(TRIM"&amp;"(rTipo))=""SOLO EMISOR"",
AND(
UPPER(TRIM(rTipo))=""EXACTA"",
UPPER(TRIM(AG842))=UPPER(TRIM(rPatron))
),
AND(
OR(
UPPER(TRIM(rTipo))=""CONTIENE"",
UPPER(TRIM(rTipo))=""COINCIDENCIA""
),
ISNUMBER(SEARCH(UPPER(TRIM(rPatron)),UPPER(TRIM(D842))))
)
)
),
rConc"&amp;"epto,
""""
)
)
),
MAP(
reglas!$B$2:$B$240,
reglas!$C$2:$C$240,
reglas!$D$2:$D$240,
reglas!$E$2:$E$240,
LAMBDA(rEmisor,rPatron,rConcepto,rTipo,
IF(
AND(
OR(
UPPER(TRIM(rEmisor))=UPPER(TRIM(C842)),
UPPER(TRIM(rEmisor))=""CUALQUIERA""
),
OR(
UPPER(TRIM(rTipo"&amp;"))=""SOLO EMISOR"",
AND(
UPPER(TRIM(rTipo))=""EXACTA"",
UPPER(TRIM(D842))=UPPER(TRIM(rPatron))
),
AND(
OR(
UPPER(TRIM(rTipo))=""CONTIENE"",
UPPER(TRIM(rTipo))=""COINCIDENCIA""
),
ISNUMBER(SEARCH(UPPER(TRIM(rPatron)),UPPER(TRIM(D842))))
)
)
),
rConcepto,
"&amp;"""""
)
)
)&lt;&gt;""""
),
1
),
""""
)"),"MANIOBRAS")</f>
        <v>MANIOBRAS</v>
      </c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</row>
    <row r="843">
      <c r="A843" s="32"/>
      <c r="B843" s="28" t="s">
        <v>29</v>
      </c>
      <c r="C843" s="29" t="s">
        <v>331</v>
      </c>
      <c r="D843" s="29" t="s">
        <v>33</v>
      </c>
      <c r="E843" s="28">
        <v>0.01</v>
      </c>
      <c r="F843" s="28">
        <v>0.0</v>
      </c>
      <c r="G843" s="28" t="s">
        <v>385</v>
      </c>
      <c r="H843" s="28">
        <f t="array" ref="H843">INDEX(CC!C:C,MATCH(1,(CC!A:A=G843)*(CC!B:B=I843),0))</f>
        <v>502</v>
      </c>
      <c r="I843" s="28" t="s">
        <v>25</v>
      </c>
      <c r="J843" s="28">
        <v>0.01</v>
      </c>
      <c r="K843" s="28" t="str">
        <f>IFERROR(__xludf.DUMMYFUNCTION("IFERROR(
INDEX(
FILTER(
MAP(
reglas!$B$2:$B$240,
reglas!$C$2:$C$240,
reglas!$D$2:$D$240,
reglas!$E$2:$E$240,
LAMBDA(rEmisor,rPatron,rConcepto,rTipo,
IF(
AND(
OR(
UPPER(TRIM(rEmisor))=UPPER(TRIM(C843)),
UPPER(TRIM(rEmisor))=""CUALQUIERA""
),
OR(
UPPER(TRIM"&amp;"(rTipo))=""SOLO EMISOR"",
AND(
UPPER(TRIM(rTipo))=""EXACTA"",
UPPER(TRIM(AG843))=UPPER(TRIM(rPatron))
),
AND(
OR(
UPPER(TRIM(rTipo))=""CONTIENE"",
UPPER(TRIM(rTipo))=""COINCIDENCIA""
),
ISNUMBER(SEARCH(UPPER(TRIM(rPatron)),UPPER(TRIM(D843))))
)
)
),
rConc"&amp;"epto,
""""
)
)
),
MAP(
reglas!$B$2:$B$240,
reglas!$C$2:$C$240,
reglas!$D$2:$D$240,
reglas!$E$2:$E$240,
LAMBDA(rEmisor,rPatron,rConcepto,rTipo,
IF(
AND(
OR(
UPPER(TRIM(rEmisor))=UPPER(TRIM(C843)),
UPPER(TRIM(rEmisor))=""CUALQUIERA""
),
OR(
UPPER(TRIM(rTipo"&amp;"))=""SOLO EMISOR"",
AND(
UPPER(TRIM(rTipo))=""EXACTA"",
UPPER(TRIM(D843))=UPPER(TRIM(rPatron))
),
AND(
OR(
UPPER(TRIM(rTipo))=""CONTIENE"",
UPPER(TRIM(rTipo))=""COINCIDENCIA""
),
ISNUMBER(SEARCH(UPPER(TRIM(rPatron)),UPPER(TRIM(D843))))
)
)
),
rConcepto,
"&amp;"""""
)
)
)&lt;&gt;""""
),
1
),
""""
)"),"N/A")</f>
        <v>N/A</v>
      </c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</row>
    <row r="844">
      <c r="A844" s="32"/>
      <c r="B844" s="28" t="s">
        <v>29</v>
      </c>
      <c r="C844" s="29" t="s">
        <v>331</v>
      </c>
      <c r="D844" s="29" t="s">
        <v>33</v>
      </c>
      <c r="E844" s="28">
        <v>0.01</v>
      </c>
      <c r="F844" s="28">
        <v>0.0</v>
      </c>
      <c r="G844" s="28" t="s">
        <v>385</v>
      </c>
      <c r="H844" s="28">
        <f t="array" ref="H844">INDEX(CC!C:C,MATCH(1,(CC!A:A=G844)*(CC!B:B=I844),0))</f>
        <v>502</v>
      </c>
      <c r="I844" s="28" t="s">
        <v>25</v>
      </c>
      <c r="J844" s="28">
        <v>0.01</v>
      </c>
      <c r="K844" s="28" t="str">
        <f>IFERROR(__xludf.DUMMYFUNCTION("IFERROR(
INDEX(
FILTER(
MAP(
reglas!$B$2:$B$240,
reglas!$C$2:$C$240,
reglas!$D$2:$D$240,
reglas!$E$2:$E$240,
LAMBDA(rEmisor,rPatron,rConcepto,rTipo,
IF(
AND(
OR(
UPPER(TRIM(rEmisor))=UPPER(TRIM(C844)),
UPPER(TRIM(rEmisor))=""CUALQUIERA""
),
OR(
UPPER(TRIM"&amp;"(rTipo))=""SOLO EMISOR"",
AND(
UPPER(TRIM(rTipo))=""EXACTA"",
UPPER(TRIM(AG844))=UPPER(TRIM(rPatron))
),
AND(
OR(
UPPER(TRIM(rTipo))=""CONTIENE"",
UPPER(TRIM(rTipo))=""COINCIDENCIA""
),
ISNUMBER(SEARCH(UPPER(TRIM(rPatron)),UPPER(TRIM(D844))))
)
)
),
rConc"&amp;"epto,
""""
)
)
),
MAP(
reglas!$B$2:$B$240,
reglas!$C$2:$C$240,
reglas!$D$2:$D$240,
reglas!$E$2:$E$240,
LAMBDA(rEmisor,rPatron,rConcepto,rTipo,
IF(
AND(
OR(
UPPER(TRIM(rEmisor))=UPPER(TRIM(C844)),
UPPER(TRIM(rEmisor))=""CUALQUIERA""
),
OR(
UPPER(TRIM(rTipo"&amp;"))=""SOLO EMISOR"",
AND(
UPPER(TRIM(rTipo))=""EXACTA"",
UPPER(TRIM(D844))=UPPER(TRIM(rPatron))
),
AND(
OR(
UPPER(TRIM(rTipo))=""CONTIENE"",
UPPER(TRIM(rTipo))=""COINCIDENCIA""
),
ISNUMBER(SEARCH(UPPER(TRIM(rPatron)),UPPER(TRIM(D844))))
)
)
),
rConcepto,
"&amp;"""""
)
)
)&lt;&gt;""""
),
1
),
""""
)"),"N/A")</f>
        <v>N/A</v>
      </c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</row>
    <row r="845">
      <c r="A845" s="32"/>
      <c r="B845" s="28" t="s">
        <v>29</v>
      </c>
      <c r="C845" s="29" t="s">
        <v>455</v>
      </c>
      <c r="D845" s="29" t="s">
        <v>1753</v>
      </c>
      <c r="E845" s="28">
        <v>14943.27</v>
      </c>
      <c r="F845" s="28">
        <v>0.27</v>
      </c>
      <c r="G845" s="28" t="s">
        <v>225</v>
      </c>
      <c r="H845" s="28">
        <f t="array" ref="H845">INDEX(CC!C:C,MATCH(1,(CC!A:A=G845)*(CC!B:B=I845),0))</f>
        <v>102</v>
      </c>
      <c r="I845" s="28" t="s">
        <v>25</v>
      </c>
      <c r="J845" s="5"/>
      <c r="K845" s="28" t="str">
        <f>IFERROR(__xludf.DUMMYFUNCTION("IFERROR(
INDEX(
FILTER(
MAP(
reglas!$B$2:$B$240,
reglas!$C$2:$C$240,
reglas!$D$2:$D$240,
reglas!$E$2:$E$240,
LAMBDA(rEmisor,rPatron,rConcepto,rTipo,
IF(
AND(
OR(
UPPER(TRIM(rEmisor))=UPPER(TRIM(C845)),
UPPER(TRIM(rEmisor))=""CUALQUIERA""
),
OR(
UPPER(TRIM"&amp;"(rTipo))=""SOLO EMISOR"",
AND(
UPPER(TRIM(rTipo))=""EXACTA"",
UPPER(TRIM(AG845))=UPPER(TRIM(rPatron))
),
AND(
OR(
UPPER(TRIM(rTipo))=""CONTIENE"",
UPPER(TRIM(rTipo))=""COINCIDENCIA""
),
ISNUMBER(SEARCH(UPPER(TRIM(rPatron)),UPPER(TRIM(D845))))
)
)
),
rConc"&amp;"epto,
""""
)
)
),
MAP(
reglas!$B$2:$B$240,
reglas!$C$2:$C$240,
reglas!$D$2:$D$240,
reglas!$E$2:$E$240,
LAMBDA(rEmisor,rPatron,rConcepto,rTipo,
IF(
AND(
OR(
UPPER(TRIM(rEmisor))=UPPER(TRIM(C845)),
UPPER(TRIM(rEmisor))=""CUALQUIERA""
),
OR(
UPPER(TRIM(rTipo"&amp;"))=""SOLO EMISOR"",
AND(
UPPER(TRIM(rTipo))=""EXACTA"",
UPPER(TRIM(D845))=UPPER(TRIM(rPatron))
),
AND(
OR(
UPPER(TRIM(rTipo))=""CONTIENE"",
UPPER(TRIM(rTipo))=""COINCIDENCIA""
),
ISNUMBER(SEARCH(UPPER(TRIM(rPatron)),UPPER(TRIM(D845))))
)
)
),
rConcepto,
"&amp;"""""
)
)
)&lt;&gt;""""
),
1
),
""""
)"),"N/A")</f>
        <v>N/A</v>
      </c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</row>
    <row r="846">
      <c r="A846" s="28">
        <v>1.0</v>
      </c>
      <c r="B846" s="28" t="s">
        <v>29</v>
      </c>
      <c r="C846" s="29" t="s">
        <v>271</v>
      </c>
      <c r="D846" s="29" t="s">
        <v>585</v>
      </c>
      <c r="E846" s="28">
        <v>623.81</v>
      </c>
      <c r="F846" s="28">
        <v>0.0</v>
      </c>
      <c r="G846" s="28" t="s">
        <v>84</v>
      </c>
      <c r="H846" s="28">
        <f t="array" ref="H846">INDEX(CC!C:C,MATCH(1,(CC!A:A=G846)*(CC!B:B=I846),0))</f>
        <v>1002</v>
      </c>
      <c r="I846" s="28" t="s">
        <v>25</v>
      </c>
      <c r="J846" s="28">
        <v>623.81</v>
      </c>
      <c r="K846" s="28" t="str">
        <f>IFERROR(__xludf.DUMMYFUNCTION("IFERROR(
INDEX(
FILTER(
MAP(
reglas!$B$2:$B$240,
reglas!$C$2:$C$240,
reglas!$D$2:$D$240,
reglas!$E$2:$E$240,
LAMBDA(rEmisor,rPatron,rConcepto,rTipo,
IF(
AND(
OR(
UPPER(TRIM(rEmisor))=UPPER(TRIM(C846)),
UPPER(TRIM(rEmisor))=""CUALQUIERA""
),
OR(
UPPER(TRIM"&amp;"(rTipo))=""SOLO EMISOR"",
AND(
UPPER(TRIM(rTipo))=""EXACTA"",
UPPER(TRIM(AG846))=UPPER(TRIM(rPatron))
),
AND(
OR(
UPPER(TRIM(rTipo))=""CONTIENE"",
UPPER(TRIM(rTipo))=""COINCIDENCIA""
),
ISNUMBER(SEARCH(UPPER(TRIM(rPatron)),UPPER(TRIM(D846))))
)
)
),
rConc"&amp;"epto,
""""
)
)
),
MAP(
reglas!$B$2:$B$240,
reglas!$C$2:$C$240,
reglas!$D$2:$D$240,
reglas!$E$2:$E$240,
LAMBDA(rEmisor,rPatron,rConcepto,rTipo,
IF(
AND(
OR(
UPPER(TRIM(rEmisor))=UPPER(TRIM(C846)),
UPPER(TRIM(rEmisor))=""CUALQUIERA""
),
OR(
UPPER(TRIM(rTipo"&amp;"))=""SOLO EMISOR"",
AND(
UPPER(TRIM(rTipo))=""EXACTA"",
UPPER(TRIM(D846))=UPPER(TRIM(rPatron))
),
AND(
OR(
UPPER(TRIM(rTipo))=""CONTIENE"",
UPPER(TRIM(rTipo))=""COINCIDENCIA""
),
ISNUMBER(SEARCH(UPPER(TRIM(rPatron)),UPPER(TRIM(D846))))
)
)
),
rConcepto,
"&amp;"""""
)
)
)&lt;&gt;""""
),
1
),
""""
)"),"MANIOBRAS")</f>
        <v>MANIOBRAS</v>
      </c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</row>
    <row r="847">
      <c r="A847" s="32"/>
      <c r="B847" s="32"/>
      <c r="C847" s="29" t="s">
        <v>271</v>
      </c>
      <c r="D847" s="29" t="s">
        <v>587</v>
      </c>
      <c r="E847" s="28">
        <v>570.75</v>
      </c>
      <c r="F847" s="28">
        <v>0.0</v>
      </c>
      <c r="G847" s="28" t="s">
        <v>84</v>
      </c>
      <c r="H847" s="28">
        <f t="array" ref="H847">INDEX(CC!C:C,MATCH(1,(CC!A:A=G847)*(CC!B:B=I847),0))</f>
        <v>1002</v>
      </c>
      <c r="I847" s="28" t="s">
        <v>25</v>
      </c>
      <c r="J847" s="28">
        <v>570.75</v>
      </c>
      <c r="K847" s="28" t="str">
        <f>IFERROR(__xludf.DUMMYFUNCTION("IFERROR(
INDEX(
FILTER(
MAP(
reglas!$B$2:$B$240,
reglas!$C$2:$C$240,
reglas!$D$2:$D$240,
reglas!$E$2:$E$240,
LAMBDA(rEmisor,rPatron,rConcepto,rTipo,
IF(
AND(
OR(
UPPER(TRIM(rEmisor))=UPPER(TRIM(C847)),
UPPER(TRIM(rEmisor))=""CUALQUIERA""
),
OR(
UPPER(TRIM"&amp;"(rTipo))=""SOLO EMISOR"",
AND(
UPPER(TRIM(rTipo))=""EXACTA"",
UPPER(TRIM(AG847))=UPPER(TRIM(rPatron))
),
AND(
OR(
UPPER(TRIM(rTipo))=""CONTIENE"",
UPPER(TRIM(rTipo))=""COINCIDENCIA""
),
ISNUMBER(SEARCH(UPPER(TRIM(rPatron)),UPPER(TRIM(D847))))
)
)
),
rConc"&amp;"epto,
""""
)
)
),
MAP(
reglas!$B$2:$B$240,
reglas!$C$2:$C$240,
reglas!$D$2:$D$240,
reglas!$E$2:$E$240,
LAMBDA(rEmisor,rPatron,rConcepto,rTipo,
IF(
AND(
OR(
UPPER(TRIM(rEmisor))=UPPER(TRIM(C847)),
UPPER(TRIM(rEmisor))=""CUALQUIERA""
),
OR(
UPPER(TRIM(rTipo"&amp;"))=""SOLO EMISOR"",
AND(
UPPER(TRIM(rTipo))=""EXACTA"",
UPPER(TRIM(D847))=UPPER(TRIM(rPatron))
),
AND(
OR(
UPPER(TRIM(rTipo))=""CONTIENE"",
UPPER(TRIM(rTipo))=""COINCIDENCIA""
),
ISNUMBER(SEARCH(UPPER(TRIM(rPatron)),UPPER(TRIM(D847))))
)
)
),
rConcepto,
"&amp;"""""
)
)
)&lt;&gt;""""
),
1
),
""""
)"),"MANIOBRAS")</f>
        <v>MANIOBRAS</v>
      </c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</row>
    <row r="848">
      <c r="A848" s="32"/>
      <c r="B848" s="32"/>
      <c r="C848" s="29" t="s">
        <v>271</v>
      </c>
      <c r="D848" s="29" t="s">
        <v>589</v>
      </c>
      <c r="E848" s="28">
        <v>624.15</v>
      </c>
      <c r="F848" s="28">
        <v>0.0</v>
      </c>
      <c r="G848" s="28" t="s">
        <v>84</v>
      </c>
      <c r="H848" s="28">
        <f t="array" ref="H848">INDEX(CC!C:C,MATCH(1,(CC!A:A=G848)*(CC!B:B=I848),0))</f>
        <v>1002</v>
      </c>
      <c r="I848" s="28" t="s">
        <v>25</v>
      </c>
      <c r="J848" s="28">
        <v>624.15</v>
      </c>
      <c r="K848" s="28" t="str">
        <f>IFERROR(__xludf.DUMMYFUNCTION("IFERROR(
INDEX(
FILTER(
MAP(
reglas!$B$2:$B$240,
reglas!$C$2:$C$240,
reglas!$D$2:$D$240,
reglas!$E$2:$E$240,
LAMBDA(rEmisor,rPatron,rConcepto,rTipo,
IF(
AND(
OR(
UPPER(TRIM(rEmisor))=UPPER(TRIM(C848)),
UPPER(TRIM(rEmisor))=""CUALQUIERA""
),
OR(
UPPER(TRIM"&amp;"(rTipo))=""SOLO EMISOR"",
AND(
UPPER(TRIM(rTipo))=""EXACTA"",
UPPER(TRIM(AG848))=UPPER(TRIM(rPatron))
),
AND(
OR(
UPPER(TRIM(rTipo))=""CONTIENE"",
UPPER(TRIM(rTipo))=""COINCIDENCIA""
),
ISNUMBER(SEARCH(UPPER(TRIM(rPatron)),UPPER(TRIM(D848))))
)
)
),
rConc"&amp;"epto,
""""
)
)
),
MAP(
reglas!$B$2:$B$240,
reglas!$C$2:$C$240,
reglas!$D$2:$D$240,
reglas!$E$2:$E$240,
LAMBDA(rEmisor,rPatron,rConcepto,rTipo,
IF(
AND(
OR(
UPPER(TRIM(rEmisor))=UPPER(TRIM(C848)),
UPPER(TRIM(rEmisor))=""CUALQUIERA""
),
OR(
UPPER(TRIM(rTipo"&amp;"))=""SOLO EMISOR"",
AND(
UPPER(TRIM(rTipo))=""EXACTA"",
UPPER(TRIM(D848))=UPPER(TRIM(rPatron))
),
AND(
OR(
UPPER(TRIM(rTipo))=""CONTIENE"",
UPPER(TRIM(rTipo))=""COINCIDENCIA""
),
ISNUMBER(SEARCH(UPPER(TRIM(rPatron)),UPPER(TRIM(D848))))
)
)
),
rConcepto,
"&amp;"""""
)
)
)&lt;&gt;""""
),
1
),
""""
)"),"MANIOBRAS")</f>
        <v>MANIOBRAS</v>
      </c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</row>
    <row r="849">
      <c r="A849" s="32"/>
      <c r="B849" s="32"/>
      <c r="C849" s="29" t="s">
        <v>271</v>
      </c>
      <c r="D849" s="29" t="s">
        <v>596</v>
      </c>
      <c r="E849" s="28">
        <v>654.87</v>
      </c>
      <c r="F849" s="28">
        <v>0.0</v>
      </c>
      <c r="G849" s="28" t="s">
        <v>84</v>
      </c>
      <c r="H849" s="28">
        <f t="array" ref="H849">INDEX(CC!C:C,MATCH(1,(CC!A:A=G849)*(CC!B:B=I849),0))</f>
        <v>1002</v>
      </c>
      <c r="I849" s="28" t="s">
        <v>25</v>
      </c>
      <c r="J849" s="28">
        <v>654.87</v>
      </c>
      <c r="K849" s="28" t="str">
        <f>IFERROR(__xludf.DUMMYFUNCTION("IFERROR(
INDEX(
FILTER(
MAP(
reglas!$B$2:$B$240,
reglas!$C$2:$C$240,
reglas!$D$2:$D$240,
reglas!$E$2:$E$240,
LAMBDA(rEmisor,rPatron,rConcepto,rTipo,
IF(
AND(
OR(
UPPER(TRIM(rEmisor))=UPPER(TRIM(C849)),
UPPER(TRIM(rEmisor))=""CUALQUIERA""
),
OR(
UPPER(TRIM"&amp;"(rTipo))=""SOLO EMISOR"",
AND(
UPPER(TRIM(rTipo))=""EXACTA"",
UPPER(TRIM(AG849))=UPPER(TRIM(rPatron))
),
AND(
OR(
UPPER(TRIM(rTipo))=""CONTIENE"",
UPPER(TRIM(rTipo))=""COINCIDENCIA""
),
ISNUMBER(SEARCH(UPPER(TRIM(rPatron)),UPPER(TRIM(D849))))
)
)
),
rConc"&amp;"epto,
""""
)
)
),
MAP(
reglas!$B$2:$B$240,
reglas!$C$2:$C$240,
reglas!$D$2:$D$240,
reglas!$E$2:$E$240,
LAMBDA(rEmisor,rPatron,rConcepto,rTipo,
IF(
AND(
OR(
UPPER(TRIM(rEmisor))=UPPER(TRIM(C849)),
UPPER(TRIM(rEmisor))=""CUALQUIERA""
),
OR(
UPPER(TRIM(rTipo"&amp;"))=""SOLO EMISOR"",
AND(
UPPER(TRIM(rTipo))=""EXACTA"",
UPPER(TRIM(D849))=UPPER(TRIM(rPatron))
),
AND(
OR(
UPPER(TRIM(rTipo))=""CONTIENE"",
UPPER(TRIM(rTipo))=""COINCIDENCIA""
),
ISNUMBER(SEARCH(UPPER(TRIM(rPatron)),UPPER(TRIM(D849))))
)
)
),
rConcepto,
"&amp;"""""
)
)
)&lt;&gt;""""
),
1
),
""""
)"),"MANIOBRAS")</f>
        <v>MANIOBRAS</v>
      </c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</row>
    <row r="850">
      <c r="A850" s="32"/>
      <c r="B850" s="28" t="s">
        <v>29</v>
      </c>
      <c r="C850" s="29" t="s">
        <v>172</v>
      </c>
      <c r="D850" s="29" t="s">
        <v>1754</v>
      </c>
      <c r="E850" s="28">
        <v>11500.0</v>
      </c>
      <c r="F850" s="28">
        <v>0.0</v>
      </c>
      <c r="G850" s="28" t="s">
        <v>250</v>
      </c>
      <c r="H850" s="28">
        <f t="array" ref="H850">INDEX(CC!C:C,MATCH(1,(CC!A:A=G850)*(CC!B:B=I850),0))</f>
        <v>1402</v>
      </c>
      <c r="I850" s="28" t="s">
        <v>25</v>
      </c>
      <c r="J850" s="28">
        <v>11500.0</v>
      </c>
      <c r="K850" s="28" t="str">
        <f>IFERROR(__xludf.DUMMYFUNCTION("IFERROR(
INDEX(
FILTER(
MAP(
reglas!$B$2:$B$240,
reglas!$C$2:$C$240,
reglas!$D$2:$D$240,
reglas!$E$2:$E$240,
LAMBDA(rEmisor,rPatron,rConcepto,rTipo,
IF(
AND(
OR(
UPPER(TRIM(rEmisor))=UPPER(TRIM(C850)),
UPPER(TRIM(rEmisor))=""CUALQUIERA""
),
OR(
UPPER(TRIM"&amp;"(rTipo))=""SOLO EMISOR"",
AND(
UPPER(TRIM(rTipo))=""EXACTA"",
UPPER(TRIM(AG850))=UPPER(TRIM(rPatron))
),
AND(
OR(
UPPER(TRIM(rTipo))=""CONTIENE"",
UPPER(TRIM(rTipo))=""COINCIDENCIA""
),
ISNUMBER(SEARCH(UPPER(TRIM(rPatron)),UPPER(TRIM(D850))))
)
)
),
rConc"&amp;"epto,
""""
)
)
),
MAP(
reglas!$B$2:$B$240,
reglas!$C$2:$C$240,
reglas!$D$2:$D$240,
reglas!$E$2:$E$240,
LAMBDA(rEmisor,rPatron,rConcepto,rTipo,
IF(
AND(
OR(
UPPER(TRIM(rEmisor))=UPPER(TRIM(C850)),
UPPER(TRIM(rEmisor))=""CUALQUIERA""
),
OR(
UPPER(TRIM(rTipo"&amp;"))=""SOLO EMISOR"",
AND(
UPPER(TRIM(rTipo))=""EXACTA"",
UPPER(TRIM(D850))=UPPER(TRIM(rPatron))
),
AND(
OR(
UPPER(TRIM(rTipo))=""CONTIENE"",
UPPER(TRIM(rTipo))=""COINCIDENCIA""
),
ISNUMBER(SEARCH(UPPER(TRIM(rPatron)),UPPER(TRIM(D850))))
)
)
),
rConcepto,
"&amp;"""""
)
)
)&lt;&gt;""""
),
1
),
""""
)"),"TRANSPORTE")</f>
        <v>TRANSPORTE</v>
      </c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</row>
    <row r="851">
      <c r="A851" s="32"/>
      <c r="B851" s="28" t="s">
        <v>29</v>
      </c>
      <c r="C851" s="29" t="s">
        <v>172</v>
      </c>
      <c r="D851" s="29" t="s">
        <v>1755</v>
      </c>
      <c r="E851" s="28">
        <v>11500.0</v>
      </c>
      <c r="F851" s="28">
        <v>0.0</v>
      </c>
      <c r="G851" s="28" t="s">
        <v>250</v>
      </c>
      <c r="H851" s="28">
        <f t="array" ref="H851">INDEX(CC!C:C,MATCH(1,(CC!A:A=G851)*(CC!B:B=I851),0))</f>
        <v>1402</v>
      </c>
      <c r="I851" s="28" t="s">
        <v>25</v>
      </c>
      <c r="J851" s="28">
        <v>11500.0</v>
      </c>
      <c r="K851" s="28" t="str">
        <f>IFERROR(__xludf.DUMMYFUNCTION("IFERROR(
INDEX(
FILTER(
MAP(
reglas!$B$2:$B$240,
reglas!$C$2:$C$240,
reglas!$D$2:$D$240,
reglas!$E$2:$E$240,
LAMBDA(rEmisor,rPatron,rConcepto,rTipo,
IF(
AND(
OR(
UPPER(TRIM(rEmisor))=UPPER(TRIM(C851)),
UPPER(TRIM(rEmisor))=""CUALQUIERA""
),
OR(
UPPER(TRIM"&amp;"(rTipo))=""SOLO EMISOR"",
AND(
UPPER(TRIM(rTipo))=""EXACTA"",
UPPER(TRIM(AG851))=UPPER(TRIM(rPatron))
),
AND(
OR(
UPPER(TRIM(rTipo))=""CONTIENE"",
UPPER(TRIM(rTipo))=""COINCIDENCIA""
),
ISNUMBER(SEARCH(UPPER(TRIM(rPatron)),UPPER(TRIM(D851))))
)
)
),
rConc"&amp;"epto,
""""
)
)
),
MAP(
reglas!$B$2:$B$240,
reglas!$C$2:$C$240,
reglas!$D$2:$D$240,
reglas!$E$2:$E$240,
LAMBDA(rEmisor,rPatron,rConcepto,rTipo,
IF(
AND(
OR(
UPPER(TRIM(rEmisor))=UPPER(TRIM(C851)),
UPPER(TRIM(rEmisor))=""CUALQUIERA""
),
OR(
UPPER(TRIM(rTipo"&amp;"))=""SOLO EMISOR"",
AND(
UPPER(TRIM(rTipo))=""EXACTA"",
UPPER(TRIM(D851))=UPPER(TRIM(rPatron))
),
AND(
OR(
UPPER(TRIM(rTipo))=""CONTIENE"",
UPPER(TRIM(rTipo))=""COINCIDENCIA""
),
ISNUMBER(SEARCH(UPPER(TRIM(rPatron)),UPPER(TRIM(D851))))
)
)
),
rConcepto,
"&amp;"""""
)
)
)&lt;&gt;""""
),
1
),
""""
)"),"TRANSPORTE")</f>
        <v>TRANSPORTE</v>
      </c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</row>
    <row r="852">
      <c r="A852" s="28">
        <v>1.0</v>
      </c>
      <c r="B852" s="28" t="s">
        <v>29</v>
      </c>
      <c r="C852" s="29" t="s">
        <v>89</v>
      </c>
      <c r="D852" s="29" t="s">
        <v>91</v>
      </c>
      <c r="E852" s="28">
        <v>1283.04</v>
      </c>
      <c r="F852" s="28">
        <v>0.0</v>
      </c>
      <c r="G852" s="28" t="s">
        <v>601</v>
      </c>
      <c r="H852" s="28">
        <f t="array" ref="H852">INDEX(CC!C:C,MATCH(1,(CC!A:A=G852)*(CC!B:B=I852),0))</f>
        <v>402</v>
      </c>
      <c r="I852" s="28" t="s">
        <v>25</v>
      </c>
      <c r="J852" s="28">
        <v>1283.04</v>
      </c>
      <c r="K852" s="28" t="str">
        <f>IFERROR(__xludf.DUMMYFUNCTION("IFERROR(
INDEX(
FILTER(
MAP(
reglas!$B$2:$B$240,
reglas!$C$2:$C$240,
reglas!$D$2:$D$240,
reglas!$E$2:$E$240,
LAMBDA(rEmisor,rPatron,rConcepto,rTipo,
IF(
AND(
OR(
UPPER(TRIM(rEmisor))=UPPER(TRIM(C852)),
UPPER(TRIM(rEmisor))=""CUALQUIERA""
),
OR(
UPPER(TRIM"&amp;"(rTipo))=""SOLO EMISOR"",
AND(
UPPER(TRIM(rTipo))=""EXACTA"",
UPPER(TRIM(AG852))=UPPER(TRIM(rPatron))
),
AND(
OR(
UPPER(TRIM(rTipo))=""CONTIENE"",
UPPER(TRIM(rTipo))=""COINCIDENCIA""
),
ISNUMBER(SEARCH(UPPER(TRIM(rPatron)),UPPER(TRIM(D852))))
)
)
),
rConc"&amp;"epto,
""""
)
)
),
MAP(
reglas!$B$2:$B$240,
reglas!$C$2:$C$240,
reglas!$D$2:$D$240,
reglas!$E$2:$E$240,
LAMBDA(rEmisor,rPatron,rConcepto,rTipo,
IF(
AND(
OR(
UPPER(TRIM(rEmisor))=UPPER(TRIM(C852)),
UPPER(TRIM(rEmisor))=""CUALQUIERA""
),
OR(
UPPER(TRIM(rTipo"&amp;"))=""SOLO EMISOR"",
AND(
UPPER(TRIM(rTipo))=""EXACTA"",
UPPER(TRIM(D852))=UPPER(TRIM(rPatron))
),
AND(
OR(
UPPER(TRIM(rTipo))=""CONTIENE"",
UPPER(TRIM(rTipo))=""COINCIDENCIA""
),
ISNUMBER(SEARCH(UPPER(TRIM(rPatron)),UPPER(TRIM(D852))))
)
)
),
rConcepto,
"&amp;"""""
)
)
)&lt;&gt;""""
),
1
),
""""
)"),"MANIOBRAS")</f>
        <v>MANIOBRAS</v>
      </c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</row>
    <row r="853">
      <c r="A853" s="32"/>
      <c r="B853" s="28" t="s">
        <v>29</v>
      </c>
      <c r="C853" s="29" t="s">
        <v>172</v>
      </c>
      <c r="D853" s="29" t="s">
        <v>1754</v>
      </c>
      <c r="E853" s="28">
        <v>11500.0</v>
      </c>
      <c r="F853" s="28">
        <v>0.0</v>
      </c>
      <c r="G853" s="28" t="s">
        <v>250</v>
      </c>
      <c r="H853" s="28">
        <f t="array" ref="H853">INDEX(CC!C:C,MATCH(1,(CC!A:A=G853)*(CC!B:B=I853),0))</f>
        <v>1402</v>
      </c>
      <c r="I853" s="28" t="s">
        <v>25</v>
      </c>
      <c r="J853" s="28">
        <v>11500.0</v>
      </c>
      <c r="K853" s="28" t="str">
        <f>IFERROR(__xludf.DUMMYFUNCTION("IFERROR(
INDEX(
FILTER(
MAP(
reglas!$B$2:$B$240,
reglas!$C$2:$C$240,
reglas!$D$2:$D$240,
reglas!$E$2:$E$240,
LAMBDA(rEmisor,rPatron,rConcepto,rTipo,
IF(
AND(
OR(
UPPER(TRIM(rEmisor))=UPPER(TRIM(C853)),
UPPER(TRIM(rEmisor))=""CUALQUIERA""
),
OR(
UPPER(TRIM"&amp;"(rTipo))=""SOLO EMISOR"",
AND(
UPPER(TRIM(rTipo))=""EXACTA"",
UPPER(TRIM(AG853))=UPPER(TRIM(rPatron))
),
AND(
OR(
UPPER(TRIM(rTipo))=""CONTIENE"",
UPPER(TRIM(rTipo))=""COINCIDENCIA""
),
ISNUMBER(SEARCH(UPPER(TRIM(rPatron)),UPPER(TRIM(D853))))
)
)
),
rConc"&amp;"epto,
""""
)
)
),
MAP(
reglas!$B$2:$B$240,
reglas!$C$2:$C$240,
reglas!$D$2:$D$240,
reglas!$E$2:$E$240,
LAMBDA(rEmisor,rPatron,rConcepto,rTipo,
IF(
AND(
OR(
UPPER(TRIM(rEmisor))=UPPER(TRIM(C853)),
UPPER(TRIM(rEmisor))=""CUALQUIERA""
),
OR(
UPPER(TRIM(rTipo"&amp;"))=""SOLO EMISOR"",
AND(
UPPER(TRIM(rTipo))=""EXACTA"",
UPPER(TRIM(D853))=UPPER(TRIM(rPatron))
),
AND(
OR(
UPPER(TRIM(rTipo))=""CONTIENE"",
UPPER(TRIM(rTipo))=""COINCIDENCIA""
),
ISNUMBER(SEARCH(UPPER(TRIM(rPatron)),UPPER(TRIM(D853))))
)
)
),
rConcepto,
"&amp;"""""
)
)
)&lt;&gt;""""
),
1
),
""""
)"),"TRANSPORTE")</f>
        <v>TRANSPORTE</v>
      </c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</row>
    <row r="854">
      <c r="A854" s="28">
        <v>1.0</v>
      </c>
      <c r="B854" s="28" t="s">
        <v>29</v>
      </c>
      <c r="C854" s="29" t="s">
        <v>89</v>
      </c>
      <c r="D854" s="29" t="s">
        <v>91</v>
      </c>
      <c r="E854" s="28">
        <v>1283.04</v>
      </c>
      <c r="F854" s="28">
        <v>0.0</v>
      </c>
      <c r="G854" s="28" t="s">
        <v>601</v>
      </c>
      <c r="H854" s="28">
        <f t="array" ref="H854">INDEX(CC!C:C,MATCH(1,(CC!A:A=G854)*(CC!B:B=I854),0))</f>
        <v>402</v>
      </c>
      <c r="I854" s="28" t="s">
        <v>25</v>
      </c>
      <c r="J854" s="28">
        <v>1283.04</v>
      </c>
      <c r="K854" s="28" t="str">
        <f>IFERROR(__xludf.DUMMYFUNCTION("IFERROR(
INDEX(
FILTER(
MAP(
reglas!$B$2:$B$240,
reglas!$C$2:$C$240,
reglas!$D$2:$D$240,
reglas!$E$2:$E$240,
LAMBDA(rEmisor,rPatron,rConcepto,rTipo,
IF(
AND(
OR(
UPPER(TRIM(rEmisor))=UPPER(TRIM(C854)),
UPPER(TRIM(rEmisor))=""CUALQUIERA""
),
OR(
UPPER(TRIM"&amp;"(rTipo))=""SOLO EMISOR"",
AND(
UPPER(TRIM(rTipo))=""EXACTA"",
UPPER(TRIM(AG854))=UPPER(TRIM(rPatron))
),
AND(
OR(
UPPER(TRIM(rTipo))=""CONTIENE"",
UPPER(TRIM(rTipo))=""COINCIDENCIA""
),
ISNUMBER(SEARCH(UPPER(TRIM(rPatron)),UPPER(TRIM(D854))))
)
)
),
rConc"&amp;"epto,
""""
)
)
),
MAP(
reglas!$B$2:$B$240,
reglas!$C$2:$C$240,
reglas!$D$2:$D$240,
reglas!$E$2:$E$240,
LAMBDA(rEmisor,rPatron,rConcepto,rTipo,
IF(
AND(
OR(
UPPER(TRIM(rEmisor))=UPPER(TRIM(C854)),
UPPER(TRIM(rEmisor))=""CUALQUIERA""
),
OR(
UPPER(TRIM(rTipo"&amp;"))=""SOLO EMISOR"",
AND(
UPPER(TRIM(rTipo))=""EXACTA"",
UPPER(TRIM(D854))=UPPER(TRIM(rPatron))
),
AND(
OR(
UPPER(TRIM(rTipo))=""CONTIENE"",
UPPER(TRIM(rTipo))=""COINCIDENCIA""
),
ISNUMBER(SEARCH(UPPER(TRIM(rPatron)),UPPER(TRIM(D854))))
)
)
),
rConcepto,
"&amp;"""""
)
)
)&lt;&gt;""""
),
1
),
""""
)"),"MANIOBRAS")</f>
        <v>MANIOBRAS</v>
      </c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</row>
    <row r="855">
      <c r="A855" s="32"/>
      <c r="B855" s="28" t="s">
        <v>29</v>
      </c>
      <c r="C855" s="29" t="s">
        <v>278</v>
      </c>
      <c r="D855" s="29" t="s">
        <v>560</v>
      </c>
      <c r="E855" s="28">
        <v>3500.0</v>
      </c>
      <c r="F855" s="28">
        <v>0.0</v>
      </c>
      <c r="G855" s="28" t="s">
        <v>250</v>
      </c>
      <c r="H855" s="28">
        <f t="array" ref="H855">INDEX(CC!C:C,MATCH(1,(CC!A:A=G855)*(CC!B:B=I855),0))</f>
        <v>1402</v>
      </c>
      <c r="I855" s="28" t="s">
        <v>25</v>
      </c>
      <c r="J855" s="96">
        <v>3500.0</v>
      </c>
      <c r="K855" s="28" t="str">
        <f>IFERROR(__xludf.DUMMYFUNCTION("IFERROR(
INDEX(
FILTER(
MAP(
reglas!$B$2:$B$240,
reglas!$C$2:$C$240,
reglas!$D$2:$D$240,
reglas!$E$2:$E$240,
LAMBDA(rEmisor,rPatron,rConcepto,rTipo,
IF(
AND(
OR(
UPPER(TRIM(rEmisor))=UPPER(TRIM(C855)),
UPPER(TRIM(rEmisor))=""CUALQUIERA""
),
OR(
UPPER(TRIM"&amp;"(rTipo))=""SOLO EMISOR"",
AND(
UPPER(TRIM(rTipo))=""EXACTA"",
UPPER(TRIM(AG855))=UPPER(TRIM(rPatron))
),
AND(
OR(
UPPER(TRIM(rTipo))=""CONTIENE"",
UPPER(TRIM(rTipo))=""COINCIDENCIA""
),
ISNUMBER(SEARCH(UPPER(TRIM(rPatron)),UPPER(TRIM(D855))))
)
)
),
rConc"&amp;"epto,
""""
)
)
),
MAP(
reglas!$B$2:$B$240,
reglas!$C$2:$C$240,
reglas!$D$2:$D$240,
reglas!$E$2:$E$240,
LAMBDA(rEmisor,rPatron,rConcepto,rTipo,
IF(
AND(
OR(
UPPER(TRIM(rEmisor))=UPPER(TRIM(C855)),
UPPER(TRIM(rEmisor))=""CUALQUIERA""
),
OR(
UPPER(TRIM(rTipo"&amp;"))=""SOLO EMISOR"",
AND(
UPPER(TRIM(rTipo))=""EXACTA"",
UPPER(TRIM(D855))=UPPER(TRIM(rPatron))
),
AND(
OR(
UPPER(TRIM(rTipo))=""CONTIENE"",
UPPER(TRIM(rTipo))=""COINCIDENCIA""
),
ISNUMBER(SEARCH(UPPER(TRIM(rPatron)),UPPER(TRIM(D855))))
)
)
),
rConcepto,
"&amp;"""""
)
)
)&lt;&gt;""""
),
1
),
""""
)"),"MANIOBRAS")</f>
        <v>MANIOBRAS</v>
      </c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</row>
    <row r="856">
      <c r="A856" s="32"/>
      <c r="B856" s="28" t="s">
        <v>29</v>
      </c>
      <c r="C856" s="29" t="s">
        <v>278</v>
      </c>
      <c r="D856" s="29" t="s">
        <v>560</v>
      </c>
      <c r="E856" s="28">
        <v>3500.0</v>
      </c>
      <c r="F856" s="28">
        <v>0.0</v>
      </c>
      <c r="G856" s="28" t="s">
        <v>250</v>
      </c>
      <c r="H856" s="28">
        <f t="array" ref="H856">INDEX(CC!C:C,MATCH(1,(CC!A:A=G856)*(CC!B:B=I856),0))</f>
        <v>1402</v>
      </c>
      <c r="I856" s="28" t="s">
        <v>25</v>
      </c>
      <c r="J856" s="96">
        <v>3500.0</v>
      </c>
      <c r="K856" s="28" t="str">
        <f>IFERROR(__xludf.DUMMYFUNCTION("IFERROR(
INDEX(
FILTER(
MAP(
reglas!$B$2:$B$240,
reglas!$C$2:$C$240,
reglas!$D$2:$D$240,
reglas!$E$2:$E$240,
LAMBDA(rEmisor,rPatron,rConcepto,rTipo,
IF(
AND(
OR(
UPPER(TRIM(rEmisor))=UPPER(TRIM(C856)),
UPPER(TRIM(rEmisor))=""CUALQUIERA""
),
OR(
UPPER(TRIM"&amp;"(rTipo))=""SOLO EMISOR"",
AND(
UPPER(TRIM(rTipo))=""EXACTA"",
UPPER(TRIM(AG856))=UPPER(TRIM(rPatron))
),
AND(
OR(
UPPER(TRIM(rTipo))=""CONTIENE"",
UPPER(TRIM(rTipo))=""COINCIDENCIA""
),
ISNUMBER(SEARCH(UPPER(TRIM(rPatron)),UPPER(TRIM(D856))))
)
)
),
rConc"&amp;"epto,
""""
)
)
),
MAP(
reglas!$B$2:$B$240,
reglas!$C$2:$C$240,
reglas!$D$2:$D$240,
reglas!$E$2:$E$240,
LAMBDA(rEmisor,rPatron,rConcepto,rTipo,
IF(
AND(
OR(
UPPER(TRIM(rEmisor))=UPPER(TRIM(C856)),
UPPER(TRIM(rEmisor))=""CUALQUIERA""
),
OR(
UPPER(TRIM(rTipo"&amp;"))=""SOLO EMISOR"",
AND(
UPPER(TRIM(rTipo))=""EXACTA"",
UPPER(TRIM(D856))=UPPER(TRIM(rPatron))
),
AND(
OR(
UPPER(TRIM(rTipo))=""CONTIENE"",
UPPER(TRIM(rTipo))=""COINCIDENCIA""
),
ISNUMBER(SEARCH(UPPER(TRIM(rPatron)),UPPER(TRIM(D856))))
)
)
),
rConcepto,
"&amp;"""""
)
)
)&lt;&gt;""""
),
1
),
""""
)"),"MANIOBRAS")</f>
        <v>MANIOBRAS</v>
      </c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</row>
    <row r="857">
      <c r="A857" s="28">
        <v>1.0</v>
      </c>
      <c r="B857" s="28" t="s">
        <v>29</v>
      </c>
      <c r="C857" s="29" t="s">
        <v>271</v>
      </c>
      <c r="D857" s="29" t="s">
        <v>585</v>
      </c>
      <c r="E857" s="28">
        <v>623.81</v>
      </c>
      <c r="F857" s="28">
        <v>0.0</v>
      </c>
      <c r="G857" s="28" t="s">
        <v>84</v>
      </c>
      <c r="H857" s="28">
        <f t="array" ref="H857">INDEX(CC!C:C,MATCH(1,(CC!A:A=G857)*(CC!B:B=I857),0))</f>
        <v>1002</v>
      </c>
      <c r="I857" s="28" t="s">
        <v>25</v>
      </c>
      <c r="J857" s="28">
        <v>623.81</v>
      </c>
      <c r="K857" s="28" t="str">
        <f>IFERROR(__xludf.DUMMYFUNCTION("IFERROR(
INDEX(
FILTER(
MAP(
reglas!$B$2:$B$240,
reglas!$C$2:$C$240,
reglas!$D$2:$D$240,
reglas!$E$2:$E$240,
LAMBDA(rEmisor,rPatron,rConcepto,rTipo,
IF(
AND(
OR(
UPPER(TRIM(rEmisor))=UPPER(TRIM(C857)),
UPPER(TRIM(rEmisor))=""CUALQUIERA""
),
OR(
UPPER(TRIM"&amp;"(rTipo))=""SOLO EMISOR"",
AND(
UPPER(TRIM(rTipo))=""EXACTA"",
UPPER(TRIM(AG857))=UPPER(TRIM(rPatron))
),
AND(
OR(
UPPER(TRIM(rTipo))=""CONTIENE"",
UPPER(TRIM(rTipo))=""COINCIDENCIA""
),
ISNUMBER(SEARCH(UPPER(TRIM(rPatron)),UPPER(TRIM(D857))))
)
)
),
rConc"&amp;"epto,
""""
)
)
),
MAP(
reglas!$B$2:$B$240,
reglas!$C$2:$C$240,
reglas!$D$2:$D$240,
reglas!$E$2:$E$240,
LAMBDA(rEmisor,rPatron,rConcepto,rTipo,
IF(
AND(
OR(
UPPER(TRIM(rEmisor))=UPPER(TRIM(C857)),
UPPER(TRIM(rEmisor))=""CUALQUIERA""
),
OR(
UPPER(TRIM(rTipo"&amp;"))=""SOLO EMISOR"",
AND(
UPPER(TRIM(rTipo))=""EXACTA"",
UPPER(TRIM(D857))=UPPER(TRIM(rPatron))
),
AND(
OR(
UPPER(TRIM(rTipo))=""CONTIENE"",
UPPER(TRIM(rTipo))=""COINCIDENCIA""
),
ISNUMBER(SEARCH(UPPER(TRIM(rPatron)),UPPER(TRIM(D857))))
)
)
),
rConcepto,
"&amp;"""""
)
)
)&lt;&gt;""""
),
1
),
""""
)"),"MANIOBRAS")</f>
        <v>MANIOBRAS</v>
      </c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</row>
    <row r="858">
      <c r="A858" s="32"/>
      <c r="B858" s="32"/>
      <c r="C858" s="29" t="s">
        <v>271</v>
      </c>
      <c r="D858" s="29" t="s">
        <v>587</v>
      </c>
      <c r="E858" s="28">
        <v>570.75</v>
      </c>
      <c r="F858" s="28">
        <v>0.0</v>
      </c>
      <c r="G858" s="28" t="s">
        <v>84</v>
      </c>
      <c r="H858" s="28">
        <f t="array" ref="H858">INDEX(CC!C:C,MATCH(1,(CC!A:A=G858)*(CC!B:B=I858),0))</f>
        <v>1002</v>
      </c>
      <c r="I858" s="28" t="s">
        <v>25</v>
      </c>
      <c r="J858" s="28">
        <v>570.75</v>
      </c>
      <c r="K858" s="28" t="str">
        <f>IFERROR(__xludf.DUMMYFUNCTION("IFERROR(
INDEX(
FILTER(
MAP(
reglas!$B$2:$B$240,
reglas!$C$2:$C$240,
reglas!$D$2:$D$240,
reglas!$E$2:$E$240,
LAMBDA(rEmisor,rPatron,rConcepto,rTipo,
IF(
AND(
OR(
UPPER(TRIM(rEmisor))=UPPER(TRIM(C858)),
UPPER(TRIM(rEmisor))=""CUALQUIERA""
),
OR(
UPPER(TRIM"&amp;"(rTipo))=""SOLO EMISOR"",
AND(
UPPER(TRIM(rTipo))=""EXACTA"",
UPPER(TRIM(AG858))=UPPER(TRIM(rPatron))
),
AND(
OR(
UPPER(TRIM(rTipo))=""CONTIENE"",
UPPER(TRIM(rTipo))=""COINCIDENCIA""
),
ISNUMBER(SEARCH(UPPER(TRIM(rPatron)),UPPER(TRIM(D858))))
)
)
),
rConc"&amp;"epto,
""""
)
)
),
MAP(
reglas!$B$2:$B$240,
reglas!$C$2:$C$240,
reglas!$D$2:$D$240,
reglas!$E$2:$E$240,
LAMBDA(rEmisor,rPatron,rConcepto,rTipo,
IF(
AND(
OR(
UPPER(TRIM(rEmisor))=UPPER(TRIM(C858)),
UPPER(TRIM(rEmisor))=""CUALQUIERA""
),
OR(
UPPER(TRIM(rTipo"&amp;"))=""SOLO EMISOR"",
AND(
UPPER(TRIM(rTipo))=""EXACTA"",
UPPER(TRIM(D858))=UPPER(TRIM(rPatron))
),
AND(
OR(
UPPER(TRIM(rTipo))=""CONTIENE"",
UPPER(TRIM(rTipo))=""COINCIDENCIA""
),
ISNUMBER(SEARCH(UPPER(TRIM(rPatron)),UPPER(TRIM(D858))))
)
)
),
rConcepto,
"&amp;"""""
)
)
)&lt;&gt;""""
),
1
),
""""
)"),"MANIOBRAS")</f>
        <v>MANIOBRAS</v>
      </c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</row>
    <row r="859">
      <c r="A859" s="32"/>
      <c r="B859" s="32"/>
      <c r="C859" s="29" t="s">
        <v>271</v>
      </c>
      <c r="D859" s="29" t="s">
        <v>589</v>
      </c>
      <c r="E859" s="28">
        <v>624.15</v>
      </c>
      <c r="F859" s="28">
        <v>0.0</v>
      </c>
      <c r="G859" s="28" t="s">
        <v>84</v>
      </c>
      <c r="H859" s="28">
        <f t="array" ref="H859">INDEX(CC!C:C,MATCH(1,(CC!A:A=G859)*(CC!B:B=I859),0))</f>
        <v>1002</v>
      </c>
      <c r="I859" s="28" t="s">
        <v>25</v>
      </c>
      <c r="J859" s="28">
        <v>624.15</v>
      </c>
      <c r="K859" s="28" t="str">
        <f>IFERROR(__xludf.DUMMYFUNCTION("IFERROR(
INDEX(
FILTER(
MAP(
reglas!$B$2:$B$240,
reglas!$C$2:$C$240,
reglas!$D$2:$D$240,
reglas!$E$2:$E$240,
LAMBDA(rEmisor,rPatron,rConcepto,rTipo,
IF(
AND(
OR(
UPPER(TRIM(rEmisor))=UPPER(TRIM(C859)),
UPPER(TRIM(rEmisor))=""CUALQUIERA""
),
OR(
UPPER(TRIM"&amp;"(rTipo))=""SOLO EMISOR"",
AND(
UPPER(TRIM(rTipo))=""EXACTA"",
UPPER(TRIM(AG859))=UPPER(TRIM(rPatron))
),
AND(
OR(
UPPER(TRIM(rTipo))=""CONTIENE"",
UPPER(TRIM(rTipo))=""COINCIDENCIA""
),
ISNUMBER(SEARCH(UPPER(TRIM(rPatron)),UPPER(TRIM(D859))))
)
)
),
rConc"&amp;"epto,
""""
)
)
),
MAP(
reglas!$B$2:$B$240,
reglas!$C$2:$C$240,
reglas!$D$2:$D$240,
reglas!$E$2:$E$240,
LAMBDA(rEmisor,rPatron,rConcepto,rTipo,
IF(
AND(
OR(
UPPER(TRIM(rEmisor))=UPPER(TRIM(C859)),
UPPER(TRIM(rEmisor))=""CUALQUIERA""
),
OR(
UPPER(TRIM(rTipo"&amp;"))=""SOLO EMISOR"",
AND(
UPPER(TRIM(rTipo))=""EXACTA"",
UPPER(TRIM(D859))=UPPER(TRIM(rPatron))
),
AND(
OR(
UPPER(TRIM(rTipo))=""CONTIENE"",
UPPER(TRIM(rTipo))=""COINCIDENCIA""
),
ISNUMBER(SEARCH(UPPER(TRIM(rPatron)),UPPER(TRIM(D859))))
)
)
),
rConcepto,
"&amp;"""""
)
)
)&lt;&gt;""""
),
1
),
""""
)"),"MANIOBRAS")</f>
        <v>MANIOBRAS</v>
      </c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</row>
    <row r="860">
      <c r="A860" s="32"/>
      <c r="B860" s="32"/>
      <c r="C860" s="29" t="s">
        <v>271</v>
      </c>
      <c r="D860" s="29" t="s">
        <v>596</v>
      </c>
      <c r="E860" s="28">
        <v>654.87</v>
      </c>
      <c r="F860" s="28">
        <v>0.0</v>
      </c>
      <c r="G860" s="28" t="s">
        <v>84</v>
      </c>
      <c r="H860" s="28">
        <f t="array" ref="H860">INDEX(CC!C:C,MATCH(1,(CC!A:A=G860)*(CC!B:B=I860),0))</f>
        <v>1002</v>
      </c>
      <c r="I860" s="28" t="s">
        <v>25</v>
      </c>
      <c r="J860" s="28">
        <v>654.87</v>
      </c>
      <c r="K860" s="28" t="str">
        <f>IFERROR(__xludf.DUMMYFUNCTION("IFERROR(
INDEX(
FILTER(
MAP(
reglas!$B$2:$B$240,
reglas!$C$2:$C$240,
reglas!$D$2:$D$240,
reglas!$E$2:$E$240,
LAMBDA(rEmisor,rPatron,rConcepto,rTipo,
IF(
AND(
OR(
UPPER(TRIM(rEmisor))=UPPER(TRIM(C860)),
UPPER(TRIM(rEmisor))=""CUALQUIERA""
),
OR(
UPPER(TRIM"&amp;"(rTipo))=""SOLO EMISOR"",
AND(
UPPER(TRIM(rTipo))=""EXACTA"",
UPPER(TRIM(AG860))=UPPER(TRIM(rPatron))
),
AND(
OR(
UPPER(TRIM(rTipo))=""CONTIENE"",
UPPER(TRIM(rTipo))=""COINCIDENCIA""
),
ISNUMBER(SEARCH(UPPER(TRIM(rPatron)),UPPER(TRIM(D860))))
)
)
),
rConc"&amp;"epto,
""""
)
)
),
MAP(
reglas!$B$2:$B$240,
reglas!$C$2:$C$240,
reglas!$D$2:$D$240,
reglas!$E$2:$E$240,
LAMBDA(rEmisor,rPatron,rConcepto,rTipo,
IF(
AND(
OR(
UPPER(TRIM(rEmisor))=UPPER(TRIM(C860)),
UPPER(TRIM(rEmisor))=""CUALQUIERA""
),
OR(
UPPER(TRIM(rTipo"&amp;"))=""SOLO EMISOR"",
AND(
UPPER(TRIM(rTipo))=""EXACTA"",
UPPER(TRIM(D860))=UPPER(TRIM(rPatron))
),
AND(
OR(
UPPER(TRIM(rTipo))=""CONTIENE"",
UPPER(TRIM(rTipo))=""COINCIDENCIA""
),
ISNUMBER(SEARCH(UPPER(TRIM(rPatron)),UPPER(TRIM(D860))))
)
)
),
rConcepto,
"&amp;"""""
)
)
)&lt;&gt;""""
),
1
),
""""
)"),"MANIOBRAS")</f>
        <v>MANIOBRAS</v>
      </c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</row>
    <row r="861">
      <c r="A861" s="32"/>
      <c r="B861" s="28" t="s">
        <v>29</v>
      </c>
      <c r="C861" s="29" t="s">
        <v>172</v>
      </c>
      <c r="D861" s="29" t="s">
        <v>1754</v>
      </c>
      <c r="E861" s="28">
        <v>11500.0</v>
      </c>
      <c r="F861" s="28">
        <v>0.0</v>
      </c>
      <c r="G861" s="28" t="s">
        <v>250</v>
      </c>
      <c r="H861" s="28">
        <f t="array" ref="H861">INDEX(CC!C:C,MATCH(1,(CC!A:A=G861)*(CC!B:B=I861),0))</f>
        <v>1402</v>
      </c>
      <c r="I861" s="28" t="s">
        <v>25</v>
      </c>
      <c r="J861" s="28">
        <v>11500.0</v>
      </c>
      <c r="K861" s="28" t="str">
        <f>IFERROR(__xludf.DUMMYFUNCTION("IFERROR(
INDEX(
FILTER(
MAP(
reglas!$B$2:$B$240,
reglas!$C$2:$C$240,
reglas!$D$2:$D$240,
reglas!$E$2:$E$240,
LAMBDA(rEmisor,rPatron,rConcepto,rTipo,
IF(
AND(
OR(
UPPER(TRIM(rEmisor))=UPPER(TRIM(C861)),
UPPER(TRIM(rEmisor))=""CUALQUIERA""
),
OR(
UPPER(TRIM"&amp;"(rTipo))=""SOLO EMISOR"",
AND(
UPPER(TRIM(rTipo))=""EXACTA"",
UPPER(TRIM(AG861))=UPPER(TRIM(rPatron))
),
AND(
OR(
UPPER(TRIM(rTipo))=""CONTIENE"",
UPPER(TRIM(rTipo))=""COINCIDENCIA""
),
ISNUMBER(SEARCH(UPPER(TRIM(rPatron)),UPPER(TRIM(D861))))
)
)
),
rConc"&amp;"epto,
""""
)
)
),
MAP(
reglas!$B$2:$B$240,
reglas!$C$2:$C$240,
reglas!$D$2:$D$240,
reglas!$E$2:$E$240,
LAMBDA(rEmisor,rPatron,rConcepto,rTipo,
IF(
AND(
OR(
UPPER(TRIM(rEmisor))=UPPER(TRIM(C861)),
UPPER(TRIM(rEmisor))=""CUALQUIERA""
),
OR(
UPPER(TRIM(rTipo"&amp;"))=""SOLO EMISOR"",
AND(
UPPER(TRIM(rTipo))=""EXACTA"",
UPPER(TRIM(D861))=UPPER(TRIM(rPatron))
),
AND(
OR(
UPPER(TRIM(rTipo))=""CONTIENE"",
UPPER(TRIM(rTipo))=""COINCIDENCIA""
),
ISNUMBER(SEARCH(UPPER(TRIM(rPatron)),UPPER(TRIM(D861))))
)
)
),
rConcepto,
"&amp;"""""
)
)
)&lt;&gt;""""
),
1
),
""""
)"),"TRANSPORTE")</f>
        <v>TRANSPORTE</v>
      </c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</row>
    <row r="862">
      <c r="A862" s="32"/>
      <c r="B862" s="28" t="s">
        <v>29</v>
      </c>
      <c r="C862" s="29" t="s">
        <v>1756</v>
      </c>
      <c r="D862" s="29" t="s">
        <v>1757</v>
      </c>
      <c r="E862" s="28">
        <v>458.88</v>
      </c>
      <c r="F862" s="28">
        <v>0.0</v>
      </c>
      <c r="G862" s="28" t="s">
        <v>250</v>
      </c>
      <c r="H862" s="28">
        <f t="array" ref="H862">INDEX(CC!C:C,MATCH(1,(CC!A:A=G862)*(CC!B:B=I862),0))</f>
        <v>1402</v>
      </c>
      <c r="I862" s="28" t="s">
        <v>25</v>
      </c>
      <c r="J862" s="28">
        <v>458.88</v>
      </c>
      <c r="K862" s="28" t="str">
        <f>IFERROR(__xludf.DUMMYFUNCTION("IFERROR(
INDEX(
FILTER(
MAP(
reglas!$B$2:$B$240,
reglas!$C$2:$C$240,
reglas!$D$2:$D$240,
reglas!$E$2:$E$240,
LAMBDA(rEmisor,rPatron,rConcepto,rTipo,
IF(
AND(
OR(
UPPER(TRIM(rEmisor))=UPPER(TRIM(C862)),
UPPER(TRIM(rEmisor))=""CUALQUIERA""
),
OR(
UPPER(TRIM"&amp;"(rTipo))=""SOLO EMISOR"",
AND(
UPPER(TRIM(rTipo))=""EXACTA"",
UPPER(TRIM(AG862))=UPPER(TRIM(rPatron))
),
AND(
OR(
UPPER(TRIM(rTipo))=""CONTIENE"",
UPPER(TRIM(rTipo))=""COINCIDENCIA""
),
ISNUMBER(SEARCH(UPPER(TRIM(rPatron)),UPPER(TRIM(D862))))
)
)
),
rConc"&amp;"epto,
""""
)
)
),
MAP(
reglas!$B$2:$B$240,
reglas!$C$2:$C$240,
reglas!$D$2:$D$240,
reglas!$E$2:$E$240,
LAMBDA(rEmisor,rPatron,rConcepto,rTipo,
IF(
AND(
OR(
UPPER(TRIM(rEmisor))=UPPER(TRIM(C862)),
UPPER(TRIM(rEmisor))=""CUALQUIERA""
),
OR(
UPPER(TRIM(rTipo"&amp;"))=""SOLO EMISOR"",
AND(
UPPER(TRIM(rTipo))=""EXACTA"",
UPPER(TRIM(D862))=UPPER(TRIM(rPatron))
),
AND(
OR(
UPPER(TRIM(rTipo))=""CONTIENE"",
UPPER(TRIM(rTipo))=""COINCIDENCIA""
),
ISNUMBER(SEARCH(UPPER(TRIM(rPatron)),UPPER(TRIM(D862))))
)
)
),
rConcepto,
"&amp;"""""
)
)
)&lt;&gt;""""
),
1
),
""""
)"),"UNIFORMES")</f>
        <v>UNIFORMES</v>
      </c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</row>
    <row r="863">
      <c r="A863" s="32"/>
      <c r="B863" s="32"/>
      <c r="C863" s="29" t="s">
        <v>1756</v>
      </c>
      <c r="D863" s="29" t="s">
        <v>1758</v>
      </c>
      <c r="E863" s="28">
        <v>2731.47</v>
      </c>
      <c r="F863" s="28">
        <v>0.0</v>
      </c>
      <c r="G863" s="28" t="s">
        <v>250</v>
      </c>
      <c r="H863" s="28">
        <f t="array" ref="H863">INDEX(CC!C:C,MATCH(1,(CC!A:A=G863)*(CC!B:B=I863),0))</f>
        <v>1402</v>
      </c>
      <c r="I863" s="28" t="s">
        <v>25</v>
      </c>
      <c r="J863" s="28">
        <v>2731.47</v>
      </c>
      <c r="K863" s="28" t="str">
        <f>IFERROR(__xludf.DUMMYFUNCTION("IFERROR(
INDEX(
FILTER(
MAP(
reglas!$B$2:$B$240,
reglas!$C$2:$C$240,
reglas!$D$2:$D$240,
reglas!$E$2:$E$240,
LAMBDA(rEmisor,rPatron,rConcepto,rTipo,
IF(
AND(
OR(
UPPER(TRIM(rEmisor))=UPPER(TRIM(C863)),
UPPER(TRIM(rEmisor))=""CUALQUIERA""
),
OR(
UPPER(TRIM"&amp;"(rTipo))=""SOLO EMISOR"",
AND(
UPPER(TRIM(rTipo))=""EXACTA"",
UPPER(TRIM(AG863))=UPPER(TRIM(rPatron))
),
AND(
OR(
UPPER(TRIM(rTipo))=""CONTIENE"",
UPPER(TRIM(rTipo))=""COINCIDENCIA""
),
ISNUMBER(SEARCH(UPPER(TRIM(rPatron)),UPPER(TRIM(D863))))
)
)
),
rConc"&amp;"epto,
""""
)
)
),
MAP(
reglas!$B$2:$B$240,
reglas!$C$2:$C$240,
reglas!$D$2:$D$240,
reglas!$E$2:$E$240,
LAMBDA(rEmisor,rPatron,rConcepto,rTipo,
IF(
AND(
OR(
UPPER(TRIM(rEmisor))=UPPER(TRIM(C863)),
UPPER(TRIM(rEmisor))=""CUALQUIERA""
),
OR(
UPPER(TRIM(rTipo"&amp;"))=""SOLO EMISOR"",
AND(
UPPER(TRIM(rTipo))=""EXACTA"",
UPPER(TRIM(D863))=UPPER(TRIM(rPatron))
),
AND(
OR(
UPPER(TRIM(rTipo))=""CONTIENE"",
UPPER(TRIM(rTipo))=""COINCIDENCIA""
),
ISNUMBER(SEARCH(UPPER(TRIM(rPatron)),UPPER(TRIM(D863))))
)
)
),
rConcepto,
"&amp;"""""
)
)
)&lt;&gt;""""
),
1
),
""""
)"),"UNIFORMES")</f>
        <v>UNIFORMES</v>
      </c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</row>
    <row r="864">
      <c r="A864" s="32"/>
      <c r="B864" s="28" t="s">
        <v>29</v>
      </c>
      <c r="C864" s="29" t="s">
        <v>172</v>
      </c>
      <c r="D864" s="29" t="s">
        <v>1759</v>
      </c>
      <c r="E864" s="28">
        <v>11500.0</v>
      </c>
      <c r="F864" s="28">
        <v>0.0</v>
      </c>
      <c r="G864" s="28" t="s">
        <v>250</v>
      </c>
      <c r="H864" s="28">
        <f t="array" ref="H864">INDEX(CC!C:C,MATCH(1,(CC!A:A=G864)*(CC!B:B=I864),0))</f>
        <v>1402</v>
      </c>
      <c r="I864" s="28" t="s">
        <v>25</v>
      </c>
      <c r="J864" s="28">
        <v>11500.0</v>
      </c>
      <c r="K864" s="28" t="str">
        <f>IFERROR(__xludf.DUMMYFUNCTION("IFERROR(
INDEX(
FILTER(
MAP(
reglas!$B$2:$B$240,
reglas!$C$2:$C$240,
reglas!$D$2:$D$240,
reglas!$E$2:$E$240,
LAMBDA(rEmisor,rPatron,rConcepto,rTipo,
IF(
AND(
OR(
UPPER(TRIM(rEmisor))=UPPER(TRIM(C864)),
UPPER(TRIM(rEmisor))=""CUALQUIERA""
),
OR(
UPPER(TRIM"&amp;"(rTipo))=""SOLO EMISOR"",
AND(
UPPER(TRIM(rTipo))=""EXACTA"",
UPPER(TRIM(AG864))=UPPER(TRIM(rPatron))
),
AND(
OR(
UPPER(TRIM(rTipo))=""CONTIENE"",
UPPER(TRIM(rTipo))=""COINCIDENCIA""
),
ISNUMBER(SEARCH(UPPER(TRIM(rPatron)),UPPER(TRIM(D864))))
)
)
),
rConc"&amp;"epto,
""""
)
)
),
MAP(
reglas!$B$2:$B$240,
reglas!$C$2:$C$240,
reglas!$D$2:$D$240,
reglas!$E$2:$E$240,
LAMBDA(rEmisor,rPatron,rConcepto,rTipo,
IF(
AND(
OR(
UPPER(TRIM(rEmisor))=UPPER(TRIM(C864)),
UPPER(TRIM(rEmisor))=""CUALQUIERA""
),
OR(
UPPER(TRIM(rTipo"&amp;"))=""SOLO EMISOR"",
AND(
UPPER(TRIM(rTipo))=""EXACTA"",
UPPER(TRIM(D864))=UPPER(TRIM(rPatron))
),
AND(
OR(
UPPER(TRIM(rTipo))=""CONTIENE"",
UPPER(TRIM(rTipo))=""COINCIDENCIA""
),
ISNUMBER(SEARCH(UPPER(TRIM(rPatron)),UPPER(TRIM(D864))))
)
)
),
rConcepto,
"&amp;"""""
)
)
)&lt;&gt;""""
),
1
),
""""
)"),"TRANSPORTE")</f>
        <v>TRANSPORTE</v>
      </c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</row>
    <row r="865">
      <c r="A865" s="32"/>
      <c r="B865" s="28" t="s">
        <v>29</v>
      </c>
      <c r="C865" s="29" t="s">
        <v>172</v>
      </c>
      <c r="D865" s="29" t="s">
        <v>1754</v>
      </c>
      <c r="E865" s="28">
        <v>11500.0</v>
      </c>
      <c r="F865" s="28">
        <v>0.0</v>
      </c>
      <c r="G865" s="28" t="s">
        <v>250</v>
      </c>
      <c r="H865" s="28">
        <f t="array" ref="H865">INDEX(CC!C:C,MATCH(1,(CC!A:A=G865)*(CC!B:B=I865),0))</f>
        <v>1402</v>
      </c>
      <c r="I865" s="28" t="s">
        <v>25</v>
      </c>
      <c r="J865" s="28">
        <v>11500.0</v>
      </c>
      <c r="K865" s="28" t="str">
        <f>IFERROR(__xludf.DUMMYFUNCTION("IFERROR(
INDEX(
FILTER(
MAP(
reglas!$B$2:$B$240,
reglas!$C$2:$C$240,
reglas!$D$2:$D$240,
reglas!$E$2:$E$240,
LAMBDA(rEmisor,rPatron,rConcepto,rTipo,
IF(
AND(
OR(
UPPER(TRIM(rEmisor))=UPPER(TRIM(C865)),
UPPER(TRIM(rEmisor))=""CUALQUIERA""
),
OR(
UPPER(TRIM"&amp;"(rTipo))=""SOLO EMISOR"",
AND(
UPPER(TRIM(rTipo))=""EXACTA"",
UPPER(TRIM(AG865))=UPPER(TRIM(rPatron))
),
AND(
OR(
UPPER(TRIM(rTipo))=""CONTIENE"",
UPPER(TRIM(rTipo))=""COINCIDENCIA""
),
ISNUMBER(SEARCH(UPPER(TRIM(rPatron)),UPPER(TRIM(D865))))
)
)
),
rConc"&amp;"epto,
""""
)
)
),
MAP(
reglas!$B$2:$B$240,
reglas!$C$2:$C$240,
reglas!$D$2:$D$240,
reglas!$E$2:$E$240,
LAMBDA(rEmisor,rPatron,rConcepto,rTipo,
IF(
AND(
OR(
UPPER(TRIM(rEmisor))=UPPER(TRIM(C865)),
UPPER(TRIM(rEmisor))=""CUALQUIERA""
),
OR(
UPPER(TRIM(rTipo"&amp;"))=""SOLO EMISOR"",
AND(
UPPER(TRIM(rTipo))=""EXACTA"",
UPPER(TRIM(D865))=UPPER(TRIM(rPatron))
),
AND(
OR(
UPPER(TRIM(rTipo))=""CONTIENE"",
UPPER(TRIM(rTipo))=""COINCIDENCIA""
),
ISNUMBER(SEARCH(UPPER(TRIM(rPatron)),UPPER(TRIM(D865))))
)
)
),
rConcepto,
"&amp;"""""
)
)
)&lt;&gt;""""
),
1
),
""""
)"),"TRANSPORTE")</f>
        <v>TRANSPORTE</v>
      </c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</row>
    <row r="866">
      <c r="A866" s="32"/>
      <c r="B866" s="28" t="s">
        <v>29</v>
      </c>
      <c r="C866" s="29" t="s">
        <v>331</v>
      </c>
      <c r="D866" s="29" t="s">
        <v>33</v>
      </c>
      <c r="E866" s="28">
        <v>0.01</v>
      </c>
      <c r="F866" s="28">
        <v>0.0</v>
      </c>
      <c r="G866" s="28" t="s">
        <v>385</v>
      </c>
      <c r="H866" s="28">
        <f t="array" ref="H866">INDEX(CC!C:C,MATCH(1,(CC!A:A=G866)*(CC!B:B=I866),0))</f>
        <v>502</v>
      </c>
      <c r="I866" s="28" t="s">
        <v>25</v>
      </c>
      <c r="J866" s="28">
        <v>0.01</v>
      </c>
      <c r="K866" s="28" t="str">
        <f>IFERROR(__xludf.DUMMYFUNCTION("IFERROR(
INDEX(
FILTER(
MAP(
reglas!$B$2:$B$240,
reglas!$C$2:$C$240,
reglas!$D$2:$D$240,
reglas!$E$2:$E$240,
LAMBDA(rEmisor,rPatron,rConcepto,rTipo,
IF(
AND(
OR(
UPPER(TRIM(rEmisor))=UPPER(TRIM(C866)),
UPPER(TRIM(rEmisor))=""CUALQUIERA""
),
OR(
UPPER(TRIM"&amp;"(rTipo))=""SOLO EMISOR"",
AND(
UPPER(TRIM(rTipo))=""EXACTA"",
UPPER(TRIM(AG866))=UPPER(TRIM(rPatron))
),
AND(
OR(
UPPER(TRIM(rTipo))=""CONTIENE"",
UPPER(TRIM(rTipo))=""COINCIDENCIA""
),
ISNUMBER(SEARCH(UPPER(TRIM(rPatron)),UPPER(TRIM(D866))))
)
)
),
rConc"&amp;"epto,
""""
)
)
),
MAP(
reglas!$B$2:$B$240,
reglas!$C$2:$C$240,
reglas!$D$2:$D$240,
reglas!$E$2:$E$240,
LAMBDA(rEmisor,rPatron,rConcepto,rTipo,
IF(
AND(
OR(
UPPER(TRIM(rEmisor))=UPPER(TRIM(C866)),
UPPER(TRIM(rEmisor))=""CUALQUIERA""
),
OR(
UPPER(TRIM(rTipo"&amp;"))=""SOLO EMISOR"",
AND(
UPPER(TRIM(rTipo))=""EXACTA"",
UPPER(TRIM(D866))=UPPER(TRIM(rPatron))
),
AND(
OR(
UPPER(TRIM(rTipo))=""CONTIENE"",
UPPER(TRIM(rTipo))=""COINCIDENCIA""
),
ISNUMBER(SEARCH(UPPER(TRIM(rPatron)),UPPER(TRIM(D866))))
)
)
),
rConcepto,
"&amp;"""""
)
)
)&lt;&gt;""""
),
1
),
""""
)"),"N/A")</f>
        <v>N/A</v>
      </c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</row>
    <row r="867">
      <c r="A867" s="28">
        <v>1.0</v>
      </c>
      <c r="B867" s="28" t="s">
        <v>29</v>
      </c>
      <c r="C867" s="29" t="s">
        <v>271</v>
      </c>
      <c r="D867" s="29" t="s">
        <v>585</v>
      </c>
      <c r="E867" s="28">
        <v>623.81</v>
      </c>
      <c r="F867" s="28">
        <v>0.0</v>
      </c>
      <c r="G867" s="28" t="s">
        <v>84</v>
      </c>
      <c r="H867" s="28">
        <f t="array" ref="H867">INDEX(CC!C:C,MATCH(1,(CC!A:A=G867)*(CC!B:B=I867),0))</f>
        <v>1002</v>
      </c>
      <c r="I867" s="28" t="s">
        <v>25</v>
      </c>
      <c r="J867" s="31">
        <v>623.81</v>
      </c>
      <c r="K867" s="28" t="str">
        <f>IFERROR(__xludf.DUMMYFUNCTION("IFERROR(
INDEX(
FILTER(
MAP(
reglas!$B$2:$B$240,
reglas!$C$2:$C$240,
reglas!$D$2:$D$240,
reglas!$E$2:$E$240,
LAMBDA(rEmisor,rPatron,rConcepto,rTipo,
IF(
AND(
OR(
UPPER(TRIM(rEmisor))=UPPER(TRIM(C867)),
UPPER(TRIM(rEmisor))=""CUALQUIERA""
),
OR(
UPPER(TRIM"&amp;"(rTipo))=""SOLO EMISOR"",
AND(
UPPER(TRIM(rTipo))=""EXACTA"",
UPPER(TRIM(AG867))=UPPER(TRIM(rPatron))
),
AND(
OR(
UPPER(TRIM(rTipo))=""CONTIENE"",
UPPER(TRIM(rTipo))=""COINCIDENCIA""
),
ISNUMBER(SEARCH(UPPER(TRIM(rPatron)),UPPER(TRIM(D867))))
)
)
),
rConc"&amp;"epto,
""""
)
)
),
MAP(
reglas!$B$2:$B$240,
reglas!$C$2:$C$240,
reglas!$D$2:$D$240,
reglas!$E$2:$E$240,
LAMBDA(rEmisor,rPatron,rConcepto,rTipo,
IF(
AND(
OR(
UPPER(TRIM(rEmisor))=UPPER(TRIM(C867)),
UPPER(TRIM(rEmisor))=""CUALQUIERA""
),
OR(
UPPER(TRIM(rTipo"&amp;"))=""SOLO EMISOR"",
AND(
UPPER(TRIM(rTipo))=""EXACTA"",
UPPER(TRIM(D867))=UPPER(TRIM(rPatron))
),
AND(
OR(
UPPER(TRIM(rTipo))=""CONTIENE"",
UPPER(TRIM(rTipo))=""COINCIDENCIA""
),
ISNUMBER(SEARCH(UPPER(TRIM(rPatron)),UPPER(TRIM(D867))))
)
)
),
rConcepto,
"&amp;"""""
)
)
)&lt;&gt;""""
),
1
),
""""
)"),"MANIOBRAS")</f>
        <v>MANIOBRAS</v>
      </c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</row>
    <row r="868">
      <c r="A868" s="32"/>
      <c r="B868" s="32"/>
      <c r="C868" s="29" t="s">
        <v>271</v>
      </c>
      <c r="D868" s="29" t="s">
        <v>587</v>
      </c>
      <c r="E868" s="28">
        <v>570.75</v>
      </c>
      <c r="F868" s="28">
        <v>0.0</v>
      </c>
      <c r="G868" s="28" t="s">
        <v>84</v>
      </c>
      <c r="H868" s="28">
        <f t="array" ref="H868">INDEX(CC!C:C,MATCH(1,(CC!A:A=G868)*(CC!B:B=I868),0))</f>
        <v>1002</v>
      </c>
      <c r="I868" s="28" t="s">
        <v>25</v>
      </c>
      <c r="J868" s="31">
        <v>570.75</v>
      </c>
      <c r="K868" s="28" t="str">
        <f>IFERROR(__xludf.DUMMYFUNCTION("IFERROR(
INDEX(
FILTER(
MAP(
reglas!$B$2:$B$240,
reglas!$C$2:$C$240,
reglas!$D$2:$D$240,
reglas!$E$2:$E$240,
LAMBDA(rEmisor,rPatron,rConcepto,rTipo,
IF(
AND(
OR(
UPPER(TRIM(rEmisor))=UPPER(TRIM(C868)),
UPPER(TRIM(rEmisor))=""CUALQUIERA""
),
OR(
UPPER(TRIM"&amp;"(rTipo))=""SOLO EMISOR"",
AND(
UPPER(TRIM(rTipo))=""EXACTA"",
UPPER(TRIM(AG868))=UPPER(TRIM(rPatron))
),
AND(
OR(
UPPER(TRIM(rTipo))=""CONTIENE"",
UPPER(TRIM(rTipo))=""COINCIDENCIA""
),
ISNUMBER(SEARCH(UPPER(TRIM(rPatron)),UPPER(TRIM(D868))))
)
)
),
rConc"&amp;"epto,
""""
)
)
),
MAP(
reglas!$B$2:$B$240,
reglas!$C$2:$C$240,
reglas!$D$2:$D$240,
reglas!$E$2:$E$240,
LAMBDA(rEmisor,rPatron,rConcepto,rTipo,
IF(
AND(
OR(
UPPER(TRIM(rEmisor))=UPPER(TRIM(C868)),
UPPER(TRIM(rEmisor))=""CUALQUIERA""
),
OR(
UPPER(TRIM(rTipo"&amp;"))=""SOLO EMISOR"",
AND(
UPPER(TRIM(rTipo))=""EXACTA"",
UPPER(TRIM(D868))=UPPER(TRIM(rPatron))
),
AND(
OR(
UPPER(TRIM(rTipo))=""CONTIENE"",
UPPER(TRIM(rTipo))=""COINCIDENCIA""
),
ISNUMBER(SEARCH(UPPER(TRIM(rPatron)),UPPER(TRIM(D868))))
)
)
),
rConcepto,
"&amp;"""""
)
)
)&lt;&gt;""""
),
1
),
""""
)"),"MANIOBRAS")</f>
        <v>MANIOBRAS</v>
      </c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</row>
    <row r="869">
      <c r="A869" s="32"/>
      <c r="B869" s="32"/>
      <c r="C869" s="29" t="s">
        <v>271</v>
      </c>
      <c r="D869" s="29" t="s">
        <v>589</v>
      </c>
      <c r="E869" s="28">
        <v>624.15</v>
      </c>
      <c r="F869" s="28">
        <v>0.0</v>
      </c>
      <c r="G869" s="28" t="s">
        <v>84</v>
      </c>
      <c r="H869" s="28">
        <f t="array" ref="H869">INDEX(CC!C:C,MATCH(1,(CC!A:A=G869)*(CC!B:B=I869),0))</f>
        <v>1002</v>
      </c>
      <c r="I869" s="28" t="s">
        <v>25</v>
      </c>
      <c r="J869" s="31">
        <v>624.15</v>
      </c>
      <c r="K869" s="28" t="str">
        <f>IFERROR(__xludf.DUMMYFUNCTION("IFERROR(
INDEX(
FILTER(
MAP(
reglas!$B$2:$B$240,
reglas!$C$2:$C$240,
reglas!$D$2:$D$240,
reglas!$E$2:$E$240,
LAMBDA(rEmisor,rPatron,rConcepto,rTipo,
IF(
AND(
OR(
UPPER(TRIM(rEmisor))=UPPER(TRIM(C869)),
UPPER(TRIM(rEmisor))=""CUALQUIERA""
),
OR(
UPPER(TRIM"&amp;"(rTipo))=""SOLO EMISOR"",
AND(
UPPER(TRIM(rTipo))=""EXACTA"",
UPPER(TRIM(AG869))=UPPER(TRIM(rPatron))
),
AND(
OR(
UPPER(TRIM(rTipo))=""CONTIENE"",
UPPER(TRIM(rTipo))=""COINCIDENCIA""
),
ISNUMBER(SEARCH(UPPER(TRIM(rPatron)),UPPER(TRIM(D869))))
)
)
),
rConc"&amp;"epto,
""""
)
)
),
MAP(
reglas!$B$2:$B$240,
reglas!$C$2:$C$240,
reglas!$D$2:$D$240,
reglas!$E$2:$E$240,
LAMBDA(rEmisor,rPatron,rConcepto,rTipo,
IF(
AND(
OR(
UPPER(TRIM(rEmisor))=UPPER(TRIM(C869)),
UPPER(TRIM(rEmisor))=""CUALQUIERA""
),
OR(
UPPER(TRIM(rTipo"&amp;"))=""SOLO EMISOR"",
AND(
UPPER(TRIM(rTipo))=""EXACTA"",
UPPER(TRIM(D869))=UPPER(TRIM(rPatron))
),
AND(
OR(
UPPER(TRIM(rTipo))=""CONTIENE"",
UPPER(TRIM(rTipo))=""COINCIDENCIA""
),
ISNUMBER(SEARCH(UPPER(TRIM(rPatron)),UPPER(TRIM(D869))))
)
)
),
rConcepto,
"&amp;"""""
)
)
)&lt;&gt;""""
),
1
),
""""
)"),"MANIOBRAS")</f>
        <v>MANIOBRAS</v>
      </c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</row>
    <row r="870">
      <c r="A870" s="32"/>
      <c r="B870" s="32"/>
      <c r="C870" s="29" t="s">
        <v>271</v>
      </c>
      <c r="D870" s="29" t="s">
        <v>596</v>
      </c>
      <c r="E870" s="28">
        <v>654.87</v>
      </c>
      <c r="F870" s="28">
        <v>0.0</v>
      </c>
      <c r="G870" s="28" t="s">
        <v>84</v>
      </c>
      <c r="H870" s="28">
        <f t="array" ref="H870">INDEX(CC!C:C,MATCH(1,(CC!A:A=G870)*(CC!B:B=I870),0))</f>
        <v>1002</v>
      </c>
      <c r="I870" s="28" t="s">
        <v>25</v>
      </c>
      <c r="J870" s="31">
        <v>654.87</v>
      </c>
      <c r="K870" s="28" t="str">
        <f>IFERROR(__xludf.DUMMYFUNCTION("IFERROR(
INDEX(
FILTER(
MAP(
reglas!$B$2:$B$240,
reglas!$C$2:$C$240,
reglas!$D$2:$D$240,
reglas!$E$2:$E$240,
LAMBDA(rEmisor,rPatron,rConcepto,rTipo,
IF(
AND(
OR(
UPPER(TRIM(rEmisor))=UPPER(TRIM(C870)),
UPPER(TRIM(rEmisor))=""CUALQUIERA""
),
OR(
UPPER(TRIM"&amp;"(rTipo))=""SOLO EMISOR"",
AND(
UPPER(TRIM(rTipo))=""EXACTA"",
UPPER(TRIM(AG870))=UPPER(TRIM(rPatron))
),
AND(
OR(
UPPER(TRIM(rTipo))=""CONTIENE"",
UPPER(TRIM(rTipo))=""COINCIDENCIA""
),
ISNUMBER(SEARCH(UPPER(TRIM(rPatron)),UPPER(TRIM(D870))))
)
)
),
rConc"&amp;"epto,
""""
)
)
),
MAP(
reglas!$B$2:$B$240,
reglas!$C$2:$C$240,
reglas!$D$2:$D$240,
reglas!$E$2:$E$240,
LAMBDA(rEmisor,rPatron,rConcepto,rTipo,
IF(
AND(
OR(
UPPER(TRIM(rEmisor))=UPPER(TRIM(C870)),
UPPER(TRIM(rEmisor))=""CUALQUIERA""
),
OR(
UPPER(TRIM(rTipo"&amp;"))=""SOLO EMISOR"",
AND(
UPPER(TRIM(rTipo))=""EXACTA"",
UPPER(TRIM(D870))=UPPER(TRIM(rPatron))
),
AND(
OR(
UPPER(TRIM(rTipo))=""CONTIENE"",
UPPER(TRIM(rTipo))=""COINCIDENCIA""
),
ISNUMBER(SEARCH(UPPER(TRIM(rPatron)),UPPER(TRIM(D870))))
)
)
),
rConcepto,
"&amp;"""""
)
)
)&lt;&gt;""""
),
1
),
""""
)"),"MANIOBRAS")</f>
        <v>MANIOBRAS</v>
      </c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</row>
    <row r="871">
      <c r="A871" s="32"/>
      <c r="B871" s="28" t="s">
        <v>29</v>
      </c>
      <c r="C871" s="29" t="s">
        <v>172</v>
      </c>
      <c r="D871" s="29" t="s">
        <v>1754</v>
      </c>
      <c r="E871" s="28">
        <v>11500.0</v>
      </c>
      <c r="F871" s="28">
        <v>0.0</v>
      </c>
      <c r="G871" s="28" t="s">
        <v>250</v>
      </c>
      <c r="H871" s="28">
        <f t="array" ref="H871">INDEX(CC!C:C,MATCH(1,(CC!A:A=G871)*(CC!B:B=I871),0))</f>
        <v>1402</v>
      </c>
      <c r="I871" s="28" t="s">
        <v>25</v>
      </c>
      <c r="J871" s="31">
        <v>11500.0</v>
      </c>
      <c r="K871" s="28" t="str">
        <f>IFERROR(__xludf.DUMMYFUNCTION("IFERROR(
INDEX(
FILTER(
MAP(
reglas!$B$2:$B$240,
reglas!$C$2:$C$240,
reglas!$D$2:$D$240,
reglas!$E$2:$E$240,
LAMBDA(rEmisor,rPatron,rConcepto,rTipo,
IF(
AND(
OR(
UPPER(TRIM(rEmisor))=UPPER(TRIM(C871)),
UPPER(TRIM(rEmisor))=""CUALQUIERA""
),
OR(
UPPER(TRIM"&amp;"(rTipo))=""SOLO EMISOR"",
AND(
UPPER(TRIM(rTipo))=""EXACTA"",
UPPER(TRIM(AG871))=UPPER(TRIM(rPatron))
),
AND(
OR(
UPPER(TRIM(rTipo))=""CONTIENE"",
UPPER(TRIM(rTipo))=""COINCIDENCIA""
),
ISNUMBER(SEARCH(UPPER(TRIM(rPatron)),UPPER(TRIM(D871))))
)
)
),
rConc"&amp;"epto,
""""
)
)
),
MAP(
reglas!$B$2:$B$240,
reglas!$C$2:$C$240,
reglas!$D$2:$D$240,
reglas!$E$2:$E$240,
LAMBDA(rEmisor,rPatron,rConcepto,rTipo,
IF(
AND(
OR(
UPPER(TRIM(rEmisor))=UPPER(TRIM(C871)),
UPPER(TRIM(rEmisor))=""CUALQUIERA""
),
OR(
UPPER(TRIM(rTipo"&amp;"))=""SOLO EMISOR"",
AND(
UPPER(TRIM(rTipo))=""EXACTA"",
UPPER(TRIM(D871))=UPPER(TRIM(rPatron))
),
AND(
OR(
UPPER(TRIM(rTipo))=""CONTIENE"",
UPPER(TRIM(rTipo))=""COINCIDENCIA""
),
ISNUMBER(SEARCH(UPPER(TRIM(rPatron)),UPPER(TRIM(D871))))
)
)
),
rConcepto,
"&amp;"""""
)
)
)&lt;&gt;""""
),
1
),
""""
)"),"TRANSPORTE")</f>
        <v>TRANSPORTE</v>
      </c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</row>
    <row r="872">
      <c r="A872" s="32"/>
      <c r="B872" s="28" t="s">
        <v>29</v>
      </c>
      <c r="C872" s="29" t="s">
        <v>188</v>
      </c>
      <c r="D872" s="29" t="s">
        <v>965</v>
      </c>
      <c r="E872" s="28">
        <v>1102.58</v>
      </c>
      <c r="F872" s="28">
        <v>0.0</v>
      </c>
      <c r="G872" s="28" t="s">
        <v>55</v>
      </c>
      <c r="H872" s="28">
        <f t="array" ref="H872">INDEX(CC!C:C,MATCH(1,(CC!A:A=G872)*(CC!B:B=I872),0))</f>
        <v>902</v>
      </c>
      <c r="I872" s="28" t="s">
        <v>25</v>
      </c>
      <c r="J872" s="31">
        <v>1102.58</v>
      </c>
      <c r="K872" s="28" t="str">
        <f>IFERROR(__xludf.DUMMYFUNCTION("IFERROR(
INDEX(
FILTER(
MAP(
reglas!$B$2:$B$240,
reglas!$C$2:$C$240,
reglas!$D$2:$D$240,
reglas!$E$2:$E$240,
LAMBDA(rEmisor,rPatron,rConcepto,rTipo,
IF(
AND(
OR(
UPPER(TRIM(rEmisor))=UPPER(TRIM(C872)),
UPPER(TRIM(rEmisor))=""CUALQUIERA""
),
OR(
UPPER(TRIM"&amp;"(rTipo))=""SOLO EMISOR"",
AND(
UPPER(TRIM(rTipo))=""EXACTA"",
UPPER(TRIM(AG872))=UPPER(TRIM(rPatron))
),
AND(
OR(
UPPER(TRIM(rTipo))=""CONTIENE"",
UPPER(TRIM(rTipo))=""COINCIDENCIA""
),
ISNUMBER(SEARCH(UPPER(TRIM(rPatron)),UPPER(TRIM(D872))))
)
)
),
rConc"&amp;"epto,
""""
)
)
),
MAP(
reglas!$B$2:$B$240,
reglas!$C$2:$C$240,
reglas!$D$2:$D$240,
reglas!$E$2:$E$240,
LAMBDA(rEmisor,rPatron,rConcepto,rTipo,
IF(
AND(
OR(
UPPER(TRIM(rEmisor))=UPPER(TRIM(C872)),
UPPER(TRIM(rEmisor))=""CUALQUIERA""
),
OR(
UPPER(TRIM(rTipo"&amp;"))=""SOLO EMISOR"",
AND(
UPPER(TRIM(rTipo))=""EXACTA"",
UPPER(TRIM(D872))=UPPER(TRIM(rPatron))
),
AND(
OR(
UPPER(TRIM(rTipo))=""CONTIENE"",
UPPER(TRIM(rTipo))=""COINCIDENCIA""
),
ISNUMBER(SEARCH(UPPER(TRIM(rPatron)),UPPER(TRIM(D872))))
)
)
),
rConcepto,
"&amp;"""""
)
)
)&lt;&gt;""""
),
1
),
""""
)"),"INTERNET")</f>
        <v>INTERNET</v>
      </c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</row>
    <row r="873">
      <c r="A873" s="28">
        <v>1.0</v>
      </c>
      <c r="B873" s="28" t="s">
        <v>29</v>
      </c>
      <c r="C873" s="29" t="s">
        <v>230</v>
      </c>
      <c r="D873" s="29" t="s">
        <v>1760</v>
      </c>
      <c r="E873" s="28">
        <v>843.96</v>
      </c>
      <c r="F873" s="28">
        <v>0.0</v>
      </c>
      <c r="G873" s="28" t="s">
        <v>225</v>
      </c>
      <c r="H873" s="28">
        <f t="array" ref="H873">INDEX(CC!C:C,MATCH(1,(CC!A:A=G873)*(CC!B:B=I873),0))</f>
        <v>102</v>
      </c>
      <c r="I873" s="28" t="s">
        <v>25</v>
      </c>
      <c r="J873" s="31">
        <v>843.96</v>
      </c>
      <c r="K873" s="28" t="str">
        <f>IFERROR(__xludf.DUMMYFUNCTION("IFERROR(
INDEX(
FILTER(
MAP(
reglas!$B$2:$B$240,
reglas!$C$2:$C$240,
reglas!$D$2:$D$240,
reglas!$E$2:$E$240,
LAMBDA(rEmisor,rPatron,rConcepto,rTipo,
IF(
AND(
OR(
UPPER(TRIM(rEmisor))=UPPER(TRIM(C873)),
UPPER(TRIM(rEmisor))=""CUALQUIERA""
),
OR(
UPPER(TRIM"&amp;"(rTipo))=""SOLO EMISOR"",
AND(
UPPER(TRIM(rTipo))=""EXACTA"",
UPPER(TRIM(AG873))=UPPER(TRIM(rPatron))
),
AND(
OR(
UPPER(TRIM(rTipo))=""CONTIENE"",
UPPER(TRIM(rTipo))=""COINCIDENCIA""
),
ISNUMBER(SEARCH(UPPER(TRIM(rPatron)),UPPER(TRIM(D873))))
)
)
),
rConc"&amp;"epto,
""""
)
)
),
MAP(
reglas!$B$2:$B$240,
reglas!$C$2:$C$240,
reglas!$D$2:$D$240,
reglas!$E$2:$E$240,
LAMBDA(rEmisor,rPatron,rConcepto,rTipo,
IF(
AND(
OR(
UPPER(TRIM(rEmisor))=UPPER(TRIM(C873)),
UPPER(TRIM(rEmisor))=""CUALQUIERA""
),
OR(
UPPER(TRIM(rTipo"&amp;"))=""SOLO EMISOR"",
AND(
UPPER(TRIM(rTipo))=""EXACTA"",
UPPER(TRIM(D873))=UPPER(TRIM(rPatron))
),
AND(
OR(
UPPER(TRIM(rTipo))=""CONTIENE"",
UPPER(TRIM(rTipo))=""COINCIDENCIA""
),
ISNUMBER(SEARCH(UPPER(TRIM(rPatron)),UPPER(TRIM(D873))))
)
)
),
rConcepto,
"&amp;"""""
)
)
)&lt;&gt;""""
),
1
),
""""
)"),"COMISIONES BANCARIAS")</f>
        <v>COMISIONES BANCARIAS</v>
      </c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</row>
    <row r="874">
      <c r="A874" s="32"/>
      <c r="B874" s="28" t="s">
        <v>29</v>
      </c>
      <c r="C874" s="29" t="s">
        <v>172</v>
      </c>
      <c r="D874" s="29" t="s">
        <v>1754</v>
      </c>
      <c r="E874" s="28">
        <v>11500.0</v>
      </c>
      <c r="F874" s="28">
        <v>0.0</v>
      </c>
      <c r="G874" s="28" t="s">
        <v>250</v>
      </c>
      <c r="H874" s="28">
        <f t="array" ref="H874">INDEX(CC!C:C,MATCH(1,(CC!A:A=G874)*(CC!B:B=I874),0))</f>
        <v>1402</v>
      </c>
      <c r="I874" s="28" t="s">
        <v>25</v>
      </c>
      <c r="J874" s="31">
        <v>11500.0</v>
      </c>
      <c r="K874" s="28" t="str">
        <f>IFERROR(__xludf.DUMMYFUNCTION("IFERROR(
INDEX(
FILTER(
MAP(
reglas!$B$2:$B$240,
reglas!$C$2:$C$240,
reglas!$D$2:$D$240,
reglas!$E$2:$E$240,
LAMBDA(rEmisor,rPatron,rConcepto,rTipo,
IF(
AND(
OR(
UPPER(TRIM(rEmisor))=UPPER(TRIM(C874)),
UPPER(TRIM(rEmisor))=""CUALQUIERA""
),
OR(
UPPER(TRIM"&amp;"(rTipo))=""SOLO EMISOR"",
AND(
UPPER(TRIM(rTipo))=""EXACTA"",
UPPER(TRIM(AG874))=UPPER(TRIM(rPatron))
),
AND(
OR(
UPPER(TRIM(rTipo))=""CONTIENE"",
UPPER(TRIM(rTipo))=""COINCIDENCIA""
),
ISNUMBER(SEARCH(UPPER(TRIM(rPatron)),UPPER(TRIM(D874))))
)
)
),
rConc"&amp;"epto,
""""
)
)
),
MAP(
reglas!$B$2:$B$240,
reglas!$C$2:$C$240,
reglas!$D$2:$D$240,
reglas!$E$2:$E$240,
LAMBDA(rEmisor,rPatron,rConcepto,rTipo,
IF(
AND(
OR(
UPPER(TRIM(rEmisor))=UPPER(TRIM(C874)),
UPPER(TRIM(rEmisor))=""CUALQUIERA""
),
OR(
UPPER(TRIM(rTipo"&amp;"))=""SOLO EMISOR"",
AND(
UPPER(TRIM(rTipo))=""EXACTA"",
UPPER(TRIM(D874))=UPPER(TRIM(rPatron))
),
AND(
OR(
UPPER(TRIM(rTipo))=""CONTIENE"",
UPPER(TRIM(rTipo))=""COINCIDENCIA""
),
ISNUMBER(SEARCH(UPPER(TRIM(rPatron)),UPPER(TRIM(D874))))
)
)
),
rConcepto,
"&amp;"""""
)
)
)&lt;&gt;""""
),
1
),
""""
)"),"TRANSPORTE")</f>
        <v>TRANSPORTE</v>
      </c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</row>
    <row r="875">
      <c r="A875" s="28">
        <v>1.0</v>
      </c>
      <c r="B875" s="28" t="s">
        <v>29</v>
      </c>
      <c r="C875" s="29" t="s">
        <v>271</v>
      </c>
      <c r="D875" s="29" t="s">
        <v>585</v>
      </c>
      <c r="E875" s="28">
        <v>623.81</v>
      </c>
      <c r="F875" s="28">
        <v>0.0</v>
      </c>
      <c r="G875" s="28" t="s">
        <v>84</v>
      </c>
      <c r="H875" s="28">
        <f t="array" ref="H875">INDEX(CC!C:C,MATCH(1,(CC!A:A=G875)*(CC!B:B=I875),0))</f>
        <v>1002</v>
      </c>
      <c r="I875" s="28" t="s">
        <v>25</v>
      </c>
      <c r="J875" s="31">
        <v>623.81</v>
      </c>
      <c r="K875" s="28" t="str">
        <f>IFERROR(__xludf.DUMMYFUNCTION("IFERROR(
INDEX(
FILTER(
MAP(
reglas!$B$2:$B$240,
reglas!$C$2:$C$240,
reglas!$D$2:$D$240,
reglas!$E$2:$E$240,
LAMBDA(rEmisor,rPatron,rConcepto,rTipo,
IF(
AND(
OR(
UPPER(TRIM(rEmisor))=UPPER(TRIM(C875)),
UPPER(TRIM(rEmisor))=""CUALQUIERA""
),
OR(
UPPER(TRIM"&amp;"(rTipo))=""SOLO EMISOR"",
AND(
UPPER(TRIM(rTipo))=""EXACTA"",
UPPER(TRIM(AG875))=UPPER(TRIM(rPatron))
),
AND(
OR(
UPPER(TRIM(rTipo))=""CONTIENE"",
UPPER(TRIM(rTipo))=""COINCIDENCIA""
),
ISNUMBER(SEARCH(UPPER(TRIM(rPatron)),UPPER(TRIM(D875))))
)
)
),
rConc"&amp;"epto,
""""
)
)
),
MAP(
reglas!$B$2:$B$240,
reglas!$C$2:$C$240,
reglas!$D$2:$D$240,
reglas!$E$2:$E$240,
LAMBDA(rEmisor,rPatron,rConcepto,rTipo,
IF(
AND(
OR(
UPPER(TRIM(rEmisor))=UPPER(TRIM(C875)),
UPPER(TRIM(rEmisor))=""CUALQUIERA""
),
OR(
UPPER(TRIM(rTipo"&amp;"))=""SOLO EMISOR"",
AND(
UPPER(TRIM(rTipo))=""EXACTA"",
UPPER(TRIM(D875))=UPPER(TRIM(rPatron))
),
AND(
OR(
UPPER(TRIM(rTipo))=""CONTIENE"",
UPPER(TRIM(rTipo))=""COINCIDENCIA""
),
ISNUMBER(SEARCH(UPPER(TRIM(rPatron)),UPPER(TRIM(D875))))
)
)
),
rConcepto,
"&amp;"""""
)
)
)&lt;&gt;""""
),
1
),
""""
)"),"MANIOBRAS")</f>
        <v>MANIOBRAS</v>
      </c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</row>
    <row r="876">
      <c r="A876" s="32"/>
      <c r="B876" s="32"/>
      <c r="C876" s="29" t="s">
        <v>271</v>
      </c>
      <c r="D876" s="29" t="s">
        <v>587</v>
      </c>
      <c r="E876" s="28">
        <v>570.75</v>
      </c>
      <c r="F876" s="28">
        <v>0.0</v>
      </c>
      <c r="G876" s="28" t="s">
        <v>84</v>
      </c>
      <c r="H876" s="28">
        <f t="array" ref="H876">INDEX(CC!C:C,MATCH(1,(CC!A:A=G876)*(CC!B:B=I876),0))</f>
        <v>1002</v>
      </c>
      <c r="I876" s="28" t="s">
        <v>25</v>
      </c>
      <c r="J876" s="31">
        <v>570.75</v>
      </c>
      <c r="K876" s="28" t="str">
        <f>IFERROR(__xludf.DUMMYFUNCTION("IFERROR(
INDEX(
FILTER(
MAP(
reglas!$B$2:$B$240,
reglas!$C$2:$C$240,
reglas!$D$2:$D$240,
reglas!$E$2:$E$240,
LAMBDA(rEmisor,rPatron,rConcepto,rTipo,
IF(
AND(
OR(
UPPER(TRIM(rEmisor))=UPPER(TRIM(C876)),
UPPER(TRIM(rEmisor))=""CUALQUIERA""
),
OR(
UPPER(TRIM"&amp;"(rTipo))=""SOLO EMISOR"",
AND(
UPPER(TRIM(rTipo))=""EXACTA"",
UPPER(TRIM(AG876))=UPPER(TRIM(rPatron))
),
AND(
OR(
UPPER(TRIM(rTipo))=""CONTIENE"",
UPPER(TRIM(rTipo))=""COINCIDENCIA""
),
ISNUMBER(SEARCH(UPPER(TRIM(rPatron)),UPPER(TRIM(D876))))
)
)
),
rConc"&amp;"epto,
""""
)
)
),
MAP(
reglas!$B$2:$B$240,
reglas!$C$2:$C$240,
reglas!$D$2:$D$240,
reglas!$E$2:$E$240,
LAMBDA(rEmisor,rPatron,rConcepto,rTipo,
IF(
AND(
OR(
UPPER(TRIM(rEmisor))=UPPER(TRIM(C876)),
UPPER(TRIM(rEmisor))=""CUALQUIERA""
),
OR(
UPPER(TRIM(rTipo"&amp;"))=""SOLO EMISOR"",
AND(
UPPER(TRIM(rTipo))=""EXACTA"",
UPPER(TRIM(D876))=UPPER(TRIM(rPatron))
),
AND(
OR(
UPPER(TRIM(rTipo))=""CONTIENE"",
UPPER(TRIM(rTipo))=""COINCIDENCIA""
),
ISNUMBER(SEARCH(UPPER(TRIM(rPatron)),UPPER(TRIM(D876))))
)
)
),
rConcepto,
"&amp;"""""
)
)
)&lt;&gt;""""
),
1
),
""""
)"),"MANIOBRAS")</f>
        <v>MANIOBRAS</v>
      </c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</row>
    <row r="877">
      <c r="A877" s="32"/>
      <c r="B877" s="32"/>
      <c r="C877" s="29" t="s">
        <v>271</v>
      </c>
      <c r="D877" s="29" t="s">
        <v>589</v>
      </c>
      <c r="E877" s="28">
        <v>624.15</v>
      </c>
      <c r="F877" s="28">
        <v>0.0</v>
      </c>
      <c r="G877" s="28" t="s">
        <v>84</v>
      </c>
      <c r="H877" s="28">
        <f t="array" ref="H877">INDEX(CC!C:C,MATCH(1,(CC!A:A=G877)*(CC!B:B=I877),0))</f>
        <v>1002</v>
      </c>
      <c r="I877" s="28" t="s">
        <v>25</v>
      </c>
      <c r="J877" s="31">
        <v>624.15</v>
      </c>
      <c r="K877" s="28" t="str">
        <f>IFERROR(__xludf.DUMMYFUNCTION("IFERROR(
INDEX(
FILTER(
MAP(
reglas!$B$2:$B$240,
reglas!$C$2:$C$240,
reglas!$D$2:$D$240,
reglas!$E$2:$E$240,
LAMBDA(rEmisor,rPatron,rConcepto,rTipo,
IF(
AND(
OR(
UPPER(TRIM(rEmisor))=UPPER(TRIM(C877)),
UPPER(TRIM(rEmisor))=""CUALQUIERA""
),
OR(
UPPER(TRIM"&amp;"(rTipo))=""SOLO EMISOR"",
AND(
UPPER(TRIM(rTipo))=""EXACTA"",
UPPER(TRIM(AG877))=UPPER(TRIM(rPatron))
),
AND(
OR(
UPPER(TRIM(rTipo))=""CONTIENE"",
UPPER(TRIM(rTipo))=""COINCIDENCIA""
),
ISNUMBER(SEARCH(UPPER(TRIM(rPatron)),UPPER(TRIM(D877))))
)
)
),
rConc"&amp;"epto,
""""
)
)
),
MAP(
reglas!$B$2:$B$240,
reglas!$C$2:$C$240,
reglas!$D$2:$D$240,
reglas!$E$2:$E$240,
LAMBDA(rEmisor,rPatron,rConcepto,rTipo,
IF(
AND(
OR(
UPPER(TRIM(rEmisor))=UPPER(TRIM(C877)),
UPPER(TRIM(rEmisor))=""CUALQUIERA""
),
OR(
UPPER(TRIM(rTipo"&amp;"))=""SOLO EMISOR"",
AND(
UPPER(TRIM(rTipo))=""EXACTA"",
UPPER(TRIM(D877))=UPPER(TRIM(rPatron))
),
AND(
OR(
UPPER(TRIM(rTipo))=""CONTIENE"",
UPPER(TRIM(rTipo))=""COINCIDENCIA""
),
ISNUMBER(SEARCH(UPPER(TRIM(rPatron)),UPPER(TRIM(D877))))
)
)
),
rConcepto,
"&amp;"""""
)
)
)&lt;&gt;""""
),
1
),
""""
)"),"MANIOBRAS")</f>
        <v>MANIOBRAS</v>
      </c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</row>
    <row r="878">
      <c r="A878" s="32"/>
      <c r="B878" s="32"/>
      <c r="C878" s="29" t="s">
        <v>271</v>
      </c>
      <c r="D878" s="29" t="s">
        <v>596</v>
      </c>
      <c r="E878" s="28">
        <v>654.87</v>
      </c>
      <c r="F878" s="28">
        <v>0.0</v>
      </c>
      <c r="G878" s="28" t="s">
        <v>84</v>
      </c>
      <c r="H878" s="28">
        <f t="array" ref="H878">INDEX(CC!C:C,MATCH(1,(CC!A:A=G878)*(CC!B:B=I878),0))</f>
        <v>1002</v>
      </c>
      <c r="I878" s="28" t="s">
        <v>25</v>
      </c>
      <c r="J878" s="31">
        <v>654.87</v>
      </c>
      <c r="K878" s="28" t="str">
        <f>IFERROR(__xludf.DUMMYFUNCTION("IFERROR(
INDEX(
FILTER(
MAP(
reglas!$B$2:$B$240,
reglas!$C$2:$C$240,
reglas!$D$2:$D$240,
reglas!$E$2:$E$240,
LAMBDA(rEmisor,rPatron,rConcepto,rTipo,
IF(
AND(
OR(
UPPER(TRIM(rEmisor))=UPPER(TRIM(C878)),
UPPER(TRIM(rEmisor))=""CUALQUIERA""
),
OR(
UPPER(TRIM"&amp;"(rTipo))=""SOLO EMISOR"",
AND(
UPPER(TRIM(rTipo))=""EXACTA"",
UPPER(TRIM(AG878))=UPPER(TRIM(rPatron))
),
AND(
OR(
UPPER(TRIM(rTipo))=""CONTIENE"",
UPPER(TRIM(rTipo))=""COINCIDENCIA""
),
ISNUMBER(SEARCH(UPPER(TRIM(rPatron)),UPPER(TRIM(D878))))
)
)
),
rConc"&amp;"epto,
""""
)
)
),
MAP(
reglas!$B$2:$B$240,
reglas!$C$2:$C$240,
reglas!$D$2:$D$240,
reglas!$E$2:$E$240,
LAMBDA(rEmisor,rPatron,rConcepto,rTipo,
IF(
AND(
OR(
UPPER(TRIM(rEmisor))=UPPER(TRIM(C878)),
UPPER(TRIM(rEmisor))=""CUALQUIERA""
),
OR(
UPPER(TRIM(rTipo"&amp;"))=""SOLO EMISOR"",
AND(
UPPER(TRIM(rTipo))=""EXACTA"",
UPPER(TRIM(D878))=UPPER(TRIM(rPatron))
),
AND(
OR(
UPPER(TRIM(rTipo))=""CONTIENE"",
UPPER(TRIM(rTipo))=""COINCIDENCIA""
),
ISNUMBER(SEARCH(UPPER(TRIM(rPatron)),UPPER(TRIM(D878))))
)
)
),
rConcepto,
"&amp;"""""
)
)
)&lt;&gt;""""
),
1
),
""""
)"),"MANIOBRAS")</f>
        <v>MANIOBRAS</v>
      </c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</row>
    <row r="879">
      <c r="A879" s="32"/>
      <c r="B879" s="28" t="s">
        <v>29</v>
      </c>
      <c r="C879" s="29" t="s">
        <v>278</v>
      </c>
      <c r="D879" s="29" t="s">
        <v>560</v>
      </c>
      <c r="E879" s="28">
        <v>3500.0</v>
      </c>
      <c r="F879" s="28">
        <v>0.0</v>
      </c>
      <c r="G879" s="28" t="s">
        <v>250</v>
      </c>
      <c r="H879" s="28">
        <f t="array" ref="H879">INDEX(CC!C:C,MATCH(1,(CC!A:A=G879)*(CC!B:B=I879),0))</f>
        <v>1402</v>
      </c>
      <c r="I879" s="28" t="s">
        <v>25</v>
      </c>
      <c r="J879" s="31">
        <v>3500.0</v>
      </c>
      <c r="K879" s="28" t="str">
        <f>IFERROR(__xludf.DUMMYFUNCTION("IFERROR(
INDEX(
FILTER(
MAP(
reglas!$B$2:$B$240,
reglas!$C$2:$C$240,
reglas!$D$2:$D$240,
reglas!$E$2:$E$240,
LAMBDA(rEmisor,rPatron,rConcepto,rTipo,
IF(
AND(
OR(
UPPER(TRIM(rEmisor))=UPPER(TRIM(C879)),
UPPER(TRIM(rEmisor))=""CUALQUIERA""
),
OR(
UPPER(TRIM"&amp;"(rTipo))=""SOLO EMISOR"",
AND(
UPPER(TRIM(rTipo))=""EXACTA"",
UPPER(TRIM(AG879))=UPPER(TRIM(rPatron))
),
AND(
OR(
UPPER(TRIM(rTipo))=""CONTIENE"",
UPPER(TRIM(rTipo))=""COINCIDENCIA""
),
ISNUMBER(SEARCH(UPPER(TRIM(rPatron)),UPPER(TRIM(D879))))
)
)
),
rConc"&amp;"epto,
""""
)
)
),
MAP(
reglas!$B$2:$B$240,
reglas!$C$2:$C$240,
reglas!$D$2:$D$240,
reglas!$E$2:$E$240,
LAMBDA(rEmisor,rPatron,rConcepto,rTipo,
IF(
AND(
OR(
UPPER(TRIM(rEmisor))=UPPER(TRIM(C879)),
UPPER(TRIM(rEmisor))=""CUALQUIERA""
),
OR(
UPPER(TRIM(rTipo"&amp;"))=""SOLO EMISOR"",
AND(
UPPER(TRIM(rTipo))=""EXACTA"",
UPPER(TRIM(D879))=UPPER(TRIM(rPatron))
),
AND(
OR(
UPPER(TRIM(rTipo))=""CONTIENE"",
UPPER(TRIM(rTipo))=""COINCIDENCIA""
),
ISNUMBER(SEARCH(UPPER(TRIM(rPatron)),UPPER(TRIM(D879))))
)
)
),
rConcepto,
"&amp;"""""
)
)
)&lt;&gt;""""
),
1
),
""""
)"),"MANIOBRAS")</f>
        <v>MANIOBRAS</v>
      </c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</row>
    <row r="880">
      <c r="A880" s="32"/>
      <c r="B880" s="28" t="s">
        <v>29</v>
      </c>
      <c r="C880" s="29" t="s">
        <v>278</v>
      </c>
      <c r="D880" s="29" t="s">
        <v>1697</v>
      </c>
      <c r="E880" s="28">
        <v>500.0</v>
      </c>
      <c r="F880" s="28">
        <v>0.0</v>
      </c>
      <c r="G880" s="28" t="s">
        <v>250</v>
      </c>
      <c r="H880" s="28">
        <f t="array" ref="H880">INDEX(CC!C:C,MATCH(1,(CC!A:A=G880)*(CC!B:B=I880),0))</f>
        <v>1402</v>
      </c>
      <c r="I880" s="28" t="s">
        <v>25</v>
      </c>
      <c r="J880" s="31">
        <v>500.0</v>
      </c>
      <c r="K880" s="28" t="str">
        <f>IFERROR(__xludf.DUMMYFUNCTION("IFERROR(
INDEX(
FILTER(
MAP(
reglas!$B$2:$B$240,
reglas!$C$2:$C$240,
reglas!$D$2:$D$240,
reglas!$E$2:$E$240,
LAMBDA(rEmisor,rPatron,rConcepto,rTipo,
IF(
AND(
OR(
UPPER(TRIM(rEmisor))=UPPER(TRIM(C880)),
UPPER(TRIM(rEmisor))=""CUALQUIERA""
),
OR(
UPPER(TRIM"&amp;"(rTipo))=""SOLO EMISOR"",
AND(
UPPER(TRIM(rTipo))=""EXACTA"",
UPPER(TRIM(AG880))=UPPER(TRIM(rPatron))
),
AND(
OR(
UPPER(TRIM(rTipo))=""CONTIENE"",
UPPER(TRIM(rTipo))=""COINCIDENCIA""
),
ISNUMBER(SEARCH(UPPER(TRIM(rPatron)),UPPER(TRIM(D880))))
)
)
),
rConc"&amp;"epto,
""""
)
)
),
MAP(
reglas!$B$2:$B$240,
reglas!$C$2:$C$240,
reglas!$D$2:$D$240,
reglas!$E$2:$E$240,
LAMBDA(rEmisor,rPatron,rConcepto,rTipo,
IF(
AND(
OR(
UPPER(TRIM(rEmisor))=UPPER(TRIM(C880)),
UPPER(TRIM(rEmisor))=""CUALQUIERA""
),
OR(
UPPER(TRIM(rTipo"&amp;"))=""SOLO EMISOR"",
AND(
UPPER(TRIM(rTipo))=""EXACTA"",
UPPER(TRIM(D880))=UPPER(TRIM(rPatron))
),
AND(
OR(
UPPER(TRIM(rTipo))=""CONTIENE"",
UPPER(TRIM(rTipo))=""COINCIDENCIA""
),
ISNUMBER(SEARCH(UPPER(TRIM(rPatron)),UPPER(TRIM(D880))))
)
)
),
rConcepto,
"&amp;"""""
)
)
)&lt;&gt;""""
),
1
),
""""
)"),"MANIOBRAS")</f>
        <v>MANIOBRAS</v>
      </c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</row>
    <row r="881">
      <c r="A881" s="32"/>
      <c r="B881" s="32"/>
      <c r="C881" s="29" t="s">
        <v>278</v>
      </c>
      <c r="D881" s="29" t="s">
        <v>1752</v>
      </c>
      <c r="E881" s="28">
        <v>350.0</v>
      </c>
      <c r="F881" s="28">
        <v>0.0</v>
      </c>
      <c r="G881" s="28" t="s">
        <v>250</v>
      </c>
      <c r="H881" s="28">
        <f t="array" ref="H881">INDEX(CC!C:C,MATCH(1,(CC!A:A=G881)*(CC!B:B=I881),0))</f>
        <v>1402</v>
      </c>
      <c r="I881" s="28" t="s">
        <v>25</v>
      </c>
      <c r="J881" s="31">
        <v>350.0</v>
      </c>
      <c r="K881" s="28" t="str">
        <f>IFERROR(__xludf.DUMMYFUNCTION("IFERROR(
INDEX(
FILTER(
MAP(
reglas!$B$2:$B$240,
reglas!$C$2:$C$240,
reglas!$D$2:$D$240,
reglas!$E$2:$E$240,
LAMBDA(rEmisor,rPatron,rConcepto,rTipo,
IF(
AND(
OR(
UPPER(TRIM(rEmisor))=UPPER(TRIM(C881)),
UPPER(TRIM(rEmisor))=""CUALQUIERA""
),
OR(
UPPER(TRIM"&amp;"(rTipo))=""SOLO EMISOR"",
AND(
UPPER(TRIM(rTipo))=""EXACTA"",
UPPER(TRIM(AG881))=UPPER(TRIM(rPatron))
),
AND(
OR(
UPPER(TRIM(rTipo))=""CONTIENE"",
UPPER(TRIM(rTipo))=""COINCIDENCIA""
),
ISNUMBER(SEARCH(UPPER(TRIM(rPatron)),UPPER(TRIM(D881))))
)
)
),
rConc"&amp;"epto,
""""
)
)
),
MAP(
reglas!$B$2:$B$240,
reglas!$C$2:$C$240,
reglas!$D$2:$D$240,
reglas!$E$2:$E$240,
LAMBDA(rEmisor,rPatron,rConcepto,rTipo,
IF(
AND(
OR(
UPPER(TRIM(rEmisor))=UPPER(TRIM(C881)),
UPPER(TRIM(rEmisor))=""CUALQUIERA""
),
OR(
UPPER(TRIM(rTipo"&amp;"))=""SOLO EMISOR"",
AND(
UPPER(TRIM(rTipo))=""EXACTA"",
UPPER(TRIM(D881))=UPPER(TRIM(rPatron))
),
AND(
OR(
UPPER(TRIM(rTipo))=""CONTIENE"",
UPPER(TRIM(rTipo))=""COINCIDENCIA""
),
ISNUMBER(SEARCH(UPPER(TRIM(rPatron)),UPPER(TRIM(D881))))
)
)
),
rConcepto,
"&amp;"""""
)
)
)&lt;&gt;""""
),
1
),
""""
)"),"MANIOBRAS")</f>
        <v>MANIOBRAS</v>
      </c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</row>
    <row r="882">
      <c r="A882" s="32"/>
      <c r="B882" s="28" t="s">
        <v>29</v>
      </c>
      <c r="C882" s="29" t="s">
        <v>1723</v>
      </c>
      <c r="D882" s="29" t="s">
        <v>1761</v>
      </c>
      <c r="E882" s="28">
        <v>6200.0</v>
      </c>
      <c r="F882" s="28">
        <v>0.0</v>
      </c>
      <c r="G882" s="28" t="s">
        <v>84</v>
      </c>
      <c r="H882" s="28">
        <f t="array" ref="H882">INDEX(CC!C:C,MATCH(1,(CC!A:A=G882)*(CC!B:B=I882),0))</f>
        <v>1003</v>
      </c>
      <c r="I882" s="28" t="s">
        <v>44</v>
      </c>
      <c r="J882" s="31">
        <v>6200.0</v>
      </c>
      <c r="K882" s="28" t="str">
        <f>IFERROR(__xludf.DUMMYFUNCTION("IFERROR(
INDEX(
FILTER(
MAP(
reglas!$B$2:$B$240,
reglas!$C$2:$C$240,
reglas!$D$2:$D$240,
reglas!$E$2:$E$240,
LAMBDA(rEmisor,rPatron,rConcepto,rTipo,
IF(
AND(
OR(
UPPER(TRIM(rEmisor))=UPPER(TRIM(C882)),
UPPER(TRIM(rEmisor))=""CUALQUIERA""
),
OR(
UPPER(TRIM"&amp;"(rTipo))=""SOLO EMISOR"",
AND(
UPPER(TRIM(rTipo))=""EXACTA"",
UPPER(TRIM(AG882))=UPPER(TRIM(rPatron))
),
AND(
OR(
UPPER(TRIM(rTipo))=""CONTIENE"",
UPPER(TRIM(rTipo))=""COINCIDENCIA""
),
ISNUMBER(SEARCH(UPPER(TRIM(rPatron)),UPPER(TRIM(D882))))
)
)
),
rConc"&amp;"epto,
""""
)
)
),
MAP(
reglas!$B$2:$B$240,
reglas!$C$2:$C$240,
reglas!$D$2:$D$240,
reglas!$E$2:$E$240,
LAMBDA(rEmisor,rPatron,rConcepto,rTipo,
IF(
AND(
OR(
UPPER(TRIM(rEmisor))=UPPER(TRIM(C882)),
UPPER(TRIM(rEmisor))=""CUALQUIERA""
),
OR(
UPPER(TRIM(rTipo"&amp;"))=""SOLO EMISOR"",
AND(
UPPER(TRIM(rTipo))=""EXACTA"",
UPPER(TRIM(D882))=UPPER(TRIM(rPatron))
),
AND(
OR(
UPPER(TRIM(rTipo))=""CONTIENE"",
UPPER(TRIM(rTipo))=""COINCIDENCIA""
),
ISNUMBER(SEARCH(UPPER(TRIM(rPatron)),UPPER(TRIM(D882))))
)
)
),
rConcepto,
"&amp;"""""
)
)
)&lt;&gt;""""
),
1
),
""""
)"),"")</f>
        <v/>
      </c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</row>
    <row r="883">
      <c r="A883" s="32"/>
      <c r="B883" s="28" t="s">
        <v>29</v>
      </c>
      <c r="C883" s="29" t="s">
        <v>278</v>
      </c>
      <c r="D883" s="29" t="s">
        <v>560</v>
      </c>
      <c r="E883" s="28">
        <v>3500.0</v>
      </c>
      <c r="F883" s="28">
        <v>0.0</v>
      </c>
      <c r="G883" s="28" t="s">
        <v>250</v>
      </c>
      <c r="H883" s="28">
        <f t="array" ref="H883">INDEX(CC!C:C,MATCH(1,(CC!A:A=G883)*(CC!B:B=I883),0))</f>
        <v>1402</v>
      </c>
      <c r="I883" s="28" t="s">
        <v>25</v>
      </c>
      <c r="J883" s="31">
        <v>3500.0</v>
      </c>
      <c r="K883" s="28" t="str">
        <f>IFERROR(__xludf.DUMMYFUNCTION("IFERROR(
INDEX(
FILTER(
MAP(
reglas!$B$2:$B$240,
reglas!$C$2:$C$240,
reglas!$D$2:$D$240,
reglas!$E$2:$E$240,
LAMBDA(rEmisor,rPatron,rConcepto,rTipo,
IF(
AND(
OR(
UPPER(TRIM(rEmisor))=UPPER(TRIM(C883)),
UPPER(TRIM(rEmisor))=""CUALQUIERA""
),
OR(
UPPER(TRIM"&amp;"(rTipo))=""SOLO EMISOR"",
AND(
UPPER(TRIM(rTipo))=""EXACTA"",
UPPER(TRIM(AG883))=UPPER(TRIM(rPatron))
),
AND(
OR(
UPPER(TRIM(rTipo))=""CONTIENE"",
UPPER(TRIM(rTipo))=""COINCIDENCIA""
),
ISNUMBER(SEARCH(UPPER(TRIM(rPatron)),UPPER(TRIM(D883))))
)
)
),
rConc"&amp;"epto,
""""
)
)
),
MAP(
reglas!$B$2:$B$240,
reglas!$C$2:$C$240,
reglas!$D$2:$D$240,
reglas!$E$2:$E$240,
LAMBDA(rEmisor,rPatron,rConcepto,rTipo,
IF(
AND(
OR(
UPPER(TRIM(rEmisor))=UPPER(TRIM(C883)),
UPPER(TRIM(rEmisor))=""CUALQUIERA""
),
OR(
UPPER(TRIM(rTipo"&amp;"))=""SOLO EMISOR"",
AND(
UPPER(TRIM(rTipo))=""EXACTA"",
UPPER(TRIM(D883))=UPPER(TRIM(rPatron))
),
AND(
OR(
UPPER(TRIM(rTipo))=""CONTIENE"",
UPPER(TRIM(rTipo))=""COINCIDENCIA""
),
ISNUMBER(SEARCH(UPPER(TRIM(rPatron)),UPPER(TRIM(D883))))
)
)
),
rConcepto,
"&amp;"""""
)
)
)&lt;&gt;""""
),
1
),
""""
)"),"MANIOBRAS")</f>
        <v>MANIOBRAS</v>
      </c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</row>
    <row r="884">
      <c r="A884" s="28">
        <v>1.0</v>
      </c>
      <c r="B884" s="28" t="s">
        <v>29</v>
      </c>
      <c r="C884" s="29" t="s">
        <v>458</v>
      </c>
      <c r="D884" s="29" t="s">
        <v>1762</v>
      </c>
      <c r="E884" s="28">
        <v>3504.0</v>
      </c>
      <c r="F884" s="28">
        <v>0.0</v>
      </c>
      <c r="G884" s="28" t="s">
        <v>554</v>
      </c>
      <c r="H884" s="28">
        <f t="array" ref="H884">INDEX(CC!C:C,MATCH(1,(CC!A:A=G884)*(CC!B:B=I884),0))</f>
        <v>1703</v>
      </c>
      <c r="I884" s="28" t="s">
        <v>44</v>
      </c>
      <c r="J884" s="31">
        <v>3504.0</v>
      </c>
      <c r="K884" s="28" t="str">
        <f>IFERROR(__xludf.DUMMYFUNCTION("IFERROR(
INDEX(
FILTER(
MAP(
reglas!$B$2:$B$240,
reglas!$C$2:$C$240,
reglas!$D$2:$D$240,
reglas!$E$2:$E$240,
LAMBDA(rEmisor,rPatron,rConcepto,rTipo,
IF(
AND(
OR(
UPPER(TRIM(rEmisor))=UPPER(TRIM(C884)),
UPPER(TRIM(rEmisor))=""CUALQUIERA""
),
OR(
UPPER(TRIM"&amp;"(rTipo))=""SOLO EMISOR"",
AND(
UPPER(TRIM(rTipo))=""EXACTA"",
UPPER(TRIM(AG884))=UPPER(TRIM(rPatron))
),
AND(
OR(
UPPER(TRIM(rTipo))=""CONTIENE"",
UPPER(TRIM(rTipo))=""COINCIDENCIA""
),
ISNUMBER(SEARCH(UPPER(TRIM(rPatron)),UPPER(TRIM(D884))))
)
)
),
rConc"&amp;"epto,
""""
)
)
),
MAP(
reglas!$B$2:$B$240,
reglas!$C$2:$C$240,
reglas!$D$2:$D$240,
reglas!$E$2:$E$240,
LAMBDA(rEmisor,rPatron,rConcepto,rTipo,
IF(
AND(
OR(
UPPER(TRIM(rEmisor))=UPPER(TRIM(C884)),
UPPER(TRIM(rEmisor))=""CUALQUIERA""
),
OR(
UPPER(TRIM(rTipo"&amp;"))=""SOLO EMISOR"",
AND(
UPPER(TRIM(rTipo))=""EXACTA"",
UPPER(TRIM(D884))=UPPER(TRIM(rPatron))
),
AND(
OR(
UPPER(TRIM(rTipo))=""CONTIENE"",
UPPER(TRIM(rTipo))=""COINCIDENCIA""
),
ISNUMBER(SEARCH(UPPER(TRIM(rPatron)),UPPER(TRIM(D884))))
)
)
),
rConcepto,
"&amp;"""""
)
)
)&lt;&gt;""""
),
1
),
""""
)"),"MANIOBRAS")</f>
        <v>MANIOBRAS</v>
      </c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</row>
    <row r="885">
      <c r="A885" s="32"/>
      <c r="B885" s="32"/>
      <c r="C885" s="29" t="s">
        <v>458</v>
      </c>
      <c r="D885" s="29" t="s">
        <v>1223</v>
      </c>
      <c r="E885" s="28">
        <v>342.0</v>
      </c>
      <c r="F885" s="28">
        <v>0.0</v>
      </c>
      <c r="G885" s="28" t="s">
        <v>554</v>
      </c>
      <c r="H885" s="28">
        <f t="array" ref="H885">INDEX(CC!C:C,MATCH(1,(CC!A:A=G885)*(CC!B:B=I885),0))</f>
        <v>1703</v>
      </c>
      <c r="I885" s="28" t="s">
        <v>44</v>
      </c>
      <c r="J885" s="31">
        <v>342.0</v>
      </c>
      <c r="K885" s="28" t="str">
        <f>IFERROR(__xludf.DUMMYFUNCTION("IFERROR(
INDEX(
FILTER(
MAP(
reglas!$B$2:$B$240,
reglas!$C$2:$C$240,
reglas!$D$2:$D$240,
reglas!$E$2:$E$240,
LAMBDA(rEmisor,rPatron,rConcepto,rTipo,
IF(
AND(
OR(
UPPER(TRIM(rEmisor))=UPPER(TRIM(C885)),
UPPER(TRIM(rEmisor))=""CUALQUIERA""
),
OR(
UPPER(TRIM"&amp;"(rTipo))=""SOLO EMISOR"",
AND(
UPPER(TRIM(rTipo))=""EXACTA"",
UPPER(TRIM(AG885))=UPPER(TRIM(rPatron))
),
AND(
OR(
UPPER(TRIM(rTipo))=""CONTIENE"",
UPPER(TRIM(rTipo))=""COINCIDENCIA""
),
ISNUMBER(SEARCH(UPPER(TRIM(rPatron)),UPPER(TRIM(D885))))
)
)
),
rConc"&amp;"epto,
""""
)
)
),
MAP(
reglas!$B$2:$B$240,
reglas!$C$2:$C$240,
reglas!$D$2:$D$240,
reglas!$E$2:$E$240,
LAMBDA(rEmisor,rPatron,rConcepto,rTipo,
IF(
AND(
OR(
UPPER(TRIM(rEmisor))=UPPER(TRIM(C885)),
UPPER(TRIM(rEmisor))=""CUALQUIERA""
),
OR(
UPPER(TRIM(rTipo"&amp;"))=""SOLO EMISOR"",
AND(
UPPER(TRIM(rTipo))=""EXACTA"",
UPPER(TRIM(D885))=UPPER(TRIM(rPatron))
),
AND(
OR(
UPPER(TRIM(rTipo))=""CONTIENE"",
UPPER(TRIM(rTipo))=""COINCIDENCIA""
),
ISNUMBER(SEARCH(UPPER(TRIM(rPatron)),UPPER(TRIM(D885))))
)
)
),
rConcepto,
"&amp;"""""
)
)
)&lt;&gt;""""
),
1
),
""""
)"),"MANIOBRAS")</f>
        <v>MANIOBRAS</v>
      </c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</row>
    <row r="886">
      <c r="A886" s="32"/>
      <c r="B886" s="32"/>
      <c r="C886" s="29" t="s">
        <v>458</v>
      </c>
      <c r="D886" s="29" t="s">
        <v>1763</v>
      </c>
      <c r="E886" s="28">
        <v>2826.0</v>
      </c>
      <c r="F886" s="28">
        <v>0.0</v>
      </c>
      <c r="G886" s="28" t="s">
        <v>554</v>
      </c>
      <c r="H886" s="28">
        <f t="array" ref="H886">INDEX(CC!C:C,MATCH(1,(CC!A:A=G886)*(CC!B:B=I886),0))</f>
        <v>1703</v>
      </c>
      <c r="I886" s="28" t="s">
        <v>44</v>
      </c>
      <c r="J886" s="31">
        <v>2826.0</v>
      </c>
      <c r="K886" s="28" t="str">
        <f>IFERROR(__xludf.DUMMYFUNCTION("IFERROR(
INDEX(
FILTER(
MAP(
reglas!$B$2:$B$240,
reglas!$C$2:$C$240,
reglas!$D$2:$D$240,
reglas!$E$2:$E$240,
LAMBDA(rEmisor,rPatron,rConcepto,rTipo,
IF(
AND(
OR(
UPPER(TRIM(rEmisor))=UPPER(TRIM(C886)),
UPPER(TRIM(rEmisor))=""CUALQUIERA""
),
OR(
UPPER(TRIM"&amp;"(rTipo))=""SOLO EMISOR"",
AND(
UPPER(TRIM(rTipo))=""EXACTA"",
UPPER(TRIM(AG886))=UPPER(TRIM(rPatron))
),
AND(
OR(
UPPER(TRIM(rTipo))=""CONTIENE"",
UPPER(TRIM(rTipo))=""COINCIDENCIA""
),
ISNUMBER(SEARCH(UPPER(TRIM(rPatron)),UPPER(TRIM(D886))))
)
)
),
rConc"&amp;"epto,
""""
)
)
),
MAP(
reglas!$B$2:$B$240,
reglas!$C$2:$C$240,
reglas!$D$2:$D$240,
reglas!$E$2:$E$240,
LAMBDA(rEmisor,rPatron,rConcepto,rTipo,
IF(
AND(
OR(
UPPER(TRIM(rEmisor))=UPPER(TRIM(C886)),
UPPER(TRIM(rEmisor))=""CUALQUIERA""
),
OR(
UPPER(TRIM(rTipo"&amp;"))=""SOLO EMISOR"",
AND(
UPPER(TRIM(rTipo))=""EXACTA"",
UPPER(TRIM(D886))=UPPER(TRIM(rPatron))
),
AND(
OR(
UPPER(TRIM(rTipo))=""CONTIENE"",
UPPER(TRIM(rTipo))=""COINCIDENCIA""
),
ISNUMBER(SEARCH(UPPER(TRIM(rPatron)),UPPER(TRIM(D886))))
)
)
),
rConcepto,
"&amp;"""""
)
)
)&lt;&gt;""""
),
1
),
""""
)"),"MANIOBRAS")</f>
        <v>MANIOBRAS</v>
      </c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</row>
    <row r="887">
      <c r="A887" s="32"/>
      <c r="B887" s="32"/>
      <c r="C887" s="29" t="s">
        <v>458</v>
      </c>
      <c r="D887" s="29" t="s">
        <v>1764</v>
      </c>
      <c r="E887" s="28">
        <v>354.0</v>
      </c>
      <c r="F887" s="28">
        <v>0.0</v>
      </c>
      <c r="G887" s="28" t="s">
        <v>554</v>
      </c>
      <c r="H887" s="28">
        <f t="array" ref="H887">INDEX(CC!C:C,MATCH(1,(CC!A:A=G887)*(CC!B:B=I887),0))</f>
        <v>1703</v>
      </c>
      <c r="I887" s="28" t="s">
        <v>44</v>
      </c>
      <c r="J887" s="31">
        <v>354.0</v>
      </c>
      <c r="K887" s="28" t="str">
        <f>IFERROR(__xludf.DUMMYFUNCTION("IFERROR(
INDEX(
FILTER(
MAP(
reglas!$B$2:$B$240,
reglas!$C$2:$C$240,
reglas!$D$2:$D$240,
reglas!$E$2:$E$240,
LAMBDA(rEmisor,rPatron,rConcepto,rTipo,
IF(
AND(
OR(
UPPER(TRIM(rEmisor))=UPPER(TRIM(C887)),
UPPER(TRIM(rEmisor))=""CUALQUIERA""
),
OR(
UPPER(TRIM"&amp;"(rTipo))=""SOLO EMISOR"",
AND(
UPPER(TRIM(rTipo))=""EXACTA"",
UPPER(TRIM(AG887))=UPPER(TRIM(rPatron))
),
AND(
OR(
UPPER(TRIM(rTipo))=""CONTIENE"",
UPPER(TRIM(rTipo))=""COINCIDENCIA""
),
ISNUMBER(SEARCH(UPPER(TRIM(rPatron)),UPPER(TRIM(D887))))
)
)
),
rConc"&amp;"epto,
""""
)
)
),
MAP(
reglas!$B$2:$B$240,
reglas!$C$2:$C$240,
reglas!$D$2:$D$240,
reglas!$E$2:$E$240,
LAMBDA(rEmisor,rPatron,rConcepto,rTipo,
IF(
AND(
OR(
UPPER(TRIM(rEmisor))=UPPER(TRIM(C887)),
UPPER(TRIM(rEmisor))=""CUALQUIERA""
),
OR(
UPPER(TRIM(rTipo"&amp;"))=""SOLO EMISOR"",
AND(
UPPER(TRIM(rTipo))=""EXACTA"",
UPPER(TRIM(D887))=UPPER(TRIM(rPatron))
),
AND(
OR(
UPPER(TRIM(rTipo))=""CONTIENE"",
UPPER(TRIM(rTipo))=""COINCIDENCIA""
),
ISNUMBER(SEARCH(UPPER(TRIM(rPatron)),UPPER(TRIM(D887))))
)
)
),
rConcepto,
"&amp;"""""
)
)
)&lt;&gt;""""
),
1
),
""""
)"),"MANIOBRAS")</f>
        <v>MANIOBRAS</v>
      </c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</row>
    <row r="888">
      <c r="A888" s="32"/>
      <c r="B888" s="32"/>
      <c r="C888" s="29" t="s">
        <v>458</v>
      </c>
      <c r="D888" s="29" t="s">
        <v>1274</v>
      </c>
      <c r="E888" s="28">
        <v>3636.0</v>
      </c>
      <c r="F888" s="28">
        <v>0.0</v>
      </c>
      <c r="G888" s="28" t="s">
        <v>554</v>
      </c>
      <c r="H888" s="28">
        <f t="array" ref="H888">INDEX(CC!C:C,MATCH(1,(CC!A:A=G888)*(CC!B:B=I888),0))</f>
        <v>1703</v>
      </c>
      <c r="I888" s="28" t="s">
        <v>44</v>
      </c>
      <c r="J888" s="31">
        <v>3636.0</v>
      </c>
      <c r="K888" s="28" t="str">
        <f>IFERROR(__xludf.DUMMYFUNCTION("IFERROR(
INDEX(
FILTER(
MAP(
reglas!$B$2:$B$240,
reglas!$C$2:$C$240,
reglas!$D$2:$D$240,
reglas!$E$2:$E$240,
LAMBDA(rEmisor,rPatron,rConcepto,rTipo,
IF(
AND(
OR(
UPPER(TRIM(rEmisor))=UPPER(TRIM(C888)),
UPPER(TRIM(rEmisor))=""CUALQUIERA""
),
OR(
UPPER(TRIM"&amp;"(rTipo))=""SOLO EMISOR"",
AND(
UPPER(TRIM(rTipo))=""EXACTA"",
UPPER(TRIM(AG888))=UPPER(TRIM(rPatron))
),
AND(
OR(
UPPER(TRIM(rTipo))=""CONTIENE"",
UPPER(TRIM(rTipo))=""COINCIDENCIA""
),
ISNUMBER(SEARCH(UPPER(TRIM(rPatron)),UPPER(TRIM(D888))))
)
)
),
rConc"&amp;"epto,
""""
)
)
),
MAP(
reglas!$B$2:$B$240,
reglas!$C$2:$C$240,
reglas!$D$2:$D$240,
reglas!$E$2:$E$240,
LAMBDA(rEmisor,rPatron,rConcepto,rTipo,
IF(
AND(
OR(
UPPER(TRIM(rEmisor))=UPPER(TRIM(C888)),
UPPER(TRIM(rEmisor))=""CUALQUIERA""
),
OR(
UPPER(TRIM(rTipo"&amp;"))=""SOLO EMISOR"",
AND(
UPPER(TRIM(rTipo))=""EXACTA"",
UPPER(TRIM(D888))=UPPER(TRIM(rPatron))
),
AND(
OR(
UPPER(TRIM(rTipo))=""CONTIENE"",
UPPER(TRIM(rTipo))=""COINCIDENCIA""
),
ISNUMBER(SEARCH(UPPER(TRIM(rPatron)),UPPER(TRIM(D888))))
)
)
),
rConcepto,
"&amp;"""""
)
)
)&lt;&gt;""""
),
1
),
""""
)"),"MANIOBRAS")</f>
        <v>MANIOBRAS</v>
      </c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</row>
    <row r="889">
      <c r="A889" s="32"/>
      <c r="B889" s="32"/>
      <c r="C889" s="29" t="s">
        <v>458</v>
      </c>
      <c r="D889" s="29" t="s">
        <v>1278</v>
      </c>
      <c r="E889" s="28">
        <v>427.0</v>
      </c>
      <c r="F889" s="28">
        <v>0.0</v>
      </c>
      <c r="G889" s="28" t="s">
        <v>554</v>
      </c>
      <c r="H889" s="28">
        <f t="array" ref="H889">INDEX(CC!C:C,MATCH(1,(CC!A:A=G889)*(CC!B:B=I889),0))</f>
        <v>1703</v>
      </c>
      <c r="I889" s="28" t="s">
        <v>44</v>
      </c>
      <c r="J889" s="31">
        <v>427.0</v>
      </c>
      <c r="K889" s="28" t="str">
        <f>IFERROR(__xludf.DUMMYFUNCTION("IFERROR(
INDEX(
FILTER(
MAP(
reglas!$B$2:$B$240,
reglas!$C$2:$C$240,
reglas!$D$2:$D$240,
reglas!$E$2:$E$240,
LAMBDA(rEmisor,rPatron,rConcepto,rTipo,
IF(
AND(
OR(
UPPER(TRIM(rEmisor))=UPPER(TRIM(C889)),
UPPER(TRIM(rEmisor))=""CUALQUIERA""
),
OR(
UPPER(TRIM"&amp;"(rTipo))=""SOLO EMISOR"",
AND(
UPPER(TRIM(rTipo))=""EXACTA"",
UPPER(TRIM(AG889))=UPPER(TRIM(rPatron))
),
AND(
OR(
UPPER(TRIM(rTipo))=""CONTIENE"",
UPPER(TRIM(rTipo))=""COINCIDENCIA""
),
ISNUMBER(SEARCH(UPPER(TRIM(rPatron)),UPPER(TRIM(D889))))
)
)
),
rConc"&amp;"epto,
""""
)
)
),
MAP(
reglas!$B$2:$B$240,
reglas!$C$2:$C$240,
reglas!$D$2:$D$240,
reglas!$E$2:$E$240,
LAMBDA(rEmisor,rPatron,rConcepto,rTipo,
IF(
AND(
OR(
UPPER(TRIM(rEmisor))=UPPER(TRIM(C889)),
UPPER(TRIM(rEmisor))=""CUALQUIERA""
),
OR(
UPPER(TRIM(rTipo"&amp;"))=""SOLO EMISOR"",
AND(
UPPER(TRIM(rTipo))=""EXACTA"",
UPPER(TRIM(D889))=UPPER(TRIM(rPatron))
),
AND(
OR(
UPPER(TRIM(rTipo))=""CONTIENE"",
UPPER(TRIM(rTipo))=""COINCIDENCIA""
),
ISNUMBER(SEARCH(UPPER(TRIM(rPatron)),UPPER(TRIM(D889))))
)
)
),
rConcepto,
"&amp;"""""
)
)
)&lt;&gt;""""
),
1
),
""""
)"),"MANIOBRAS")</f>
        <v>MANIOBRAS</v>
      </c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</row>
    <row r="890">
      <c r="A890" s="32"/>
      <c r="B890" s="32"/>
      <c r="C890" s="29" t="s">
        <v>458</v>
      </c>
      <c r="D890" s="29" t="s">
        <v>1283</v>
      </c>
      <c r="E890" s="28">
        <v>930.0</v>
      </c>
      <c r="F890" s="28">
        <v>0.0</v>
      </c>
      <c r="G890" s="28" t="s">
        <v>554</v>
      </c>
      <c r="H890" s="28">
        <f t="array" ref="H890">INDEX(CC!C:C,MATCH(1,(CC!A:A=G890)*(CC!B:B=I890),0))</f>
        <v>1703</v>
      </c>
      <c r="I890" s="28" t="s">
        <v>44</v>
      </c>
      <c r="J890" s="31">
        <v>930.0</v>
      </c>
      <c r="K890" s="28" t="str">
        <f>IFERROR(__xludf.DUMMYFUNCTION("IFERROR(
INDEX(
FILTER(
MAP(
reglas!$B$2:$B$240,
reglas!$C$2:$C$240,
reglas!$D$2:$D$240,
reglas!$E$2:$E$240,
LAMBDA(rEmisor,rPatron,rConcepto,rTipo,
IF(
AND(
OR(
UPPER(TRIM(rEmisor))=UPPER(TRIM(C890)),
UPPER(TRIM(rEmisor))=""CUALQUIERA""
),
OR(
UPPER(TRIM"&amp;"(rTipo))=""SOLO EMISOR"",
AND(
UPPER(TRIM(rTipo))=""EXACTA"",
UPPER(TRIM(AG890))=UPPER(TRIM(rPatron))
),
AND(
OR(
UPPER(TRIM(rTipo))=""CONTIENE"",
UPPER(TRIM(rTipo))=""COINCIDENCIA""
),
ISNUMBER(SEARCH(UPPER(TRIM(rPatron)),UPPER(TRIM(D890))))
)
)
),
rConc"&amp;"epto,
""""
)
)
),
MAP(
reglas!$B$2:$B$240,
reglas!$C$2:$C$240,
reglas!$D$2:$D$240,
reglas!$E$2:$E$240,
LAMBDA(rEmisor,rPatron,rConcepto,rTipo,
IF(
AND(
OR(
UPPER(TRIM(rEmisor))=UPPER(TRIM(C890)),
UPPER(TRIM(rEmisor))=""CUALQUIERA""
),
OR(
UPPER(TRIM(rTipo"&amp;"))=""SOLO EMISOR"",
AND(
UPPER(TRIM(rTipo))=""EXACTA"",
UPPER(TRIM(D890))=UPPER(TRIM(rPatron))
),
AND(
OR(
UPPER(TRIM(rTipo))=""CONTIENE"",
UPPER(TRIM(rTipo))=""COINCIDENCIA""
),
ISNUMBER(SEARCH(UPPER(TRIM(rPatron)),UPPER(TRIM(D890))))
)
)
),
rConcepto,
"&amp;"""""
)
)
)&lt;&gt;""""
),
1
),
""""
)"),"MANIOBRAS")</f>
        <v>MANIOBRAS</v>
      </c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</row>
    <row r="891">
      <c r="A891" s="32"/>
      <c r="B891" s="32"/>
      <c r="C891" s="29" t="s">
        <v>458</v>
      </c>
      <c r="D891" s="29" t="s">
        <v>1289</v>
      </c>
      <c r="E891" s="28">
        <v>700.0</v>
      </c>
      <c r="F891" s="28">
        <v>0.0</v>
      </c>
      <c r="G891" s="28" t="s">
        <v>554</v>
      </c>
      <c r="H891" s="28">
        <f t="array" ref="H891">INDEX(CC!C:C,MATCH(1,(CC!A:A=G891)*(CC!B:B=I891),0))</f>
        <v>1703</v>
      </c>
      <c r="I891" s="28" t="s">
        <v>44</v>
      </c>
      <c r="J891" s="31">
        <v>700.0</v>
      </c>
      <c r="K891" s="28" t="str">
        <f>IFERROR(__xludf.DUMMYFUNCTION("IFERROR(
INDEX(
FILTER(
MAP(
reglas!$B$2:$B$240,
reglas!$C$2:$C$240,
reglas!$D$2:$D$240,
reglas!$E$2:$E$240,
LAMBDA(rEmisor,rPatron,rConcepto,rTipo,
IF(
AND(
OR(
UPPER(TRIM(rEmisor))=UPPER(TRIM(C891)),
UPPER(TRIM(rEmisor))=""CUALQUIERA""
),
OR(
UPPER(TRIM"&amp;"(rTipo))=""SOLO EMISOR"",
AND(
UPPER(TRIM(rTipo))=""EXACTA"",
UPPER(TRIM(AG891))=UPPER(TRIM(rPatron))
),
AND(
OR(
UPPER(TRIM(rTipo))=""CONTIENE"",
UPPER(TRIM(rTipo))=""COINCIDENCIA""
),
ISNUMBER(SEARCH(UPPER(TRIM(rPatron)),UPPER(TRIM(D891))))
)
)
),
rConc"&amp;"epto,
""""
)
)
),
MAP(
reglas!$B$2:$B$240,
reglas!$C$2:$C$240,
reglas!$D$2:$D$240,
reglas!$E$2:$E$240,
LAMBDA(rEmisor,rPatron,rConcepto,rTipo,
IF(
AND(
OR(
UPPER(TRIM(rEmisor))=UPPER(TRIM(C891)),
UPPER(TRIM(rEmisor))=""CUALQUIERA""
),
OR(
UPPER(TRIM(rTipo"&amp;"))=""SOLO EMISOR"",
AND(
UPPER(TRIM(rTipo))=""EXACTA"",
UPPER(TRIM(D891))=UPPER(TRIM(rPatron))
),
AND(
OR(
UPPER(TRIM(rTipo))=""CONTIENE"",
UPPER(TRIM(rTipo))=""COINCIDENCIA""
),
ISNUMBER(SEARCH(UPPER(TRIM(rPatron)),UPPER(TRIM(D891))))
)
)
),
rConcepto,
"&amp;"""""
)
)
)&lt;&gt;""""
),
1
),
""""
)"),"MANIOBRAS")</f>
        <v>MANIOBRAS</v>
      </c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</row>
    <row r="892">
      <c r="A892" s="32"/>
      <c r="B892" s="32"/>
      <c r="C892" s="29" t="s">
        <v>458</v>
      </c>
      <c r="D892" s="29" t="s">
        <v>1765</v>
      </c>
      <c r="E892" s="28">
        <v>1764.0</v>
      </c>
      <c r="F892" s="28">
        <v>0.0</v>
      </c>
      <c r="G892" s="28" t="s">
        <v>554</v>
      </c>
      <c r="H892" s="28">
        <f t="array" ref="H892">INDEX(CC!C:C,MATCH(1,(CC!A:A=G892)*(CC!B:B=I892),0))</f>
        <v>1703</v>
      </c>
      <c r="I892" s="28" t="s">
        <v>44</v>
      </c>
      <c r="J892" s="31">
        <v>1764.0</v>
      </c>
      <c r="K892" s="28" t="str">
        <f>IFERROR(__xludf.DUMMYFUNCTION("IFERROR(
INDEX(
FILTER(
MAP(
reglas!$B$2:$B$240,
reglas!$C$2:$C$240,
reglas!$D$2:$D$240,
reglas!$E$2:$E$240,
LAMBDA(rEmisor,rPatron,rConcepto,rTipo,
IF(
AND(
OR(
UPPER(TRIM(rEmisor))=UPPER(TRIM(C892)),
UPPER(TRIM(rEmisor))=""CUALQUIERA""
),
OR(
UPPER(TRIM"&amp;"(rTipo))=""SOLO EMISOR"",
AND(
UPPER(TRIM(rTipo))=""EXACTA"",
UPPER(TRIM(AG892))=UPPER(TRIM(rPatron))
),
AND(
OR(
UPPER(TRIM(rTipo))=""CONTIENE"",
UPPER(TRIM(rTipo))=""COINCIDENCIA""
),
ISNUMBER(SEARCH(UPPER(TRIM(rPatron)),UPPER(TRIM(D892))))
)
)
),
rConc"&amp;"epto,
""""
)
)
),
MAP(
reglas!$B$2:$B$240,
reglas!$C$2:$C$240,
reglas!$D$2:$D$240,
reglas!$E$2:$E$240,
LAMBDA(rEmisor,rPatron,rConcepto,rTipo,
IF(
AND(
OR(
UPPER(TRIM(rEmisor))=UPPER(TRIM(C892)),
UPPER(TRIM(rEmisor))=""CUALQUIERA""
),
OR(
UPPER(TRIM(rTipo"&amp;"))=""SOLO EMISOR"",
AND(
UPPER(TRIM(rTipo))=""EXACTA"",
UPPER(TRIM(D892))=UPPER(TRIM(rPatron))
),
AND(
OR(
UPPER(TRIM(rTipo))=""CONTIENE"",
UPPER(TRIM(rTipo))=""COINCIDENCIA""
),
ISNUMBER(SEARCH(UPPER(TRIM(rPatron)),UPPER(TRIM(D892))))
)
)
),
rConcepto,
"&amp;"""""
)
)
)&lt;&gt;""""
),
1
),
""""
)"),"MANIOBRAS")</f>
        <v>MANIOBRAS</v>
      </c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</row>
    <row r="893">
      <c r="A893" s="28">
        <v>1.0</v>
      </c>
      <c r="B893" s="28" t="s">
        <v>29</v>
      </c>
      <c r="C893" s="29" t="s">
        <v>271</v>
      </c>
      <c r="D893" s="29" t="s">
        <v>585</v>
      </c>
      <c r="E893" s="28">
        <v>623.81</v>
      </c>
      <c r="F893" s="28">
        <v>0.0</v>
      </c>
      <c r="G893" s="28" t="s">
        <v>84</v>
      </c>
      <c r="H893" s="28">
        <f t="array" ref="H893">INDEX(CC!C:C,MATCH(1,(CC!A:A=G893)*(CC!B:B=I893),0))</f>
        <v>1002</v>
      </c>
      <c r="I893" s="28" t="s">
        <v>25</v>
      </c>
      <c r="J893" s="31">
        <v>623.81</v>
      </c>
      <c r="K893" s="28" t="str">
        <f>IFERROR(__xludf.DUMMYFUNCTION("IFERROR(
INDEX(
FILTER(
MAP(
reglas!$B$2:$B$240,
reglas!$C$2:$C$240,
reglas!$D$2:$D$240,
reglas!$E$2:$E$240,
LAMBDA(rEmisor,rPatron,rConcepto,rTipo,
IF(
AND(
OR(
UPPER(TRIM(rEmisor))=UPPER(TRIM(C893)),
UPPER(TRIM(rEmisor))=""CUALQUIERA""
),
OR(
UPPER(TRIM"&amp;"(rTipo))=""SOLO EMISOR"",
AND(
UPPER(TRIM(rTipo))=""EXACTA"",
UPPER(TRIM(AG893))=UPPER(TRIM(rPatron))
),
AND(
OR(
UPPER(TRIM(rTipo))=""CONTIENE"",
UPPER(TRIM(rTipo))=""COINCIDENCIA""
),
ISNUMBER(SEARCH(UPPER(TRIM(rPatron)),UPPER(TRIM(D893))))
)
)
),
rConc"&amp;"epto,
""""
)
)
),
MAP(
reglas!$B$2:$B$240,
reglas!$C$2:$C$240,
reglas!$D$2:$D$240,
reglas!$E$2:$E$240,
LAMBDA(rEmisor,rPatron,rConcepto,rTipo,
IF(
AND(
OR(
UPPER(TRIM(rEmisor))=UPPER(TRIM(C893)),
UPPER(TRIM(rEmisor))=""CUALQUIERA""
),
OR(
UPPER(TRIM(rTipo"&amp;"))=""SOLO EMISOR"",
AND(
UPPER(TRIM(rTipo))=""EXACTA"",
UPPER(TRIM(D893))=UPPER(TRIM(rPatron))
),
AND(
OR(
UPPER(TRIM(rTipo))=""CONTIENE"",
UPPER(TRIM(rTipo))=""COINCIDENCIA""
),
ISNUMBER(SEARCH(UPPER(TRIM(rPatron)),UPPER(TRIM(D893))))
)
)
),
rConcepto,
"&amp;"""""
)
)
)&lt;&gt;""""
),
1
),
""""
)"),"MANIOBRAS")</f>
        <v>MANIOBRAS</v>
      </c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</row>
    <row r="894">
      <c r="A894" s="32"/>
      <c r="B894" s="32"/>
      <c r="C894" s="29" t="s">
        <v>271</v>
      </c>
      <c r="D894" s="29" t="s">
        <v>587</v>
      </c>
      <c r="E894" s="28">
        <v>570.75</v>
      </c>
      <c r="F894" s="28">
        <v>0.0</v>
      </c>
      <c r="G894" s="28" t="s">
        <v>84</v>
      </c>
      <c r="H894" s="28">
        <f t="array" ref="H894">INDEX(CC!C:C,MATCH(1,(CC!A:A=G894)*(CC!B:B=I894),0))</f>
        <v>1002</v>
      </c>
      <c r="I894" s="28" t="s">
        <v>25</v>
      </c>
      <c r="J894" s="31">
        <v>570.75</v>
      </c>
      <c r="K894" s="28" t="str">
        <f>IFERROR(__xludf.DUMMYFUNCTION("IFERROR(
INDEX(
FILTER(
MAP(
reglas!$B$2:$B$240,
reglas!$C$2:$C$240,
reglas!$D$2:$D$240,
reglas!$E$2:$E$240,
LAMBDA(rEmisor,rPatron,rConcepto,rTipo,
IF(
AND(
OR(
UPPER(TRIM(rEmisor))=UPPER(TRIM(C894)),
UPPER(TRIM(rEmisor))=""CUALQUIERA""
),
OR(
UPPER(TRIM"&amp;"(rTipo))=""SOLO EMISOR"",
AND(
UPPER(TRIM(rTipo))=""EXACTA"",
UPPER(TRIM(AG894))=UPPER(TRIM(rPatron))
),
AND(
OR(
UPPER(TRIM(rTipo))=""CONTIENE"",
UPPER(TRIM(rTipo))=""COINCIDENCIA""
),
ISNUMBER(SEARCH(UPPER(TRIM(rPatron)),UPPER(TRIM(D894))))
)
)
),
rConc"&amp;"epto,
""""
)
)
),
MAP(
reglas!$B$2:$B$240,
reglas!$C$2:$C$240,
reglas!$D$2:$D$240,
reglas!$E$2:$E$240,
LAMBDA(rEmisor,rPatron,rConcepto,rTipo,
IF(
AND(
OR(
UPPER(TRIM(rEmisor))=UPPER(TRIM(C894)),
UPPER(TRIM(rEmisor))=""CUALQUIERA""
),
OR(
UPPER(TRIM(rTipo"&amp;"))=""SOLO EMISOR"",
AND(
UPPER(TRIM(rTipo))=""EXACTA"",
UPPER(TRIM(D894))=UPPER(TRIM(rPatron))
),
AND(
OR(
UPPER(TRIM(rTipo))=""CONTIENE"",
UPPER(TRIM(rTipo))=""COINCIDENCIA""
),
ISNUMBER(SEARCH(UPPER(TRIM(rPatron)),UPPER(TRIM(D894))))
)
)
),
rConcepto,
"&amp;"""""
)
)
)&lt;&gt;""""
),
1
),
""""
)"),"MANIOBRAS")</f>
        <v>MANIOBRAS</v>
      </c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</row>
    <row r="895">
      <c r="A895" s="32"/>
      <c r="B895" s="32"/>
      <c r="C895" s="29" t="s">
        <v>271</v>
      </c>
      <c r="D895" s="29" t="s">
        <v>586</v>
      </c>
      <c r="E895" s="28">
        <v>624.15</v>
      </c>
      <c r="F895" s="28">
        <v>0.0</v>
      </c>
      <c r="G895" s="28" t="s">
        <v>84</v>
      </c>
      <c r="H895" s="28">
        <f t="array" ref="H895">INDEX(CC!C:C,MATCH(1,(CC!A:A=G895)*(CC!B:B=I895),0))</f>
        <v>1002</v>
      </c>
      <c r="I895" s="28" t="s">
        <v>25</v>
      </c>
      <c r="J895" s="31">
        <v>624.15</v>
      </c>
      <c r="K895" s="28" t="str">
        <f>IFERROR(__xludf.DUMMYFUNCTION("IFERROR(
INDEX(
FILTER(
MAP(
reglas!$B$2:$B$240,
reglas!$C$2:$C$240,
reglas!$D$2:$D$240,
reglas!$E$2:$E$240,
LAMBDA(rEmisor,rPatron,rConcepto,rTipo,
IF(
AND(
OR(
UPPER(TRIM(rEmisor))=UPPER(TRIM(C895)),
UPPER(TRIM(rEmisor))=""CUALQUIERA""
),
OR(
UPPER(TRIM"&amp;"(rTipo))=""SOLO EMISOR"",
AND(
UPPER(TRIM(rTipo))=""EXACTA"",
UPPER(TRIM(AG895))=UPPER(TRIM(rPatron))
),
AND(
OR(
UPPER(TRIM(rTipo))=""CONTIENE"",
UPPER(TRIM(rTipo))=""COINCIDENCIA""
),
ISNUMBER(SEARCH(UPPER(TRIM(rPatron)),UPPER(TRIM(D895))))
)
)
),
rConc"&amp;"epto,
""""
)
)
),
MAP(
reglas!$B$2:$B$240,
reglas!$C$2:$C$240,
reglas!$D$2:$D$240,
reglas!$E$2:$E$240,
LAMBDA(rEmisor,rPatron,rConcepto,rTipo,
IF(
AND(
OR(
UPPER(TRIM(rEmisor))=UPPER(TRIM(C895)),
UPPER(TRIM(rEmisor))=""CUALQUIERA""
),
OR(
UPPER(TRIM(rTipo"&amp;"))=""SOLO EMISOR"",
AND(
UPPER(TRIM(rTipo))=""EXACTA"",
UPPER(TRIM(D895))=UPPER(TRIM(rPatron))
),
AND(
OR(
UPPER(TRIM(rTipo))=""CONTIENE"",
UPPER(TRIM(rTipo))=""COINCIDENCIA""
),
ISNUMBER(SEARCH(UPPER(TRIM(rPatron)),UPPER(TRIM(D895))))
)
)
),
rConcepto,
"&amp;"""""
)
)
)&lt;&gt;""""
),
1
),
""""
)"),"MANIOBRAS")</f>
        <v>MANIOBRAS</v>
      </c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</row>
    <row r="896">
      <c r="A896" s="32"/>
      <c r="B896" s="32"/>
      <c r="C896" s="29" t="s">
        <v>271</v>
      </c>
      <c r="D896" s="29" t="s">
        <v>589</v>
      </c>
      <c r="E896" s="28">
        <v>686.6</v>
      </c>
      <c r="F896" s="28">
        <v>0.0</v>
      </c>
      <c r="G896" s="28" t="s">
        <v>84</v>
      </c>
      <c r="H896" s="28">
        <f t="array" ref="H896">INDEX(CC!C:C,MATCH(1,(CC!A:A=G896)*(CC!B:B=I896),0))</f>
        <v>1002</v>
      </c>
      <c r="I896" s="28" t="s">
        <v>25</v>
      </c>
      <c r="J896" s="31">
        <v>686.6</v>
      </c>
      <c r="K896" s="28" t="str">
        <f>IFERROR(__xludf.DUMMYFUNCTION("IFERROR(
INDEX(
FILTER(
MAP(
reglas!$B$2:$B$240,
reglas!$C$2:$C$240,
reglas!$D$2:$D$240,
reglas!$E$2:$E$240,
LAMBDA(rEmisor,rPatron,rConcepto,rTipo,
IF(
AND(
OR(
UPPER(TRIM(rEmisor))=UPPER(TRIM(C896)),
UPPER(TRIM(rEmisor))=""CUALQUIERA""
),
OR(
UPPER(TRIM"&amp;"(rTipo))=""SOLO EMISOR"",
AND(
UPPER(TRIM(rTipo))=""EXACTA"",
UPPER(TRIM(AG896))=UPPER(TRIM(rPatron))
),
AND(
OR(
UPPER(TRIM(rTipo))=""CONTIENE"",
UPPER(TRIM(rTipo))=""COINCIDENCIA""
),
ISNUMBER(SEARCH(UPPER(TRIM(rPatron)),UPPER(TRIM(D896))))
)
)
),
rConc"&amp;"epto,
""""
)
)
),
MAP(
reglas!$B$2:$B$240,
reglas!$C$2:$C$240,
reglas!$D$2:$D$240,
reglas!$E$2:$E$240,
LAMBDA(rEmisor,rPatron,rConcepto,rTipo,
IF(
AND(
OR(
UPPER(TRIM(rEmisor))=UPPER(TRIM(C896)),
UPPER(TRIM(rEmisor))=""CUALQUIERA""
),
OR(
UPPER(TRIM(rTipo"&amp;"))=""SOLO EMISOR"",
AND(
UPPER(TRIM(rTipo))=""EXACTA"",
UPPER(TRIM(D896))=UPPER(TRIM(rPatron))
),
AND(
OR(
UPPER(TRIM(rTipo))=""CONTIENE"",
UPPER(TRIM(rTipo))=""COINCIDENCIA""
),
ISNUMBER(SEARCH(UPPER(TRIM(rPatron)),UPPER(TRIM(D896))))
)
)
),
rConcepto,
"&amp;"""""
)
)
)&lt;&gt;""""
),
1
),
""""
)"),"MANIOBRAS")</f>
        <v>MANIOBRAS</v>
      </c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</row>
    <row r="897">
      <c r="A897" s="32"/>
      <c r="B897" s="32"/>
      <c r="C897" s="29" t="s">
        <v>271</v>
      </c>
      <c r="D897" s="29" t="s">
        <v>593</v>
      </c>
      <c r="E897" s="28">
        <v>559.83</v>
      </c>
      <c r="F897" s="28">
        <v>0.0</v>
      </c>
      <c r="G897" s="28" t="s">
        <v>84</v>
      </c>
      <c r="H897" s="28">
        <f t="array" ref="H897">INDEX(CC!C:C,MATCH(1,(CC!A:A=G897)*(CC!B:B=I897),0))</f>
        <v>1002</v>
      </c>
      <c r="I897" s="28" t="s">
        <v>25</v>
      </c>
      <c r="J897" s="31">
        <v>559.83</v>
      </c>
      <c r="K897" s="28" t="str">
        <f>IFERROR(__xludf.DUMMYFUNCTION("IFERROR(
INDEX(
FILTER(
MAP(
reglas!$B$2:$B$240,
reglas!$C$2:$C$240,
reglas!$D$2:$D$240,
reglas!$E$2:$E$240,
LAMBDA(rEmisor,rPatron,rConcepto,rTipo,
IF(
AND(
OR(
UPPER(TRIM(rEmisor))=UPPER(TRIM(C897)),
UPPER(TRIM(rEmisor))=""CUALQUIERA""
),
OR(
UPPER(TRIM"&amp;"(rTipo))=""SOLO EMISOR"",
AND(
UPPER(TRIM(rTipo))=""EXACTA"",
UPPER(TRIM(AG897))=UPPER(TRIM(rPatron))
),
AND(
OR(
UPPER(TRIM(rTipo))=""CONTIENE"",
UPPER(TRIM(rTipo))=""COINCIDENCIA""
),
ISNUMBER(SEARCH(UPPER(TRIM(rPatron)),UPPER(TRIM(D897))))
)
)
),
rConc"&amp;"epto,
""""
)
)
),
MAP(
reglas!$B$2:$B$240,
reglas!$C$2:$C$240,
reglas!$D$2:$D$240,
reglas!$E$2:$E$240,
LAMBDA(rEmisor,rPatron,rConcepto,rTipo,
IF(
AND(
OR(
UPPER(TRIM(rEmisor))=UPPER(TRIM(C897)),
UPPER(TRIM(rEmisor))=""CUALQUIERA""
),
OR(
UPPER(TRIM(rTipo"&amp;"))=""SOLO EMISOR"",
AND(
UPPER(TRIM(rTipo))=""EXACTA"",
UPPER(TRIM(D897))=UPPER(TRIM(rPatron))
),
AND(
OR(
UPPER(TRIM(rTipo))=""CONTIENE"",
UPPER(TRIM(rTipo))=""COINCIDENCIA""
),
ISNUMBER(SEARCH(UPPER(TRIM(rPatron)),UPPER(TRIM(D897))))
)
)
),
rConcepto,
"&amp;"""""
)
)
)&lt;&gt;""""
),
1
),
""""
)"),"MANIOBRAS")</f>
        <v>MANIOBRAS</v>
      </c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</row>
    <row r="898">
      <c r="A898" s="32"/>
      <c r="B898" s="32"/>
      <c r="C898" s="29" t="s">
        <v>271</v>
      </c>
      <c r="D898" s="29" t="s">
        <v>596</v>
      </c>
      <c r="E898" s="28">
        <v>654.87</v>
      </c>
      <c r="F898" s="28">
        <v>0.0</v>
      </c>
      <c r="G898" s="28" t="s">
        <v>84</v>
      </c>
      <c r="H898" s="28">
        <f t="array" ref="H898">INDEX(CC!C:C,MATCH(1,(CC!A:A=G898)*(CC!B:B=I898),0))</f>
        <v>1002</v>
      </c>
      <c r="I898" s="28" t="s">
        <v>25</v>
      </c>
      <c r="J898" s="31">
        <v>654.87</v>
      </c>
      <c r="K898" s="28" t="str">
        <f>IFERROR(__xludf.DUMMYFUNCTION("IFERROR(
INDEX(
FILTER(
MAP(
reglas!$B$2:$B$240,
reglas!$C$2:$C$240,
reglas!$D$2:$D$240,
reglas!$E$2:$E$240,
LAMBDA(rEmisor,rPatron,rConcepto,rTipo,
IF(
AND(
OR(
UPPER(TRIM(rEmisor))=UPPER(TRIM(C898)),
UPPER(TRIM(rEmisor))=""CUALQUIERA""
),
OR(
UPPER(TRIM"&amp;"(rTipo))=""SOLO EMISOR"",
AND(
UPPER(TRIM(rTipo))=""EXACTA"",
UPPER(TRIM(AG898))=UPPER(TRIM(rPatron))
),
AND(
OR(
UPPER(TRIM(rTipo))=""CONTIENE"",
UPPER(TRIM(rTipo))=""COINCIDENCIA""
),
ISNUMBER(SEARCH(UPPER(TRIM(rPatron)),UPPER(TRIM(D898))))
)
)
),
rConc"&amp;"epto,
""""
)
)
),
MAP(
reglas!$B$2:$B$240,
reglas!$C$2:$C$240,
reglas!$D$2:$D$240,
reglas!$E$2:$E$240,
LAMBDA(rEmisor,rPatron,rConcepto,rTipo,
IF(
AND(
OR(
UPPER(TRIM(rEmisor))=UPPER(TRIM(C898)),
UPPER(TRIM(rEmisor))=""CUALQUIERA""
),
OR(
UPPER(TRIM(rTipo"&amp;"))=""SOLO EMISOR"",
AND(
UPPER(TRIM(rTipo))=""EXACTA"",
UPPER(TRIM(D898))=UPPER(TRIM(rPatron))
),
AND(
OR(
UPPER(TRIM(rTipo))=""CONTIENE"",
UPPER(TRIM(rTipo))=""COINCIDENCIA""
),
ISNUMBER(SEARCH(UPPER(TRIM(rPatron)),UPPER(TRIM(D898))))
)
)
),
rConcepto,
"&amp;"""""
)
)
)&lt;&gt;""""
),
1
),
""""
)"),"MANIOBRAS")</f>
        <v>MANIOBRAS</v>
      </c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</row>
    <row r="899">
      <c r="A899" s="32"/>
      <c r="B899" s="28" t="s">
        <v>29</v>
      </c>
      <c r="C899" s="29" t="s">
        <v>278</v>
      </c>
      <c r="D899" s="29" t="s">
        <v>560</v>
      </c>
      <c r="E899" s="28">
        <v>3500.0</v>
      </c>
      <c r="F899" s="28">
        <v>0.0</v>
      </c>
      <c r="G899" s="28" t="s">
        <v>250</v>
      </c>
      <c r="H899" s="28">
        <f t="array" ref="H899">INDEX(CC!C:C,MATCH(1,(CC!A:A=G899)*(CC!B:B=I899),0))</f>
        <v>1402</v>
      </c>
      <c r="I899" s="28" t="s">
        <v>25</v>
      </c>
      <c r="J899" s="31">
        <v>3500.0</v>
      </c>
      <c r="K899" s="28" t="str">
        <f>IFERROR(__xludf.DUMMYFUNCTION("IFERROR(
INDEX(
FILTER(
MAP(
reglas!$B$2:$B$240,
reglas!$C$2:$C$240,
reglas!$D$2:$D$240,
reglas!$E$2:$E$240,
LAMBDA(rEmisor,rPatron,rConcepto,rTipo,
IF(
AND(
OR(
UPPER(TRIM(rEmisor))=UPPER(TRIM(C899)),
UPPER(TRIM(rEmisor))=""CUALQUIERA""
),
OR(
UPPER(TRIM"&amp;"(rTipo))=""SOLO EMISOR"",
AND(
UPPER(TRIM(rTipo))=""EXACTA"",
UPPER(TRIM(AG899))=UPPER(TRIM(rPatron))
),
AND(
OR(
UPPER(TRIM(rTipo))=""CONTIENE"",
UPPER(TRIM(rTipo))=""COINCIDENCIA""
),
ISNUMBER(SEARCH(UPPER(TRIM(rPatron)),UPPER(TRIM(D899))))
)
)
),
rConc"&amp;"epto,
""""
)
)
),
MAP(
reglas!$B$2:$B$240,
reglas!$C$2:$C$240,
reglas!$D$2:$D$240,
reglas!$E$2:$E$240,
LAMBDA(rEmisor,rPatron,rConcepto,rTipo,
IF(
AND(
OR(
UPPER(TRIM(rEmisor))=UPPER(TRIM(C899)),
UPPER(TRIM(rEmisor))=""CUALQUIERA""
),
OR(
UPPER(TRIM(rTipo"&amp;"))=""SOLO EMISOR"",
AND(
UPPER(TRIM(rTipo))=""EXACTA"",
UPPER(TRIM(D899))=UPPER(TRIM(rPatron))
),
AND(
OR(
UPPER(TRIM(rTipo))=""CONTIENE"",
UPPER(TRIM(rTipo))=""COINCIDENCIA""
),
ISNUMBER(SEARCH(UPPER(TRIM(rPatron)),UPPER(TRIM(D899))))
)
)
),
rConcepto,
"&amp;"""""
)
)
)&lt;&gt;""""
),
1
),
""""
)"),"MANIOBRAS")</f>
        <v>MANIOBRAS</v>
      </c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</row>
    <row r="900">
      <c r="A900" s="32"/>
      <c r="B900" s="28" t="s">
        <v>29</v>
      </c>
      <c r="C900" s="29" t="s">
        <v>172</v>
      </c>
      <c r="D900" s="29" t="s">
        <v>1711</v>
      </c>
      <c r="E900" s="28">
        <v>11500.0</v>
      </c>
      <c r="F900" s="28">
        <v>0.0</v>
      </c>
      <c r="G900" s="28" t="s">
        <v>250</v>
      </c>
      <c r="H900" s="28">
        <f t="array" ref="H900">INDEX(CC!C:C,MATCH(1,(CC!A:A=G900)*(CC!B:B=I900),0))</f>
        <v>1402</v>
      </c>
      <c r="I900" s="28" t="s">
        <v>25</v>
      </c>
      <c r="J900" s="31">
        <v>11500.0</v>
      </c>
      <c r="K900" s="28" t="str">
        <f>IFERROR(__xludf.DUMMYFUNCTION("IFERROR(
INDEX(
FILTER(
MAP(
reglas!$B$2:$B$240,
reglas!$C$2:$C$240,
reglas!$D$2:$D$240,
reglas!$E$2:$E$240,
LAMBDA(rEmisor,rPatron,rConcepto,rTipo,
IF(
AND(
OR(
UPPER(TRIM(rEmisor))=UPPER(TRIM(C900)),
UPPER(TRIM(rEmisor))=""CUALQUIERA""
),
OR(
UPPER(TRIM"&amp;"(rTipo))=""SOLO EMISOR"",
AND(
UPPER(TRIM(rTipo))=""EXACTA"",
UPPER(TRIM(AG900))=UPPER(TRIM(rPatron))
),
AND(
OR(
UPPER(TRIM(rTipo))=""CONTIENE"",
UPPER(TRIM(rTipo))=""COINCIDENCIA""
),
ISNUMBER(SEARCH(UPPER(TRIM(rPatron)),UPPER(TRIM(D900))))
)
)
),
rConc"&amp;"epto,
""""
)
)
),
MAP(
reglas!$B$2:$B$240,
reglas!$C$2:$C$240,
reglas!$D$2:$D$240,
reglas!$E$2:$E$240,
LAMBDA(rEmisor,rPatron,rConcepto,rTipo,
IF(
AND(
OR(
UPPER(TRIM(rEmisor))=UPPER(TRIM(C900)),
UPPER(TRIM(rEmisor))=""CUALQUIERA""
),
OR(
UPPER(TRIM(rTipo"&amp;"))=""SOLO EMISOR"",
AND(
UPPER(TRIM(rTipo))=""EXACTA"",
UPPER(TRIM(D900))=UPPER(TRIM(rPatron))
),
AND(
OR(
UPPER(TRIM(rTipo))=""CONTIENE"",
UPPER(TRIM(rTipo))=""COINCIDENCIA""
),
ISNUMBER(SEARCH(UPPER(TRIM(rPatron)),UPPER(TRIM(D900))))
)
)
),
rConcepto,
"&amp;"""""
)
)
)&lt;&gt;""""
),
1
),
""""
)"),"TRANSPORTE")</f>
        <v>TRANSPORTE</v>
      </c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</row>
    <row r="901">
      <c r="A901" s="32"/>
      <c r="B901" s="28" t="s">
        <v>29</v>
      </c>
      <c r="C901" s="29" t="s">
        <v>172</v>
      </c>
      <c r="D901" s="29" t="s">
        <v>1754</v>
      </c>
      <c r="E901" s="28">
        <v>11500.0</v>
      </c>
      <c r="F901" s="28">
        <v>0.0</v>
      </c>
      <c r="G901" s="28" t="s">
        <v>250</v>
      </c>
      <c r="H901" s="28">
        <f t="array" ref="H901">INDEX(CC!C:C,MATCH(1,(CC!A:A=G901)*(CC!B:B=I901),0))</f>
        <v>1402</v>
      </c>
      <c r="I901" s="28" t="s">
        <v>25</v>
      </c>
      <c r="J901" s="31">
        <v>11500.0</v>
      </c>
      <c r="K901" s="28" t="str">
        <f>IFERROR(__xludf.DUMMYFUNCTION("IFERROR(
INDEX(
FILTER(
MAP(
reglas!$B$2:$B$240,
reglas!$C$2:$C$240,
reglas!$D$2:$D$240,
reglas!$E$2:$E$240,
LAMBDA(rEmisor,rPatron,rConcepto,rTipo,
IF(
AND(
OR(
UPPER(TRIM(rEmisor))=UPPER(TRIM(C901)),
UPPER(TRIM(rEmisor))=""CUALQUIERA""
),
OR(
UPPER(TRIM"&amp;"(rTipo))=""SOLO EMISOR"",
AND(
UPPER(TRIM(rTipo))=""EXACTA"",
UPPER(TRIM(AG901))=UPPER(TRIM(rPatron))
),
AND(
OR(
UPPER(TRIM(rTipo))=""CONTIENE"",
UPPER(TRIM(rTipo))=""COINCIDENCIA""
),
ISNUMBER(SEARCH(UPPER(TRIM(rPatron)),UPPER(TRIM(D901))))
)
)
),
rConc"&amp;"epto,
""""
)
)
),
MAP(
reglas!$B$2:$B$240,
reglas!$C$2:$C$240,
reglas!$D$2:$D$240,
reglas!$E$2:$E$240,
LAMBDA(rEmisor,rPatron,rConcepto,rTipo,
IF(
AND(
OR(
UPPER(TRIM(rEmisor))=UPPER(TRIM(C901)),
UPPER(TRIM(rEmisor))=""CUALQUIERA""
),
OR(
UPPER(TRIM(rTipo"&amp;"))=""SOLO EMISOR"",
AND(
UPPER(TRIM(rTipo))=""EXACTA"",
UPPER(TRIM(D901))=UPPER(TRIM(rPatron))
),
AND(
OR(
UPPER(TRIM(rTipo))=""CONTIENE"",
UPPER(TRIM(rTipo))=""COINCIDENCIA""
),
ISNUMBER(SEARCH(UPPER(TRIM(rPatron)),UPPER(TRIM(D901))))
)
)
),
rConcepto,
"&amp;"""""
)
)
)&lt;&gt;""""
),
1
),
""""
)"),"TRANSPORTE")</f>
        <v>TRANSPORTE</v>
      </c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</row>
    <row r="902">
      <c r="A902" s="32"/>
      <c r="B902" s="28" t="s">
        <v>29</v>
      </c>
      <c r="C902" s="29" t="s">
        <v>1766</v>
      </c>
      <c r="D902" s="29" t="s">
        <v>1767</v>
      </c>
      <c r="E902" s="28">
        <v>38761.7224</v>
      </c>
      <c r="F902" s="28">
        <v>988.48</v>
      </c>
      <c r="G902" s="28" t="s">
        <v>250</v>
      </c>
      <c r="H902" s="28" t="str">
        <f t="array" ref="H902">INDEX(CC!C:C,MATCH(1,(CC!A:A=G902)*(CC!B:B=I902),0))</f>
        <v>#N/A</v>
      </c>
      <c r="I902" s="28" t="s">
        <v>1768</v>
      </c>
      <c r="J902" s="31">
        <v>37773.24</v>
      </c>
      <c r="K902" s="28" t="str">
        <f>IFERROR(__xludf.DUMMYFUNCTION("IFERROR(
INDEX(
FILTER(
MAP(
reglas!$B$2:$B$240,
reglas!$C$2:$C$240,
reglas!$D$2:$D$240,
reglas!$E$2:$E$240,
LAMBDA(rEmisor,rPatron,rConcepto,rTipo,
IF(
AND(
OR(
UPPER(TRIM(rEmisor))=UPPER(TRIM(C902)),
UPPER(TRIM(rEmisor))=""CUALQUIERA""
),
OR(
UPPER(TRIM"&amp;"(rTipo))=""SOLO EMISOR"",
AND(
UPPER(TRIM(rTipo))=""EXACTA"",
UPPER(TRIM(AG902))=UPPER(TRIM(rPatron))
),
AND(
OR(
UPPER(TRIM(rTipo))=""CONTIENE"",
UPPER(TRIM(rTipo))=""COINCIDENCIA""
),
ISNUMBER(SEARCH(UPPER(TRIM(rPatron)),UPPER(TRIM(D902))))
)
)
),
rConc"&amp;"epto,
""""
)
)
),
MAP(
reglas!$B$2:$B$240,
reglas!$C$2:$C$240,
reglas!$D$2:$D$240,
reglas!$E$2:$E$240,
LAMBDA(rEmisor,rPatron,rConcepto,rTipo,
IF(
AND(
OR(
UPPER(TRIM(rEmisor))=UPPER(TRIM(C902)),
UPPER(TRIM(rEmisor))=""CUALQUIERA""
),
OR(
UPPER(TRIM(rTipo"&amp;"))=""SOLO EMISOR"",
AND(
UPPER(TRIM(rTipo))=""EXACTA"",
UPPER(TRIM(D902))=UPPER(TRIM(rPatron))
),
AND(
OR(
UPPER(TRIM(rTipo))=""CONTIENE"",
UPPER(TRIM(rTipo))=""COINCIDENCIA""
),
ISNUMBER(SEARCH(UPPER(TRIM(rPatron)),UPPER(TRIM(D902))))
)
)
),
rConcepto,
"&amp;"""""
)
)
)&lt;&gt;""""
),
1
),
""""
)"),"")</f>
        <v/>
      </c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</row>
    <row r="903">
      <c r="A903" s="32"/>
      <c r="B903" s="28" t="s">
        <v>29</v>
      </c>
      <c r="C903" s="29" t="s">
        <v>140</v>
      </c>
      <c r="D903" s="29" t="s">
        <v>1769</v>
      </c>
      <c r="E903" s="28">
        <v>3550.0</v>
      </c>
      <c r="F903" s="28">
        <v>0.0</v>
      </c>
      <c r="G903" s="28" t="s">
        <v>55</v>
      </c>
      <c r="H903" s="28">
        <f t="array" ref="H903">INDEX(CC!C:C,MATCH(1,(CC!A:A=G903)*(CC!B:B=I903),0))</f>
        <v>902</v>
      </c>
      <c r="I903" s="28" t="s">
        <v>25</v>
      </c>
      <c r="J903" s="31">
        <v>3550.0</v>
      </c>
      <c r="K903" s="28" t="str">
        <f>IFERROR(__xludf.DUMMYFUNCTION("IFERROR(
INDEX(
FILTER(
MAP(
reglas!$B$2:$B$240,
reglas!$C$2:$C$240,
reglas!$D$2:$D$240,
reglas!$E$2:$E$240,
LAMBDA(rEmisor,rPatron,rConcepto,rTipo,
IF(
AND(
OR(
UPPER(TRIM(rEmisor))=UPPER(TRIM(C903)),
UPPER(TRIM(rEmisor))=""CUALQUIERA""
),
OR(
UPPER(TRIM"&amp;"(rTipo))=""SOLO EMISOR"",
AND(
UPPER(TRIM(rTipo))=""EXACTA"",
UPPER(TRIM(AG903))=UPPER(TRIM(rPatron))
),
AND(
OR(
UPPER(TRIM(rTipo))=""CONTIENE"",
UPPER(TRIM(rTipo))=""COINCIDENCIA""
),
ISNUMBER(SEARCH(UPPER(TRIM(rPatron)),UPPER(TRIM(D903))))
)
)
),
rConc"&amp;"epto,
""""
)
)
),
MAP(
reglas!$B$2:$B$240,
reglas!$C$2:$C$240,
reglas!$D$2:$D$240,
reglas!$E$2:$E$240,
LAMBDA(rEmisor,rPatron,rConcepto,rTipo,
IF(
AND(
OR(
UPPER(TRIM(rEmisor))=UPPER(TRIM(C903)),
UPPER(TRIM(rEmisor))=""CUALQUIERA""
),
OR(
UPPER(TRIM(rTipo"&amp;"))=""SOLO EMISOR"",
AND(
UPPER(TRIM(rTipo))=""EXACTA"",
UPPER(TRIM(D903))=UPPER(TRIM(rPatron))
),
AND(
OR(
UPPER(TRIM(rTipo))=""CONTIENE"",
UPPER(TRIM(rTipo))=""COINCIDENCIA""
),
ISNUMBER(SEARCH(UPPER(TRIM(rPatron)),UPPER(TRIM(D903))))
)
)
),
rConcepto,
"&amp;"""""
)
)
)&lt;&gt;""""
),
1
),
""""
)"),"SELLOS FISCALES")</f>
        <v>SELLOS FISCALES</v>
      </c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</row>
    <row r="904">
      <c r="A904" s="32"/>
      <c r="B904" s="32"/>
      <c r="C904" s="29" t="s">
        <v>140</v>
      </c>
      <c r="D904" s="29" t="s">
        <v>149</v>
      </c>
      <c r="E904" s="28">
        <v>350.0</v>
      </c>
      <c r="F904" s="28">
        <v>0.0</v>
      </c>
      <c r="G904" s="28" t="s">
        <v>55</v>
      </c>
      <c r="H904" s="28">
        <f t="array" ref="H904">INDEX(CC!C:C,MATCH(1,(CC!A:A=G904)*(CC!B:B=I904),0))</f>
        <v>902</v>
      </c>
      <c r="I904" s="28" t="s">
        <v>25</v>
      </c>
      <c r="J904" s="31">
        <v>350.0</v>
      </c>
      <c r="K904" s="28" t="str">
        <f>IFERROR(__xludf.DUMMYFUNCTION("IFERROR(
INDEX(
FILTER(
MAP(
reglas!$B$2:$B$240,
reglas!$C$2:$C$240,
reglas!$D$2:$D$240,
reglas!$E$2:$E$240,
LAMBDA(rEmisor,rPatron,rConcepto,rTipo,
IF(
AND(
OR(
UPPER(TRIM(rEmisor))=UPPER(TRIM(C904)),
UPPER(TRIM(rEmisor))=""CUALQUIERA""
),
OR(
UPPER(TRIM"&amp;"(rTipo))=""SOLO EMISOR"",
AND(
UPPER(TRIM(rTipo))=""EXACTA"",
UPPER(TRIM(AG904))=UPPER(TRIM(rPatron))
),
AND(
OR(
UPPER(TRIM(rTipo))=""CONTIENE"",
UPPER(TRIM(rTipo))=""COINCIDENCIA""
),
ISNUMBER(SEARCH(UPPER(TRIM(rPatron)),UPPER(TRIM(D904))))
)
)
),
rConc"&amp;"epto,
""""
)
)
),
MAP(
reglas!$B$2:$B$240,
reglas!$C$2:$C$240,
reglas!$D$2:$D$240,
reglas!$E$2:$E$240,
LAMBDA(rEmisor,rPatron,rConcepto,rTipo,
IF(
AND(
OR(
UPPER(TRIM(rEmisor))=UPPER(TRIM(C904)),
UPPER(TRIM(rEmisor))=""CUALQUIERA""
),
OR(
UPPER(TRIM(rTipo"&amp;"))=""SOLO EMISOR"",
AND(
UPPER(TRIM(rTipo))=""EXACTA"",
UPPER(TRIM(D904))=UPPER(TRIM(rPatron))
),
AND(
OR(
UPPER(TRIM(rTipo))=""CONTIENE"",
UPPER(TRIM(rTipo))=""COINCIDENCIA""
),
ISNUMBER(SEARCH(UPPER(TRIM(rPatron)),UPPER(TRIM(D904))))
)
)
),
rConcepto,
"&amp;"""""
)
)
)&lt;&gt;""""
),
1
),
""""
)"),"OTROS GASTOS")</f>
        <v>OTROS GASTOS</v>
      </c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</row>
    <row r="905">
      <c r="A905" s="32"/>
      <c r="B905" s="28" t="s">
        <v>29</v>
      </c>
      <c r="C905" s="29" t="s">
        <v>278</v>
      </c>
      <c r="D905" s="29" t="s">
        <v>560</v>
      </c>
      <c r="E905" s="28">
        <v>3500.0</v>
      </c>
      <c r="F905" s="28">
        <v>0.0</v>
      </c>
      <c r="G905" s="28" t="s">
        <v>250</v>
      </c>
      <c r="H905" s="28">
        <f t="array" ref="H905">INDEX(CC!C:C,MATCH(1,(CC!A:A=G905)*(CC!B:B=I905),0))</f>
        <v>1402</v>
      </c>
      <c r="I905" s="28" t="s">
        <v>25</v>
      </c>
      <c r="J905" s="31">
        <v>3500.0</v>
      </c>
      <c r="K905" s="28" t="str">
        <f>IFERROR(__xludf.DUMMYFUNCTION("IFERROR(
INDEX(
FILTER(
MAP(
reglas!$B$2:$B$240,
reglas!$C$2:$C$240,
reglas!$D$2:$D$240,
reglas!$E$2:$E$240,
LAMBDA(rEmisor,rPatron,rConcepto,rTipo,
IF(
AND(
OR(
UPPER(TRIM(rEmisor))=UPPER(TRIM(C905)),
UPPER(TRIM(rEmisor))=""CUALQUIERA""
),
OR(
UPPER(TRIM"&amp;"(rTipo))=""SOLO EMISOR"",
AND(
UPPER(TRIM(rTipo))=""EXACTA"",
UPPER(TRIM(AG905))=UPPER(TRIM(rPatron))
),
AND(
OR(
UPPER(TRIM(rTipo))=""CONTIENE"",
UPPER(TRIM(rTipo))=""COINCIDENCIA""
),
ISNUMBER(SEARCH(UPPER(TRIM(rPatron)),UPPER(TRIM(D905))))
)
)
),
rConc"&amp;"epto,
""""
)
)
),
MAP(
reglas!$B$2:$B$240,
reglas!$C$2:$C$240,
reglas!$D$2:$D$240,
reglas!$E$2:$E$240,
LAMBDA(rEmisor,rPatron,rConcepto,rTipo,
IF(
AND(
OR(
UPPER(TRIM(rEmisor))=UPPER(TRIM(C905)),
UPPER(TRIM(rEmisor))=""CUALQUIERA""
),
OR(
UPPER(TRIM(rTipo"&amp;"))=""SOLO EMISOR"",
AND(
UPPER(TRIM(rTipo))=""EXACTA"",
UPPER(TRIM(D905))=UPPER(TRIM(rPatron))
),
AND(
OR(
UPPER(TRIM(rTipo))=""CONTIENE"",
UPPER(TRIM(rTipo))=""COINCIDENCIA""
),
ISNUMBER(SEARCH(UPPER(TRIM(rPatron)),UPPER(TRIM(D905))))
)
)
),
rConcepto,
"&amp;"""""
)
)
)&lt;&gt;""""
),
1
),
""""
)"),"MANIOBRAS")</f>
        <v>MANIOBRAS</v>
      </c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</row>
    <row r="906">
      <c r="A906" s="32"/>
      <c r="B906" s="28" t="s">
        <v>29</v>
      </c>
      <c r="C906" s="29" t="s">
        <v>172</v>
      </c>
      <c r="D906" s="29" t="s">
        <v>1770</v>
      </c>
      <c r="E906" s="28">
        <v>11500.0</v>
      </c>
      <c r="F906" s="28">
        <v>0.0</v>
      </c>
      <c r="G906" s="28" t="s">
        <v>250</v>
      </c>
      <c r="H906" s="28">
        <f t="array" ref="H906">INDEX(CC!C:C,MATCH(1,(CC!A:A=G906)*(CC!B:B=I906),0))</f>
        <v>1402</v>
      </c>
      <c r="I906" s="28" t="s">
        <v>25</v>
      </c>
      <c r="J906" s="31">
        <v>11500.0</v>
      </c>
      <c r="K906" s="28" t="str">
        <f>IFERROR(__xludf.DUMMYFUNCTION("IFERROR(
INDEX(
FILTER(
MAP(
reglas!$B$2:$B$240,
reglas!$C$2:$C$240,
reglas!$D$2:$D$240,
reglas!$E$2:$E$240,
LAMBDA(rEmisor,rPatron,rConcepto,rTipo,
IF(
AND(
OR(
UPPER(TRIM(rEmisor))=UPPER(TRIM(C906)),
UPPER(TRIM(rEmisor))=""CUALQUIERA""
),
OR(
UPPER(TRIM"&amp;"(rTipo))=""SOLO EMISOR"",
AND(
UPPER(TRIM(rTipo))=""EXACTA"",
UPPER(TRIM(AG906))=UPPER(TRIM(rPatron))
),
AND(
OR(
UPPER(TRIM(rTipo))=""CONTIENE"",
UPPER(TRIM(rTipo))=""COINCIDENCIA""
),
ISNUMBER(SEARCH(UPPER(TRIM(rPatron)),UPPER(TRIM(D906))))
)
)
),
rConc"&amp;"epto,
""""
)
)
),
MAP(
reglas!$B$2:$B$240,
reglas!$C$2:$C$240,
reglas!$D$2:$D$240,
reglas!$E$2:$E$240,
LAMBDA(rEmisor,rPatron,rConcepto,rTipo,
IF(
AND(
OR(
UPPER(TRIM(rEmisor))=UPPER(TRIM(C906)),
UPPER(TRIM(rEmisor))=""CUALQUIERA""
),
OR(
UPPER(TRIM(rTipo"&amp;"))=""SOLO EMISOR"",
AND(
UPPER(TRIM(rTipo))=""EXACTA"",
UPPER(TRIM(D906))=UPPER(TRIM(rPatron))
),
AND(
OR(
UPPER(TRIM(rTipo))=""CONTIENE"",
UPPER(TRIM(rTipo))=""COINCIDENCIA""
),
ISNUMBER(SEARCH(UPPER(TRIM(rPatron)),UPPER(TRIM(D906))))
)
)
),
rConcepto,
"&amp;"""""
)
)
)&lt;&gt;""""
),
1
),
""""
)"),"TRANSPORTE")</f>
        <v>TRANSPORTE</v>
      </c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</row>
    <row r="907">
      <c r="A907" s="32"/>
      <c r="B907" s="28" t="s">
        <v>29</v>
      </c>
      <c r="C907" s="29" t="s">
        <v>174</v>
      </c>
      <c r="D907" s="29" t="s">
        <v>1771</v>
      </c>
      <c r="E907" s="28">
        <v>1300.0</v>
      </c>
      <c r="F907" s="28">
        <v>0.0</v>
      </c>
      <c r="G907" s="28" t="s">
        <v>74</v>
      </c>
      <c r="H907" s="28">
        <f t="array" ref="H907">INDEX(CC!C:C,MATCH(1,(CC!A:A=G907)*(CC!B:B=I907),0))</f>
        <v>1503</v>
      </c>
      <c r="I907" s="28" t="s">
        <v>44</v>
      </c>
      <c r="J907" s="31">
        <v>1300.0</v>
      </c>
      <c r="K907" s="28" t="str">
        <f>IFERROR(__xludf.DUMMYFUNCTION("IFERROR(
INDEX(
FILTER(
MAP(
reglas!$B$2:$B$240,
reglas!$C$2:$C$240,
reglas!$D$2:$D$240,
reglas!$E$2:$E$240,
LAMBDA(rEmisor,rPatron,rConcepto,rTipo,
IF(
AND(
OR(
UPPER(TRIM(rEmisor))=UPPER(TRIM(C907)),
UPPER(TRIM(rEmisor))=""CUALQUIERA""
),
OR(
UPPER(TRIM"&amp;"(rTipo))=""SOLO EMISOR"",
AND(
UPPER(TRIM(rTipo))=""EXACTA"",
UPPER(TRIM(AG907))=UPPER(TRIM(rPatron))
),
AND(
OR(
UPPER(TRIM(rTipo))=""CONTIENE"",
UPPER(TRIM(rTipo))=""COINCIDENCIA""
),
ISNUMBER(SEARCH(UPPER(TRIM(rPatron)),UPPER(TRIM(D907))))
)
)
),
rConc"&amp;"epto,
""""
)
)
),
MAP(
reglas!$B$2:$B$240,
reglas!$C$2:$C$240,
reglas!$D$2:$D$240,
reglas!$E$2:$E$240,
LAMBDA(rEmisor,rPatron,rConcepto,rTipo,
IF(
AND(
OR(
UPPER(TRIM(rEmisor))=UPPER(TRIM(C907)),
UPPER(TRIM(rEmisor))=""CUALQUIERA""
),
OR(
UPPER(TRIM(rTipo"&amp;"))=""SOLO EMISOR"",
AND(
UPPER(TRIM(rTipo))=""EXACTA"",
UPPER(TRIM(D907))=UPPER(TRIM(rPatron))
),
AND(
OR(
UPPER(TRIM(rTipo))=""CONTIENE"",
UPPER(TRIM(rTipo))=""COINCIDENCIA""
),
ISNUMBER(SEARCH(UPPER(TRIM(rPatron)),UPPER(TRIM(D907))))
)
)
),
rConcepto,
"&amp;"""""
)
)
)&lt;&gt;""""
),
1
),
""""
)"),"TRANSPORTE")</f>
        <v>TRANSPORTE</v>
      </c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</row>
    <row r="908">
      <c r="A908" s="28">
        <v>1.0</v>
      </c>
      <c r="B908" s="28" t="s">
        <v>29</v>
      </c>
      <c r="C908" s="29" t="s">
        <v>218</v>
      </c>
      <c r="D908" s="29" t="s">
        <v>219</v>
      </c>
      <c r="E908" s="28">
        <v>1000.0</v>
      </c>
      <c r="F908" s="28">
        <v>0.0</v>
      </c>
      <c r="G908" s="28" t="s">
        <v>74</v>
      </c>
      <c r="H908" s="28">
        <f t="array" ref="H908">INDEX(CC!C:C,MATCH(1,(CC!A:A=G908)*(CC!B:B=I908),0))</f>
        <v>1502</v>
      </c>
      <c r="I908" s="28" t="s">
        <v>25</v>
      </c>
      <c r="J908" s="31">
        <v>1000.0</v>
      </c>
      <c r="K908" s="28" t="str">
        <f>IFERROR(__xludf.DUMMYFUNCTION("IFERROR(
INDEX(
FILTER(
MAP(
reglas!$B$2:$B$240,
reglas!$C$2:$C$240,
reglas!$D$2:$D$240,
reglas!$E$2:$E$240,
LAMBDA(rEmisor,rPatron,rConcepto,rTipo,
IF(
AND(
OR(
UPPER(TRIM(rEmisor))=UPPER(TRIM(C908)),
UPPER(TRIM(rEmisor))=""CUALQUIERA""
),
OR(
UPPER(TRIM"&amp;"(rTipo))=""SOLO EMISOR"",
AND(
UPPER(TRIM(rTipo))=""EXACTA"",
UPPER(TRIM(AG908))=UPPER(TRIM(rPatron))
),
AND(
OR(
UPPER(TRIM(rTipo))=""CONTIENE"",
UPPER(TRIM(rTipo))=""COINCIDENCIA""
),
ISNUMBER(SEARCH(UPPER(TRIM(rPatron)),UPPER(TRIM(D908))))
)
)
),
rConc"&amp;"epto,
""""
)
)
),
MAP(
reglas!$B$2:$B$240,
reglas!$C$2:$C$240,
reglas!$D$2:$D$240,
reglas!$E$2:$E$240,
LAMBDA(rEmisor,rPatron,rConcepto,rTipo,
IF(
AND(
OR(
UPPER(TRIM(rEmisor))=UPPER(TRIM(C908)),
UPPER(TRIM(rEmisor))=""CUALQUIERA""
),
OR(
UPPER(TRIM(rTipo"&amp;"))=""SOLO EMISOR"",
AND(
UPPER(TRIM(rTipo))=""EXACTA"",
UPPER(TRIM(D908))=UPPER(TRIM(rPatron))
),
AND(
OR(
UPPER(TRIM(rTipo))=""CONTIENE"",
UPPER(TRIM(rTipo))=""COINCIDENCIA""
),
ISNUMBER(SEARCH(UPPER(TRIM(rPatron)),UPPER(TRIM(D908))))
)
)
),
rConcepto,
"&amp;"""""
)
)
)&lt;&gt;""""
),
1
),
""""
)"),"LUZ")</f>
        <v>LUZ</v>
      </c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</row>
    <row r="909">
      <c r="A909" s="32"/>
      <c r="B909" s="28" t="s">
        <v>29</v>
      </c>
      <c r="C909" s="29" t="s">
        <v>278</v>
      </c>
      <c r="D909" s="29" t="s">
        <v>560</v>
      </c>
      <c r="E909" s="28">
        <v>3500.0</v>
      </c>
      <c r="F909" s="28">
        <v>0.0</v>
      </c>
      <c r="G909" s="28" t="s">
        <v>250</v>
      </c>
      <c r="H909" s="28">
        <f t="array" ref="H909">INDEX(CC!C:C,MATCH(1,(CC!A:A=G909)*(CC!B:B=I909),0))</f>
        <v>1402</v>
      </c>
      <c r="I909" s="28" t="s">
        <v>25</v>
      </c>
      <c r="J909" s="31">
        <v>3500.0</v>
      </c>
      <c r="K909" s="28" t="str">
        <f>IFERROR(__xludf.DUMMYFUNCTION("IFERROR(
INDEX(
FILTER(
MAP(
reglas!$B$2:$B$240,
reglas!$C$2:$C$240,
reglas!$D$2:$D$240,
reglas!$E$2:$E$240,
LAMBDA(rEmisor,rPatron,rConcepto,rTipo,
IF(
AND(
OR(
UPPER(TRIM(rEmisor))=UPPER(TRIM(C909)),
UPPER(TRIM(rEmisor))=""CUALQUIERA""
),
OR(
UPPER(TRIM"&amp;"(rTipo))=""SOLO EMISOR"",
AND(
UPPER(TRIM(rTipo))=""EXACTA"",
UPPER(TRIM(AG909))=UPPER(TRIM(rPatron))
),
AND(
OR(
UPPER(TRIM(rTipo))=""CONTIENE"",
UPPER(TRIM(rTipo))=""COINCIDENCIA""
),
ISNUMBER(SEARCH(UPPER(TRIM(rPatron)),UPPER(TRIM(D909))))
)
)
),
rConc"&amp;"epto,
""""
)
)
),
MAP(
reglas!$B$2:$B$240,
reglas!$C$2:$C$240,
reglas!$D$2:$D$240,
reglas!$E$2:$E$240,
LAMBDA(rEmisor,rPatron,rConcepto,rTipo,
IF(
AND(
OR(
UPPER(TRIM(rEmisor))=UPPER(TRIM(C909)),
UPPER(TRIM(rEmisor))=""CUALQUIERA""
),
OR(
UPPER(TRIM(rTipo"&amp;"))=""SOLO EMISOR"",
AND(
UPPER(TRIM(rTipo))=""EXACTA"",
UPPER(TRIM(D909))=UPPER(TRIM(rPatron))
),
AND(
OR(
UPPER(TRIM(rTipo))=""CONTIENE"",
UPPER(TRIM(rTipo))=""COINCIDENCIA""
),
ISNUMBER(SEARCH(UPPER(TRIM(rPatron)),UPPER(TRIM(D909))))
)
)
),
rConcepto,
"&amp;"""""
)
)
)&lt;&gt;""""
),
1
),
""""
)"),"MANIOBRAS")</f>
        <v>MANIOBRAS</v>
      </c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</row>
    <row r="910">
      <c r="A910" s="32"/>
      <c r="B910" s="28" t="s">
        <v>29</v>
      </c>
      <c r="C910" s="29" t="s">
        <v>172</v>
      </c>
      <c r="D910" s="29" t="s">
        <v>1772</v>
      </c>
      <c r="E910" s="28">
        <v>11500.0</v>
      </c>
      <c r="F910" s="28">
        <v>0.0</v>
      </c>
      <c r="G910" s="28" t="s">
        <v>250</v>
      </c>
      <c r="H910" s="28">
        <f t="array" ref="H910">INDEX(CC!C:C,MATCH(1,(CC!A:A=G910)*(CC!B:B=I910),0))</f>
        <v>1402</v>
      </c>
      <c r="I910" s="28" t="s">
        <v>25</v>
      </c>
      <c r="J910" s="31">
        <v>11500.0</v>
      </c>
      <c r="K910" s="28" t="str">
        <f>IFERROR(__xludf.DUMMYFUNCTION("IFERROR(
INDEX(
FILTER(
MAP(
reglas!$B$2:$B$240,
reglas!$C$2:$C$240,
reglas!$D$2:$D$240,
reglas!$E$2:$E$240,
LAMBDA(rEmisor,rPatron,rConcepto,rTipo,
IF(
AND(
OR(
UPPER(TRIM(rEmisor))=UPPER(TRIM(C910)),
UPPER(TRIM(rEmisor))=""CUALQUIERA""
),
OR(
UPPER(TRIM"&amp;"(rTipo))=""SOLO EMISOR"",
AND(
UPPER(TRIM(rTipo))=""EXACTA"",
UPPER(TRIM(AG910))=UPPER(TRIM(rPatron))
),
AND(
OR(
UPPER(TRIM(rTipo))=""CONTIENE"",
UPPER(TRIM(rTipo))=""COINCIDENCIA""
),
ISNUMBER(SEARCH(UPPER(TRIM(rPatron)),UPPER(TRIM(D910))))
)
)
),
rConc"&amp;"epto,
""""
)
)
),
MAP(
reglas!$B$2:$B$240,
reglas!$C$2:$C$240,
reglas!$D$2:$D$240,
reglas!$E$2:$E$240,
LAMBDA(rEmisor,rPatron,rConcepto,rTipo,
IF(
AND(
OR(
UPPER(TRIM(rEmisor))=UPPER(TRIM(C910)),
UPPER(TRIM(rEmisor))=""CUALQUIERA""
),
OR(
UPPER(TRIM(rTipo"&amp;"))=""SOLO EMISOR"",
AND(
UPPER(TRIM(rTipo))=""EXACTA"",
UPPER(TRIM(D910))=UPPER(TRIM(rPatron))
),
AND(
OR(
UPPER(TRIM(rTipo))=""CONTIENE"",
UPPER(TRIM(rTipo))=""COINCIDENCIA""
),
ISNUMBER(SEARCH(UPPER(TRIM(rPatron)),UPPER(TRIM(D910))))
)
)
),
rConcepto,
"&amp;"""""
)
)
)&lt;&gt;""""
),
1
),
""""
)"),"TRANSPORTE")</f>
        <v>TRANSPORTE</v>
      </c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</row>
    <row r="911">
      <c r="A911" s="32"/>
      <c r="B911" s="28" t="s">
        <v>29</v>
      </c>
      <c r="C911" s="29" t="s">
        <v>172</v>
      </c>
      <c r="D911" s="29" t="s">
        <v>1711</v>
      </c>
      <c r="E911" s="28">
        <v>7500.0</v>
      </c>
      <c r="F911" s="28">
        <v>0.0</v>
      </c>
      <c r="G911" s="28" t="s">
        <v>250</v>
      </c>
      <c r="H911" s="28">
        <f t="array" ref="H911">INDEX(CC!C:C,MATCH(1,(CC!A:A=G911)*(CC!B:B=I911),0))</f>
        <v>1402</v>
      </c>
      <c r="I911" s="28" t="s">
        <v>25</v>
      </c>
      <c r="J911" s="31">
        <v>7500.0</v>
      </c>
      <c r="K911" s="28" t="str">
        <f>IFERROR(__xludf.DUMMYFUNCTION("IFERROR(
INDEX(
FILTER(
MAP(
reglas!$B$2:$B$240,
reglas!$C$2:$C$240,
reglas!$D$2:$D$240,
reglas!$E$2:$E$240,
LAMBDA(rEmisor,rPatron,rConcepto,rTipo,
IF(
AND(
OR(
UPPER(TRIM(rEmisor))=UPPER(TRIM(C911)),
UPPER(TRIM(rEmisor))=""CUALQUIERA""
),
OR(
UPPER(TRIM"&amp;"(rTipo))=""SOLO EMISOR"",
AND(
UPPER(TRIM(rTipo))=""EXACTA"",
UPPER(TRIM(AG911))=UPPER(TRIM(rPatron))
),
AND(
OR(
UPPER(TRIM(rTipo))=""CONTIENE"",
UPPER(TRIM(rTipo))=""COINCIDENCIA""
),
ISNUMBER(SEARCH(UPPER(TRIM(rPatron)),UPPER(TRIM(D911))))
)
)
),
rConc"&amp;"epto,
""""
)
)
),
MAP(
reglas!$B$2:$B$240,
reglas!$C$2:$C$240,
reglas!$D$2:$D$240,
reglas!$E$2:$E$240,
LAMBDA(rEmisor,rPatron,rConcepto,rTipo,
IF(
AND(
OR(
UPPER(TRIM(rEmisor))=UPPER(TRIM(C911)),
UPPER(TRIM(rEmisor))=""CUALQUIERA""
),
OR(
UPPER(TRIM(rTipo"&amp;"))=""SOLO EMISOR"",
AND(
UPPER(TRIM(rTipo))=""EXACTA"",
UPPER(TRIM(D911))=UPPER(TRIM(rPatron))
),
AND(
OR(
UPPER(TRIM(rTipo))=""CONTIENE"",
UPPER(TRIM(rTipo))=""COINCIDENCIA""
),
ISNUMBER(SEARCH(UPPER(TRIM(rPatron)),UPPER(TRIM(D911))))
)
)
),
rConcepto,
"&amp;"""""
)
)
)&lt;&gt;""""
),
1
),
""""
)"),"TRANSPORTE")</f>
        <v>TRANSPORTE</v>
      </c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</row>
    <row r="912">
      <c r="A912" s="32"/>
      <c r="B912" s="28" t="s">
        <v>29</v>
      </c>
      <c r="C912" s="29" t="s">
        <v>172</v>
      </c>
      <c r="D912" s="29" t="s">
        <v>1759</v>
      </c>
      <c r="E912" s="28">
        <v>11500.0</v>
      </c>
      <c r="F912" s="28">
        <v>0.0</v>
      </c>
      <c r="G912" s="28" t="s">
        <v>250</v>
      </c>
      <c r="H912" s="28">
        <f t="array" ref="H912">INDEX(CC!C:C,MATCH(1,(CC!A:A=G912)*(CC!B:B=I912),0))</f>
        <v>1402</v>
      </c>
      <c r="I912" s="28" t="s">
        <v>25</v>
      </c>
      <c r="J912" s="31">
        <v>11500.0</v>
      </c>
      <c r="K912" s="28" t="str">
        <f>IFERROR(__xludf.DUMMYFUNCTION("IFERROR(
INDEX(
FILTER(
MAP(
reglas!$B$2:$B$240,
reglas!$C$2:$C$240,
reglas!$D$2:$D$240,
reglas!$E$2:$E$240,
LAMBDA(rEmisor,rPatron,rConcepto,rTipo,
IF(
AND(
OR(
UPPER(TRIM(rEmisor))=UPPER(TRIM(C912)),
UPPER(TRIM(rEmisor))=""CUALQUIERA""
),
OR(
UPPER(TRIM"&amp;"(rTipo))=""SOLO EMISOR"",
AND(
UPPER(TRIM(rTipo))=""EXACTA"",
UPPER(TRIM(AG912))=UPPER(TRIM(rPatron))
),
AND(
OR(
UPPER(TRIM(rTipo))=""CONTIENE"",
UPPER(TRIM(rTipo))=""COINCIDENCIA""
),
ISNUMBER(SEARCH(UPPER(TRIM(rPatron)),UPPER(TRIM(D912))))
)
)
),
rConc"&amp;"epto,
""""
)
)
),
MAP(
reglas!$B$2:$B$240,
reglas!$C$2:$C$240,
reglas!$D$2:$D$240,
reglas!$E$2:$E$240,
LAMBDA(rEmisor,rPatron,rConcepto,rTipo,
IF(
AND(
OR(
UPPER(TRIM(rEmisor))=UPPER(TRIM(C912)),
UPPER(TRIM(rEmisor))=""CUALQUIERA""
),
OR(
UPPER(TRIM(rTipo"&amp;"))=""SOLO EMISOR"",
AND(
UPPER(TRIM(rTipo))=""EXACTA"",
UPPER(TRIM(D912))=UPPER(TRIM(rPatron))
),
AND(
OR(
UPPER(TRIM(rTipo))=""CONTIENE"",
UPPER(TRIM(rTipo))=""COINCIDENCIA""
),
ISNUMBER(SEARCH(UPPER(TRIM(rPatron)),UPPER(TRIM(D912))))
)
)
),
rConcepto,
"&amp;"""""
)
)
)&lt;&gt;""""
),
1
),
""""
)"),"TRANSPORTE")</f>
        <v>TRANSPORTE</v>
      </c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</row>
    <row r="913">
      <c r="A913" s="28">
        <v>1.0</v>
      </c>
      <c r="B913" s="28" t="s">
        <v>29</v>
      </c>
      <c r="C913" s="29" t="s">
        <v>271</v>
      </c>
      <c r="D913" s="29" t="s">
        <v>585</v>
      </c>
      <c r="E913" s="28">
        <v>623.81</v>
      </c>
      <c r="F913" s="28">
        <v>0.0</v>
      </c>
      <c r="G913" s="28" t="s">
        <v>84</v>
      </c>
      <c r="H913" s="28">
        <f t="array" ref="H913">INDEX(CC!C:C,MATCH(1,(CC!A:A=G913)*(CC!B:B=I913),0))</f>
        <v>1002</v>
      </c>
      <c r="I913" s="28" t="s">
        <v>25</v>
      </c>
      <c r="J913" s="31">
        <v>623.81</v>
      </c>
      <c r="K913" s="28" t="str">
        <f>IFERROR(__xludf.DUMMYFUNCTION("IFERROR(
INDEX(
FILTER(
MAP(
reglas!$B$2:$B$240,
reglas!$C$2:$C$240,
reglas!$D$2:$D$240,
reglas!$E$2:$E$240,
LAMBDA(rEmisor,rPatron,rConcepto,rTipo,
IF(
AND(
OR(
UPPER(TRIM(rEmisor))=UPPER(TRIM(C913)),
UPPER(TRIM(rEmisor))=""CUALQUIERA""
),
OR(
UPPER(TRIM"&amp;"(rTipo))=""SOLO EMISOR"",
AND(
UPPER(TRIM(rTipo))=""EXACTA"",
UPPER(TRIM(AG913))=UPPER(TRIM(rPatron))
),
AND(
OR(
UPPER(TRIM(rTipo))=""CONTIENE"",
UPPER(TRIM(rTipo))=""COINCIDENCIA""
),
ISNUMBER(SEARCH(UPPER(TRIM(rPatron)),UPPER(TRIM(D913))))
)
)
),
rConc"&amp;"epto,
""""
)
)
),
MAP(
reglas!$B$2:$B$240,
reglas!$C$2:$C$240,
reglas!$D$2:$D$240,
reglas!$E$2:$E$240,
LAMBDA(rEmisor,rPatron,rConcepto,rTipo,
IF(
AND(
OR(
UPPER(TRIM(rEmisor))=UPPER(TRIM(C913)),
UPPER(TRIM(rEmisor))=""CUALQUIERA""
),
OR(
UPPER(TRIM(rTipo"&amp;"))=""SOLO EMISOR"",
AND(
UPPER(TRIM(rTipo))=""EXACTA"",
UPPER(TRIM(D913))=UPPER(TRIM(rPatron))
),
AND(
OR(
UPPER(TRIM(rTipo))=""CONTIENE"",
UPPER(TRIM(rTipo))=""COINCIDENCIA""
),
ISNUMBER(SEARCH(UPPER(TRIM(rPatron)),UPPER(TRIM(D913))))
)
)
),
rConcepto,
"&amp;"""""
)
)
)&lt;&gt;""""
),
1
),
""""
)"),"MANIOBRAS")</f>
        <v>MANIOBRAS</v>
      </c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</row>
    <row r="914">
      <c r="A914" s="32"/>
      <c r="B914" s="32"/>
      <c r="C914" s="29" t="s">
        <v>271</v>
      </c>
      <c r="D914" s="29" t="s">
        <v>587</v>
      </c>
      <c r="E914" s="28">
        <v>570.75</v>
      </c>
      <c r="F914" s="28">
        <v>0.0</v>
      </c>
      <c r="G914" s="28" t="s">
        <v>84</v>
      </c>
      <c r="H914" s="28">
        <f t="array" ref="H914">INDEX(CC!C:C,MATCH(1,(CC!A:A=G914)*(CC!B:B=I914),0))</f>
        <v>1002</v>
      </c>
      <c r="I914" s="28" t="s">
        <v>25</v>
      </c>
      <c r="J914" s="31">
        <v>570.75</v>
      </c>
      <c r="K914" s="28" t="str">
        <f>IFERROR(__xludf.DUMMYFUNCTION("IFERROR(
INDEX(
FILTER(
MAP(
reglas!$B$2:$B$240,
reglas!$C$2:$C$240,
reglas!$D$2:$D$240,
reglas!$E$2:$E$240,
LAMBDA(rEmisor,rPatron,rConcepto,rTipo,
IF(
AND(
OR(
UPPER(TRIM(rEmisor))=UPPER(TRIM(C914)),
UPPER(TRIM(rEmisor))=""CUALQUIERA""
),
OR(
UPPER(TRIM"&amp;"(rTipo))=""SOLO EMISOR"",
AND(
UPPER(TRIM(rTipo))=""EXACTA"",
UPPER(TRIM(AG914))=UPPER(TRIM(rPatron))
),
AND(
OR(
UPPER(TRIM(rTipo))=""CONTIENE"",
UPPER(TRIM(rTipo))=""COINCIDENCIA""
),
ISNUMBER(SEARCH(UPPER(TRIM(rPatron)),UPPER(TRIM(D914))))
)
)
),
rConc"&amp;"epto,
""""
)
)
),
MAP(
reglas!$B$2:$B$240,
reglas!$C$2:$C$240,
reglas!$D$2:$D$240,
reglas!$E$2:$E$240,
LAMBDA(rEmisor,rPatron,rConcepto,rTipo,
IF(
AND(
OR(
UPPER(TRIM(rEmisor))=UPPER(TRIM(C914)),
UPPER(TRIM(rEmisor))=""CUALQUIERA""
),
OR(
UPPER(TRIM(rTipo"&amp;"))=""SOLO EMISOR"",
AND(
UPPER(TRIM(rTipo))=""EXACTA"",
UPPER(TRIM(D914))=UPPER(TRIM(rPatron))
),
AND(
OR(
UPPER(TRIM(rTipo))=""CONTIENE"",
UPPER(TRIM(rTipo))=""COINCIDENCIA""
),
ISNUMBER(SEARCH(UPPER(TRIM(rPatron)),UPPER(TRIM(D914))))
)
)
),
rConcepto,
"&amp;"""""
)
)
)&lt;&gt;""""
),
1
),
""""
)"),"MANIOBRAS")</f>
        <v>MANIOBRAS</v>
      </c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</row>
    <row r="915">
      <c r="A915" s="32"/>
      <c r="B915" s="32"/>
      <c r="C915" s="29" t="s">
        <v>271</v>
      </c>
      <c r="D915" s="29" t="s">
        <v>589</v>
      </c>
      <c r="E915" s="28">
        <v>624.15</v>
      </c>
      <c r="F915" s="28">
        <v>0.0</v>
      </c>
      <c r="G915" s="28" t="s">
        <v>84</v>
      </c>
      <c r="H915" s="28">
        <f t="array" ref="H915">INDEX(CC!C:C,MATCH(1,(CC!A:A=G915)*(CC!B:B=I915),0))</f>
        <v>1002</v>
      </c>
      <c r="I915" s="28" t="s">
        <v>25</v>
      </c>
      <c r="J915" s="31">
        <v>624.15</v>
      </c>
      <c r="K915" s="28" t="str">
        <f>IFERROR(__xludf.DUMMYFUNCTION("IFERROR(
INDEX(
FILTER(
MAP(
reglas!$B$2:$B$240,
reglas!$C$2:$C$240,
reglas!$D$2:$D$240,
reglas!$E$2:$E$240,
LAMBDA(rEmisor,rPatron,rConcepto,rTipo,
IF(
AND(
OR(
UPPER(TRIM(rEmisor))=UPPER(TRIM(C915)),
UPPER(TRIM(rEmisor))=""CUALQUIERA""
),
OR(
UPPER(TRIM"&amp;"(rTipo))=""SOLO EMISOR"",
AND(
UPPER(TRIM(rTipo))=""EXACTA"",
UPPER(TRIM(AG915))=UPPER(TRIM(rPatron))
),
AND(
OR(
UPPER(TRIM(rTipo))=""CONTIENE"",
UPPER(TRIM(rTipo))=""COINCIDENCIA""
),
ISNUMBER(SEARCH(UPPER(TRIM(rPatron)),UPPER(TRIM(D915))))
)
)
),
rConc"&amp;"epto,
""""
)
)
),
MAP(
reglas!$B$2:$B$240,
reglas!$C$2:$C$240,
reglas!$D$2:$D$240,
reglas!$E$2:$E$240,
LAMBDA(rEmisor,rPatron,rConcepto,rTipo,
IF(
AND(
OR(
UPPER(TRIM(rEmisor))=UPPER(TRIM(C915)),
UPPER(TRIM(rEmisor))=""CUALQUIERA""
),
OR(
UPPER(TRIM(rTipo"&amp;"))=""SOLO EMISOR"",
AND(
UPPER(TRIM(rTipo))=""EXACTA"",
UPPER(TRIM(D915))=UPPER(TRIM(rPatron))
),
AND(
OR(
UPPER(TRIM(rTipo))=""CONTIENE"",
UPPER(TRIM(rTipo))=""COINCIDENCIA""
),
ISNUMBER(SEARCH(UPPER(TRIM(rPatron)),UPPER(TRIM(D915))))
)
)
),
rConcepto,
"&amp;"""""
)
)
)&lt;&gt;""""
),
1
),
""""
)"),"MANIOBRAS")</f>
        <v>MANIOBRAS</v>
      </c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</row>
    <row r="916">
      <c r="A916" s="32"/>
      <c r="B916" s="32"/>
      <c r="C916" s="29" t="s">
        <v>271</v>
      </c>
      <c r="D916" s="29" t="s">
        <v>596</v>
      </c>
      <c r="E916" s="28">
        <v>654.87</v>
      </c>
      <c r="F916" s="28">
        <v>0.0</v>
      </c>
      <c r="G916" s="28" t="s">
        <v>84</v>
      </c>
      <c r="H916" s="28">
        <f t="array" ref="H916">INDEX(CC!C:C,MATCH(1,(CC!A:A=G916)*(CC!B:B=I916),0))</f>
        <v>1002</v>
      </c>
      <c r="I916" s="28" t="s">
        <v>25</v>
      </c>
      <c r="J916" s="31">
        <v>654.87</v>
      </c>
      <c r="K916" s="28" t="str">
        <f>IFERROR(__xludf.DUMMYFUNCTION("IFERROR(
INDEX(
FILTER(
MAP(
reglas!$B$2:$B$240,
reglas!$C$2:$C$240,
reglas!$D$2:$D$240,
reglas!$E$2:$E$240,
LAMBDA(rEmisor,rPatron,rConcepto,rTipo,
IF(
AND(
OR(
UPPER(TRIM(rEmisor))=UPPER(TRIM(C916)),
UPPER(TRIM(rEmisor))=""CUALQUIERA""
),
OR(
UPPER(TRIM"&amp;"(rTipo))=""SOLO EMISOR"",
AND(
UPPER(TRIM(rTipo))=""EXACTA"",
UPPER(TRIM(AG916))=UPPER(TRIM(rPatron))
),
AND(
OR(
UPPER(TRIM(rTipo))=""CONTIENE"",
UPPER(TRIM(rTipo))=""COINCIDENCIA""
),
ISNUMBER(SEARCH(UPPER(TRIM(rPatron)),UPPER(TRIM(D916))))
)
)
),
rConc"&amp;"epto,
""""
)
)
),
MAP(
reglas!$B$2:$B$240,
reglas!$C$2:$C$240,
reglas!$D$2:$D$240,
reglas!$E$2:$E$240,
LAMBDA(rEmisor,rPatron,rConcepto,rTipo,
IF(
AND(
OR(
UPPER(TRIM(rEmisor))=UPPER(TRIM(C916)),
UPPER(TRIM(rEmisor))=""CUALQUIERA""
),
OR(
UPPER(TRIM(rTipo"&amp;"))=""SOLO EMISOR"",
AND(
UPPER(TRIM(rTipo))=""EXACTA"",
UPPER(TRIM(D916))=UPPER(TRIM(rPatron))
),
AND(
OR(
UPPER(TRIM(rTipo))=""CONTIENE"",
UPPER(TRIM(rTipo))=""COINCIDENCIA""
),
ISNUMBER(SEARCH(UPPER(TRIM(rPatron)),UPPER(TRIM(D916))))
)
)
),
rConcepto,
"&amp;"""""
)
)
)&lt;&gt;""""
),
1
),
""""
)"),"MANIOBRAS")</f>
        <v>MANIOBRAS</v>
      </c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</row>
    <row r="917">
      <c r="A917" s="32"/>
      <c r="B917" s="28" t="s">
        <v>29</v>
      </c>
      <c r="C917" s="29" t="s">
        <v>278</v>
      </c>
      <c r="D917" s="29" t="s">
        <v>1697</v>
      </c>
      <c r="E917" s="28">
        <v>500.0</v>
      </c>
      <c r="F917" s="28">
        <v>0.0</v>
      </c>
      <c r="G917" s="28" t="s">
        <v>250</v>
      </c>
      <c r="H917" s="28">
        <f t="array" ref="H917">INDEX(CC!C:C,MATCH(1,(CC!A:A=G917)*(CC!B:B=I917),0))</f>
        <v>1402</v>
      </c>
      <c r="I917" s="28" t="s">
        <v>25</v>
      </c>
      <c r="J917" s="31">
        <v>500.0</v>
      </c>
      <c r="K917" s="28" t="str">
        <f>IFERROR(__xludf.DUMMYFUNCTION("IFERROR(
INDEX(
FILTER(
MAP(
reglas!$B$2:$B$240,
reglas!$C$2:$C$240,
reglas!$D$2:$D$240,
reglas!$E$2:$E$240,
LAMBDA(rEmisor,rPatron,rConcepto,rTipo,
IF(
AND(
OR(
UPPER(TRIM(rEmisor))=UPPER(TRIM(C917)),
UPPER(TRIM(rEmisor))=""CUALQUIERA""
),
OR(
UPPER(TRIM"&amp;"(rTipo))=""SOLO EMISOR"",
AND(
UPPER(TRIM(rTipo))=""EXACTA"",
UPPER(TRIM(AG917))=UPPER(TRIM(rPatron))
),
AND(
OR(
UPPER(TRIM(rTipo))=""CONTIENE"",
UPPER(TRIM(rTipo))=""COINCIDENCIA""
),
ISNUMBER(SEARCH(UPPER(TRIM(rPatron)),UPPER(TRIM(D917))))
)
)
),
rConc"&amp;"epto,
""""
)
)
),
MAP(
reglas!$B$2:$B$240,
reglas!$C$2:$C$240,
reglas!$D$2:$D$240,
reglas!$E$2:$E$240,
LAMBDA(rEmisor,rPatron,rConcepto,rTipo,
IF(
AND(
OR(
UPPER(TRIM(rEmisor))=UPPER(TRIM(C917)),
UPPER(TRIM(rEmisor))=""CUALQUIERA""
),
OR(
UPPER(TRIM(rTipo"&amp;"))=""SOLO EMISOR"",
AND(
UPPER(TRIM(rTipo))=""EXACTA"",
UPPER(TRIM(D917))=UPPER(TRIM(rPatron))
),
AND(
OR(
UPPER(TRIM(rTipo))=""CONTIENE"",
UPPER(TRIM(rTipo))=""COINCIDENCIA""
),
ISNUMBER(SEARCH(UPPER(TRIM(rPatron)),UPPER(TRIM(D917))))
)
)
),
rConcepto,
"&amp;"""""
)
)
)&lt;&gt;""""
),
1
),
""""
)"),"MANIOBRAS")</f>
        <v>MANIOBRAS</v>
      </c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</row>
    <row r="918">
      <c r="A918" s="32"/>
      <c r="B918" s="32"/>
      <c r="C918" s="29" t="s">
        <v>278</v>
      </c>
      <c r="D918" s="29" t="s">
        <v>1752</v>
      </c>
      <c r="E918" s="28">
        <v>350.0</v>
      </c>
      <c r="F918" s="28">
        <v>0.0</v>
      </c>
      <c r="G918" s="28" t="s">
        <v>250</v>
      </c>
      <c r="H918" s="28">
        <f t="array" ref="H918">INDEX(CC!C:C,MATCH(1,(CC!A:A=G918)*(CC!B:B=I918),0))</f>
        <v>1402</v>
      </c>
      <c r="I918" s="28" t="s">
        <v>25</v>
      </c>
      <c r="J918" s="31">
        <v>350.0</v>
      </c>
      <c r="K918" s="28" t="str">
        <f>IFERROR(__xludf.DUMMYFUNCTION("IFERROR(
INDEX(
FILTER(
MAP(
reglas!$B$2:$B$240,
reglas!$C$2:$C$240,
reglas!$D$2:$D$240,
reglas!$E$2:$E$240,
LAMBDA(rEmisor,rPatron,rConcepto,rTipo,
IF(
AND(
OR(
UPPER(TRIM(rEmisor))=UPPER(TRIM(C918)),
UPPER(TRIM(rEmisor))=""CUALQUIERA""
),
OR(
UPPER(TRIM"&amp;"(rTipo))=""SOLO EMISOR"",
AND(
UPPER(TRIM(rTipo))=""EXACTA"",
UPPER(TRIM(AG918))=UPPER(TRIM(rPatron))
),
AND(
OR(
UPPER(TRIM(rTipo))=""CONTIENE"",
UPPER(TRIM(rTipo))=""COINCIDENCIA""
),
ISNUMBER(SEARCH(UPPER(TRIM(rPatron)),UPPER(TRIM(D918))))
)
)
),
rConc"&amp;"epto,
""""
)
)
),
MAP(
reglas!$B$2:$B$240,
reglas!$C$2:$C$240,
reglas!$D$2:$D$240,
reglas!$E$2:$E$240,
LAMBDA(rEmisor,rPatron,rConcepto,rTipo,
IF(
AND(
OR(
UPPER(TRIM(rEmisor))=UPPER(TRIM(C918)),
UPPER(TRIM(rEmisor))=""CUALQUIERA""
),
OR(
UPPER(TRIM(rTipo"&amp;"))=""SOLO EMISOR"",
AND(
UPPER(TRIM(rTipo))=""EXACTA"",
UPPER(TRIM(D918))=UPPER(TRIM(rPatron))
),
AND(
OR(
UPPER(TRIM(rTipo))=""CONTIENE"",
UPPER(TRIM(rTipo))=""COINCIDENCIA""
),
ISNUMBER(SEARCH(UPPER(TRIM(rPatron)),UPPER(TRIM(D918))))
)
)
),
rConcepto,
"&amp;"""""
)
)
)&lt;&gt;""""
),
1
),
""""
)"),"MANIOBRAS")</f>
        <v>MANIOBRAS</v>
      </c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</row>
    <row r="919">
      <c r="A919" s="32"/>
      <c r="B919" s="28" t="s">
        <v>29</v>
      </c>
      <c r="C919" s="29" t="s">
        <v>172</v>
      </c>
      <c r="D919" s="29" t="s">
        <v>1759</v>
      </c>
      <c r="E919" s="28">
        <v>11500.0</v>
      </c>
      <c r="F919" s="28">
        <v>0.0</v>
      </c>
      <c r="G919" s="28" t="s">
        <v>250</v>
      </c>
      <c r="H919" s="28">
        <f t="array" ref="H919">INDEX(CC!C:C,MATCH(1,(CC!A:A=G919)*(CC!B:B=I919),0))</f>
        <v>1402</v>
      </c>
      <c r="I919" s="28" t="s">
        <v>25</v>
      </c>
      <c r="J919" s="31">
        <v>11500.0</v>
      </c>
      <c r="K919" s="28" t="str">
        <f>IFERROR(__xludf.DUMMYFUNCTION("IFERROR(
INDEX(
FILTER(
MAP(
reglas!$B$2:$B$240,
reglas!$C$2:$C$240,
reglas!$D$2:$D$240,
reglas!$E$2:$E$240,
LAMBDA(rEmisor,rPatron,rConcepto,rTipo,
IF(
AND(
OR(
UPPER(TRIM(rEmisor))=UPPER(TRIM(C919)),
UPPER(TRIM(rEmisor))=""CUALQUIERA""
),
OR(
UPPER(TRIM"&amp;"(rTipo))=""SOLO EMISOR"",
AND(
UPPER(TRIM(rTipo))=""EXACTA"",
UPPER(TRIM(AG919))=UPPER(TRIM(rPatron))
),
AND(
OR(
UPPER(TRIM(rTipo))=""CONTIENE"",
UPPER(TRIM(rTipo))=""COINCIDENCIA""
),
ISNUMBER(SEARCH(UPPER(TRIM(rPatron)),UPPER(TRIM(D919))))
)
)
),
rConc"&amp;"epto,
""""
)
)
),
MAP(
reglas!$B$2:$B$240,
reglas!$C$2:$C$240,
reglas!$D$2:$D$240,
reglas!$E$2:$E$240,
LAMBDA(rEmisor,rPatron,rConcepto,rTipo,
IF(
AND(
OR(
UPPER(TRIM(rEmisor))=UPPER(TRIM(C919)),
UPPER(TRIM(rEmisor))=""CUALQUIERA""
),
OR(
UPPER(TRIM(rTipo"&amp;"))=""SOLO EMISOR"",
AND(
UPPER(TRIM(rTipo))=""EXACTA"",
UPPER(TRIM(D919))=UPPER(TRIM(rPatron))
),
AND(
OR(
UPPER(TRIM(rTipo))=""CONTIENE"",
UPPER(TRIM(rTipo))=""COINCIDENCIA""
),
ISNUMBER(SEARCH(UPPER(TRIM(rPatron)),UPPER(TRIM(D919))))
)
)
),
rConcepto,
"&amp;"""""
)
)
)&lt;&gt;""""
),
1
),
""""
)"),"TRANSPORTE")</f>
        <v>TRANSPORTE</v>
      </c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</row>
    <row r="920">
      <c r="A920" s="32"/>
      <c r="B920" s="28" t="s">
        <v>29</v>
      </c>
      <c r="C920" s="29" t="s">
        <v>1063</v>
      </c>
      <c r="D920" s="29" t="s">
        <v>442</v>
      </c>
      <c r="E920" s="30">
        <v>1000.0</v>
      </c>
      <c r="F920" s="28">
        <v>0.0</v>
      </c>
      <c r="G920" s="28" t="s">
        <v>395</v>
      </c>
      <c r="H920" s="28">
        <f t="array" ref="H920">INDEX(CC!C:C,MATCH(1,(CC!A:A=G920)*(CC!B:B=I920),0))</f>
        <v>1103</v>
      </c>
      <c r="I920" s="28" t="s">
        <v>44</v>
      </c>
      <c r="J920" s="31">
        <v>1000.0</v>
      </c>
      <c r="K920" s="28" t="str">
        <f>IFERROR(__xludf.DUMMYFUNCTION("IFERROR(
INDEX(
FILTER(
MAP(
reglas!$B$2:$B$240,
reglas!$C$2:$C$240,
reglas!$D$2:$D$240,
reglas!$E$2:$E$240,
LAMBDA(rEmisor,rPatron,rConcepto,rTipo,
IF(
AND(
OR(
UPPER(TRIM(rEmisor))=UPPER(TRIM(C920)),
UPPER(TRIM(rEmisor))=""CUALQUIERA""
),
OR(
UPPER(TRIM"&amp;"(rTipo))=""SOLO EMISOR"",
AND(
UPPER(TRIM(rTipo))=""EXACTA"",
UPPER(TRIM(AG920))=UPPER(TRIM(rPatron))
),
AND(
OR(
UPPER(TRIM(rTipo))=""CONTIENE"",
UPPER(TRIM(rTipo))=""COINCIDENCIA""
),
ISNUMBER(SEARCH(UPPER(TRIM(rPatron)),UPPER(TRIM(D920))))
)
)
),
rConc"&amp;"epto,
""""
)
)
),
MAP(
reglas!$B$2:$B$240,
reglas!$C$2:$C$240,
reglas!$D$2:$D$240,
reglas!$E$2:$E$240,
LAMBDA(rEmisor,rPatron,rConcepto,rTipo,
IF(
AND(
OR(
UPPER(TRIM(rEmisor))=UPPER(TRIM(C920)),
UPPER(TRIM(rEmisor))=""CUALQUIERA""
),
OR(
UPPER(TRIM(rTipo"&amp;"))=""SOLO EMISOR"",
AND(
UPPER(TRIM(rTipo))=""EXACTA"",
UPPER(TRIM(D920))=UPPER(TRIM(rPatron))
),
AND(
OR(
UPPER(TRIM(rTipo))=""CONTIENE"",
UPPER(TRIM(rTipo))=""COINCIDENCIA""
),
ISNUMBER(SEARCH(UPPER(TRIM(rPatron)),UPPER(TRIM(D920))))
)
)
),
rConcepto,
"&amp;"""""
)
)
)&lt;&gt;""""
),
1
),
""""
)"),"")</f>
        <v/>
      </c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</row>
    <row r="921">
      <c r="A921" s="32"/>
      <c r="B921" s="28" t="s">
        <v>29</v>
      </c>
      <c r="C921" s="29" t="s">
        <v>172</v>
      </c>
      <c r="D921" s="29" t="s">
        <v>1773</v>
      </c>
      <c r="E921" s="30">
        <v>11500.0</v>
      </c>
      <c r="F921" s="28">
        <v>0.0</v>
      </c>
      <c r="G921" s="28" t="s">
        <v>250</v>
      </c>
      <c r="H921" s="28">
        <f t="array" ref="H921">INDEX(CC!C:C,MATCH(1,(CC!A:A=G921)*(CC!B:B=I921),0))</f>
        <v>1402</v>
      </c>
      <c r="I921" s="28" t="s">
        <v>25</v>
      </c>
      <c r="J921" s="31">
        <v>11500.0</v>
      </c>
      <c r="K921" s="28" t="str">
        <f>IFERROR(__xludf.DUMMYFUNCTION("IFERROR(
INDEX(
FILTER(
MAP(
reglas!$B$2:$B$240,
reglas!$C$2:$C$240,
reglas!$D$2:$D$240,
reglas!$E$2:$E$240,
LAMBDA(rEmisor,rPatron,rConcepto,rTipo,
IF(
AND(
OR(
UPPER(TRIM(rEmisor))=UPPER(TRIM(C921)),
UPPER(TRIM(rEmisor))=""CUALQUIERA""
),
OR(
UPPER(TRIM"&amp;"(rTipo))=""SOLO EMISOR"",
AND(
UPPER(TRIM(rTipo))=""EXACTA"",
UPPER(TRIM(AG921))=UPPER(TRIM(rPatron))
),
AND(
OR(
UPPER(TRIM(rTipo))=""CONTIENE"",
UPPER(TRIM(rTipo))=""COINCIDENCIA""
),
ISNUMBER(SEARCH(UPPER(TRIM(rPatron)),UPPER(TRIM(D921))))
)
)
),
rConc"&amp;"epto,
""""
)
)
),
MAP(
reglas!$B$2:$B$240,
reglas!$C$2:$C$240,
reglas!$D$2:$D$240,
reglas!$E$2:$E$240,
LAMBDA(rEmisor,rPatron,rConcepto,rTipo,
IF(
AND(
OR(
UPPER(TRIM(rEmisor))=UPPER(TRIM(C921)),
UPPER(TRIM(rEmisor))=""CUALQUIERA""
),
OR(
UPPER(TRIM(rTipo"&amp;"))=""SOLO EMISOR"",
AND(
UPPER(TRIM(rTipo))=""EXACTA"",
UPPER(TRIM(D921))=UPPER(TRIM(rPatron))
),
AND(
OR(
UPPER(TRIM(rTipo))=""CONTIENE"",
UPPER(TRIM(rTipo))=""COINCIDENCIA""
),
ISNUMBER(SEARCH(UPPER(TRIM(rPatron)),UPPER(TRIM(D921))))
)
)
),
rConcepto,
"&amp;"""""
)
)
)&lt;&gt;""""
),
1
),
""""
)"),"TRANSPORTE")</f>
        <v>TRANSPORTE</v>
      </c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</row>
    <row r="922">
      <c r="A922" s="32"/>
      <c r="B922" s="28" t="s">
        <v>29</v>
      </c>
      <c r="C922" s="29" t="s">
        <v>354</v>
      </c>
      <c r="D922" s="29" t="s">
        <v>1730</v>
      </c>
      <c r="E922" s="30">
        <v>15922.4</v>
      </c>
      <c r="F922" s="28">
        <v>0.0</v>
      </c>
      <c r="G922" s="28" t="s">
        <v>601</v>
      </c>
      <c r="H922" s="28">
        <f t="array" ref="H922">INDEX(CC!C:C,MATCH(1,(CC!A:A=G922)*(CC!B:B=I922),0))</f>
        <v>402</v>
      </c>
      <c r="I922" s="28" t="s">
        <v>25</v>
      </c>
      <c r="J922" s="33"/>
      <c r="K922" s="28" t="str">
        <f>IFERROR(__xludf.DUMMYFUNCTION("IFERROR(
INDEX(
FILTER(
MAP(
reglas!$B$2:$B$240,
reglas!$C$2:$C$240,
reglas!$D$2:$D$240,
reglas!$E$2:$E$240,
LAMBDA(rEmisor,rPatron,rConcepto,rTipo,
IF(
AND(
OR(
UPPER(TRIM(rEmisor))=UPPER(TRIM(C922)),
UPPER(TRIM(rEmisor))=""CUALQUIERA""
),
OR(
UPPER(TRIM"&amp;"(rTipo))=""SOLO EMISOR"",
AND(
UPPER(TRIM(rTipo))=""EXACTA"",
UPPER(TRIM(AG922))=UPPER(TRIM(rPatron))
),
AND(
OR(
UPPER(TRIM(rTipo))=""CONTIENE"",
UPPER(TRIM(rTipo))=""COINCIDENCIA""
),
ISNUMBER(SEARCH(UPPER(TRIM(rPatron)),UPPER(TRIM(D922))))
)
)
),
rConc"&amp;"epto,
""""
)
)
),
MAP(
reglas!$B$2:$B$240,
reglas!$C$2:$C$240,
reglas!$D$2:$D$240,
reglas!$E$2:$E$240,
LAMBDA(rEmisor,rPatron,rConcepto,rTipo,
IF(
AND(
OR(
UPPER(TRIM(rEmisor))=UPPER(TRIM(C922)),
UPPER(TRIM(rEmisor))=""CUALQUIERA""
),
OR(
UPPER(TRIM(rTipo"&amp;"))=""SOLO EMISOR"",
AND(
UPPER(TRIM(rTipo))=""EXACTA"",
UPPER(TRIM(D922))=UPPER(TRIM(rPatron))
),
AND(
OR(
UPPER(TRIM(rTipo))=""CONTIENE"",
UPPER(TRIM(rTipo))=""COINCIDENCIA""
),
ISNUMBER(SEARCH(UPPER(TRIM(rPatron)),UPPER(TRIM(D922))))
)
)
),
rConcepto,
"&amp;"""""
)
)
)&lt;&gt;""""
),
1
),
""""
)"),"N/A")</f>
        <v>N/A</v>
      </c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</row>
    <row r="923">
      <c r="A923" s="32"/>
      <c r="B923" s="32"/>
      <c r="C923" s="29" t="s">
        <v>354</v>
      </c>
      <c r="D923" s="29" t="s">
        <v>1730</v>
      </c>
      <c r="E923" s="32"/>
      <c r="F923" s="32"/>
      <c r="G923" s="28" t="s">
        <v>225</v>
      </c>
      <c r="H923" s="28">
        <f t="array" ref="H923">INDEX(CC!C:C,MATCH(1,(CC!A:A=G923)*(CC!B:B=I923),0))</f>
        <v>102</v>
      </c>
      <c r="I923" s="28" t="s">
        <v>25</v>
      </c>
      <c r="J923" s="33"/>
      <c r="K923" s="28" t="str">
        <f>IFERROR(__xludf.DUMMYFUNCTION("IFERROR(
INDEX(
FILTER(
MAP(
reglas!$B$2:$B$240,
reglas!$C$2:$C$240,
reglas!$D$2:$D$240,
reglas!$E$2:$E$240,
LAMBDA(rEmisor,rPatron,rConcepto,rTipo,
IF(
AND(
OR(
UPPER(TRIM(rEmisor))=UPPER(TRIM(C923)),
UPPER(TRIM(rEmisor))=""CUALQUIERA""
),
OR(
UPPER(TRIM"&amp;"(rTipo))=""SOLO EMISOR"",
AND(
UPPER(TRIM(rTipo))=""EXACTA"",
UPPER(TRIM(AG923))=UPPER(TRIM(rPatron))
),
AND(
OR(
UPPER(TRIM(rTipo))=""CONTIENE"",
UPPER(TRIM(rTipo))=""COINCIDENCIA""
),
ISNUMBER(SEARCH(UPPER(TRIM(rPatron)),UPPER(TRIM(D923))))
)
)
),
rConc"&amp;"epto,
""""
)
)
),
MAP(
reglas!$B$2:$B$240,
reglas!$C$2:$C$240,
reglas!$D$2:$D$240,
reglas!$E$2:$E$240,
LAMBDA(rEmisor,rPatron,rConcepto,rTipo,
IF(
AND(
OR(
UPPER(TRIM(rEmisor))=UPPER(TRIM(C923)),
UPPER(TRIM(rEmisor))=""CUALQUIERA""
),
OR(
UPPER(TRIM(rTipo"&amp;"))=""SOLO EMISOR"",
AND(
UPPER(TRIM(rTipo))=""EXACTA"",
UPPER(TRIM(D923))=UPPER(TRIM(rPatron))
),
AND(
OR(
UPPER(TRIM(rTipo))=""CONTIENE"",
UPPER(TRIM(rTipo))=""COINCIDENCIA""
),
ISNUMBER(SEARCH(UPPER(TRIM(rPatron)),UPPER(TRIM(D923))))
)
)
),
rConcepto,
"&amp;"""""
)
)
)&lt;&gt;""""
),
1
),
""""
)"),"N/A")</f>
        <v>N/A</v>
      </c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</row>
    <row r="924">
      <c r="A924" s="32"/>
      <c r="B924" s="32"/>
      <c r="C924" s="29" t="s">
        <v>354</v>
      </c>
      <c r="D924" s="29" t="s">
        <v>1730</v>
      </c>
      <c r="E924" s="32"/>
      <c r="F924" s="32"/>
      <c r="G924" s="28" t="s">
        <v>554</v>
      </c>
      <c r="H924" s="28">
        <f t="array" ref="H924">INDEX(CC!C:C,MATCH(1,(CC!A:A=G924)*(CC!B:B=I924),0))</f>
        <v>1702</v>
      </c>
      <c r="I924" s="28" t="s">
        <v>25</v>
      </c>
      <c r="J924" s="33"/>
      <c r="K924" s="28" t="str">
        <f>IFERROR(__xludf.DUMMYFUNCTION("IFERROR(
INDEX(
FILTER(
MAP(
reglas!$B$2:$B$240,
reglas!$C$2:$C$240,
reglas!$D$2:$D$240,
reglas!$E$2:$E$240,
LAMBDA(rEmisor,rPatron,rConcepto,rTipo,
IF(
AND(
OR(
UPPER(TRIM(rEmisor))=UPPER(TRIM(C924)),
UPPER(TRIM(rEmisor))=""CUALQUIERA""
),
OR(
UPPER(TRIM"&amp;"(rTipo))=""SOLO EMISOR"",
AND(
UPPER(TRIM(rTipo))=""EXACTA"",
UPPER(TRIM(AG924))=UPPER(TRIM(rPatron))
),
AND(
OR(
UPPER(TRIM(rTipo))=""CONTIENE"",
UPPER(TRIM(rTipo))=""COINCIDENCIA""
),
ISNUMBER(SEARCH(UPPER(TRIM(rPatron)),UPPER(TRIM(D924))))
)
)
),
rConc"&amp;"epto,
""""
)
)
),
MAP(
reglas!$B$2:$B$240,
reglas!$C$2:$C$240,
reglas!$D$2:$D$240,
reglas!$E$2:$E$240,
LAMBDA(rEmisor,rPatron,rConcepto,rTipo,
IF(
AND(
OR(
UPPER(TRIM(rEmisor))=UPPER(TRIM(C924)),
UPPER(TRIM(rEmisor))=""CUALQUIERA""
),
OR(
UPPER(TRIM(rTipo"&amp;"))=""SOLO EMISOR"",
AND(
UPPER(TRIM(rTipo))=""EXACTA"",
UPPER(TRIM(D924))=UPPER(TRIM(rPatron))
),
AND(
OR(
UPPER(TRIM(rTipo))=""CONTIENE"",
UPPER(TRIM(rTipo))=""COINCIDENCIA""
),
ISNUMBER(SEARCH(UPPER(TRIM(rPatron)),UPPER(TRIM(D924))))
)
)
),
rConcepto,
"&amp;"""""
)
)
)&lt;&gt;""""
),
1
),
""""
)"),"N/A")</f>
        <v>N/A</v>
      </c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</row>
    <row r="925">
      <c r="A925" s="32"/>
      <c r="B925" s="32"/>
      <c r="C925" s="29" t="s">
        <v>354</v>
      </c>
      <c r="D925" s="29" t="s">
        <v>1730</v>
      </c>
      <c r="E925" s="32"/>
      <c r="F925" s="32"/>
      <c r="G925" s="28" t="s">
        <v>250</v>
      </c>
      <c r="H925" s="28">
        <f t="array" ref="H925">INDEX(CC!C:C,MATCH(1,(CC!A:A=G925)*(CC!B:B=I925),0))</f>
        <v>1402</v>
      </c>
      <c r="I925" s="28" t="s">
        <v>25</v>
      </c>
      <c r="J925" s="33"/>
      <c r="K925" s="28" t="str">
        <f>IFERROR(__xludf.DUMMYFUNCTION("IFERROR(
INDEX(
FILTER(
MAP(
reglas!$B$2:$B$240,
reglas!$C$2:$C$240,
reglas!$D$2:$D$240,
reglas!$E$2:$E$240,
LAMBDA(rEmisor,rPatron,rConcepto,rTipo,
IF(
AND(
OR(
UPPER(TRIM(rEmisor))=UPPER(TRIM(C925)),
UPPER(TRIM(rEmisor))=""CUALQUIERA""
),
OR(
UPPER(TRIM"&amp;"(rTipo))=""SOLO EMISOR"",
AND(
UPPER(TRIM(rTipo))=""EXACTA"",
UPPER(TRIM(AG925))=UPPER(TRIM(rPatron))
),
AND(
OR(
UPPER(TRIM(rTipo))=""CONTIENE"",
UPPER(TRIM(rTipo))=""COINCIDENCIA""
),
ISNUMBER(SEARCH(UPPER(TRIM(rPatron)),UPPER(TRIM(D925))))
)
)
),
rConc"&amp;"epto,
""""
)
)
),
MAP(
reglas!$B$2:$B$240,
reglas!$C$2:$C$240,
reglas!$D$2:$D$240,
reglas!$E$2:$E$240,
LAMBDA(rEmisor,rPatron,rConcepto,rTipo,
IF(
AND(
OR(
UPPER(TRIM(rEmisor))=UPPER(TRIM(C925)),
UPPER(TRIM(rEmisor))=""CUALQUIERA""
),
OR(
UPPER(TRIM(rTipo"&amp;"))=""SOLO EMISOR"",
AND(
UPPER(TRIM(rTipo))=""EXACTA"",
UPPER(TRIM(D925))=UPPER(TRIM(rPatron))
),
AND(
OR(
UPPER(TRIM(rTipo))=""CONTIENE"",
UPPER(TRIM(rTipo))=""COINCIDENCIA""
),
ISNUMBER(SEARCH(UPPER(TRIM(rPatron)),UPPER(TRIM(D925))))
)
)
),
rConcepto,
"&amp;"""""
)
)
)&lt;&gt;""""
),
1
),
""""
)"),"N/A")</f>
        <v>N/A</v>
      </c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</row>
    <row r="926">
      <c r="A926" s="32"/>
      <c r="B926" s="32"/>
      <c r="C926" s="29" t="s">
        <v>354</v>
      </c>
      <c r="D926" s="29" t="s">
        <v>1730</v>
      </c>
      <c r="E926" s="32"/>
      <c r="F926" s="32"/>
      <c r="G926" s="28" t="s">
        <v>84</v>
      </c>
      <c r="H926" s="28">
        <f t="array" ref="H926">INDEX(CC!C:C,MATCH(1,(CC!A:A=G926)*(CC!B:B=I926),0))</f>
        <v>1002</v>
      </c>
      <c r="I926" s="28" t="s">
        <v>25</v>
      </c>
      <c r="J926" s="33"/>
      <c r="K926" s="28" t="str">
        <f>IFERROR(__xludf.DUMMYFUNCTION("IFERROR(
INDEX(
FILTER(
MAP(
reglas!$B$2:$B$240,
reglas!$C$2:$C$240,
reglas!$D$2:$D$240,
reglas!$E$2:$E$240,
LAMBDA(rEmisor,rPatron,rConcepto,rTipo,
IF(
AND(
OR(
UPPER(TRIM(rEmisor))=UPPER(TRIM(C926)),
UPPER(TRIM(rEmisor))=""CUALQUIERA""
),
OR(
UPPER(TRIM"&amp;"(rTipo))=""SOLO EMISOR"",
AND(
UPPER(TRIM(rTipo))=""EXACTA"",
UPPER(TRIM(AG926))=UPPER(TRIM(rPatron))
),
AND(
OR(
UPPER(TRIM(rTipo))=""CONTIENE"",
UPPER(TRIM(rTipo))=""COINCIDENCIA""
),
ISNUMBER(SEARCH(UPPER(TRIM(rPatron)),UPPER(TRIM(D926))))
)
)
),
rConc"&amp;"epto,
""""
)
)
),
MAP(
reglas!$B$2:$B$240,
reglas!$C$2:$C$240,
reglas!$D$2:$D$240,
reglas!$E$2:$E$240,
LAMBDA(rEmisor,rPatron,rConcepto,rTipo,
IF(
AND(
OR(
UPPER(TRIM(rEmisor))=UPPER(TRIM(C926)),
UPPER(TRIM(rEmisor))=""CUALQUIERA""
),
OR(
UPPER(TRIM(rTipo"&amp;"))=""SOLO EMISOR"",
AND(
UPPER(TRIM(rTipo))=""EXACTA"",
UPPER(TRIM(D926))=UPPER(TRIM(rPatron))
),
AND(
OR(
UPPER(TRIM(rTipo))=""CONTIENE"",
UPPER(TRIM(rTipo))=""COINCIDENCIA""
),
ISNUMBER(SEARCH(UPPER(TRIM(rPatron)),UPPER(TRIM(D926))))
)
)
),
rConcepto,
"&amp;"""""
)
)
)&lt;&gt;""""
),
1
),
""""
)"),"N/A")</f>
        <v>N/A</v>
      </c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</row>
    <row r="927">
      <c r="A927" s="28">
        <v>1.0</v>
      </c>
      <c r="B927" s="28" t="s">
        <v>29</v>
      </c>
      <c r="C927" s="29" t="s">
        <v>271</v>
      </c>
      <c r="D927" s="29" t="s">
        <v>589</v>
      </c>
      <c r="E927" s="28">
        <v>622.66</v>
      </c>
      <c r="F927" s="28">
        <v>0.0</v>
      </c>
      <c r="G927" s="28" t="s">
        <v>84</v>
      </c>
      <c r="H927" s="28">
        <f t="array" ref="H927">INDEX(CC!C:C,MATCH(1,(CC!A:A=G927)*(CC!B:B=I927),0))</f>
        <v>1002</v>
      </c>
      <c r="I927" s="28" t="s">
        <v>25</v>
      </c>
      <c r="J927" s="31">
        <v>622.66</v>
      </c>
      <c r="K927" s="28" t="str">
        <f>IFERROR(__xludf.DUMMYFUNCTION("IFERROR(
INDEX(
FILTER(
MAP(
reglas!$B$2:$B$240,
reglas!$C$2:$C$240,
reglas!$D$2:$D$240,
reglas!$E$2:$E$240,
LAMBDA(rEmisor,rPatron,rConcepto,rTipo,
IF(
AND(
OR(
UPPER(TRIM(rEmisor))=UPPER(TRIM(C927)),
UPPER(TRIM(rEmisor))=""CUALQUIERA""
),
OR(
UPPER(TRIM"&amp;"(rTipo))=""SOLO EMISOR"",
AND(
UPPER(TRIM(rTipo))=""EXACTA"",
UPPER(TRIM(AG927))=UPPER(TRIM(rPatron))
),
AND(
OR(
UPPER(TRIM(rTipo))=""CONTIENE"",
UPPER(TRIM(rTipo))=""COINCIDENCIA""
),
ISNUMBER(SEARCH(UPPER(TRIM(rPatron)),UPPER(TRIM(D927))))
)
)
),
rConc"&amp;"epto,
""""
)
)
),
MAP(
reglas!$B$2:$B$240,
reglas!$C$2:$C$240,
reglas!$D$2:$D$240,
reglas!$E$2:$E$240,
LAMBDA(rEmisor,rPatron,rConcepto,rTipo,
IF(
AND(
OR(
UPPER(TRIM(rEmisor))=UPPER(TRIM(C927)),
UPPER(TRIM(rEmisor))=""CUALQUIERA""
),
OR(
UPPER(TRIM(rTipo"&amp;"))=""SOLO EMISOR"",
AND(
UPPER(TRIM(rTipo))=""EXACTA"",
UPPER(TRIM(D927))=UPPER(TRIM(rPatron))
),
AND(
OR(
UPPER(TRIM(rTipo))=""CONTIENE"",
UPPER(TRIM(rTipo))=""COINCIDENCIA""
),
ISNUMBER(SEARCH(UPPER(TRIM(rPatron)),UPPER(TRIM(D927))))
)
)
),
rConcepto,
"&amp;"""""
)
)
)&lt;&gt;""""
),
1
),
""""
)"),"MANIOBRAS")</f>
        <v>MANIOBRAS</v>
      </c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</row>
    <row r="928">
      <c r="A928" s="32"/>
      <c r="B928" s="28" t="s">
        <v>29</v>
      </c>
      <c r="C928" s="29" t="s">
        <v>512</v>
      </c>
      <c r="D928" s="42" t="s">
        <v>1774</v>
      </c>
      <c r="E928" s="30">
        <v>3500.0</v>
      </c>
      <c r="F928" s="28">
        <v>0.0</v>
      </c>
      <c r="G928" s="99" t="s">
        <v>40</v>
      </c>
      <c r="H928" s="28">
        <f t="array" ref="H928">INDEX(CC!C:C,MATCH(1,(CC!A:A=G928)*(CC!B:B=I928),0))</f>
        <v>602</v>
      </c>
      <c r="I928" s="28" t="s">
        <v>25</v>
      </c>
      <c r="J928" s="31">
        <v>3500.0</v>
      </c>
      <c r="K928" s="28" t="str">
        <f>IFERROR(__xludf.DUMMYFUNCTION("IFERROR(
INDEX(
FILTER(
MAP(
reglas!$B$2:$B$240,
reglas!$C$2:$C$240,
reglas!$D$2:$D$240,
reglas!$E$2:$E$240,
LAMBDA(rEmisor,rPatron,rConcepto,rTipo,
IF(
AND(
OR(
UPPER(TRIM(rEmisor))=UPPER(TRIM(C928)),
UPPER(TRIM(rEmisor))=""CUALQUIERA""
),
OR(
UPPER(TRIM"&amp;"(rTipo))=""SOLO EMISOR"",
AND(
UPPER(TRIM(rTipo))=""EXACTA"",
UPPER(TRIM(AG928))=UPPER(TRIM(rPatron))
),
AND(
OR(
UPPER(TRIM(rTipo))=""CONTIENE"",
UPPER(TRIM(rTipo))=""COINCIDENCIA""
),
ISNUMBER(SEARCH(UPPER(TRIM(rPatron)),UPPER(TRIM(D928))))
)
)
),
rConc"&amp;"epto,
""""
)
)
),
MAP(
reglas!$B$2:$B$240,
reglas!$C$2:$C$240,
reglas!$D$2:$D$240,
reglas!$E$2:$E$240,
LAMBDA(rEmisor,rPatron,rConcepto,rTipo,
IF(
AND(
OR(
UPPER(TRIM(rEmisor))=UPPER(TRIM(C928)),
UPPER(TRIM(rEmisor))=""CUALQUIERA""
),
OR(
UPPER(TRIM(rTipo"&amp;"))=""SOLO EMISOR"",
AND(
UPPER(TRIM(rTipo))=""EXACTA"",
UPPER(TRIM(D928))=UPPER(TRIM(rPatron))
),
AND(
OR(
UPPER(TRIM(rTipo))=""CONTIENE"",
UPPER(TRIM(rTipo))=""COINCIDENCIA""
),
ISNUMBER(SEARCH(UPPER(TRIM(rPatron)),UPPER(TRIM(D928))))
)
)
),
rConcepto,
"&amp;"""""
)
)
)&lt;&gt;""""
),
1
),
""""
)"),"MANIOBRAS")</f>
        <v>MANIOBRAS</v>
      </c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</row>
    <row r="929">
      <c r="A929" s="32"/>
      <c r="B929" s="32"/>
      <c r="C929" s="29" t="s">
        <v>512</v>
      </c>
      <c r="D929" s="29" t="s">
        <v>1775</v>
      </c>
      <c r="E929" s="28">
        <v>457.5</v>
      </c>
      <c r="F929" s="28">
        <v>0.0</v>
      </c>
      <c r="G929" s="99" t="s">
        <v>40</v>
      </c>
      <c r="H929" s="28">
        <f t="array" ref="H929">INDEX(CC!C:C,MATCH(1,(CC!A:A=G929)*(CC!B:B=I929),0))</f>
        <v>602</v>
      </c>
      <c r="I929" s="28" t="s">
        <v>25</v>
      </c>
      <c r="J929" s="31">
        <v>457.5</v>
      </c>
      <c r="K929" s="28" t="str">
        <f>IFERROR(__xludf.DUMMYFUNCTION("IFERROR(
INDEX(
FILTER(
MAP(
reglas!$B$2:$B$240,
reglas!$C$2:$C$240,
reglas!$D$2:$D$240,
reglas!$E$2:$E$240,
LAMBDA(rEmisor,rPatron,rConcepto,rTipo,
IF(
AND(
OR(
UPPER(TRIM(rEmisor))=UPPER(TRIM(C929)),
UPPER(TRIM(rEmisor))=""CUALQUIERA""
),
OR(
UPPER(TRIM"&amp;"(rTipo))=""SOLO EMISOR"",
AND(
UPPER(TRIM(rTipo))=""EXACTA"",
UPPER(TRIM(AG929))=UPPER(TRIM(rPatron))
),
AND(
OR(
UPPER(TRIM(rTipo))=""CONTIENE"",
UPPER(TRIM(rTipo))=""COINCIDENCIA""
),
ISNUMBER(SEARCH(UPPER(TRIM(rPatron)),UPPER(TRIM(D929))))
)
)
),
rConc"&amp;"epto,
""""
)
)
),
MAP(
reglas!$B$2:$B$240,
reglas!$C$2:$C$240,
reglas!$D$2:$D$240,
reglas!$E$2:$E$240,
LAMBDA(rEmisor,rPatron,rConcepto,rTipo,
IF(
AND(
OR(
UPPER(TRIM(rEmisor))=UPPER(TRIM(C929)),
UPPER(TRIM(rEmisor))=""CUALQUIERA""
),
OR(
UPPER(TRIM(rTipo"&amp;"))=""SOLO EMISOR"",
AND(
UPPER(TRIM(rTipo))=""EXACTA"",
UPPER(TRIM(D929))=UPPER(TRIM(rPatron))
),
AND(
OR(
UPPER(TRIM(rTipo))=""CONTIENE"",
UPPER(TRIM(rTipo))=""COINCIDENCIA""
),
ISNUMBER(SEARCH(UPPER(TRIM(rPatron)),UPPER(TRIM(D929))))
)
)
),
rConcepto,
"&amp;"""""
)
)
)&lt;&gt;""""
),
1
),
""""
)"),"MANIOBRAS")</f>
        <v>MANIOBRAS</v>
      </c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</row>
    <row r="930">
      <c r="A930" s="32"/>
      <c r="B930" s="28" t="s">
        <v>29</v>
      </c>
      <c r="C930" s="29" t="s">
        <v>1063</v>
      </c>
      <c r="D930" s="29" t="s">
        <v>1776</v>
      </c>
      <c r="E930" s="30">
        <v>1000.0</v>
      </c>
      <c r="F930" s="28">
        <v>0.0</v>
      </c>
      <c r="G930" s="28" t="s">
        <v>395</v>
      </c>
      <c r="H930" s="28">
        <f t="array" ref="H930">INDEX(CC!C:C,MATCH(1,(CC!A:A=G930)*(CC!B:B=I930),0))</f>
        <v>1103</v>
      </c>
      <c r="I930" s="28" t="s">
        <v>44</v>
      </c>
      <c r="J930" s="31">
        <v>1000.0</v>
      </c>
      <c r="K930" s="28" t="str">
        <f>IFERROR(__xludf.DUMMYFUNCTION("IFERROR(
INDEX(
FILTER(
MAP(
reglas!$B$2:$B$240,
reglas!$C$2:$C$240,
reglas!$D$2:$D$240,
reglas!$E$2:$E$240,
LAMBDA(rEmisor,rPatron,rConcepto,rTipo,
IF(
AND(
OR(
UPPER(TRIM(rEmisor))=UPPER(TRIM(C930)),
UPPER(TRIM(rEmisor))=""CUALQUIERA""
),
OR(
UPPER(TRIM"&amp;"(rTipo))=""SOLO EMISOR"",
AND(
UPPER(TRIM(rTipo))=""EXACTA"",
UPPER(TRIM(AG930))=UPPER(TRIM(rPatron))
),
AND(
OR(
UPPER(TRIM(rTipo))=""CONTIENE"",
UPPER(TRIM(rTipo))=""COINCIDENCIA""
),
ISNUMBER(SEARCH(UPPER(TRIM(rPatron)),UPPER(TRIM(D930))))
)
)
),
rConc"&amp;"epto,
""""
)
)
),
MAP(
reglas!$B$2:$B$240,
reglas!$C$2:$C$240,
reglas!$D$2:$D$240,
reglas!$E$2:$E$240,
LAMBDA(rEmisor,rPatron,rConcepto,rTipo,
IF(
AND(
OR(
UPPER(TRIM(rEmisor))=UPPER(TRIM(C930)),
UPPER(TRIM(rEmisor))=""CUALQUIERA""
),
OR(
UPPER(TRIM(rTipo"&amp;"))=""SOLO EMISOR"",
AND(
UPPER(TRIM(rTipo))=""EXACTA"",
UPPER(TRIM(D930))=UPPER(TRIM(rPatron))
),
AND(
OR(
UPPER(TRIM(rTipo))=""CONTIENE"",
UPPER(TRIM(rTipo))=""COINCIDENCIA""
),
ISNUMBER(SEARCH(UPPER(TRIM(rPatron)),UPPER(TRIM(D930))))
)
)
),
rConcepto,
"&amp;"""""
)
)
)&lt;&gt;""""
),
1
),
""""
)"),"")</f>
        <v/>
      </c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</row>
    <row r="931">
      <c r="A931" s="32"/>
      <c r="B931" s="28" t="s">
        <v>29</v>
      </c>
      <c r="C931" s="29" t="s">
        <v>276</v>
      </c>
      <c r="D931" s="29" t="s">
        <v>73</v>
      </c>
      <c r="E931" s="30">
        <v>4007.0</v>
      </c>
      <c r="F931" s="28">
        <v>0.0</v>
      </c>
      <c r="G931" s="28" t="s">
        <v>74</v>
      </c>
      <c r="H931" s="28">
        <f t="array" ref="H931">INDEX(CC!C:C,MATCH(1,(CC!A:A=G931)*(CC!B:B=I931),0))</f>
        <v>1503</v>
      </c>
      <c r="I931" s="28" t="s">
        <v>44</v>
      </c>
      <c r="J931" s="31">
        <v>4007.0</v>
      </c>
      <c r="K931" s="28" t="str">
        <f>IFERROR(__xludf.DUMMYFUNCTION("IFERROR(
INDEX(
FILTER(
MAP(
reglas!$B$2:$B$240,
reglas!$C$2:$C$240,
reglas!$D$2:$D$240,
reglas!$E$2:$E$240,
LAMBDA(rEmisor,rPatron,rConcepto,rTipo,
IF(
AND(
OR(
UPPER(TRIM(rEmisor))=UPPER(TRIM(C931)),
UPPER(TRIM(rEmisor))=""CUALQUIERA""
),
OR(
UPPER(TRIM"&amp;"(rTipo))=""SOLO EMISOR"",
AND(
UPPER(TRIM(rTipo))=""EXACTA"",
UPPER(TRIM(AG931))=UPPER(TRIM(rPatron))
),
AND(
OR(
UPPER(TRIM(rTipo))=""CONTIENE"",
UPPER(TRIM(rTipo))=""COINCIDENCIA""
),
ISNUMBER(SEARCH(UPPER(TRIM(rPatron)),UPPER(TRIM(D931))))
)
)
),
rConc"&amp;"epto,
""""
)
)
),
MAP(
reglas!$B$2:$B$240,
reglas!$C$2:$C$240,
reglas!$D$2:$D$240,
reglas!$E$2:$E$240,
LAMBDA(rEmisor,rPatron,rConcepto,rTipo,
IF(
AND(
OR(
UPPER(TRIM(rEmisor))=UPPER(TRIM(C931)),
UPPER(TRIM(rEmisor))=""CUALQUIERA""
),
OR(
UPPER(TRIM(rTipo"&amp;"))=""SOLO EMISOR"",
AND(
UPPER(TRIM(rTipo))=""EXACTA"",
UPPER(TRIM(D931))=UPPER(TRIM(rPatron))
),
AND(
OR(
UPPER(TRIM(rTipo))=""CONTIENE"",
UPPER(TRIM(rTipo))=""COINCIDENCIA""
),
ISNUMBER(SEARCH(UPPER(TRIM(rPatron)),UPPER(TRIM(D931))))
)
)
),
rConcepto,
"&amp;"""""
)
)
)&lt;&gt;""""
),
1
),
""""
)"),"MANIOBRAS")</f>
        <v>MANIOBRAS</v>
      </c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</row>
    <row r="932">
      <c r="A932" s="32"/>
      <c r="B932" s="32"/>
      <c r="C932" s="29" t="s">
        <v>276</v>
      </c>
      <c r="D932" s="29" t="s">
        <v>1038</v>
      </c>
      <c r="E932" s="30">
        <v>6586.44</v>
      </c>
      <c r="F932" s="28">
        <v>0.0</v>
      </c>
      <c r="G932" s="28" t="s">
        <v>74</v>
      </c>
      <c r="H932" s="28">
        <f t="array" ref="H932">INDEX(CC!C:C,MATCH(1,(CC!A:A=G932)*(CC!B:B=I932),0))</f>
        <v>1503</v>
      </c>
      <c r="I932" s="28" t="s">
        <v>44</v>
      </c>
      <c r="J932" s="31">
        <v>6586.44</v>
      </c>
      <c r="K932" s="28" t="str">
        <f>IFERROR(__xludf.DUMMYFUNCTION("IFERROR(
INDEX(
FILTER(
MAP(
reglas!$B$2:$B$240,
reglas!$C$2:$C$240,
reglas!$D$2:$D$240,
reglas!$E$2:$E$240,
LAMBDA(rEmisor,rPatron,rConcepto,rTipo,
IF(
AND(
OR(
UPPER(TRIM(rEmisor))=UPPER(TRIM(C932)),
UPPER(TRIM(rEmisor))=""CUALQUIERA""
),
OR(
UPPER(TRIM"&amp;"(rTipo))=""SOLO EMISOR"",
AND(
UPPER(TRIM(rTipo))=""EXACTA"",
UPPER(TRIM(AG932))=UPPER(TRIM(rPatron))
),
AND(
OR(
UPPER(TRIM(rTipo))=""CONTIENE"",
UPPER(TRIM(rTipo))=""COINCIDENCIA""
),
ISNUMBER(SEARCH(UPPER(TRIM(rPatron)),UPPER(TRIM(D932))))
)
)
),
rConc"&amp;"epto,
""""
)
)
),
MAP(
reglas!$B$2:$B$240,
reglas!$C$2:$C$240,
reglas!$D$2:$D$240,
reglas!$E$2:$E$240,
LAMBDA(rEmisor,rPatron,rConcepto,rTipo,
IF(
AND(
OR(
UPPER(TRIM(rEmisor))=UPPER(TRIM(C932)),
UPPER(TRIM(rEmisor))=""CUALQUIERA""
),
OR(
UPPER(TRIM(rTipo"&amp;"))=""SOLO EMISOR"",
AND(
UPPER(TRIM(rTipo))=""EXACTA"",
UPPER(TRIM(D932))=UPPER(TRIM(rPatron))
),
AND(
OR(
UPPER(TRIM(rTipo))=""CONTIENE"",
UPPER(TRIM(rTipo))=""COINCIDENCIA""
),
ISNUMBER(SEARCH(UPPER(TRIM(rPatron)),UPPER(TRIM(D932))))
)
)
),
rConcepto,
"&amp;"""""
)
)
)&lt;&gt;""""
),
1
),
""""
)"),"MANIOBRAS")</f>
        <v>MANIOBRAS</v>
      </c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</row>
    <row r="933">
      <c r="A933" s="32"/>
      <c r="B933" s="32"/>
      <c r="C933" s="29" t="s">
        <v>276</v>
      </c>
      <c r="D933" s="29" t="s">
        <v>77</v>
      </c>
      <c r="E933" s="30">
        <v>2552.99</v>
      </c>
      <c r="F933" s="28">
        <v>0.0</v>
      </c>
      <c r="G933" s="28" t="s">
        <v>74</v>
      </c>
      <c r="H933" s="28">
        <f t="array" ref="H933">INDEX(CC!C:C,MATCH(1,(CC!A:A=G933)*(CC!B:B=I933),0))</f>
        <v>1503</v>
      </c>
      <c r="I933" s="28" t="s">
        <v>44</v>
      </c>
      <c r="J933" s="31">
        <v>2552.99</v>
      </c>
      <c r="K933" s="28" t="str">
        <f>IFERROR(__xludf.DUMMYFUNCTION("IFERROR(
INDEX(
FILTER(
MAP(
reglas!$B$2:$B$240,
reglas!$C$2:$C$240,
reglas!$D$2:$D$240,
reglas!$E$2:$E$240,
LAMBDA(rEmisor,rPatron,rConcepto,rTipo,
IF(
AND(
OR(
UPPER(TRIM(rEmisor))=UPPER(TRIM(C933)),
UPPER(TRIM(rEmisor))=""CUALQUIERA""
),
OR(
UPPER(TRIM"&amp;"(rTipo))=""SOLO EMISOR"",
AND(
UPPER(TRIM(rTipo))=""EXACTA"",
UPPER(TRIM(AG933))=UPPER(TRIM(rPatron))
),
AND(
OR(
UPPER(TRIM(rTipo))=""CONTIENE"",
UPPER(TRIM(rTipo))=""COINCIDENCIA""
),
ISNUMBER(SEARCH(UPPER(TRIM(rPatron)),UPPER(TRIM(D933))))
)
)
),
rConc"&amp;"epto,
""""
)
)
),
MAP(
reglas!$B$2:$B$240,
reglas!$C$2:$C$240,
reglas!$D$2:$D$240,
reglas!$E$2:$E$240,
LAMBDA(rEmisor,rPatron,rConcepto,rTipo,
IF(
AND(
OR(
UPPER(TRIM(rEmisor))=UPPER(TRIM(C933)),
UPPER(TRIM(rEmisor))=""CUALQUIERA""
),
OR(
UPPER(TRIM(rTipo"&amp;"))=""SOLO EMISOR"",
AND(
UPPER(TRIM(rTipo))=""EXACTA"",
UPPER(TRIM(D933))=UPPER(TRIM(rPatron))
),
AND(
OR(
UPPER(TRIM(rTipo))=""CONTIENE"",
UPPER(TRIM(rTipo))=""COINCIDENCIA""
),
ISNUMBER(SEARCH(UPPER(TRIM(rPatron)),UPPER(TRIM(D933))))
)
)
),
rConcepto,
"&amp;"""""
)
)
)&lt;&gt;""""
),
1
),
""""
)"),"MANIOBRAS")</f>
        <v>MANIOBRAS</v>
      </c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</row>
    <row r="934">
      <c r="A934" s="32"/>
      <c r="B934" s="32"/>
      <c r="C934" s="29" t="s">
        <v>276</v>
      </c>
      <c r="D934" s="29" t="s">
        <v>1039</v>
      </c>
      <c r="E934" s="28">
        <v>787.9</v>
      </c>
      <c r="F934" s="28">
        <v>0.0</v>
      </c>
      <c r="G934" s="28" t="s">
        <v>74</v>
      </c>
      <c r="H934" s="28">
        <f t="array" ref="H934">INDEX(CC!C:C,MATCH(1,(CC!A:A=G934)*(CC!B:B=I934),0))</f>
        <v>1503</v>
      </c>
      <c r="I934" s="28" t="s">
        <v>44</v>
      </c>
      <c r="J934" s="31">
        <v>787.9</v>
      </c>
      <c r="K934" s="28" t="str">
        <f>IFERROR(__xludf.DUMMYFUNCTION("IFERROR(
INDEX(
FILTER(
MAP(
reglas!$B$2:$B$240,
reglas!$C$2:$C$240,
reglas!$D$2:$D$240,
reglas!$E$2:$E$240,
LAMBDA(rEmisor,rPatron,rConcepto,rTipo,
IF(
AND(
OR(
UPPER(TRIM(rEmisor))=UPPER(TRIM(C934)),
UPPER(TRIM(rEmisor))=""CUALQUIERA""
),
OR(
UPPER(TRIM"&amp;"(rTipo))=""SOLO EMISOR"",
AND(
UPPER(TRIM(rTipo))=""EXACTA"",
UPPER(TRIM(AG934))=UPPER(TRIM(rPatron))
),
AND(
OR(
UPPER(TRIM(rTipo))=""CONTIENE"",
UPPER(TRIM(rTipo))=""COINCIDENCIA""
),
ISNUMBER(SEARCH(UPPER(TRIM(rPatron)),UPPER(TRIM(D934))))
)
)
),
rConc"&amp;"epto,
""""
)
)
),
MAP(
reglas!$B$2:$B$240,
reglas!$C$2:$C$240,
reglas!$D$2:$D$240,
reglas!$E$2:$E$240,
LAMBDA(rEmisor,rPatron,rConcepto,rTipo,
IF(
AND(
OR(
UPPER(TRIM(rEmisor))=UPPER(TRIM(C934)),
UPPER(TRIM(rEmisor))=""CUALQUIERA""
),
OR(
UPPER(TRIM(rTipo"&amp;"))=""SOLO EMISOR"",
AND(
UPPER(TRIM(rTipo))=""EXACTA"",
UPPER(TRIM(D934))=UPPER(TRIM(rPatron))
),
AND(
OR(
UPPER(TRIM(rTipo))=""CONTIENE"",
UPPER(TRIM(rTipo))=""COINCIDENCIA""
),
ISNUMBER(SEARCH(UPPER(TRIM(rPatron)),UPPER(TRIM(D934))))
)
)
),
rConcepto,
"&amp;"""""
)
)
)&lt;&gt;""""
),
1
),
""""
)"),"MANIOBRAS")</f>
        <v>MANIOBRAS</v>
      </c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</row>
    <row r="935">
      <c r="A935" s="32"/>
      <c r="B935" s="28" t="s">
        <v>29</v>
      </c>
      <c r="C935" s="29" t="s">
        <v>236</v>
      </c>
      <c r="D935" s="29" t="s">
        <v>1777</v>
      </c>
      <c r="E935" s="30">
        <v>2400.0</v>
      </c>
      <c r="F935" s="28">
        <v>0.0</v>
      </c>
      <c r="G935" s="28" t="s">
        <v>55</v>
      </c>
      <c r="H935" s="28">
        <f t="array" ref="H935">INDEX(CC!C:C,MATCH(1,(CC!A:A=G935)*(CC!B:B=I935),0))</f>
        <v>902</v>
      </c>
      <c r="I935" s="28" t="s">
        <v>25</v>
      </c>
      <c r="J935" s="31">
        <v>2400.0</v>
      </c>
      <c r="K935" s="28" t="str">
        <f>IFERROR(__xludf.DUMMYFUNCTION("IFERROR(
INDEX(
FILTER(
MAP(
reglas!$B$2:$B$240,
reglas!$C$2:$C$240,
reglas!$D$2:$D$240,
reglas!$E$2:$E$240,
LAMBDA(rEmisor,rPatron,rConcepto,rTipo,
IF(
AND(
OR(
UPPER(TRIM(rEmisor))=UPPER(TRIM(C935)),
UPPER(TRIM(rEmisor))=""CUALQUIERA""
),
OR(
UPPER(TRIM"&amp;"(rTipo))=""SOLO EMISOR"",
AND(
UPPER(TRIM(rTipo))=""EXACTA"",
UPPER(TRIM(AG935))=UPPER(TRIM(rPatron))
),
AND(
OR(
UPPER(TRIM(rTipo))=""CONTIENE"",
UPPER(TRIM(rTipo))=""COINCIDENCIA""
),
ISNUMBER(SEARCH(UPPER(TRIM(rPatron)),UPPER(TRIM(D935))))
)
)
),
rConc"&amp;"epto,
""""
)
)
),
MAP(
reglas!$B$2:$B$240,
reglas!$C$2:$C$240,
reglas!$D$2:$D$240,
reglas!$E$2:$E$240,
LAMBDA(rEmisor,rPatron,rConcepto,rTipo,
IF(
AND(
OR(
UPPER(TRIM(rEmisor))=UPPER(TRIM(C935)),
UPPER(TRIM(rEmisor))=""CUALQUIERA""
),
OR(
UPPER(TRIM(rTipo"&amp;"))=""SOLO EMISOR"",
AND(
UPPER(TRIM(rTipo))=""EXACTA"",
UPPER(TRIM(D935))=UPPER(TRIM(rPatron))
),
AND(
OR(
UPPER(TRIM(rTipo))=""CONTIENE"",
UPPER(TRIM(rTipo))=""COINCIDENCIA""
),
ISNUMBER(SEARCH(UPPER(TRIM(rPatron)),UPPER(TRIM(D935))))
)
)
),
rConcepto,
"&amp;"""""
)
)
)&lt;&gt;""""
),
1
),
""""
)"),"PAPELERIA")</f>
        <v>PAPELERIA</v>
      </c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</row>
    <row r="936">
      <c r="A936" s="32"/>
      <c r="B936" s="32"/>
      <c r="C936" s="29" t="s">
        <v>236</v>
      </c>
      <c r="D936" s="29" t="s">
        <v>1778</v>
      </c>
      <c r="E936" s="30">
        <v>1800.0</v>
      </c>
      <c r="F936" s="28">
        <v>0.0</v>
      </c>
      <c r="G936" s="28" t="s">
        <v>74</v>
      </c>
      <c r="H936" s="28">
        <f t="array" ref="H936">INDEX(CC!C:C,MATCH(1,(CC!A:A=G936)*(CC!B:B=I936),0))</f>
        <v>1502</v>
      </c>
      <c r="I936" s="28" t="s">
        <v>25</v>
      </c>
      <c r="J936" s="31">
        <v>1800.0</v>
      </c>
      <c r="K936" s="28" t="str">
        <f>IFERROR(__xludf.DUMMYFUNCTION("IFERROR(
INDEX(
FILTER(
MAP(
reglas!$B$2:$B$240,
reglas!$C$2:$C$240,
reglas!$D$2:$D$240,
reglas!$E$2:$E$240,
LAMBDA(rEmisor,rPatron,rConcepto,rTipo,
IF(
AND(
OR(
UPPER(TRIM(rEmisor))=UPPER(TRIM(C936)),
UPPER(TRIM(rEmisor))=""CUALQUIERA""
),
OR(
UPPER(TRIM"&amp;"(rTipo))=""SOLO EMISOR"",
AND(
UPPER(TRIM(rTipo))=""EXACTA"",
UPPER(TRIM(AG936))=UPPER(TRIM(rPatron))
),
AND(
OR(
UPPER(TRIM(rTipo))=""CONTIENE"",
UPPER(TRIM(rTipo))=""COINCIDENCIA""
),
ISNUMBER(SEARCH(UPPER(TRIM(rPatron)),UPPER(TRIM(D936))))
)
)
),
rConc"&amp;"epto,
""""
)
)
),
MAP(
reglas!$B$2:$B$240,
reglas!$C$2:$C$240,
reglas!$D$2:$D$240,
reglas!$E$2:$E$240,
LAMBDA(rEmisor,rPatron,rConcepto,rTipo,
IF(
AND(
OR(
UPPER(TRIM(rEmisor))=UPPER(TRIM(C936)),
UPPER(TRIM(rEmisor))=""CUALQUIERA""
),
OR(
UPPER(TRIM(rTipo"&amp;"))=""SOLO EMISOR"",
AND(
UPPER(TRIM(rTipo))=""EXACTA"",
UPPER(TRIM(D936))=UPPER(TRIM(rPatron))
),
AND(
OR(
UPPER(TRIM(rTipo))=""CONTIENE"",
UPPER(TRIM(rTipo))=""COINCIDENCIA""
),
ISNUMBER(SEARCH(UPPER(TRIM(rPatron)),UPPER(TRIM(D936))))
)
)
),
rConcepto,
"&amp;"""""
)
)
)&lt;&gt;""""
),
1
),
""""
)"),"PAPELERIA")</f>
        <v>PAPELERIA</v>
      </c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</row>
    <row r="937">
      <c r="A937" s="32"/>
      <c r="B937" s="32"/>
      <c r="C937" s="29" t="s">
        <v>236</v>
      </c>
      <c r="D937" s="29" t="s">
        <v>1779</v>
      </c>
      <c r="E937" s="28">
        <v>57.6</v>
      </c>
      <c r="F937" s="28">
        <v>0.0</v>
      </c>
      <c r="G937" s="28" t="s">
        <v>74</v>
      </c>
      <c r="H937" s="28">
        <f t="array" ref="H937">INDEX(CC!C:C,MATCH(1,(CC!A:A=G937)*(CC!B:B=I937),0))</f>
        <v>1502</v>
      </c>
      <c r="I937" s="28" t="s">
        <v>25</v>
      </c>
      <c r="J937" s="31">
        <v>57.6</v>
      </c>
      <c r="K937" s="28" t="str">
        <f>IFERROR(__xludf.DUMMYFUNCTION("IFERROR(
INDEX(
FILTER(
MAP(
reglas!$B$2:$B$240,
reglas!$C$2:$C$240,
reglas!$D$2:$D$240,
reglas!$E$2:$E$240,
LAMBDA(rEmisor,rPatron,rConcepto,rTipo,
IF(
AND(
OR(
UPPER(TRIM(rEmisor))=UPPER(TRIM(C937)),
UPPER(TRIM(rEmisor))=""CUALQUIERA""
),
OR(
UPPER(TRIM"&amp;"(rTipo))=""SOLO EMISOR"",
AND(
UPPER(TRIM(rTipo))=""EXACTA"",
UPPER(TRIM(AG937))=UPPER(TRIM(rPatron))
),
AND(
OR(
UPPER(TRIM(rTipo))=""CONTIENE"",
UPPER(TRIM(rTipo))=""COINCIDENCIA""
),
ISNUMBER(SEARCH(UPPER(TRIM(rPatron)),UPPER(TRIM(D937))))
)
)
),
rConc"&amp;"epto,
""""
)
)
),
MAP(
reglas!$B$2:$B$240,
reglas!$C$2:$C$240,
reglas!$D$2:$D$240,
reglas!$E$2:$E$240,
LAMBDA(rEmisor,rPatron,rConcepto,rTipo,
IF(
AND(
OR(
UPPER(TRIM(rEmisor))=UPPER(TRIM(C937)),
UPPER(TRIM(rEmisor))=""CUALQUIERA""
),
OR(
UPPER(TRIM(rTipo"&amp;"))=""SOLO EMISOR"",
AND(
UPPER(TRIM(rTipo))=""EXACTA"",
UPPER(TRIM(D937))=UPPER(TRIM(rPatron))
),
AND(
OR(
UPPER(TRIM(rTipo))=""CONTIENE"",
UPPER(TRIM(rTipo))=""COINCIDENCIA""
),
ISNUMBER(SEARCH(UPPER(TRIM(rPatron)),UPPER(TRIM(D937))))
)
)
),
rConcepto,
"&amp;"""""
)
)
)&lt;&gt;""""
),
1
),
""""
)"),"PAPELERIA")</f>
        <v>PAPELERIA</v>
      </c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</row>
    <row r="938">
      <c r="A938" s="32"/>
      <c r="B938" s="32"/>
      <c r="C938" s="29" t="s">
        <v>236</v>
      </c>
      <c r="D938" s="29" t="s">
        <v>1780</v>
      </c>
      <c r="E938" s="28">
        <v>54.0</v>
      </c>
      <c r="F938" s="28">
        <v>0.0</v>
      </c>
      <c r="G938" s="28" t="s">
        <v>74</v>
      </c>
      <c r="H938" s="28">
        <f t="array" ref="H938">INDEX(CC!C:C,MATCH(1,(CC!A:A=G938)*(CC!B:B=I938),0))</f>
        <v>1502</v>
      </c>
      <c r="I938" s="28" t="s">
        <v>25</v>
      </c>
      <c r="J938" s="31">
        <v>54.0</v>
      </c>
      <c r="K938" s="28" t="str">
        <f>IFERROR(__xludf.DUMMYFUNCTION("IFERROR(
INDEX(
FILTER(
MAP(
reglas!$B$2:$B$240,
reglas!$C$2:$C$240,
reglas!$D$2:$D$240,
reglas!$E$2:$E$240,
LAMBDA(rEmisor,rPatron,rConcepto,rTipo,
IF(
AND(
OR(
UPPER(TRIM(rEmisor))=UPPER(TRIM(C938)),
UPPER(TRIM(rEmisor))=""CUALQUIERA""
),
OR(
UPPER(TRIM"&amp;"(rTipo))=""SOLO EMISOR"",
AND(
UPPER(TRIM(rTipo))=""EXACTA"",
UPPER(TRIM(AG938))=UPPER(TRIM(rPatron))
),
AND(
OR(
UPPER(TRIM(rTipo))=""CONTIENE"",
UPPER(TRIM(rTipo))=""COINCIDENCIA""
),
ISNUMBER(SEARCH(UPPER(TRIM(rPatron)),UPPER(TRIM(D938))))
)
)
),
rConc"&amp;"epto,
""""
)
)
),
MAP(
reglas!$B$2:$B$240,
reglas!$C$2:$C$240,
reglas!$D$2:$D$240,
reglas!$E$2:$E$240,
LAMBDA(rEmisor,rPatron,rConcepto,rTipo,
IF(
AND(
OR(
UPPER(TRIM(rEmisor))=UPPER(TRIM(C938)),
UPPER(TRIM(rEmisor))=""CUALQUIERA""
),
OR(
UPPER(TRIM(rTipo"&amp;"))=""SOLO EMISOR"",
AND(
UPPER(TRIM(rTipo))=""EXACTA"",
UPPER(TRIM(D938))=UPPER(TRIM(rPatron))
),
AND(
OR(
UPPER(TRIM(rTipo))=""CONTIENE"",
UPPER(TRIM(rTipo))=""COINCIDENCIA""
),
ISNUMBER(SEARCH(UPPER(TRIM(rPatron)),UPPER(TRIM(D938))))
)
)
),
rConcepto,
"&amp;"""""
)
)
)&lt;&gt;""""
),
1
),
""""
)"),"PAPELERIA")</f>
        <v>PAPELERIA</v>
      </c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</row>
    <row r="939">
      <c r="A939" s="32"/>
      <c r="B939" s="32"/>
      <c r="C939" s="29" t="s">
        <v>236</v>
      </c>
      <c r="D939" s="29" t="s">
        <v>1781</v>
      </c>
      <c r="E939" s="28">
        <v>49.0</v>
      </c>
      <c r="F939" s="28">
        <v>0.0</v>
      </c>
      <c r="G939" s="28" t="s">
        <v>74</v>
      </c>
      <c r="H939" s="28">
        <f t="array" ref="H939">INDEX(CC!C:C,MATCH(1,(CC!A:A=G939)*(CC!B:B=I939),0))</f>
        <v>1502</v>
      </c>
      <c r="I939" s="28" t="s">
        <v>25</v>
      </c>
      <c r="J939" s="31">
        <v>49.0</v>
      </c>
      <c r="K939" s="28" t="str">
        <f>IFERROR(__xludf.DUMMYFUNCTION("IFERROR(
INDEX(
FILTER(
MAP(
reglas!$B$2:$B$240,
reglas!$C$2:$C$240,
reglas!$D$2:$D$240,
reglas!$E$2:$E$240,
LAMBDA(rEmisor,rPatron,rConcepto,rTipo,
IF(
AND(
OR(
UPPER(TRIM(rEmisor))=UPPER(TRIM(C939)),
UPPER(TRIM(rEmisor))=""CUALQUIERA""
),
OR(
UPPER(TRIM"&amp;"(rTipo))=""SOLO EMISOR"",
AND(
UPPER(TRIM(rTipo))=""EXACTA"",
UPPER(TRIM(AG939))=UPPER(TRIM(rPatron))
),
AND(
OR(
UPPER(TRIM(rTipo))=""CONTIENE"",
UPPER(TRIM(rTipo))=""COINCIDENCIA""
),
ISNUMBER(SEARCH(UPPER(TRIM(rPatron)),UPPER(TRIM(D939))))
)
)
),
rConc"&amp;"epto,
""""
)
)
),
MAP(
reglas!$B$2:$B$240,
reglas!$C$2:$C$240,
reglas!$D$2:$D$240,
reglas!$E$2:$E$240,
LAMBDA(rEmisor,rPatron,rConcepto,rTipo,
IF(
AND(
OR(
UPPER(TRIM(rEmisor))=UPPER(TRIM(C939)),
UPPER(TRIM(rEmisor))=""CUALQUIERA""
),
OR(
UPPER(TRIM(rTipo"&amp;"))=""SOLO EMISOR"",
AND(
UPPER(TRIM(rTipo))=""EXACTA"",
UPPER(TRIM(D939))=UPPER(TRIM(rPatron))
),
AND(
OR(
UPPER(TRIM(rTipo))=""CONTIENE"",
UPPER(TRIM(rTipo))=""COINCIDENCIA""
),
ISNUMBER(SEARCH(UPPER(TRIM(rPatron)),UPPER(TRIM(D939))))
)
)
),
rConcepto,
"&amp;"""""
)
)
)&lt;&gt;""""
),
1
),
""""
)"),"PAPELERIA")</f>
        <v>PAPELERIA</v>
      </c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</row>
    <row r="940">
      <c r="A940" s="32"/>
      <c r="B940" s="32"/>
      <c r="C940" s="29" t="s">
        <v>236</v>
      </c>
      <c r="D940" s="29" t="s">
        <v>1782</v>
      </c>
      <c r="E940" s="28">
        <v>27.6</v>
      </c>
      <c r="F940" s="28">
        <v>0.0</v>
      </c>
      <c r="G940" s="28" t="s">
        <v>74</v>
      </c>
      <c r="H940" s="28">
        <f t="array" ref="H940">INDEX(CC!C:C,MATCH(1,(CC!A:A=G940)*(CC!B:B=I940),0))</f>
        <v>1502</v>
      </c>
      <c r="I940" s="28" t="s">
        <v>25</v>
      </c>
      <c r="J940" s="31">
        <v>27.6</v>
      </c>
      <c r="K940" s="28" t="str">
        <f>IFERROR(__xludf.DUMMYFUNCTION("IFERROR(
INDEX(
FILTER(
MAP(
reglas!$B$2:$B$240,
reglas!$C$2:$C$240,
reglas!$D$2:$D$240,
reglas!$E$2:$E$240,
LAMBDA(rEmisor,rPatron,rConcepto,rTipo,
IF(
AND(
OR(
UPPER(TRIM(rEmisor))=UPPER(TRIM(C940)),
UPPER(TRIM(rEmisor))=""CUALQUIERA""
),
OR(
UPPER(TRIM"&amp;"(rTipo))=""SOLO EMISOR"",
AND(
UPPER(TRIM(rTipo))=""EXACTA"",
UPPER(TRIM(AG940))=UPPER(TRIM(rPatron))
),
AND(
OR(
UPPER(TRIM(rTipo))=""CONTIENE"",
UPPER(TRIM(rTipo))=""COINCIDENCIA""
),
ISNUMBER(SEARCH(UPPER(TRIM(rPatron)),UPPER(TRIM(D940))))
)
)
),
rConc"&amp;"epto,
""""
)
)
),
MAP(
reglas!$B$2:$B$240,
reglas!$C$2:$C$240,
reglas!$D$2:$D$240,
reglas!$E$2:$E$240,
LAMBDA(rEmisor,rPatron,rConcepto,rTipo,
IF(
AND(
OR(
UPPER(TRIM(rEmisor))=UPPER(TRIM(C940)),
UPPER(TRIM(rEmisor))=""CUALQUIERA""
),
OR(
UPPER(TRIM(rTipo"&amp;"))=""SOLO EMISOR"",
AND(
UPPER(TRIM(rTipo))=""EXACTA"",
UPPER(TRIM(D940))=UPPER(TRIM(rPatron))
),
AND(
OR(
UPPER(TRIM(rTipo))=""CONTIENE"",
UPPER(TRIM(rTipo))=""COINCIDENCIA""
),
ISNUMBER(SEARCH(UPPER(TRIM(rPatron)),UPPER(TRIM(D940))))
)
)
),
rConcepto,
"&amp;"""""
)
)
)&lt;&gt;""""
),
1
),
""""
)"),"PAPELERIA")</f>
        <v>PAPELERIA</v>
      </c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</row>
    <row r="941">
      <c r="A941" s="32"/>
      <c r="B941" s="32"/>
      <c r="C941" s="29" t="s">
        <v>236</v>
      </c>
      <c r="D941" s="29" t="s">
        <v>1783</v>
      </c>
      <c r="E941" s="28">
        <v>120.0</v>
      </c>
      <c r="F941" s="28">
        <v>0.0</v>
      </c>
      <c r="G941" s="28" t="s">
        <v>74</v>
      </c>
      <c r="H941" s="28">
        <f t="array" ref="H941">INDEX(CC!C:C,MATCH(1,(CC!A:A=G941)*(CC!B:B=I941),0))</f>
        <v>1502</v>
      </c>
      <c r="I941" s="28" t="s">
        <v>25</v>
      </c>
      <c r="J941" s="31">
        <v>120.0</v>
      </c>
      <c r="K941" s="28" t="str">
        <f>IFERROR(__xludf.DUMMYFUNCTION("IFERROR(
INDEX(
FILTER(
MAP(
reglas!$B$2:$B$240,
reglas!$C$2:$C$240,
reglas!$D$2:$D$240,
reglas!$E$2:$E$240,
LAMBDA(rEmisor,rPatron,rConcepto,rTipo,
IF(
AND(
OR(
UPPER(TRIM(rEmisor))=UPPER(TRIM(C941)),
UPPER(TRIM(rEmisor))=""CUALQUIERA""
),
OR(
UPPER(TRIM"&amp;"(rTipo))=""SOLO EMISOR"",
AND(
UPPER(TRIM(rTipo))=""EXACTA"",
UPPER(TRIM(AG941))=UPPER(TRIM(rPatron))
),
AND(
OR(
UPPER(TRIM(rTipo))=""CONTIENE"",
UPPER(TRIM(rTipo))=""COINCIDENCIA""
),
ISNUMBER(SEARCH(UPPER(TRIM(rPatron)),UPPER(TRIM(D941))))
)
)
),
rConc"&amp;"epto,
""""
)
)
),
MAP(
reglas!$B$2:$B$240,
reglas!$C$2:$C$240,
reglas!$D$2:$D$240,
reglas!$E$2:$E$240,
LAMBDA(rEmisor,rPatron,rConcepto,rTipo,
IF(
AND(
OR(
UPPER(TRIM(rEmisor))=UPPER(TRIM(C941)),
UPPER(TRIM(rEmisor))=""CUALQUIERA""
),
OR(
UPPER(TRIM(rTipo"&amp;"))=""SOLO EMISOR"",
AND(
UPPER(TRIM(rTipo))=""EXACTA"",
UPPER(TRIM(D941))=UPPER(TRIM(rPatron))
),
AND(
OR(
UPPER(TRIM(rTipo))=""CONTIENE"",
UPPER(TRIM(rTipo))=""COINCIDENCIA""
),
ISNUMBER(SEARCH(UPPER(TRIM(rPatron)),UPPER(TRIM(D941))))
)
)
),
rConcepto,
"&amp;"""""
)
)
)&lt;&gt;""""
),
1
),
""""
)"),"PAPELERIA")</f>
        <v>PAPELERIA</v>
      </c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</row>
    <row r="942">
      <c r="A942" s="32"/>
      <c r="B942" s="32"/>
      <c r="C942" s="29" t="s">
        <v>236</v>
      </c>
      <c r="D942" s="29" t="s">
        <v>1784</v>
      </c>
      <c r="E942" s="28">
        <v>156.0</v>
      </c>
      <c r="F942" s="28">
        <v>0.0</v>
      </c>
      <c r="G942" s="28" t="s">
        <v>74</v>
      </c>
      <c r="H942" s="28">
        <f t="array" ref="H942">INDEX(CC!C:C,MATCH(1,(CC!A:A=G942)*(CC!B:B=I942),0))</f>
        <v>1502</v>
      </c>
      <c r="I942" s="28" t="s">
        <v>25</v>
      </c>
      <c r="J942" s="31">
        <v>156.0</v>
      </c>
      <c r="K942" s="28" t="str">
        <f>IFERROR(__xludf.DUMMYFUNCTION("IFERROR(
INDEX(
FILTER(
MAP(
reglas!$B$2:$B$240,
reglas!$C$2:$C$240,
reglas!$D$2:$D$240,
reglas!$E$2:$E$240,
LAMBDA(rEmisor,rPatron,rConcepto,rTipo,
IF(
AND(
OR(
UPPER(TRIM(rEmisor))=UPPER(TRIM(C942)),
UPPER(TRIM(rEmisor))=""CUALQUIERA""
),
OR(
UPPER(TRIM"&amp;"(rTipo))=""SOLO EMISOR"",
AND(
UPPER(TRIM(rTipo))=""EXACTA"",
UPPER(TRIM(AG942))=UPPER(TRIM(rPatron))
),
AND(
OR(
UPPER(TRIM(rTipo))=""CONTIENE"",
UPPER(TRIM(rTipo))=""COINCIDENCIA""
),
ISNUMBER(SEARCH(UPPER(TRIM(rPatron)),UPPER(TRIM(D942))))
)
)
),
rConc"&amp;"epto,
""""
)
)
),
MAP(
reglas!$B$2:$B$240,
reglas!$C$2:$C$240,
reglas!$D$2:$D$240,
reglas!$E$2:$E$240,
LAMBDA(rEmisor,rPatron,rConcepto,rTipo,
IF(
AND(
OR(
UPPER(TRIM(rEmisor))=UPPER(TRIM(C942)),
UPPER(TRIM(rEmisor))=""CUALQUIERA""
),
OR(
UPPER(TRIM(rTipo"&amp;"))=""SOLO EMISOR"",
AND(
UPPER(TRIM(rTipo))=""EXACTA"",
UPPER(TRIM(D942))=UPPER(TRIM(rPatron))
),
AND(
OR(
UPPER(TRIM(rTipo))=""CONTIENE"",
UPPER(TRIM(rTipo))=""COINCIDENCIA""
),
ISNUMBER(SEARCH(UPPER(TRIM(rPatron)),UPPER(TRIM(D942))))
)
)
),
rConcepto,
"&amp;"""""
)
)
)&lt;&gt;""""
),
1
),
""""
)"),"PAPELERIA")</f>
        <v>PAPELERIA</v>
      </c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</row>
    <row r="943">
      <c r="A943" s="32"/>
      <c r="B943" s="32"/>
      <c r="C943" s="29" t="s">
        <v>236</v>
      </c>
      <c r="D943" s="29" t="s">
        <v>1785</v>
      </c>
      <c r="E943" s="28">
        <v>260.0</v>
      </c>
      <c r="F943" s="28">
        <v>0.0</v>
      </c>
      <c r="G943" s="28" t="s">
        <v>74</v>
      </c>
      <c r="H943" s="28">
        <f t="array" ref="H943">INDEX(CC!C:C,MATCH(1,(CC!A:A=G943)*(CC!B:B=I943),0))</f>
        <v>1502</v>
      </c>
      <c r="I943" s="28" t="s">
        <v>25</v>
      </c>
      <c r="J943" s="31">
        <v>260.0</v>
      </c>
      <c r="K943" s="28" t="str">
        <f>IFERROR(__xludf.DUMMYFUNCTION("IFERROR(
INDEX(
FILTER(
MAP(
reglas!$B$2:$B$240,
reglas!$C$2:$C$240,
reglas!$D$2:$D$240,
reglas!$E$2:$E$240,
LAMBDA(rEmisor,rPatron,rConcepto,rTipo,
IF(
AND(
OR(
UPPER(TRIM(rEmisor))=UPPER(TRIM(C943)),
UPPER(TRIM(rEmisor))=""CUALQUIERA""
),
OR(
UPPER(TRIM"&amp;"(rTipo))=""SOLO EMISOR"",
AND(
UPPER(TRIM(rTipo))=""EXACTA"",
UPPER(TRIM(AG943))=UPPER(TRIM(rPatron))
),
AND(
OR(
UPPER(TRIM(rTipo))=""CONTIENE"",
UPPER(TRIM(rTipo))=""COINCIDENCIA""
),
ISNUMBER(SEARCH(UPPER(TRIM(rPatron)),UPPER(TRIM(D943))))
)
)
),
rConc"&amp;"epto,
""""
)
)
),
MAP(
reglas!$B$2:$B$240,
reglas!$C$2:$C$240,
reglas!$D$2:$D$240,
reglas!$E$2:$E$240,
LAMBDA(rEmisor,rPatron,rConcepto,rTipo,
IF(
AND(
OR(
UPPER(TRIM(rEmisor))=UPPER(TRIM(C943)),
UPPER(TRIM(rEmisor))=""CUALQUIERA""
),
OR(
UPPER(TRIM(rTipo"&amp;"))=""SOLO EMISOR"",
AND(
UPPER(TRIM(rTipo))=""EXACTA"",
UPPER(TRIM(D943))=UPPER(TRIM(rPatron))
),
AND(
OR(
UPPER(TRIM(rTipo))=""CONTIENE"",
UPPER(TRIM(rTipo))=""COINCIDENCIA""
),
ISNUMBER(SEARCH(UPPER(TRIM(rPatron)),UPPER(TRIM(D943))))
)
)
),
rConcepto,
"&amp;"""""
)
)
)&lt;&gt;""""
),
1
),
""""
)"),"PAPELERIA")</f>
        <v>PAPELERIA</v>
      </c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</row>
    <row r="944">
      <c r="A944" s="32"/>
      <c r="B944" s="32"/>
      <c r="C944" s="29" t="s">
        <v>236</v>
      </c>
      <c r="D944" s="29" t="s">
        <v>1786</v>
      </c>
      <c r="E944" s="28">
        <v>180.0</v>
      </c>
      <c r="F944" s="28">
        <v>0.0</v>
      </c>
      <c r="G944" s="28" t="s">
        <v>74</v>
      </c>
      <c r="H944" s="28">
        <f t="array" ref="H944">INDEX(CC!C:C,MATCH(1,(CC!A:A=G944)*(CC!B:B=I944),0))</f>
        <v>1502</v>
      </c>
      <c r="I944" s="28" t="s">
        <v>25</v>
      </c>
      <c r="J944" s="31">
        <v>180.0</v>
      </c>
      <c r="K944" s="28" t="str">
        <f>IFERROR(__xludf.DUMMYFUNCTION("IFERROR(
INDEX(
FILTER(
MAP(
reglas!$B$2:$B$240,
reglas!$C$2:$C$240,
reglas!$D$2:$D$240,
reglas!$E$2:$E$240,
LAMBDA(rEmisor,rPatron,rConcepto,rTipo,
IF(
AND(
OR(
UPPER(TRIM(rEmisor))=UPPER(TRIM(C944)),
UPPER(TRIM(rEmisor))=""CUALQUIERA""
),
OR(
UPPER(TRIM"&amp;"(rTipo))=""SOLO EMISOR"",
AND(
UPPER(TRIM(rTipo))=""EXACTA"",
UPPER(TRIM(AG944))=UPPER(TRIM(rPatron))
),
AND(
OR(
UPPER(TRIM(rTipo))=""CONTIENE"",
UPPER(TRIM(rTipo))=""COINCIDENCIA""
),
ISNUMBER(SEARCH(UPPER(TRIM(rPatron)),UPPER(TRIM(D944))))
)
)
),
rConc"&amp;"epto,
""""
)
)
),
MAP(
reglas!$B$2:$B$240,
reglas!$C$2:$C$240,
reglas!$D$2:$D$240,
reglas!$E$2:$E$240,
LAMBDA(rEmisor,rPatron,rConcepto,rTipo,
IF(
AND(
OR(
UPPER(TRIM(rEmisor))=UPPER(TRIM(C944)),
UPPER(TRIM(rEmisor))=""CUALQUIERA""
),
OR(
UPPER(TRIM(rTipo"&amp;"))=""SOLO EMISOR"",
AND(
UPPER(TRIM(rTipo))=""EXACTA"",
UPPER(TRIM(D944))=UPPER(TRIM(rPatron))
),
AND(
OR(
UPPER(TRIM(rTipo))=""CONTIENE"",
UPPER(TRIM(rTipo))=""COINCIDENCIA""
),
ISNUMBER(SEARCH(UPPER(TRIM(rPatron)),UPPER(TRIM(D944))))
)
)
),
rConcepto,
"&amp;"""""
)
)
)&lt;&gt;""""
),
1
),
""""
)"),"PAPELERIA")</f>
        <v>PAPELERIA</v>
      </c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</row>
    <row r="945">
      <c r="A945" s="28">
        <v>1.0</v>
      </c>
      <c r="B945" s="28" t="s">
        <v>29</v>
      </c>
      <c r="C945" s="29" t="s">
        <v>475</v>
      </c>
      <c r="D945" s="29" t="s">
        <v>1787</v>
      </c>
      <c r="E945" s="30">
        <v>1000.0</v>
      </c>
      <c r="F945" s="28">
        <v>0.0</v>
      </c>
      <c r="G945" s="28" t="s">
        <v>55</v>
      </c>
      <c r="H945" s="28">
        <f t="array" ref="H945">INDEX(CC!C:C,MATCH(1,(CC!A:A=G945)*(CC!B:B=I945),0))</f>
        <v>903</v>
      </c>
      <c r="I945" s="28" t="s">
        <v>44</v>
      </c>
      <c r="J945" s="31">
        <v>1000.0</v>
      </c>
      <c r="K945" s="28" t="str">
        <f>IFERROR(__xludf.DUMMYFUNCTION("IFERROR(
INDEX(
FILTER(
MAP(
reglas!$B$2:$B$240,
reglas!$C$2:$C$240,
reglas!$D$2:$D$240,
reglas!$E$2:$E$240,
LAMBDA(rEmisor,rPatron,rConcepto,rTipo,
IF(
AND(
OR(
UPPER(TRIM(rEmisor))=UPPER(TRIM(C945)),
UPPER(TRIM(rEmisor))=""CUALQUIERA""
),
OR(
UPPER(TRIM"&amp;"(rTipo))=""SOLO EMISOR"",
AND(
UPPER(TRIM(rTipo))=""EXACTA"",
UPPER(TRIM(AG945))=UPPER(TRIM(rPatron))
),
AND(
OR(
UPPER(TRIM(rTipo))=""CONTIENE"",
UPPER(TRIM(rTipo))=""COINCIDENCIA""
),
ISNUMBER(SEARCH(UPPER(TRIM(rPatron)),UPPER(TRIM(D945))))
)
)
),
rConc"&amp;"epto,
""""
)
)
),
MAP(
reglas!$B$2:$B$240,
reglas!$C$2:$C$240,
reglas!$D$2:$D$240,
reglas!$E$2:$E$240,
LAMBDA(rEmisor,rPatron,rConcepto,rTipo,
IF(
AND(
OR(
UPPER(TRIM(rEmisor))=UPPER(TRIM(C945)),
UPPER(TRIM(rEmisor))=""CUALQUIERA""
),
OR(
UPPER(TRIM(rTipo"&amp;"))=""SOLO EMISOR"",
AND(
UPPER(TRIM(rTipo))=""EXACTA"",
UPPER(TRIM(D945))=UPPER(TRIM(rPatron))
),
AND(
OR(
UPPER(TRIM(rTipo))=""CONTIENE"",
UPPER(TRIM(rTipo))=""COINCIDENCIA""
),
ISNUMBER(SEARCH(UPPER(TRIM(rPatron)),UPPER(TRIM(D945))))
)
)
),
rConcepto,
"&amp;"""""
)
)
)&lt;&gt;""""
),
1
),
""""
)"),"ASESORIA EN COMERCIO EXTERIOR")</f>
        <v>ASESORIA EN COMERCIO EXTERIOR</v>
      </c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</row>
    <row r="946">
      <c r="A946" s="32"/>
      <c r="B946" s="28" t="s">
        <v>29</v>
      </c>
      <c r="C946" s="29" t="s">
        <v>172</v>
      </c>
      <c r="D946" s="29" t="s">
        <v>1788</v>
      </c>
      <c r="E946" s="30">
        <v>11500.0</v>
      </c>
      <c r="F946" s="28">
        <v>0.0</v>
      </c>
      <c r="G946" s="28" t="s">
        <v>250</v>
      </c>
      <c r="H946" s="28">
        <f t="array" ref="H946">INDEX(CC!C:C,MATCH(1,(CC!A:A=G946)*(CC!B:B=I946),0))</f>
        <v>1402</v>
      </c>
      <c r="I946" s="28" t="s">
        <v>25</v>
      </c>
      <c r="J946" s="31">
        <v>11500.0</v>
      </c>
      <c r="K946" s="28" t="str">
        <f>IFERROR(__xludf.DUMMYFUNCTION("IFERROR(
INDEX(
FILTER(
MAP(
reglas!$B$2:$B$240,
reglas!$C$2:$C$240,
reglas!$D$2:$D$240,
reglas!$E$2:$E$240,
LAMBDA(rEmisor,rPatron,rConcepto,rTipo,
IF(
AND(
OR(
UPPER(TRIM(rEmisor))=UPPER(TRIM(C946)),
UPPER(TRIM(rEmisor))=""CUALQUIERA""
),
OR(
UPPER(TRIM"&amp;"(rTipo))=""SOLO EMISOR"",
AND(
UPPER(TRIM(rTipo))=""EXACTA"",
UPPER(TRIM(AG946))=UPPER(TRIM(rPatron))
),
AND(
OR(
UPPER(TRIM(rTipo))=""CONTIENE"",
UPPER(TRIM(rTipo))=""COINCIDENCIA""
),
ISNUMBER(SEARCH(UPPER(TRIM(rPatron)),UPPER(TRIM(D946))))
)
)
),
rConc"&amp;"epto,
""""
)
)
),
MAP(
reglas!$B$2:$B$240,
reglas!$C$2:$C$240,
reglas!$D$2:$D$240,
reglas!$E$2:$E$240,
LAMBDA(rEmisor,rPatron,rConcepto,rTipo,
IF(
AND(
OR(
UPPER(TRIM(rEmisor))=UPPER(TRIM(C946)),
UPPER(TRIM(rEmisor))=""CUALQUIERA""
),
OR(
UPPER(TRIM(rTipo"&amp;"))=""SOLO EMISOR"",
AND(
UPPER(TRIM(rTipo))=""EXACTA"",
UPPER(TRIM(D946))=UPPER(TRIM(rPatron))
),
AND(
OR(
UPPER(TRIM(rTipo))=""CONTIENE"",
UPPER(TRIM(rTipo))=""COINCIDENCIA""
),
ISNUMBER(SEARCH(UPPER(TRIM(rPatron)),UPPER(TRIM(D946))))
)
)
),
rConcepto,
"&amp;"""""
)
)
)&lt;&gt;""""
),
1
),
""""
)"),"TRANSPORTE")</f>
        <v>TRANSPORTE</v>
      </c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</row>
    <row r="947">
      <c r="A947" s="32"/>
      <c r="B947" s="28" t="s">
        <v>29</v>
      </c>
      <c r="C947" s="29" t="s">
        <v>172</v>
      </c>
      <c r="D947" s="29" t="s">
        <v>1773</v>
      </c>
      <c r="E947" s="30">
        <v>11500.0</v>
      </c>
      <c r="F947" s="28">
        <v>0.0</v>
      </c>
      <c r="G947" s="28" t="s">
        <v>250</v>
      </c>
      <c r="H947" s="28">
        <f t="array" ref="H947">INDEX(CC!C:C,MATCH(1,(CC!A:A=G947)*(CC!B:B=I947),0))</f>
        <v>1402</v>
      </c>
      <c r="I947" s="28" t="s">
        <v>25</v>
      </c>
      <c r="J947" s="31">
        <v>11500.0</v>
      </c>
      <c r="K947" s="28" t="str">
        <f>IFERROR(__xludf.DUMMYFUNCTION("IFERROR(
INDEX(
FILTER(
MAP(
reglas!$B$2:$B$240,
reglas!$C$2:$C$240,
reglas!$D$2:$D$240,
reglas!$E$2:$E$240,
LAMBDA(rEmisor,rPatron,rConcepto,rTipo,
IF(
AND(
OR(
UPPER(TRIM(rEmisor))=UPPER(TRIM(C947)),
UPPER(TRIM(rEmisor))=""CUALQUIERA""
),
OR(
UPPER(TRIM"&amp;"(rTipo))=""SOLO EMISOR"",
AND(
UPPER(TRIM(rTipo))=""EXACTA"",
UPPER(TRIM(AG947))=UPPER(TRIM(rPatron))
),
AND(
OR(
UPPER(TRIM(rTipo))=""CONTIENE"",
UPPER(TRIM(rTipo))=""COINCIDENCIA""
),
ISNUMBER(SEARCH(UPPER(TRIM(rPatron)),UPPER(TRIM(D947))))
)
)
),
rConc"&amp;"epto,
""""
)
)
),
MAP(
reglas!$B$2:$B$240,
reglas!$C$2:$C$240,
reglas!$D$2:$D$240,
reglas!$E$2:$E$240,
LAMBDA(rEmisor,rPatron,rConcepto,rTipo,
IF(
AND(
OR(
UPPER(TRIM(rEmisor))=UPPER(TRIM(C947)),
UPPER(TRIM(rEmisor))=""CUALQUIERA""
),
OR(
UPPER(TRIM(rTipo"&amp;"))=""SOLO EMISOR"",
AND(
UPPER(TRIM(rTipo))=""EXACTA"",
UPPER(TRIM(D947))=UPPER(TRIM(rPatron))
),
AND(
OR(
UPPER(TRIM(rTipo))=""CONTIENE"",
UPPER(TRIM(rTipo))=""COINCIDENCIA""
),
ISNUMBER(SEARCH(UPPER(TRIM(rPatron)),UPPER(TRIM(D947))))
)
)
),
rConcepto,
"&amp;"""""
)
)
)&lt;&gt;""""
),
1
),
""""
)"),"TRANSPORTE")</f>
        <v>TRANSPORTE</v>
      </c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</row>
    <row r="948">
      <c r="A948" s="32"/>
      <c r="B948" s="28" t="s">
        <v>29</v>
      </c>
      <c r="C948" s="29" t="s">
        <v>172</v>
      </c>
      <c r="D948" s="29" t="s">
        <v>1789</v>
      </c>
      <c r="E948" s="30">
        <v>11500.0</v>
      </c>
      <c r="F948" s="28">
        <v>0.0</v>
      </c>
      <c r="G948" s="28" t="s">
        <v>250</v>
      </c>
      <c r="H948" s="28">
        <f t="array" ref="H948">INDEX(CC!C:C,MATCH(1,(CC!A:A=G948)*(CC!B:B=I948),0))</f>
        <v>1402</v>
      </c>
      <c r="I948" s="28" t="s">
        <v>25</v>
      </c>
      <c r="J948" s="31">
        <v>11500.0</v>
      </c>
      <c r="K948" s="28" t="str">
        <f>IFERROR(__xludf.DUMMYFUNCTION("IFERROR(
INDEX(
FILTER(
MAP(
reglas!$B$2:$B$240,
reglas!$C$2:$C$240,
reglas!$D$2:$D$240,
reglas!$E$2:$E$240,
LAMBDA(rEmisor,rPatron,rConcepto,rTipo,
IF(
AND(
OR(
UPPER(TRIM(rEmisor))=UPPER(TRIM(C948)),
UPPER(TRIM(rEmisor))=""CUALQUIERA""
),
OR(
UPPER(TRIM"&amp;"(rTipo))=""SOLO EMISOR"",
AND(
UPPER(TRIM(rTipo))=""EXACTA"",
UPPER(TRIM(AG948))=UPPER(TRIM(rPatron))
),
AND(
OR(
UPPER(TRIM(rTipo))=""CONTIENE"",
UPPER(TRIM(rTipo))=""COINCIDENCIA""
),
ISNUMBER(SEARCH(UPPER(TRIM(rPatron)),UPPER(TRIM(D948))))
)
)
),
rConc"&amp;"epto,
""""
)
)
),
MAP(
reglas!$B$2:$B$240,
reglas!$C$2:$C$240,
reglas!$D$2:$D$240,
reglas!$E$2:$E$240,
LAMBDA(rEmisor,rPatron,rConcepto,rTipo,
IF(
AND(
OR(
UPPER(TRIM(rEmisor))=UPPER(TRIM(C948)),
UPPER(TRIM(rEmisor))=""CUALQUIERA""
),
OR(
UPPER(TRIM(rTipo"&amp;"))=""SOLO EMISOR"",
AND(
UPPER(TRIM(rTipo))=""EXACTA"",
UPPER(TRIM(D948))=UPPER(TRIM(rPatron))
),
AND(
OR(
UPPER(TRIM(rTipo))=""CONTIENE"",
UPPER(TRIM(rTipo))=""COINCIDENCIA""
),
ISNUMBER(SEARCH(UPPER(TRIM(rPatron)),UPPER(TRIM(D948))))
)
)
),
rConcepto,
"&amp;"""""
)
)
)&lt;&gt;""""
),
1
),
""""
)"),"TRANSPORTE")</f>
        <v>TRANSPORTE</v>
      </c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</row>
    <row r="949">
      <c r="A949" s="28">
        <v>1.0</v>
      </c>
      <c r="B949" s="28" t="s">
        <v>29</v>
      </c>
      <c r="C949" s="29" t="s">
        <v>271</v>
      </c>
      <c r="D949" s="29" t="s">
        <v>587</v>
      </c>
      <c r="E949" s="28">
        <v>569.38</v>
      </c>
      <c r="F949" s="28">
        <v>0.0</v>
      </c>
      <c r="G949" s="28" t="s">
        <v>84</v>
      </c>
      <c r="H949" s="28">
        <f t="array" ref="H949">INDEX(CC!C:C,MATCH(1,(CC!A:A=G949)*(CC!B:B=I949),0))</f>
        <v>1002</v>
      </c>
      <c r="I949" s="28" t="s">
        <v>25</v>
      </c>
      <c r="J949" s="31">
        <v>569.38</v>
      </c>
      <c r="K949" s="28" t="str">
        <f>IFERROR(__xludf.DUMMYFUNCTION("IFERROR(
INDEX(
FILTER(
MAP(
reglas!$B$2:$B$240,
reglas!$C$2:$C$240,
reglas!$D$2:$D$240,
reglas!$E$2:$E$240,
LAMBDA(rEmisor,rPatron,rConcepto,rTipo,
IF(
AND(
OR(
UPPER(TRIM(rEmisor))=UPPER(TRIM(C949)),
UPPER(TRIM(rEmisor))=""CUALQUIERA""
),
OR(
UPPER(TRIM"&amp;"(rTipo))=""SOLO EMISOR"",
AND(
UPPER(TRIM(rTipo))=""EXACTA"",
UPPER(TRIM(AG949))=UPPER(TRIM(rPatron))
),
AND(
OR(
UPPER(TRIM(rTipo))=""CONTIENE"",
UPPER(TRIM(rTipo))=""COINCIDENCIA""
),
ISNUMBER(SEARCH(UPPER(TRIM(rPatron)),UPPER(TRIM(D949))))
)
)
),
rConc"&amp;"epto,
""""
)
)
),
MAP(
reglas!$B$2:$B$240,
reglas!$C$2:$C$240,
reglas!$D$2:$D$240,
reglas!$E$2:$E$240,
LAMBDA(rEmisor,rPatron,rConcepto,rTipo,
IF(
AND(
OR(
UPPER(TRIM(rEmisor))=UPPER(TRIM(C949)),
UPPER(TRIM(rEmisor))=""CUALQUIERA""
),
OR(
UPPER(TRIM(rTipo"&amp;"))=""SOLO EMISOR"",
AND(
UPPER(TRIM(rTipo))=""EXACTA"",
UPPER(TRIM(D949))=UPPER(TRIM(rPatron))
),
AND(
OR(
UPPER(TRIM(rTipo))=""CONTIENE"",
UPPER(TRIM(rTipo))=""COINCIDENCIA""
),
ISNUMBER(SEARCH(UPPER(TRIM(rPatron)),UPPER(TRIM(D949))))
)
)
),
rConcepto,
"&amp;"""""
)
)
)&lt;&gt;""""
),
1
),
""""
)"),"MANIOBRAS")</f>
        <v>MANIOBRAS</v>
      </c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</row>
    <row r="950">
      <c r="A950" s="32"/>
      <c r="B950" s="32"/>
      <c r="C950" s="29" t="s">
        <v>271</v>
      </c>
      <c r="D950" s="29" t="s">
        <v>586</v>
      </c>
      <c r="E950" s="28">
        <v>622.66</v>
      </c>
      <c r="F950" s="28">
        <v>0.0</v>
      </c>
      <c r="G950" s="28" t="s">
        <v>84</v>
      </c>
      <c r="H950" s="28">
        <f t="array" ref="H950">INDEX(CC!C:C,MATCH(1,(CC!A:A=G950)*(CC!B:B=I950),0))</f>
        <v>1002</v>
      </c>
      <c r="I950" s="28" t="s">
        <v>25</v>
      </c>
      <c r="J950" s="31">
        <v>622.66</v>
      </c>
      <c r="K950" s="28" t="str">
        <f>IFERROR(__xludf.DUMMYFUNCTION("IFERROR(
INDEX(
FILTER(
MAP(
reglas!$B$2:$B$240,
reglas!$C$2:$C$240,
reglas!$D$2:$D$240,
reglas!$E$2:$E$240,
LAMBDA(rEmisor,rPatron,rConcepto,rTipo,
IF(
AND(
OR(
UPPER(TRIM(rEmisor))=UPPER(TRIM(C950)),
UPPER(TRIM(rEmisor))=""CUALQUIERA""
),
OR(
UPPER(TRIM"&amp;"(rTipo))=""SOLO EMISOR"",
AND(
UPPER(TRIM(rTipo))=""EXACTA"",
UPPER(TRIM(AG950))=UPPER(TRIM(rPatron))
),
AND(
OR(
UPPER(TRIM(rTipo))=""CONTIENE"",
UPPER(TRIM(rTipo))=""COINCIDENCIA""
),
ISNUMBER(SEARCH(UPPER(TRIM(rPatron)),UPPER(TRIM(D950))))
)
)
),
rConc"&amp;"epto,
""""
)
)
),
MAP(
reglas!$B$2:$B$240,
reglas!$C$2:$C$240,
reglas!$D$2:$D$240,
reglas!$E$2:$E$240,
LAMBDA(rEmisor,rPatron,rConcepto,rTipo,
IF(
AND(
OR(
UPPER(TRIM(rEmisor))=UPPER(TRIM(C950)),
UPPER(TRIM(rEmisor))=""CUALQUIERA""
),
OR(
UPPER(TRIM(rTipo"&amp;"))=""SOLO EMISOR"",
AND(
UPPER(TRIM(rTipo))=""EXACTA"",
UPPER(TRIM(D950))=UPPER(TRIM(rPatron))
),
AND(
OR(
UPPER(TRIM(rTipo))=""CONTIENE"",
UPPER(TRIM(rTipo))=""COINCIDENCIA""
),
ISNUMBER(SEARCH(UPPER(TRIM(rPatron)),UPPER(TRIM(D950))))
)
)
),
rConcepto,
"&amp;"""""
)
)
)&lt;&gt;""""
),
1
),
""""
)"),"MANIOBRAS")</f>
        <v>MANIOBRAS</v>
      </c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</row>
    <row r="951">
      <c r="A951" s="32"/>
      <c r="B951" s="32"/>
      <c r="C951" s="29" t="s">
        <v>271</v>
      </c>
      <c r="D951" s="29" t="s">
        <v>589</v>
      </c>
      <c r="E951" s="28">
        <v>622.66</v>
      </c>
      <c r="F951" s="28">
        <v>0.0</v>
      </c>
      <c r="G951" s="28" t="s">
        <v>84</v>
      </c>
      <c r="H951" s="28">
        <f t="array" ref="H951">INDEX(CC!C:C,MATCH(1,(CC!A:A=G951)*(CC!B:B=I951),0))</f>
        <v>1002</v>
      </c>
      <c r="I951" s="28" t="s">
        <v>25</v>
      </c>
      <c r="J951" s="31">
        <v>622.66</v>
      </c>
      <c r="K951" s="28" t="str">
        <f>IFERROR(__xludf.DUMMYFUNCTION("IFERROR(
INDEX(
FILTER(
MAP(
reglas!$B$2:$B$240,
reglas!$C$2:$C$240,
reglas!$D$2:$D$240,
reglas!$E$2:$E$240,
LAMBDA(rEmisor,rPatron,rConcepto,rTipo,
IF(
AND(
OR(
UPPER(TRIM(rEmisor))=UPPER(TRIM(C951)),
UPPER(TRIM(rEmisor))=""CUALQUIERA""
),
OR(
UPPER(TRIM"&amp;"(rTipo))=""SOLO EMISOR"",
AND(
UPPER(TRIM(rTipo))=""EXACTA"",
UPPER(TRIM(AG951))=UPPER(TRIM(rPatron))
),
AND(
OR(
UPPER(TRIM(rTipo))=""CONTIENE"",
UPPER(TRIM(rTipo))=""COINCIDENCIA""
),
ISNUMBER(SEARCH(UPPER(TRIM(rPatron)),UPPER(TRIM(D951))))
)
)
),
rConc"&amp;"epto,
""""
)
)
),
MAP(
reglas!$B$2:$B$240,
reglas!$C$2:$C$240,
reglas!$D$2:$D$240,
reglas!$E$2:$E$240,
LAMBDA(rEmisor,rPatron,rConcepto,rTipo,
IF(
AND(
OR(
UPPER(TRIM(rEmisor))=UPPER(TRIM(C951)),
UPPER(TRIM(rEmisor))=""CUALQUIERA""
),
OR(
UPPER(TRIM(rTipo"&amp;"))=""SOLO EMISOR"",
AND(
UPPER(TRIM(rTipo))=""EXACTA"",
UPPER(TRIM(D951))=UPPER(TRIM(rPatron))
),
AND(
OR(
UPPER(TRIM(rTipo))=""CONTIENE"",
UPPER(TRIM(rTipo))=""COINCIDENCIA""
),
ISNUMBER(SEARCH(UPPER(TRIM(rPatron)),UPPER(TRIM(D951))))
)
)
),
rConcepto,
"&amp;"""""
)
)
)&lt;&gt;""""
),
1
),
""""
)"),"MANIOBRAS")</f>
        <v>MANIOBRAS</v>
      </c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</row>
    <row r="952">
      <c r="A952" s="32"/>
      <c r="B952" s="32"/>
      <c r="C952" s="29" t="s">
        <v>271</v>
      </c>
      <c r="D952" s="29" t="s">
        <v>593</v>
      </c>
      <c r="E952" s="28">
        <v>353.54</v>
      </c>
      <c r="F952" s="28">
        <v>0.0</v>
      </c>
      <c r="G952" s="28" t="s">
        <v>84</v>
      </c>
      <c r="H952" s="28">
        <f t="array" ref="H952">INDEX(CC!C:C,MATCH(1,(CC!A:A=G952)*(CC!B:B=I952),0))</f>
        <v>1002</v>
      </c>
      <c r="I952" s="28" t="s">
        <v>25</v>
      </c>
      <c r="J952" s="31">
        <v>353.54</v>
      </c>
      <c r="K952" s="28" t="str">
        <f>IFERROR(__xludf.DUMMYFUNCTION("IFERROR(
INDEX(
FILTER(
MAP(
reglas!$B$2:$B$240,
reglas!$C$2:$C$240,
reglas!$D$2:$D$240,
reglas!$E$2:$E$240,
LAMBDA(rEmisor,rPatron,rConcepto,rTipo,
IF(
AND(
OR(
UPPER(TRIM(rEmisor))=UPPER(TRIM(C952)),
UPPER(TRIM(rEmisor))=""CUALQUIERA""
),
OR(
UPPER(TRIM"&amp;"(rTipo))=""SOLO EMISOR"",
AND(
UPPER(TRIM(rTipo))=""EXACTA"",
UPPER(TRIM(AG952))=UPPER(TRIM(rPatron))
),
AND(
OR(
UPPER(TRIM(rTipo))=""CONTIENE"",
UPPER(TRIM(rTipo))=""COINCIDENCIA""
),
ISNUMBER(SEARCH(UPPER(TRIM(rPatron)),UPPER(TRIM(D952))))
)
)
),
rConc"&amp;"epto,
""""
)
)
),
MAP(
reglas!$B$2:$B$240,
reglas!$C$2:$C$240,
reglas!$D$2:$D$240,
reglas!$E$2:$E$240,
LAMBDA(rEmisor,rPatron,rConcepto,rTipo,
IF(
AND(
OR(
UPPER(TRIM(rEmisor))=UPPER(TRIM(C952)),
UPPER(TRIM(rEmisor))=""CUALQUIERA""
),
OR(
UPPER(TRIM(rTipo"&amp;"))=""SOLO EMISOR"",
AND(
UPPER(TRIM(rTipo))=""EXACTA"",
UPPER(TRIM(D952))=UPPER(TRIM(rPatron))
),
AND(
OR(
UPPER(TRIM(rTipo))=""CONTIENE"",
UPPER(TRIM(rTipo))=""COINCIDENCIA""
),
ISNUMBER(SEARCH(UPPER(TRIM(rPatron)),UPPER(TRIM(D952))))
)
)
),
rConcepto,
"&amp;"""""
)
)
)&lt;&gt;""""
),
1
),
""""
)"),"MANIOBRAS")</f>
        <v>MANIOBRAS</v>
      </c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</row>
    <row r="953">
      <c r="A953" s="32"/>
      <c r="B953" s="32"/>
      <c r="C953" s="29" t="s">
        <v>271</v>
      </c>
      <c r="D953" s="29" t="s">
        <v>596</v>
      </c>
      <c r="E953" s="30">
        <v>1306.6</v>
      </c>
      <c r="F953" s="28">
        <v>0.0</v>
      </c>
      <c r="G953" s="28" t="s">
        <v>84</v>
      </c>
      <c r="H953" s="28">
        <f t="array" ref="H953">INDEX(CC!C:C,MATCH(1,(CC!A:A=G953)*(CC!B:B=I953),0))</f>
        <v>1002</v>
      </c>
      <c r="I953" s="28" t="s">
        <v>25</v>
      </c>
      <c r="J953" s="31">
        <v>1306.6</v>
      </c>
      <c r="K953" s="28" t="str">
        <f>IFERROR(__xludf.DUMMYFUNCTION("IFERROR(
INDEX(
FILTER(
MAP(
reglas!$B$2:$B$240,
reglas!$C$2:$C$240,
reglas!$D$2:$D$240,
reglas!$E$2:$E$240,
LAMBDA(rEmisor,rPatron,rConcepto,rTipo,
IF(
AND(
OR(
UPPER(TRIM(rEmisor))=UPPER(TRIM(C953)),
UPPER(TRIM(rEmisor))=""CUALQUIERA""
),
OR(
UPPER(TRIM"&amp;"(rTipo))=""SOLO EMISOR"",
AND(
UPPER(TRIM(rTipo))=""EXACTA"",
UPPER(TRIM(AG953))=UPPER(TRIM(rPatron))
),
AND(
OR(
UPPER(TRIM(rTipo))=""CONTIENE"",
UPPER(TRIM(rTipo))=""COINCIDENCIA""
),
ISNUMBER(SEARCH(UPPER(TRIM(rPatron)),UPPER(TRIM(D953))))
)
)
),
rConc"&amp;"epto,
""""
)
)
),
MAP(
reglas!$B$2:$B$240,
reglas!$C$2:$C$240,
reglas!$D$2:$D$240,
reglas!$E$2:$E$240,
LAMBDA(rEmisor,rPatron,rConcepto,rTipo,
IF(
AND(
OR(
UPPER(TRIM(rEmisor))=UPPER(TRIM(C953)),
UPPER(TRIM(rEmisor))=""CUALQUIERA""
),
OR(
UPPER(TRIM(rTipo"&amp;"))=""SOLO EMISOR"",
AND(
UPPER(TRIM(rTipo))=""EXACTA"",
UPPER(TRIM(D953))=UPPER(TRIM(rPatron))
),
AND(
OR(
UPPER(TRIM(rTipo))=""CONTIENE"",
UPPER(TRIM(rTipo))=""COINCIDENCIA""
),
ISNUMBER(SEARCH(UPPER(TRIM(rPatron)),UPPER(TRIM(D953))))
)
)
),
rConcepto,
"&amp;"""""
)
)
)&lt;&gt;""""
),
1
),
""""
)"),"MANIOBRAS")</f>
        <v>MANIOBRAS</v>
      </c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</row>
    <row r="954">
      <c r="A954" s="32"/>
      <c r="B954" s="28" t="s">
        <v>29</v>
      </c>
      <c r="C954" s="29" t="s">
        <v>172</v>
      </c>
      <c r="D954" s="29" t="s">
        <v>1790</v>
      </c>
      <c r="E954" s="30">
        <v>11500.0</v>
      </c>
      <c r="F954" s="28">
        <v>0.0</v>
      </c>
      <c r="G954" s="28" t="s">
        <v>250</v>
      </c>
      <c r="H954" s="28">
        <f t="array" ref="H954">INDEX(CC!C:C,MATCH(1,(CC!A:A=G954)*(CC!B:B=I954),0))</f>
        <v>1402</v>
      </c>
      <c r="I954" s="28" t="s">
        <v>25</v>
      </c>
      <c r="J954" s="31">
        <v>11500.0</v>
      </c>
      <c r="K954" s="28" t="str">
        <f>IFERROR(__xludf.DUMMYFUNCTION("IFERROR(
INDEX(
FILTER(
MAP(
reglas!$B$2:$B$240,
reglas!$C$2:$C$240,
reglas!$D$2:$D$240,
reglas!$E$2:$E$240,
LAMBDA(rEmisor,rPatron,rConcepto,rTipo,
IF(
AND(
OR(
UPPER(TRIM(rEmisor))=UPPER(TRIM(C954)),
UPPER(TRIM(rEmisor))=""CUALQUIERA""
),
OR(
UPPER(TRIM"&amp;"(rTipo))=""SOLO EMISOR"",
AND(
UPPER(TRIM(rTipo))=""EXACTA"",
UPPER(TRIM(AG954))=UPPER(TRIM(rPatron))
),
AND(
OR(
UPPER(TRIM(rTipo))=""CONTIENE"",
UPPER(TRIM(rTipo))=""COINCIDENCIA""
),
ISNUMBER(SEARCH(UPPER(TRIM(rPatron)),UPPER(TRIM(D954))))
)
)
),
rConc"&amp;"epto,
""""
)
)
),
MAP(
reglas!$B$2:$B$240,
reglas!$C$2:$C$240,
reglas!$D$2:$D$240,
reglas!$E$2:$E$240,
LAMBDA(rEmisor,rPatron,rConcepto,rTipo,
IF(
AND(
OR(
UPPER(TRIM(rEmisor))=UPPER(TRIM(C954)),
UPPER(TRIM(rEmisor))=""CUALQUIERA""
),
OR(
UPPER(TRIM(rTipo"&amp;"))=""SOLO EMISOR"",
AND(
UPPER(TRIM(rTipo))=""EXACTA"",
UPPER(TRIM(D954))=UPPER(TRIM(rPatron))
),
AND(
OR(
UPPER(TRIM(rTipo))=""CONTIENE"",
UPPER(TRIM(rTipo))=""COINCIDENCIA""
),
ISNUMBER(SEARCH(UPPER(TRIM(rPatron)),UPPER(TRIM(D954))))
)
)
),
rConcepto,
"&amp;"""""
)
)
)&lt;&gt;""""
),
1
),
""""
)"),"TRANSPORTE")</f>
        <v>TRANSPORTE</v>
      </c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</row>
    <row r="955">
      <c r="A955" s="28">
        <v>1.0</v>
      </c>
      <c r="B955" s="28" t="s">
        <v>29</v>
      </c>
      <c r="C955" s="29" t="s">
        <v>89</v>
      </c>
      <c r="D955" s="29" t="s">
        <v>91</v>
      </c>
      <c r="E955" s="30">
        <v>1283.04</v>
      </c>
      <c r="F955" s="28">
        <v>0.0</v>
      </c>
      <c r="G955" s="28" t="s">
        <v>601</v>
      </c>
      <c r="H955" s="28">
        <f t="array" ref="H955">INDEX(CC!C:C,MATCH(1,(CC!A:A=G955)*(CC!B:B=I955),0))</f>
        <v>402</v>
      </c>
      <c r="I955" s="28" t="s">
        <v>25</v>
      </c>
      <c r="J955" s="31">
        <v>1283.04</v>
      </c>
      <c r="K955" s="28" t="str">
        <f>IFERROR(__xludf.DUMMYFUNCTION("IFERROR(
INDEX(
FILTER(
MAP(
reglas!$B$2:$B$240,
reglas!$C$2:$C$240,
reglas!$D$2:$D$240,
reglas!$E$2:$E$240,
LAMBDA(rEmisor,rPatron,rConcepto,rTipo,
IF(
AND(
OR(
UPPER(TRIM(rEmisor))=UPPER(TRIM(C955)),
UPPER(TRIM(rEmisor))=""CUALQUIERA""
),
OR(
UPPER(TRIM"&amp;"(rTipo))=""SOLO EMISOR"",
AND(
UPPER(TRIM(rTipo))=""EXACTA"",
UPPER(TRIM(AG955))=UPPER(TRIM(rPatron))
),
AND(
OR(
UPPER(TRIM(rTipo))=""CONTIENE"",
UPPER(TRIM(rTipo))=""COINCIDENCIA""
),
ISNUMBER(SEARCH(UPPER(TRIM(rPatron)),UPPER(TRIM(D955))))
)
)
),
rConc"&amp;"epto,
""""
)
)
),
MAP(
reglas!$B$2:$B$240,
reglas!$C$2:$C$240,
reglas!$D$2:$D$240,
reglas!$E$2:$E$240,
LAMBDA(rEmisor,rPatron,rConcepto,rTipo,
IF(
AND(
OR(
UPPER(TRIM(rEmisor))=UPPER(TRIM(C955)),
UPPER(TRIM(rEmisor))=""CUALQUIERA""
),
OR(
UPPER(TRIM(rTipo"&amp;"))=""SOLO EMISOR"",
AND(
UPPER(TRIM(rTipo))=""EXACTA"",
UPPER(TRIM(D955))=UPPER(TRIM(rPatron))
),
AND(
OR(
UPPER(TRIM(rTipo))=""CONTIENE"",
UPPER(TRIM(rTipo))=""COINCIDENCIA""
),
ISNUMBER(SEARCH(UPPER(TRIM(rPatron)),UPPER(TRIM(D955))))
)
)
),
rConcepto,
"&amp;"""""
)
)
)&lt;&gt;""""
),
1
),
""""
)"),"MANIOBRAS")</f>
        <v>MANIOBRAS</v>
      </c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</row>
    <row r="956">
      <c r="A956" s="28">
        <v>1.0</v>
      </c>
      <c r="B956" s="28" t="s">
        <v>29</v>
      </c>
      <c r="C956" s="29" t="s">
        <v>92</v>
      </c>
      <c r="D956" s="29" t="s">
        <v>1610</v>
      </c>
      <c r="E956" s="30">
        <v>2835.0</v>
      </c>
      <c r="F956" s="28">
        <v>0.0</v>
      </c>
      <c r="G956" s="28" t="s">
        <v>74</v>
      </c>
      <c r="H956" s="28">
        <f t="array" ref="H956">INDEX(CC!C:C,MATCH(1,(CC!A:A=G956)*(CC!B:B=I956),0))</f>
        <v>1503</v>
      </c>
      <c r="I956" s="28" t="s">
        <v>44</v>
      </c>
      <c r="J956" s="31">
        <v>2835.0</v>
      </c>
      <c r="K956" s="28" t="str">
        <f>IFERROR(__xludf.DUMMYFUNCTION("IFERROR(
INDEX(
FILTER(
MAP(
reglas!$B$2:$B$240,
reglas!$C$2:$C$240,
reglas!$D$2:$D$240,
reglas!$E$2:$E$240,
LAMBDA(rEmisor,rPatron,rConcepto,rTipo,
IF(
AND(
OR(
UPPER(TRIM(rEmisor))=UPPER(TRIM(C956)),
UPPER(TRIM(rEmisor))=""CUALQUIERA""
),
OR(
UPPER(TRIM"&amp;"(rTipo))=""SOLO EMISOR"",
AND(
UPPER(TRIM(rTipo))=""EXACTA"",
UPPER(TRIM(AG956))=UPPER(TRIM(rPatron))
),
AND(
OR(
UPPER(TRIM(rTipo))=""CONTIENE"",
UPPER(TRIM(rTipo))=""COINCIDENCIA""
),
ISNUMBER(SEARCH(UPPER(TRIM(rPatron)),UPPER(TRIM(D956))))
)
)
),
rConc"&amp;"epto,
""""
)
)
),
MAP(
reglas!$B$2:$B$240,
reglas!$C$2:$C$240,
reglas!$D$2:$D$240,
reglas!$E$2:$E$240,
LAMBDA(rEmisor,rPatron,rConcepto,rTipo,
IF(
AND(
OR(
UPPER(TRIM(rEmisor))=UPPER(TRIM(C956)),
UPPER(TRIM(rEmisor))=""CUALQUIERA""
),
OR(
UPPER(TRIM(rTipo"&amp;"))=""SOLO EMISOR"",
AND(
UPPER(TRIM(rTipo))=""EXACTA"",
UPPER(TRIM(D956))=UPPER(TRIM(rPatron))
),
AND(
OR(
UPPER(TRIM(rTipo))=""CONTIENE"",
UPPER(TRIM(rTipo))=""COINCIDENCIA""
),
ISNUMBER(SEARCH(UPPER(TRIM(rPatron)),UPPER(TRIM(D956))))
)
)
),
rConcepto,
"&amp;"""""
)
)
)&lt;&gt;""""
),
1
),
""""
)"),"MANIOBRAS")</f>
        <v>MANIOBRAS</v>
      </c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</row>
    <row r="957">
      <c r="A957" s="32"/>
      <c r="B957" s="28" t="s">
        <v>29</v>
      </c>
      <c r="C957" s="29" t="s">
        <v>331</v>
      </c>
      <c r="D957" s="29" t="s">
        <v>33</v>
      </c>
      <c r="E957" s="28">
        <v>0.01</v>
      </c>
      <c r="F957" s="28">
        <v>0.0</v>
      </c>
      <c r="G957" s="28" t="s">
        <v>385</v>
      </c>
      <c r="H957" s="28">
        <f t="array" ref="H957">INDEX(CC!C:C,MATCH(1,(CC!A:A=G957)*(CC!B:B=I957),0))</f>
        <v>502</v>
      </c>
      <c r="I957" s="28" t="s">
        <v>25</v>
      </c>
      <c r="J957" s="31">
        <v>0.01</v>
      </c>
      <c r="K957" s="28" t="str">
        <f>IFERROR(__xludf.DUMMYFUNCTION("IFERROR(
INDEX(
FILTER(
MAP(
reglas!$B$2:$B$240,
reglas!$C$2:$C$240,
reglas!$D$2:$D$240,
reglas!$E$2:$E$240,
LAMBDA(rEmisor,rPatron,rConcepto,rTipo,
IF(
AND(
OR(
UPPER(TRIM(rEmisor))=UPPER(TRIM(C957)),
UPPER(TRIM(rEmisor))=""CUALQUIERA""
),
OR(
UPPER(TRIM"&amp;"(rTipo))=""SOLO EMISOR"",
AND(
UPPER(TRIM(rTipo))=""EXACTA"",
UPPER(TRIM(AG957))=UPPER(TRIM(rPatron))
),
AND(
OR(
UPPER(TRIM(rTipo))=""CONTIENE"",
UPPER(TRIM(rTipo))=""COINCIDENCIA""
),
ISNUMBER(SEARCH(UPPER(TRIM(rPatron)),UPPER(TRIM(D957))))
)
)
),
rConc"&amp;"epto,
""""
)
)
),
MAP(
reglas!$B$2:$B$240,
reglas!$C$2:$C$240,
reglas!$D$2:$D$240,
reglas!$E$2:$E$240,
LAMBDA(rEmisor,rPatron,rConcepto,rTipo,
IF(
AND(
OR(
UPPER(TRIM(rEmisor))=UPPER(TRIM(C957)),
UPPER(TRIM(rEmisor))=""CUALQUIERA""
),
OR(
UPPER(TRIM(rTipo"&amp;"))=""SOLO EMISOR"",
AND(
UPPER(TRIM(rTipo))=""EXACTA"",
UPPER(TRIM(D957))=UPPER(TRIM(rPatron))
),
AND(
OR(
UPPER(TRIM(rTipo))=""CONTIENE"",
UPPER(TRIM(rTipo))=""COINCIDENCIA""
),
ISNUMBER(SEARCH(UPPER(TRIM(rPatron)),UPPER(TRIM(D957))))
)
)
),
rConcepto,
"&amp;"""""
)
)
)&lt;&gt;""""
),
1
),
""""
)"),"N/A")</f>
        <v>N/A</v>
      </c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</row>
    <row r="958">
      <c r="A958" s="28">
        <v>1.0</v>
      </c>
      <c r="B958" s="28" t="s">
        <v>29</v>
      </c>
      <c r="C958" s="29" t="s">
        <v>271</v>
      </c>
      <c r="D958" s="29" t="s">
        <v>589</v>
      </c>
      <c r="E958" s="28">
        <v>623.8</v>
      </c>
      <c r="F958" s="28">
        <v>0.0</v>
      </c>
      <c r="G958" s="28" t="s">
        <v>84</v>
      </c>
      <c r="H958" s="28">
        <f t="array" ref="H958">INDEX(CC!C:C,MATCH(1,(CC!A:A=G958)*(CC!B:B=I958),0))</f>
        <v>1002</v>
      </c>
      <c r="I958" s="28" t="s">
        <v>25</v>
      </c>
      <c r="J958" s="31">
        <v>623.8</v>
      </c>
      <c r="K958" s="28" t="str">
        <f>IFERROR(__xludf.DUMMYFUNCTION("IFERROR(
INDEX(
FILTER(
MAP(
reglas!$B$2:$B$240,
reglas!$C$2:$C$240,
reglas!$D$2:$D$240,
reglas!$E$2:$E$240,
LAMBDA(rEmisor,rPatron,rConcepto,rTipo,
IF(
AND(
OR(
UPPER(TRIM(rEmisor))=UPPER(TRIM(C958)),
UPPER(TRIM(rEmisor))=""CUALQUIERA""
),
OR(
UPPER(TRIM"&amp;"(rTipo))=""SOLO EMISOR"",
AND(
UPPER(TRIM(rTipo))=""EXACTA"",
UPPER(TRIM(AG958))=UPPER(TRIM(rPatron))
),
AND(
OR(
UPPER(TRIM(rTipo))=""CONTIENE"",
UPPER(TRIM(rTipo))=""COINCIDENCIA""
),
ISNUMBER(SEARCH(UPPER(TRIM(rPatron)),UPPER(TRIM(D958))))
)
)
),
rConc"&amp;"epto,
""""
)
)
),
MAP(
reglas!$B$2:$B$240,
reglas!$C$2:$C$240,
reglas!$D$2:$D$240,
reglas!$E$2:$E$240,
LAMBDA(rEmisor,rPatron,rConcepto,rTipo,
IF(
AND(
OR(
UPPER(TRIM(rEmisor))=UPPER(TRIM(C958)),
UPPER(TRIM(rEmisor))=""CUALQUIERA""
),
OR(
UPPER(TRIM(rTipo"&amp;"))=""SOLO EMISOR"",
AND(
UPPER(TRIM(rTipo))=""EXACTA"",
UPPER(TRIM(D958))=UPPER(TRIM(rPatron))
),
AND(
OR(
UPPER(TRIM(rTipo))=""CONTIENE"",
UPPER(TRIM(rTipo))=""COINCIDENCIA""
),
ISNUMBER(SEARCH(UPPER(TRIM(rPatron)),UPPER(TRIM(D958))))
)
)
),
rConcepto,
"&amp;"""""
)
)
)&lt;&gt;""""
),
1
),
""""
)"),"MANIOBRAS")</f>
        <v>MANIOBRAS</v>
      </c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</row>
    <row r="959">
      <c r="A959" s="28">
        <v>1.0</v>
      </c>
      <c r="B959" s="28" t="s">
        <v>29</v>
      </c>
      <c r="C959" s="29" t="s">
        <v>120</v>
      </c>
      <c r="D959" s="29" t="s">
        <v>127</v>
      </c>
      <c r="E959" s="28">
        <v>640.0</v>
      </c>
      <c r="F959" s="28">
        <v>0.0</v>
      </c>
      <c r="G959" s="99" t="s">
        <v>554</v>
      </c>
      <c r="H959" s="28">
        <f t="array" ref="H959">INDEX(CC!C:C,MATCH(1,(CC!A:A=G959)*(CC!B:B=I959),0))</f>
        <v>1702</v>
      </c>
      <c r="I959" s="28" t="s">
        <v>25</v>
      </c>
      <c r="J959" s="31">
        <v>640.0</v>
      </c>
      <c r="K959" s="28" t="str">
        <f>IFERROR(__xludf.DUMMYFUNCTION("IFERROR(
INDEX(
FILTER(
MAP(
reglas!$B$2:$B$240,
reglas!$C$2:$C$240,
reglas!$D$2:$D$240,
reglas!$E$2:$E$240,
LAMBDA(rEmisor,rPatron,rConcepto,rTipo,
IF(
AND(
OR(
UPPER(TRIM(rEmisor))=UPPER(TRIM(C959)),
UPPER(TRIM(rEmisor))=""CUALQUIERA""
),
OR(
UPPER(TRIM"&amp;"(rTipo))=""SOLO EMISOR"",
AND(
UPPER(TRIM(rTipo))=""EXACTA"",
UPPER(TRIM(AG959))=UPPER(TRIM(rPatron))
),
AND(
OR(
UPPER(TRIM(rTipo))=""CONTIENE"",
UPPER(TRIM(rTipo))=""COINCIDENCIA""
),
ISNUMBER(SEARCH(UPPER(TRIM(rPatron)),UPPER(TRIM(D959))))
)
)
),
rConc"&amp;"epto,
""""
)
)
),
MAP(
reglas!$B$2:$B$240,
reglas!$C$2:$C$240,
reglas!$D$2:$D$240,
reglas!$E$2:$E$240,
LAMBDA(rEmisor,rPatron,rConcepto,rTipo,
IF(
AND(
OR(
UPPER(TRIM(rEmisor))=UPPER(TRIM(C959)),
UPPER(TRIM(rEmisor))=""CUALQUIERA""
),
OR(
UPPER(TRIM(rTipo"&amp;"))=""SOLO EMISOR"",
AND(
UPPER(TRIM(rTipo))=""EXACTA"",
UPPER(TRIM(D959))=UPPER(TRIM(rPatron))
),
AND(
OR(
UPPER(TRIM(rTipo))=""CONTIENE"",
UPPER(TRIM(rTipo))=""COINCIDENCIA""
),
ISNUMBER(SEARCH(UPPER(TRIM(rPatron)),UPPER(TRIM(D959))))
)
)
),
rConcepto,
"&amp;"""""
)
)
)&lt;&gt;""""
),
1
),
""""
)"),"VALIDACION")</f>
        <v>VALIDACION</v>
      </c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</row>
    <row r="960">
      <c r="A960" s="32"/>
      <c r="B960" s="28" t="s">
        <v>29</v>
      </c>
      <c r="C960" s="29" t="s">
        <v>259</v>
      </c>
      <c r="D960" s="29" t="s">
        <v>969</v>
      </c>
      <c r="E960" s="30">
        <v>5172.41</v>
      </c>
      <c r="F960" s="28">
        <v>0.0</v>
      </c>
      <c r="G960" s="28" t="s">
        <v>581</v>
      </c>
      <c r="H960" s="28">
        <f t="array" ref="H960">INDEX(CC!C:C,MATCH(1,(CC!A:A=G960)*(CC!B:B=I960),0))</f>
        <v>202</v>
      </c>
      <c r="I960" s="28" t="s">
        <v>25</v>
      </c>
      <c r="J960" s="31">
        <v>5172.41</v>
      </c>
      <c r="K960" s="28" t="str">
        <f>IFERROR(__xludf.DUMMYFUNCTION("IFERROR(
INDEX(
FILTER(
MAP(
reglas!$B$2:$B$240,
reglas!$C$2:$C$240,
reglas!$D$2:$D$240,
reglas!$E$2:$E$240,
LAMBDA(rEmisor,rPatron,rConcepto,rTipo,
IF(
AND(
OR(
UPPER(TRIM(rEmisor))=UPPER(TRIM(C960)),
UPPER(TRIM(rEmisor))=""CUALQUIERA""
),
OR(
UPPER(TRIM"&amp;"(rTipo))=""SOLO EMISOR"",
AND(
UPPER(TRIM(rTipo))=""EXACTA"",
UPPER(TRIM(AG960))=UPPER(TRIM(rPatron))
),
AND(
OR(
UPPER(TRIM(rTipo))=""CONTIENE"",
UPPER(TRIM(rTipo))=""COINCIDENCIA""
),
ISNUMBER(SEARCH(UPPER(TRIM(rPatron)),UPPER(TRIM(D960))))
)
)
),
rConc"&amp;"epto,
""""
)
)
),
MAP(
reglas!$B$2:$B$240,
reglas!$C$2:$C$240,
reglas!$D$2:$D$240,
reglas!$E$2:$E$240,
LAMBDA(rEmisor,rPatron,rConcepto,rTipo,
IF(
AND(
OR(
UPPER(TRIM(rEmisor))=UPPER(TRIM(C960)),
UPPER(TRIM(rEmisor))=""CUALQUIERA""
),
OR(
UPPER(TRIM(rTipo"&amp;"))=""SOLO EMISOR"",
AND(
UPPER(TRIM(rTipo))=""EXACTA"",
UPPER(TRIM(D960))=UPPER(TRIM(rPatron))
),
AND(
OR(
UPPER(TRIM(rTipo))=""CONTIENE"",
UPPER(TRIM(rTipo))=""COINCIDENCIA""
),
ISNUMBER(SEARCH(UPPER(TRIM(rPatron)),UPPER(TRIM(D960))))
)
)
),
rConcepto,
"&amp;"""""
)
)
)&lt;&gt;""""
),
1
),
""""
)"),"COMBUSTIBLES Y LUBRICANTES")</f>
        <v>COMBUSTIBLES Y LUBRICANTES</v>
      </c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</row>
    <row r="961">
      <c r="A961" s="28">
        <v>1.0</v>
      </c>
      <c r="B961" s="28" t="s">
        <v>29</v>
      </c>
      <c r="C961" s="29" t="s">
        <v>271</v>
      </c>
      <c r="D961" s="29" t="s">
        <v>589</v>
      </c>
      <c r="E961" s="28">
        <v>623.8</v>
      </c>
      <c r="F961" s="28">
        <v>0.0</v>
      </c>
      <c r="G961" s="28" t="s">
        <v>84</v>
      </c>
      <c r="H961" s="28">
        <f t="array" ref="H961">INDEX(CC!C:C,MATCH(1,(CC!A:A=G961)*(CC!B:B=I961),0))</f>
        <v>1002</v>
      </c>
      <c r="I961" s="28" t="s">
        <v>25</v>
      </c>
      <c r="J961" s="31">
        <v>623.8</v>
      </c>
      <c r="K961" s="28" t="str">
        <f>IFERROR(__xludf.DUMMYFUNCTION("IFERROR(
INDEX(
FILTER(
MAP(
reglas!$B$2:$B$240,
reglas!$C$2:$C$240,
reglas!$D$2:$D$240,
reglas!$E$2:$E$240,
LAMBDA(rEmisor,rPatron,rConcepto,rTipo,
IF(
AND(
OR(
UPPER(TRIM(rEmisor))=UPPER(TRIM(C961)),
UPPER(TRIM(rEmisor))=""CUALQUIERA""
),
OR(
UPPER(TRIM"&amp;"(rTipo))=""SOLO EMISOR"",
AND(
UPPER(TRIM(rTipo))=""EXACTA"",
UPPER(TRIM(AG961))=UPPER(TRIM(rPatron))
),
AND(
OR(
UPPER(TRIM(rTipo))=""CONTIENE"",
UPPER(TRIM(rTipo))=""COINCIDENCIA""
),
ISNUMBER(SEARCH(UPPER(TRIM(rPatron)),UPPER(TRIM(D961))))
)
)
),
rConc"&amp;"epto,
""""
)
)
),
MAP(
reglas!$B$2:$B$240,
reglas!$C$2:$C$240,
reglas!$D$2:$D$240,
reglas!$E$2:$E$240,
LAMBDA(rEmisor,rPatron,rConcepto,rTipo,
IF(
AND(
OR(
UPPER(TRIM(rEmisor))=UPPER(TRIM(C961)),
UPPER(TRIM(rEmisor))=""CUALQUIERA""
),
OR(
UPPER(TRIM(rTipo"&amp;"))=""SOLO EMISOR"",
AND(
UPPER(TRIM(rTipo))=""EXACTA"",
UPPER(TRIM(D961))=UPPER(TRIM(rPatron))
),
AND(
OR(
UPPER(TRIM(rTipo))=""CONTIENE"",
UPPER(TRIM(rTipo))=""COINCIDENCIA""
),
ISNUMBER(SEARCH(UPPER(TRIM(rPatron)),UPPER(TRIM(D961))))
)
)
),
rConcepto,
"&amp;"""""
)
)
)&lt;&gt;""""
),
1
),
""""
)"),"MANIOBRAS")</f>
        <v>MANIOBRAS</v>
      </c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</row>
    <row r="962">
      <c r="A962" s="28">
        <v>1.0</v>
      </c>
      <c r="B962" s="28" t="s">
        <v>29</v>
      </c>
      <c r="C962" s="29" t="s">
        <v>281</v>
      </c>
      <c r="D962" s="29" t="s">
        <v>1791</v>
      </c>
      <c r="E962" s="28">
        <v>700.0</v>
      </c>
      <c r="F962" s="28">
        <v>0.0</v>
      </c>
      <c r="G962" s="28" t="s">
        <v>84</v>
      </c>
      <c r="H962" s="28">
        <f t="array" ref="H962">INDEX(CC!C:C,MATCH(1,(CC!A:A=G962)*(CC!B:B=I962),0))</f>
        <v>1003</v>
      </c>
      <c r="I962" s="28" t="s">
        <v>44</v>
      </c>
      <c r="J962" s="31">
        <v>700.0</v>
      </c>
      <c r="K962" s="28" t="str">
        <f>IFERROR(__xludf.DUMMYFUNCTION("IFERROR(
INDEX(
FILTER(
MAP(
reglas!$B$2:$B$240,
reglas!$C$2:$C$240,
reglas!$D$2:$D$240,
reglas!$E$2:$E$240,
LAMBDA(rEmisor,rPatron,rConcepto,rTipo,
IF(
AND(
OR(
UPPER(TRIM(rEmisor))=UPPER(TRIM(C962)),
UPPER(TRIM(rEmisor))=""CUALQUIERA""
),
OR(
UPPER(TRIM"&amp;"(rTipo))=""SOLO EMISOR"",
AND(
UPPER(TRIM(rTipo))=""EXACTA"",
UPPER(TRIM(AG962))=UPPER(TRIM(rPatron))
),
AND(
OR(
UPPER(TRIM(rTipo))=""CONTIENE"",
UPPER(TRIM(rTipo))=""COINCIDENCIA""
),
ISNUMBER(SEARCH(UPPER(TRIM(rPatron)),UPPER(TRIM(D962))))
)
)
),
rConc"&amp;"epto,
""""
)
)
),
MAP(
reglas!$B$2:$B$240,
reglas!$C$2:$C$240,
reglas!$D$2:$D$240,
reglas!$E$2:$E$240,
LAMBDA(rEmisor,rPatron,rConcepto,rTipo,
IF(
AND(
OR(
UPPER(TRIM(rEmisor))=UPPER(TRIM(C962)),
UPPER(TRIM(rEmisor))=""CUALQUIERA""
),
OR(
UPPER(TRIM(rTipo"&amp;"))=""SOLO EMISOR"",
AND(
UPPER(TRIM(rTipo))=""EXACTA"",
UPPER(TRIM(D962))=UPPER(TRIM(rPatron))
),
AND(
OR(
UPPER(TRIM(rTipo))=""CONTIENE"",
UPPER(TRIM(rTipo))=""COINCIDENCIA""
),
ISNUMBER(SEARCH(UPPER(TRIM(rPatron)),UPPER(TRIM(D962))))
)
)
),
rConcepto,
"&amp;"""""
)
)
)&lt;&gt;""""
),
1
),
""""
)"),"TRANSPORTE")</f>
        <v>TRANSPORTE</v>
      </c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</row>
    <row r="963">
      <c r="A963" s="32"/>
      <c r="B963" s="28" t="s">
        <v>29</v>
      </c>
      <c r="C963" s="29" t="s">
        <v>172</v>
      </c>
      <c r="D963" s="29" t="s">
        <v>1790</v>
      </c>
      <c r="E963" s="30">
        <v>11500.0</v>
      </c>
      <c r="F963" s="28">
        <v>0.0</v>
      </c>
      <c r="G963" s="28" t="s">
        <v>250</v>
      </c>
      <c r="H963" s="28">
        <f t="array" ref="H963">INDEX(CC!C:C,MATCH(1,(CC!A:A=G963)*(CC!B:B=I963),0))</f>
        <v>1402</v>
      </c>
      <c r="I963" s="28" t="s">
        <v>25</v>
      </c>
      <c r="J963" s="31">
        <v>11500.0</v>
      </c>
      <c r="K963" s="28" t="str">
        <f>IFERROR(__xludf.DUMMYFUNCTION("IFERROR(
INDEX(
FILTER(
MAP(
reglas!$B$2:$B$240,
reglas!$C$2:$C$240,
reglas!$D$2:$D$240,
reglas!$E$2:$E$240,
LAMBDA(rEmisor,rPatron,rConcepto,rTipo,
IF(
AND(
OR(
UPPER(TRIM(rEmisor))=UPPER(TRIM(C963)),
UPPER(TRIM(rEmisor))=""CUALQUIERA""
),
OR(
UPPER(TRIM"&amp;"(rTipo))=""SOLO EMISOR"",
AND(
UPPER(TRIM(rTipo))=""EXACTA"",
UPPER(TRIM(AG963))=UPPER(TRIM(rPatron))
),
AND(
OR(
UPPER(TRIM(rTipo))=""CONTIENE"",
UPPER(TRIM(rTipo))=""COINCIDENCIA""
),
ISNUMBER(SEARCH(UPPER(TRIM(rPatron)),UPPER(TRIM(D963))))
)
)
),
rConc"&amp;"epto,
""""
)
)
),
MAP(
reglas!$B$2:$B$240,
reglas!$C$2:$C$240,
reglas!$D$2:$D$240,
reglas!$E$2:$E$240,
LAMBDA(rEmisor,rPatron,rConcepto,rTipo,
IF(
AND(
OR(
UPPER(TRIM(rEmisor))=UPPER(TRIM(C963)),
UPPER(TRIM(rEmisor))=""CUALQUIERA""
),
OR(
UPPER(TRIM(rTipo"&amp;"))=""SOLO EMISOR"",
AND(
UPPER(TRIM(rTipo))=""EXACTA"",
UPPER(TRIM(D963))=UPPER(TRIM(rPatron))
),
AND(
OR(
UPPER(TRIM(rTipo))=""CONTIENE"",
UPPER(TRIM(rTipo))=""COINCIDENCIA""
),
ISNUMBER(SEARCH(UPPER(TRIM(rPatron)),UPPER(TRIM(D963))))
)
)
),
rConcepto,
"&amp;"""""
)
)
)&lt;&gt;""""
),
1
),
""""
)"),"TRANSPORTE")</f>
        <v>TRANSPORTE</v>
      </c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</row>
    <row r="964">
      <c r="A964" s="32"/>
      <c r="B964" s="28" t="s">
        <v>29</v>
      </c>
      <c r="C964" s="29" t="s">
        <v>172</v>
      </c>
      <c r="D964" s="29" t="s">
        <v>1792</v>
      </c>
      <c r="E964" s="30">
        <v>11500.0</v>
      </c>
      <c r="F964" s="28">
        <v>0.0</v>
      </c>
      <c r="G964" s="28" t="s">
        <v>250</v>
      </c>
      <c r="H964" s="28">
        <f t="array" ref="H964">INDEX(CC!C:C,MATCH(1,(CC!A:A=G964)*(CC!B:B=I964),0))</f>
        <v>1402</v>
      </c>
      <c r="I964" s="28" t="s">
        <v>25</v>
      </c>
      <c r="J964" s="31">
        <v>11500.0</v>
      </c>
      <c r="K964" s="28" t="str">
        <f>IFERROR(__xludf.DUMMYFUNCTION("IFERROR(
INDEX(
FILTER(
MAP(
reglas!$B$2:$B$240,
reglas!$C$2:$C$240,
reglas!$D$2:$D$240,
reglas!$E$2:$E$240,
LAMBDA(rEmisor,rPatron,rConcepto,rTipo,
IF(
AND(
OR(
UPPER(TRIM(rEmisor))=UPPER(TRIM(C964)),
UPPER(TRIM(rEmisor))=""CUALQUIERA""
),
OR(
UPPER(TRIM"&amp;"(rTipo))=""SOLO EMISOR"",
AND(
UPPER(TRIM(rTipo))=""EXACTA"",
UPPER(TRIM(AG964))=UPPER(TRIM(rPatron))
),
AND(
OR(
UPPER(TRIM(rTipo))=""CONTIENE"",
UPPER(TRIM(rTipo))=""COINCIDENCIA""
),
ISNUMBER(SEARCH(UPPER(TRIM(rPatron)),UPPER(TRIM(D964))))
)
)
),
rConc"&amp;"epto,
""""
)
)
),
MAP(
reglas!$B$2:$B$240,
reglas!$C$2:$C$240,
reglas!$D$2:$D$240,
reglas!$E$2:$E$240,
LAMBDA(rEmisor,rPatron,rConcepto,rTipo,
IF(
AND(
OR(
UPPER(TRIM(rEmisor))=UPPER(TRIM(C964)),
UPPER(TRIM(rEmisor))=""CUALQUIERA""
),
OR(
UPPER(TRIM(rTipo"&amp;"))=""SOLO EMISOR"",
AND(
UPPER(TRIM(rTipo))=""EXACTA"",
UPPER(TRIM(D964))=UPPER(TRIM(rPatron))
),
AND(
OR(
UPPER(TRIM(rTipo))=""CONTIENE"",
UPPER(TRIM(rTipo))=""COINCIDENCIA""
),
ISNUMBER(SEARCH(UPPER(TRIM(rPatron)),UPPER(TRIM(D964))))
)
)
),
rConcepto,
"&amp;"""""
)
)
)&lt;&gt;""""
),
1
),
""""
)"),"TRANSPORTE")</f>
        <v>TRANSPORTE</v>
      </c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</row>
    <row r="965">
      <c r="A965" s="32"/>
      <c r="B965" s="28" t="s">
        <v>29</v>
      </c>
      <c r="C965" s="29" t="s">
        <v>163</v>
      </c>
      <c r="D965" s="29" t="s">
        <v>1793</v>
      </c>
      <c r="E965" s="28">
        <v>262.93</v>
      </c>
      <c r="F965" s="28">
        <v>0.0</v>
      </c>
      <c r="G965" s="28" t="s">
        <v>385</v>
      </c>
      <c r="H965" s="28">
        <f t="array" ref="H965">INDEX(CC!C:C,MATCH(1,(CC!A:A=G965)*(CC!B:B=I965),0))</f>
        <v>502</v>
      </c>
      <c r="I965" s="28" t="s">
        <v>25</v>
      </c>
      <c r="J965" s="31">
        <v>262.93</v>
      </c>
      <c r="K965" s="28" t="str">
        <f>IFERROR(__xludf.DUMMYFUNCTION("IFERROR(
INDEX(
FILTER(
MAP(
reglas!$B$2:$B$240,
reglas!$C$2:$C$240,
reglas!$D$2:$D$240,
reglas!$E$2:$E$240,
LAMBDA(rEmisor,rPatron,rConcepto,rTipo,
IF(
AND(
OR(
UPPER(TRIM(rEmisor))=UPPER(TRIM(C965)),
UPPER(TRIM(rEmisor))=""CUALQUIERA""
),
OR(
UPPER(TRIM"&amp;"(rTipo))=""SOLO EMISOR"",
AND(
UPPER(TRIM(rTipo))=""EXACTA"",
UPPER(TRIM(AG965))=UPPER(TRIM(rPatron))
),
AND(
OR(
UPPER(TRIM(rTipo))=""CONTIENE"",
UPPER(TRIM(rTipo))=""COINCIDENCIA""
),
ISNUMBER(SEARCH(UPPER(TRIM(rPatron)),UPPER(TRIM(D965))))
)
)
),
rConc"&amp;"epto,
""""
)
)
),
MAP(
reglas!$B$2:$B$240,
reglas!$C$2:$C$240,
reglas!$D$2:$D$240,
reglas!$E$2:$E$240,
LAMBDA(rEmisor,rPatron,rConcepto,rTipo,
IF(
AND(
OR(
UPPER(TRIM(rEmisor))=UPPER(TRIM(C965)),
UPPER(TRIM(rEmisor))=""CUALQUIERA""
),
OR(
UPPER(TRIM(rTipo"&amp;"))=""SOLO EMISOR"",
AND(
UPPER(TRIM(rTipo))=""EXACTA"",
UPPER(TRIM(D965))=UPPER(TRIM(rPatron))
),
AND(
OR(
UPPER(TRIM(rTipo))=""CONTIENE"",
UPPER(TRIM(rTipo))=""COINCIDENCIA""
),
ISNUMBER(SEARCH(UPPER(TRIM(rPatron)),UPPER(TRIM(D965))))
)
)
),
rConcepto,
"&amp;"""""
)
)
)&lt;&gt;""""
),
1
),
""""
)"),"PATIO REGULADOR")</f>
        <v>PATIO REGULADOR</v>
      </c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</row>
    <row r="966">
      <c r="A966" s="28">
        <v>1.0</v>
      </c>
      <c r="B966" s="28" t="s">
        <v>29</v>
      </c>
      <c r="C966" s="29" t="s">
        <v>271</v>
      </c>
      <c r="D966" s="29" t="s">
        <v>585</v>
      </c>
      <c r="E966" s="28">
        <v>622.32</v>
      </c>
      <c r="F966" s="28">
        <v>0.0</v>
      </c>
      <c r="G966" s="28" t="s">
        <v>84</v>
      </c>
      <c r="H966" s="28">
        <f t="array" ref="H966">INDEX(CC!C:C,MATCH(1,(CC!A:A=G966)*(CC!B:B=I966),0))</f>
        <v>1002</v>
      </c>
      <c r="I966" s="28" t="s">
        <v>25</v>
      </c>
      <c r="J966" s="31">
        <v>622.32</v>
      </c>
      <c r="K966" s="28" t="str">
        <f>IFERROR(__xludf.DUMMYFUNCTION("IFERROR(
INDEX(
FILTER(
MAP(
reglas!$B$2:$B$240,
reglas!$C$2:$C$240,
reglas!$D$2:$D$240,
reglas!$E$2:$E$240,
LAMBDA(rEmisor,rPatron,rConcepto,rTipo,
IF(
AND(
OR(
UPPER(TRIM(rEmisor))=UPPER(TRIM(C966)),
UPPER(TRIM(rEmisor))=""CUALQUIERA""
),
OR(
UPPER(TRIM"&amp;"(rTipo))=""SOLO EMISOR"",
AND(
UPPER(TRIM(rTipo))=""EXACTA"",
UPPER(TRIM(AG966))=UPPER(TRIM(rPatron))
),
AND(
OR(
UPPER(TRIM(rTipo))=""CONTIENE"",
UPPER(TRIM(rTipo))=""COINCIDENCIA""
),
ISNUMBER(SEARCH(UPPER(TRIM(rPatron)),UPPER(TRIM(D966))))
)
)
),
rConc"&amp;"epto,
""""
)
)
),
MAP(
reglas!$B$2:$B$240,
reglas!$C$2:$C$240,
reglas!$D$2:$D$240,
reglas!$E$2:$E$240,
LAMBDA(rEmisor,rPatron,rConcepto,rTipo,
IF(
AND(
OR(
UPPER(TRIM(rEmisor))=UPPER(TRIM(C966)),
UPPER(TRIM(rEmisor))=""CUALQUIERA""
),
OR(
UPPER(TRIM(rTipo"&amp;"))=""SOLO EMISOR"",
AND(
UPPER(TRIM(rTipo))=""EXACTA"",
UPPER(TRIM(D966))=UPPER(TRIM(rPatron))
),
AND(
OR(
UPPER(TRIM(rTipo))=""CONTIENE"",
UPPER(TRIM(rTipo))=""COINCIDENCIA""
),
ISNUMBER(SEARCH(UPPER(TRIM(rPatron)),UPPER(TRIM(D966))))
)
)
),
rConcepto,
"&amp;"""""
)
)
)&lt;&gt;""""
),
1
),
""""
)"),"MANIOBRAS")</f>
        <v>MANIOBRAS</v>
      </c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</row>
    <row r="967">
      <c r="A967" s="32"/>
      <c r="B967" s="32"/>
      <c r="C967" s="29" t="s">
        <v>271</v>
      </c>
      <c r="D967" s="29" t="s">
        <v>587</v>
      </c>
      <c r="E967" s="28">
        <v>569.38</v>
      </c>
      <c r="F967" s="28">
        <v>0.0</v>
      </c>
      <c r="G967" s="28" t="s">
        <v>84</v>
      </c>
      <c r="H967" s="28">
        <f t="array" ref="H967">INDEX(CC!C:C,MATCH(1,(CC!A:A=G967)*(CC!B:B=I967),0))</f>
        <v>1002</v>
      </c>
      <c r="I967" s="28" t="s">
        <v>25</v>
      </c>
      <c r="J967" s="31">
        <v>569.38</v>
      </c>
      <c r="K967" s="28" t="str">
        <f>IFERROR(__xludf.DUMMYFUNCTION("IFERROR(
INDEX(
FILTER(
MAP(
reglas!$B$2:$B$240,
reglas!$C$2:$C$240,
reglas!$D$2:$D$240,
reglas!$E$2:$E$240,
LAMBDA(rEmisor,rPatron,rConcepto,rTipo,
IF(
AND(
OR(
UPPER(TRIM(rEmisor))=UPPER(TRIM(C967)),
UPPER(TRIM(rEmisor))=""CUALQUIERA""
),
OR(
UPPER(TRIM"&amp;"(rTipo))=""SOLO EMISOR"",
AND(
UPPER(TRIM(rTipo))=""EXACTA"",
UPPER(TRIM(AG967))=UPPER(TRIM(rPatron))
),
AND(
OR(
UPPER(TRIM(rTipo))=""CONTIENE"",
UPPER(TRIM(rTipo))=""COINCIDENCIA""
),
ISNUMBER(SEARCH(UPPER(TRIM(rPatron)),UPPER(TRIM(D967))))
)
)
),
rConc"&amp;"epto,
""""
)
)
),
MAP(
reglas!$B$2:$B$240,
reglas!$C$2:$C$240,
reglas!$D$2:$D$240,
reglas!$E$2:$E$240,
LAMBDA(rEmisor,rPatron,rConcepto,rTipo,
IF(
AND(
OR(
UPPER(TRIM(rEmisor))=UPPER(TRIM(C967)),
UPPER(TRIM(rEmisor))=""CUALQUIERA""
),
OR(
UPPER(TRIM(rTipo"&amp;"))=""SOLO EMISOR"",
AND(
UPPER(TRIM(rTipo))=""EXACTA"",
UPPER(TRIM(D967))=UPPER(TRIM(rPatron))
),
AND(
OR(
UPPER(TRIM(rTipo))=""CONTIENE"",
UPPER(TRIM(rTipo))=""COINCIDENCIA""
),
ISNUMBER(SEARCH(UPPER(TRIM(rPatron)),UPPER(TRIM(D967))))
)
)
),
rConcepto,
"&amp;"""""
)
)
)&lt;&gt;""""
),
1
),
""""
)"),"MANIOBRAS")</f>
        <v>MANIOBRAS</v>
      </c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</row>
    <row r="968">
      <c r="A968" s="32"/>
      <c r="B968" s="32"/>
      <c r="C968" s="29" t="s">
        <v>271</v>
      </c>
      <c r="D968" s="29" t="s">
        <v>586</v>
      </c>
      <c r="E968" s="28">
        <v>622.66</v>
      </c>
      <c r="F968" s="28">
        <v>0.0</v>
      </c>
      <c r="G968" s="28" t="s">
        <v>84</v>
      </c>
      <c r="H968" s="28">
        <f t="array" ref="H968">INDEX(CC!C:C,MATCH(1,(CC!A:A=G968)*(CC!B:B=I968),0))</f>
        <v>1002</v>
      </c>
      <c r="I968" s="28" t="s">
        <v>25</v>
      </c>
      <c r="J968" s="31">
        <v>622.66</v>
      </c>
      <c r="K968" s="28" t="str">
        <f>IFERROR(__xludf.DUMMYFUNCTION("IFERROR(
INDEX(
FILTER(
MAP(
reglas!$B$2:$B$240,
reglas!$C$2:$C$240,
reglas!$D$2:$D$240,
reglas!$E$2:$E$240,
LAMBDA(rEmisor,rPatron,rConcepto,rTipo,
IF(
AND(
OR(
UPPER(TRIM(rEmisor))=UPPER(TRIM(C968)),
UPPER(TRIM(rEmisor))=""CUALQUIERA""
),
OR(
UPPER(TRIM"&amp;"(rTipo))=""SOLO EMISOR"",
AND(
UPPER(TRIM(rTipo))=""EXACTA"",
UPPER(TRIM(AG968))=UPPER(TRIM(rPatron))
),
AND(
OR(
UPPER(TRIM(rTipo))=""CONTIENE"",
UPPER(TRIM(rTipo))=""COINCIDENCIA""
),
ISNUMBER(SEARCH(UPPER(TRIM(rPatron)),UPPER(TRIM(D968))))
)
)
),
rConc"&amp;"epto,
""""
)
)
),
MAP(
reglas!$B$2:$B$240,
reglas!$C$2:$C$240,
reglas!$D$2:$D$240,
reglas!$E$2:$E$240,
LAMBDA(rEmisor,rPatron,rConcepto,rTipo,
IF(
AND(
OR(
UPPER(TRIM(rEmisor))=UPPER(TRIM(C968)),
UPPER(TRIM(rEmisor))=""CUALQUIERA""
),
OR(
UPPER(TRIM(rTipo"&amp;"))=""SOLO EMISOR"",
AND(
UPPER(TRIM(rTipo))=""EXACTA"",
UPPER(TRIM(D968))=UPPER(TRIM(rPatron))
),
AND(
OR(
UPPER(TRIM(rTipo))=""CONTIENE"",
UPPER(TRIM(rTipo))=""COINCIDENCIA""
),
ISNUMBER(SEARCH(UPPER(TRIM(rPatron)),UPPER(TRIM(D968))))
)
)
),
rConcepto,
"&amp;"""""
)
)
)&lt;&gt;""""
),
1
),
""""
)"),"MANIOBRAS")</f>
        <v>MANIOBRAS</v>
      </c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</row>
    <row r="969">
      <c r="A969" s="32"/>
      <c r="B969" s="32"/>
      <c r="C969" s="29" t="s">
        <v>271</v>
      </c>
      <c r="D969" s="29" t="s">
        <v>589</v>
      </c>
      <c r="E969" s="28">
        <v>622.66</v>
      </c>
      <c r="F969" s="28">
        <v>0.0</v>
      </c>
      <c r="G969" s="28" t="s">
        <v>84</v>
      </c>
      <c r="H969" s="28">
        <f t="array" ref="H969">INDEX(CC!C:C,MATCH(1,(CC!A:A=G969)*(CC!B:B=I969),0))</f>
        <v>1002</v>
      </c>
      <c r="I969" s="28" t="s">
        <v>25</v>
      </c>
      <c r="J969" s="31">
        <v>622.66</v>
      </c>
      <c r="K969" s="28" t="str">
        <f>IFERROR(__xludf.DUMMYFUNCTION("IFERROR(
INDEX(
FILTER(
MAP(
reglas!$B$2:$B$240,
reglas!$C$2:$C$240,
reglas!$D$2:$D$240,
reglas!$E$2:$E$240,
LAMBDA(rEmisor,rPatron,rConcepto,rTipo,
IF(
AND(
OR(
UPPER(TRIM(rEmisor))=UPPER(TRIM(C969)),
UPPER(TRIM(rEmisor))=""CUALQUIERA""
),
OR(
UPPER(TRIM"&amp;"(rTipo))=""SOLO EMISOR"",
AND(
UPPER(TRIM(rTipo))=""EXACTA"",
UPPER(TRIM(AG969))=UPPER(TRIM(rPatron))
),
AND(
OR(
UPPER(TRIM(rTipo))=""CONTIENE"",
UPPER(TRIM(rTipo))=""COINCIDENCIA""
),
ISNUMBER(SEARCH(UPPER(TRIM(rPatron)),UPPER(TRIM(D969))))
)
)
),
rConc"&amp;"epto,
""""
)
)
),
MAP(
reglas!$B$2:$B$240,
reglas!$C$2:$C$240,
reglas!$D$2:$D$240,
reglas!$E$2:$E$240,
LAMBDA(rEmisor,rPatron,rConcepto,rTipo,
IF(
AND(
OR(
UPPER(TRIM(rEmisor))=UPPER(TRIM(C969)),
UPPER(TRIM(rEmisor))=""CUALQUIERA""
),
OR(
UPPER(TRIM(rTipo"&amp;"))=""SOLO EMISOR"",
AND(
UPPER(TRIM(rTipo))=""EXACTA"",
UPPER(TRIM(D969))=UPPER(TRIM(rPatron))
),
AND(
OR(
UPPER(TRIM(rTipo))=""CONTIENE"",
UPPER(TRIM(rTipo))=""COINCIDENCIA""
),
ISNUMBER(SEARCH(UPPER(TRIM(rPatron)),UPPER(TRIM(D969))))
)
)
),
rConcepto,
"&amp;"""""
)
)
)&lt;&gt;""""
),
1
),
""""
)"),"MANIOBRAS")</f>
        <v>MANIOBRAS</v>
      </c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</row>
    <row r="970">
      <c r="A970" s="32"/>
      <c r="B970" s="32"/>
      <c r="C970" s="29" t="s">
        <v>271</v>
      </c>
      <c r="D970" s="29" t="s">
        <v>593</v>
      </c>
      <c r="E970" s="28">
        <v>446.82</v>
      </c>
      <c r="F970" s="28">
        <v>0.0</v>
      </c>
      <c r="G970" s="28" t="s">
        <v>84</v>
      </c>
      <c r="H970" s="28">
        <f t="array" ref="H970">INDEX(CC!C:C,MATCH(1,(CC!A:A=G970)*(CC!B:B=I970),0))</f>
        <v>1002</v>
      </c>
      <c r="I970" s="28" t="s">
        <v>25</v>
      </c>
      <c r="J970" s="31">
        <v>446.82</v>
      </c>
      <c r="K970" s="28" t="str">
        <f>IFERROR(__xludf.DUMMYFUNCTION("IFERROR(
INDEX(
FILTER(
MAP(
reglas!$B$2:$B$240,
reglas!$C$2:$C$240,
reglas!$D$2:$D$240,
reglas!$E$2:$E$240,
LAMBDA(rEmisor,rPatron,rConcepto,rTipo,
IF(
AND(
OR(
UPPER(TRIM(rEmisor))=UPPER(TRIM(C970)),
UPPER(TRIM(rEmisor))=""CUALQUIERA""
),
OR(
UPPER(TRIM"&amp;"(rTipo))=""SOLO EMISOR"",
AND(
UPPER(TRIM(rTipo))=""EXACTA"",
UPPER(TRIM(AG970))=UPPER(TRIM(rPatron))
),
AND(
OR(
UPPER(TRIM(rTipo))=""CONTIENE"",
UPPER(TRIM(rTipo))=""COINCIDENCIA""
),
ISNUMBER(SEARCH(UPPER(TRIM(rPatron)),UPPER(TRIM(D970))))
)
)
),
rConc"&amp;"epto,
""""
)
)
),
MAP(
reglas!$B$2:$B$240,
reglas!$C$2:$C$240,
reglas!$D$2:$D$240,
reglas!$E$2:$E$240,
LAMBDA(rEmisor,rPatron,rConcepto,rTipo,
IF(
AND(
OR(
UPPER(TRIM(rEmisor))=UPPER(TRIM(C970)),
UPPER(TRIM(rEmisor))=""CUALQUIERA""
),
OR(
UPPER(TRIM(rTipo"&amp;"))=""SOLO EMISOR"",
AND(
UPPER(TRIM(rTipo))=""EXACTA"",
UPPER(TRIM(D970))=UPPER(TRIM(rPatron))
),
AND(
OR(
UPPER(TRIM(rTipo))=""CONTIENE"",
UPPER(TRIM(rTipo))=""COINCIDENCIA""
),
ISNUMBER(SEARCH(UPPER(TRIM(rPatron)),UPPER(TRIM(D970))))
)
)
),
rConcepto,
"&amp;"""""
)
)
)&lt;&gt;""""
),
1
),
""""
)"),"MANIOBRAS")</f>
        <v>MANIOBRAS</v>
      </c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</row>
    <row r="971">
      <c r="A971" s="32"/>
      <c r="B971" s="32"/>
      <c r="C971" s="29" t="s">
        <v>271</v>
      </c>
      <c r="D971" s="29" t="s">
        <v>596</v>
      </c>
      <c r="E971" s="28">
        <v>653.3</v>
      </c>
      <c r="F971" s="28">
        <v>0.0</v>
      </c>
      <c r="G971" s="28" t="s">
        <v>84</v>
      </c>
      <c r="H971" s="28">
        <f t="array" ref="H971">INDEX(CC!C:C,MATCH(1,(CC!A:A=G971)*(CC!B:B=I971),0))</f>
        <v>1002</v>
      </c>
      <c r="I971" s="28" t="s">
        <v>25</v>
      </c>
      <c r="J971" s="31">
        <v>653.3</v>
      </c>
      <c r="K971" s="28" t="str">
        <f>IFERROR(__xludf.DUMMYFUNCTION("IFERROR(
INDEX(
FILTER(
MAP(
reglas!$B$2:$B$240,
reglas!$C$2:$C$240,
reglas!$D$2:$D$240,
reglas!$E$2:$E$240,
LAMBDA(rEmisor,rPatron,rConcepto,rTipo,
IF(
AND(
OR(
UPPER(TRIM(rEmisor))=UPPER(TRIM(C971)),
UPPER(TRIM(rEmisor))=""CUALQUIERA""
),
OR(
UPPER(TRIM"&amp;"(rTipo))=""SOLO EMISOR"",
AND(
UPPER(TRIM(rTipo))=""EXACTA"",
UPPER(TRIM(AG971))=UPPER(TRIM(rPatron))
),
AND(
OR(
UPPER(TRIM(rTipo))=""CONTIENE"",
UPPER(TRIM(rTipo))=""COINCIDENCIA""
),
ISNUMBER(SEARCH(UPPER(TRIM(rPatron)),UPPER(TRIM(D971))))
)
)
),
rConc"&amp;"epto,
""""
)
)
),
MAP(
reglas!$B$2:$B$240,
reglas!$C$2:$C$240,
reglas!$D$2:$D$240,
reglas!$E$2:$E$240,
LAMBDA(rEmisor,rPatron,rConcepto,rTipo,
IF(
AND(
OR(
UPPER(TRIM(rEmisor))=UPPER(TRIM(C971)),
UPPER(TRIM(rEmisor))=""CUALQUIERA""
),
OR(
UPPER(TRIM(rTipo"&amp;"))=""SOLO EMISOR"",
AND(
UPPER(TRIM(rTipo))=""EXACTA"",
UPPER(TRIM(D971))=UPPER(TRIM(rPatron))
),
AND(
OR(
UPPER(TRIM(rTipo))=""CONTIENE"",
UPPER(TRIM(rTipo))=""COINCIDENCIA""
),
ISNUMBER(SEARCH(UPPER(TRIM(rPatron)),UPPER(TRIM(D971))))
)
)
),
rConcepto,
"&amp;"""""
)
)
)&lt;&gt;""""
),
1
),
""""
)"),"MANIOBRAS")</f>
        <v>MANIOBRAS</v>
      </c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</row>
    <row r="972">
      <c r="A972" s="28">
        <v>1.0</v>
      </c>
      <c r="B972" s="28" t="s">
        <v>29</v>
      </c>
      <c r="C972" s="29" t="s">
        <v>120</v>
      </c>
      <c r="D972" s="29" t="s">
        <v>1072</v>
      </c>
      <c r="E972" s="30">
        <v>3128.0</v>
      </c>
      <c r="F972" s="28">
        <v>0.0</v>
      </c>
      <c r="G972" s="28" t="s">
        <v>554</v>
      </c>
      <c r="H972" s="28">
        <f t="array" ref="H972">INDEX(CC!C:C,MATCH(1,(CC!A:A=G972)*(CC!B:B=I972),0))</f>
        <v>1702</v>
      </c>
      <c r="I972" s="28" t="s">
        <v>25</v>
      </c>
      <c r="J972" s="31">
        <v>3128.0</v>
      </c>
      <c r="K972" s="28" t="str">
        <f>IFERROR(__xludf.DUMMYFUNCTION("IFERROR(
INDEX(
FILTER(
MAP(
reglas!$B$2:$B$240,
reglas!$C$2:$C$240,
reglas!$D$2:$D$240,
reglas!$E$2:$E$240,
LAMBDA(rEmisor,rPatron,rConcepto,rTipo,
IF(
AND(
OR(
UPPER(TRIM(rEmisor))=UPPER(TRIM(C972)),
UPPER(TRIM(rEmisor))=""CUALQUIERA""
),
OR(
UPPER(TRIM"&amp;"(rTipo))=""SOLO EMISOR"",
AND(
UPPER(TRIM(rTipo))=""EXACTA"",
UPPER(TRIM(AG972))=UPPER(TRIM(rPatron))
),
AND(
OR(
UPPER(TRIM(rTipo))=""CONTIENE"",
UPPER(TRIM(rTipo))=""COINCIDENCIA""
),
ISNUMBER(SEARCH(UPPER(TRIM(rPatron)),UPPER(TRIM(D972))))
)
)
),
rConc"&amp;"epto,
""""
)
)
),
MAP(
reglas!$B$2:$B$240,
reglas!$C$2:$C$240,
reglas!$D$2:$D$240,
reglas!$E$2:$E$240,
LAMBDA(rEmisor,rPatron,rConcepto,rTipo,
IF(
AND(
OR(
UPPER(TRIM(rEmisor))=UPPER(TRIM(C972)),
UPPER(TRIM(rEmisor))=""CUALQUIERA""
),
OR(
UPPER(TRIM(rTipo"&amp;"))=""SOLO EMISOR"",
AND(
UPPER(TRIM(rTipo))=""EXACTA"",
UPPER(TRIM(D972))=UPPER(TRIM(rPatron))
),
AND(
OR(
UPPER(TRIM(rTipo))=""CONTIENE"",
UPPER(TRIM(rTipo))=""COINCIDENCIA""
),
ISNUMBER(SEARCH(UPPER(TRIM(rPatron)),UPPER(TRIM(D972))))
)
)
),
rConcepto,
"&amp;"""""
)
)
)&lt;&gt;""""
),
1
),
""""
)"),"VALIDACION")</f>
        <v>VALIDACION</v>
      </c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</row>
    <row r="973">
      <c r="A973" s="32"/>
      <c r="B973" s="32"/>
      <c r="C973" s="29" t="s">
        <v>120</v>
      </c>
      <c r="D973" s="29" t="s">
        <v>1794</v>
      </c>
      <c r="E973" s="28">
        <v>46.0</v>
      </c>
      <c r="F973" s="28">
        <v>0.0</v>
      </c>
      <c r="G973" s="28" t="s">
        <v>554</v>
      </c>
      <c r="H973" s="28">
        <f t="array" ref="H973">INDEX(CC!C:C,MATCH(1,(CC!A:A=G973)*(CC!B:B=I973),0))</f>
        <v>1702</v>
      </c>
      <c r="I973" s="28" t="s">
        <v>25</v>
      </c>
      <c r="J973" s="31">
        <v>46.0</v>
      </c>
      <c r="K973" s="28" t="str">
        <f>IFERROR(__xludf.DUMMYFUNCTION("IFERROR(
INDEX(
FILTER(
MAP(
reglas!$B$2:$B$240,
reglas!$C$2:$C$240,
reglas!$D$2:$D$240,
reglas!$E$2:$E$240,
LAMBDA(rEmisor,rPatron,rConcepto,rTipo,
IF(
AND(
OR(
UPPER(TRIM(rEmisor))=UPPER(TRIM(C973)),
UPPER(TRIM(rEmisor))=""CUALQUIERA""
),
OR(
UPPER(TRIM"&amp;"(rTipo))=""SOLO EMISOR"",
AND(
UPPER(TRIM(rTipo))=""EXACTA"",
UPPER(TRIM(AG973))=UPPER(TRIM(rPatron))
),
AND(
OR(
UPPER(TRIM(rTipo))=""CONTIENE"",
UPPER(TRIM(rTipo))=""COINCIDENCIA""
),
ISNUMBER(SEARCH(UPPER(TRIM(rPatron)),UPPER(TRIM(D973))))
)
)
),
rConc"&amp;"epto,
""""
)
)
),
MAP(
reglas!$B$2:$B$240,
reglas!$C$2:$C$240,
reglas!$D$2:$D$240,
reglas!$E$2:$E$240,
LAMBDA(rEmisor,rPatron,rConcepto,rTipo,
IF(
AND(
OR(
UPPER(TRIM(rEmisor))=UPPER(TRIM(C973)),
UPPER(TRIM(rEmisor))=""CUALQUIERA""
),
OR(
UPPER(TRIM(rTipo"&amp;"))=""SOLO EMISOR"",
AND(
UPPER(TRIM(rTipo))=""EXACTA"",
UPPER(TRIM(D973))=UPPER(TRIM(rPatron))
),
AND(
OR(
UPPER(TRIM(rTipo))=""CONTIENE"",
UPPER(TRIM(rTipo))=""COINCIDENCIA""
),
ISNUMBER(SEARCH(UPPER(TRIM(rPatron)),UPPER(TRIM(D973))))
)
)
),
rConcepto,
"&amp;"""""
)
)
)&lt;&gt;""""
),
1
),
""""
)"),"RECTIFICACIONES")</f>
        <v>RECTIFICACIONES</v>
      </c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</row>
    <row r="974">
      <c r="A974" s="28">
        <v>1.0</v>
      </c>
      <c r="B974" s="28" t="s">
        <v>29</v>
      </c>
      <c r="C974" s="29" t="s">
        <v>89</v>
      </c>
      <c r="D974" s="29" t="s">
        <v>91</v>
      </c>
      <c r="E974" s="30">
        <v>1283.04</v>
      </c>
      <c r="F974" s="28">
        <v>0.0</v>
      </c>
      <c r="G974" s="28" t="s">
        <v>601</v>
      </c>
      <c r="H974" s="28">
        <f t="array" ref="H974">INDEX(CC!C:C,MATCH(1,(CC!A:A=G974)*(CC!B:B=I974),0))</f>
        <v>402</v>
      </c>
      <c r="I974" s="28" t="s">
        <v>25</v>
      </c>
      <c r="J974" s="31">
        <v>1283.04</v>
      </c>
      <c r="K974" s="28" t="str">
        <f>IFERROR(__xludf.DUMMYFUNCTION("IFERROR(
INDEX(
FILTER(
MAP(
reglas!$B$2:$B$240,
reglas!$C$2:$C$240,
reglas!$D$2:$D$240,
reglas!$E$2:$E$240,
LAMBDA(rEmisor,rPatron,rConcepto,rTipo,
IF(
AND(
OR(
UPPER(TRIM(rEmisor))=UPPER(TRIM(C974)),
UPPER(TRIM(rEmisor))=""CUALQUIERA""
),
OR(
UPPER(TRIM"&amp;"(rTipo))=""SOLO EMISOR"",
AND(
UPPER(TRIM(rTipo))=""EXACTA"",
UPPER(TRIM(AG974))=UPPER(TRIM(rPatron))
),
AND(
OR(
UPPER(TRIM(rTipo))=""CONTIENE"",
UPPER(TRIM(rTipo))=""COINCIDENCIA""
),
ISNUMBER(SEARCH(UPPER(TRIM(rPatron)),UPPER(TRIM(D974))))
)
)
),
rConc"&amp;"epto,
""""
)
)
),
MAP(
reglas!$B$2:$B$240,
reglas!$C$2:$C$240,
reglas!$D$2:$D$240,
reglas!$E$2:$E$240,
LAMBDA(rEmisor,rPatron,rConcepto,rTipo,
IF(
AND(
OR(
UPPER(TRIM(rEmisor))=UPPER(TRIM(C974)),
UPPER(TRIM(rEmisor))=""CUALQUIERA""
),
OR(
UPPER(TRIM(rTipo"&amp;"))=""SOLO EMISOR"",
AND(
UPPER(TRIM(rTipo))=""EXACTA"",
UPPER(TRIM(D974))=UPPER(TRIM(rPatron))
),
AND(
OR(
UPPER(TRIM(rTipo))=""CONTIENE"",
UPPER(TRIM(rTipo))=""COINCIDENCIA""
),
ISNUMBER(SEARCH(UPPER(TRIM(rPatron)),UPPER(TRIM(D974))))
)
)
),
rConcepto,
"&amp;"""""
)
)
)&lt;&gt;""""
),
1
),
""""
)"),"MANIOBRAS")</f>
        <v>MANIOBRAS</v>
      </c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</row>
    <row r="975">
      <c r="A975" s="32"/>
      <c r="B975" s="28" t="s">
        <v>29</v>
      </c>
      <c r="C975" s="29" t="s">
        <v>1766</v>
      </c>
      <c r="D975" s="29" t="s">
        <v>1767</v>
      </c>
      <c r="E975" s="30">
        <v>4845.23</v>
      </c>
      <c r="F975" s="28">
        <v>123.65</v>
      </c>
      <c r="G975" s="28" t="s">
        <v>250</v>
      </c>
      <c r="H975" s="28" t="str">
        <f t="array" ref="H975">INDEX(CC!C:C,MATCH(1,(CC!A:A=G975)*(CC!B:B=I975),0))</f>
        <v>#N/A</v>
      </c>
      <c r="I975" s="28" t="s">
        <v>1768</v>
      </c>
      <c r="J975" s="31">
        <v>4721.58</v>
      </c>
      <c r="K975" s="28" t="str">
        <f>IFERROR(__xludf.DUMMYFUNCTION("IFERROR(
INDEX(
FILTER(
MAP(
reglas!$B$2:$B$240,
reglas!$C$2:$C$240,
reglas!$D$2:$D$240,
reglas!$E$2:$E$240,
LAMBDA(rEmisor,rPatron,rConcepto,rTipo,
IF(
AND(
OR(
UPPER(TRIM(rEmisor))=UPPER(TRIM(C975)),
UPPER(TRIM(rEmisor))=""CUALQUIERA""
),
OR(
UPPER(TRIM"&amp;"(rTipo))=""SOLO EMISOR"",
AND(
UPPER(TRIM(rTipo))=""EXACTA"",
UPPER(TRIM(AG975))=UPPER(TRIM(rPatron))
),
AND(
OR(
UPPER(TRIM(rTipo))=""CONTIENE"",
UPPER(TRIM(rTipo))=""COINCIDENCIA""
),
ISNUMBER(SEARCH(UPPER(TRIM(rPatron)),UPPER(TRIM(D975))))
)
)
),
rConc"&amp;"epto,
""""
)
)
),
MAP(
reglas!$B$2:$B$240,
reglas!$C$2:$C$240,
reglas!$D$2:$D$240,
reglas!$E$2:$E$240,
LAMBDA(rEmisor,rPatron,rConcepto,rTipo,
IF(
AND(
OR(
UPPER(TRIM(rEmisor))=UPPER(TRIM(C975)),
UPPER(TRIM(rEmisor))=""CUALQUIERA""
),
OR(
UPPER(TRIM(rTipo"&amp;"))=""SOLO EMISOR"",
AND(
UPPER(TRIM(rTipo))=""EXACTA"",
UPPER(TRIM(D975))=UPPER(TRIM(rPatron))
),
AND(
OR(
UPPER(TRIM(rTipo))=""CONTIENE"",
UPPER(TRIM(rTipo))=""COINCIDENCIA""
),
ISNUMBER(SEARCH(UPPER(TRIM(rPatron)),UPPER(TRIM(D975))))
)
)
),
rConcepto,
"&amp;"""""
)
)
)&lt;&gt;""""
),
1
),
""""
)"),"")</f>
        <v/>
      </c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</row>
    <row r="976">
      <c r="A976" s="28">
        <v>1.0</v>
      </c>
      <c r="B976" s="28" t="s">
        <v>29</v>
      </c>
      <c r="C976" s="29" t="s">
        <v>89</v>
      </c>
      <c r="D976" s="29" t="s">
        <v>91</v>
      </c>
      <c r="E976" s="30">
        <v>1283.04</v>
      </c>
      <c r="F976" s="28">
        <v>0.0</v>
      </c>
      <c r="G976" s="28" t="s">
        <v>601</v>
      </c>
      <c r="H976" s="28">
        <f t="array" ref="H976">INDEX(CC!C:C,MATCH(1,(CC!A:A=G976)*(CC!B:B=I976),0))</f>
        <v>402</v>
      </c>
      <c r="I976" s="28" t="s">
        <v>25</v>
      </c>
      <c r="J976" s="31">
        <v>1283.04</v>
      </c>
      <c r="K976" s="28" t="str">
        <f>IFERROR(__xludf.DUMMYFUNCTION("IFERROR(
INDEX(
FILTER(
MAP(
reglas!$B$2:$B$240,
reglas!$C$2:$C$240,
reglas!$D$2:$D$240,
reglas!$E$2:$E$240,
LAMBDA(rEmisor,rPatron,rConcepto,rTipo,
IF(
AND(
OR(
UPPER(TRIM(rEmisor))=UPPER(TRIM(C976)),
UPPER(TRIM(rEmisor))=""CUALQUIERA""
),
OR(
UPPER(TRIM"&amp;"(rTipo))=""SOLO EMISOR"",
AND(
UPPER(TRIM(rTipo))=""EXACTA"",
UPPER(TRIM(AG976))=UPPER(TRIM(rPatron))
),
AND(
OR(
UPPER(TRIM(rTipo))=""CONTIENE"",
UPPER(TRIM(rTipo))=""COINCIDENCIA""
),
ISNUMBER(SEARCH(UPPER(TRIM(rPatron)),UPPER(TRIM(D976))))
)
)
),
rConc"&amp;"epto,
""""
)
)
),
MAP(
reglas!$B$2:$B$240,
reglas!$C$2:$C$240,
reglas!$D$2:$D$240,
reglas!$E$2:$E$240,
LAMBDA(rEmisor,rPatron,rConcepto,rTipo,
IF(
AND(
OR(
UPPER(TRIM(rEmisor))=UPPER(TRIM(C976)),
UPPER(TRIM(rEmisor))=""CUALQUIERA""
),
OR(
UPPER(TRIM(rTipo"&amp;"))=""SOLO EMISOR"",
AND(
UPPER(TRIM(rTipo))=""EXACTA"",
UPPER(TRIM(D976))=UPPER(TRIM(rPatron))
),
AND(
OR(
UPPER(TRIM(rTipo))=""CONTIENE"",
UPPER(TRIM(rTipo))=""COINCIDENCIA""
),
ISNUMBER(SEARCH(UPPER(TRIM(rPatron)),UPPER(TRIM(D976))))
)
)
),
rConcepto,
"&amp;"""""
)
)
)&lt;&gt;""""
),
1
),
""""
)"),"MANIOBRAS")</f>
        <v>MANIOBRAS</v>
      </c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</row>
    <row r="977">
      <c r="A977" s="32"/>
      <c r="B977" s="32"/>
      <c r="C977" s="29" t="s">
        <v>89</v>
      </c>
      <c r="D977" s="29" t="s">
        <v>428</v>
      </c>
      <c r="E977" s="28">
        <v>561.33</v>
      </c>
      <c r="F977" s="28">
        <v>0.0</v>
      </c>
      <c r="G977" s="28" t="s">
        <v>601</v>
      </c>
      <c r="H977" s="28">
        <f t="array" ref="H977">INDEX(CC!C:C,MATCH(1,(CC!A:A=G977)*(CC!B:B=I977),0))</f>
        <v>402</v>
      </c>
      <c r="I977" s="28" t="s">
        <v>25</v>
      </c>
      <c r="J977" s="31">
        <v>561.33</v>
      </c>
      <c r="K977" s="28" t="str">
        <f>IFERROR(__xludf.DUMMYFUNCTION("IFERROR(
INDEX(
FILTER(
MAP(
reglas!$B$2:$B$240,
reglas!$C$2:$C$240,
reglas!$D$2:$D$240,
reglas!$E$2:$E$240,
LAMBDA(rEmisor,rPatron,rConcepto,rTipo,
IF(
AND(
OR(
UPPER(TRIM(rEmisor))=UPPER(TRIM(C977)),
UPPER(TRIM(rEmisor))=""CUALQUIERA""
),
OR(
UPPER(TRIM"&amp;"(rTipo))=""SOLO EMISOR"",
AND(
UPPER(TRIM(rTipo))=""EXACTA"",
UPPER(TRIM(AG977))=UPPER(TRIM(rPatron))
),
AND(
OR(
UPPER(TRIM(rTipo))=""CONTIENE"",
UPPER(TRIM(rTipo))=""COINCIDENCIA""
),
ISNUMBER(SEARCH(UPPER(TRIM(rPatron)),UPPER(TRIM(D977))))
)
)
),
rConc"&amp;"epto,
""""
)
)
),
MAP(
reglas!$B$2:$B$240,
reglas!$C$2:$C$240,
reglas!$D$2:$D$240,
reglas!$E$2:$E$240,
LAMBDA(rEmisor,rPatron,rConcepto,rTipo,
IF(
AND(
OR(
UPPER(TRIM(rEmisor))=UPPER(TRIM(C977)),
UPPER(TRIM(rEmisor))=""CUALQUIERA""
),
OR(
UPPER(TRIM(rTipo"&amp;"))=""SOLO EMISOR"",
AND(
UPPER(TRIM(rTipo))=""EXACTA"",
UPPER(TRIM(D977))=UPPER(TRIM(rPatron))
),
AND(
OR(
UPPER(TRIM(rTipo))=""CONTIENE"",
UPPER(TRIM(rTipo))=""COINCIDENCIA""
),
ISNUMBER(SEARCH(UPPER(TRIM(rPatron)),UPPER(TRIM(D977))))
)
)
),
rConcepto,
"&amp;"""""
)
)
)&lt;&gt;""""
),
1
),
""""
)"),"MANIOBRAS")</f>
        <v>MANIOBRAS</v>
      </c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</row>
    <row r="978">
      <c r="A978" s="32"/>
      <c r="B978" s="28" t="s">
        <v>29</v>
      </c>
      <c r="C978" s="29" t="s">
        <v>169</v>
      </c>
      <c r="D978" s="29" t="s">
        <v>1795</v>
      </c>
      <c r="E978" s="30">
        <v>6500.0</v>
      </c>
      <c r="F978" s="28">
        <v>0.0</v>
      </c>
      <c r="G978" s="28" t="s">
        <v>250</v>
      </c>
      <c r="H978" s="28">
        <f t="array" ref="H978">INDEX(CC!C:C,MATCH(1,(CC!A:A=G978)*(CC!B:B=I978),0))</f>
        <v>1402</v>
      </c>
      <c r="I978" s="28" t="s">
        <v>25</v>
      </c>
      <c r="J978" s="31">
        <v>6500.0</v>
      </c>
      <c r="K978" s="28" t="str">
        <f>IFERROR(__xludf.DUMMYFUNCTION("IFERROR(
INDEX(
FILTER(
MAP(
reglas!$B$2:$B$240,
reglas!$C$2:$C$240,
reglas!$D$2:$D$240,
reglas!$E$2:$E$240,
LAMBDA(rEmisor,rPatron,rConcepto,rTipo,
IF(
AND(
OR(
UPPER(TRIM(rEmisor))=UPPER(TRIM(C978)),
UPPER(TRIM(rEmisor))=""CUALQUIERA""
),
OR(
UPPER(TRIM"&amp;"(rTipo))=""SOLO EMISOR"",
AND(
UPPER(TRIM(rTipo))=""EXACTA"",
UPPER(TRIM(AG978))=UPPER(TRIM(rPatron))
),
AND(
OR(
UPPER(TRIM(rTipo))=""CONTIENE"",
UPPER(TRIM(rTipo))=""COINCIDENCIA""
),
ISNUMBER(SEARCH(UPPER(TRIM(rPatron)),UPPER(TRIM(D978))))
)
)
),
rConc"&amp;"epto,
""""
)
)
),
MAP(
reglas!$B$2:$B$240,
reglas!$C$2:$C$240,
reglas!$D$2:$D$240,
reglas!$E$2:$E$240,
LAMBDA(rEmisor,rPatron,rConcepto,rTipo,
IF(
AND(
OR(
UPPER(TRIM(rEmisor))=UPPER(TRIM(C978)),
UPPER(TRIM(rEmisor))=""CUALQUIERA""
),
OR(
UPPER(TRIM(rTipo"&amp;"))=""SOLO EMISOR"",
AND(
UPPER(TRIM(rTipo))=""EXACTA"",
UPPER(TRIM(D978))=UPPER(TRIM(rPatron))
),
AND(
OR(
UPPER(TRIM(rTipo))=""CONTIENE"",
UPPER(TRIM(rTipo))=""COINCIDENCIA""
),
ISNUMBER(SEARCH(UPPER(TRIM(rPatron)),UPPER(TRIM(D978))))
)
)
),
rConcepto,
"&amp;"""""
)
)
)&lt;&gt;""""
),
1
),
""""
)"),"TRANSPORTE")</f>
        <v>TRANSPORTE</v>
      </c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</row>
    <row r="979">
      <c r="A979" s="32"/>
      <c r="B979" s="28" t="s">
        <v>29</v>
      </c>
      <c r="C979" s="29" t="s">
        <v>163</v>
      </c>
      <c r="D979" s="29" t="s">
        <v>1796</v>
      </c>
      <c r="E979" s="28">
        <v>366.38</v>
      </c>
      <c r="F979" s="28">
        <v>0.0</v>
      </c>
      <c r="G979" s="28" t="s">
        <v>385</v>
      </c>
      <c r="H979" s="28">
        <f t="array" ref="H979">INDEX(CC!C:C,MATCH(1,(CC!A:A=G979)*(CC!B:B=I979),0))</f>
        <v>502</v>
      </c>
      <c r="I979" s="28" t="s">
        <v>25</v>
      </c>
      <c r="J979" s="31">
        <v>366.38</v>
      </c>
      <c r="K979" s="28" t="str">
        <f>IFERROR(__xludf.DUMMYFUNCTION("IFERROR(
INDEX(
FILTER(
MAP(
reglas!$B$2:$B$240,
reglas!$C$2:$C$240,
reglas!$D$2:$D$240,
reglas!$E$2:$E$240,
LAMBDA(rEmisor,rPatron,rConcepto,rTipo,
IF(
AND(
OR(
UPPER(TRIM(rEmisor))=UPPER(TRIM(C979)),
UPPER(TRIM(rEmisor))=""CUALQUIERA""
),
OR(
UPPER(TRIM"&amp;"(rTipo))=""SOLO EMISOR"",
AND(
UPPER(TRIM(rTipo))=""EXACTA"",
UPPER(TRIM(AG979))=UPPER(TRIM(rPatron))
),
AND(
OR(
UPPER(TRIM(rTipo))=""CONTIENE"",
UPPER(TRIM(rTipo))=""COINCIDENCIA""
),
ISNUMBER(SEARCH(UPPER(TRIM(rPatron)),UPPER(TRIM(D979))))
)
)
),
rConc"&amp;"epto,
""""
)
)
),
MAP(
reglas!$B$2:$B$240,
reglas!$C$2:$C$240,
reglas!$D$2:$D$240,
reglas!$E$2:$E$240,
LAMBDA(rEmisor,rPatron,rConcepto,rTipo,
IF(
AND(
OR(
UPPER(TRIM(rEmisor))=UPPER(TRIM(C979)),
UPPER(TRIM(rEmisor))=""CUALQUIERA""
),
OR(
UPPER(TRIM(rTipo"&amp;"))=""SOLO EMISOR"",
AND(
UPPER(TRIM(rTipo))=""EXACTA"",
UPPER(TRIM(D979))=UPPER(TRIM(rPatron))
),
AND(
OR(
UPPER(TRIM(rTipo))=""CONTIENE"",
UPPER(TRIM(rTipo))=""COINCIDENCIA""
),
ISNUMBER(SEARCH(UPPER(TRIM(rPatron)),UPPER(TRIM(D979))))
)
)
),
rConcepto,
"&amp;"""""
)
)
)&lt;&gt;""""
),
1
),
""""
)"),"PATIO REGULADOR")</f>
        <v>PATIO REGULADOR</v>
      </c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</row>
    <row r="980">
      <c r="A980" s="32"/>
      <c r="B980" s="28" t="s">
        <v>29</v>
      </c>
      <c r="C980" s="29" t="s">
        <v>278</v>
      </c>
      <c r="D980" s="29" t="s">
        <v>560</v>
      </c>
      <c r="E980" s="30">
        <v>3500.0</v>
      </c>
      <c r="F980" s="28">
        <v>0.0</v>
      </c>
      <c r="G980" s="28" t="s">
        <v>250</v>
      </c>
      <c r="H980" s="28">
        <f t="array" ref="H980">INDEX(CC!C:C,MATCH(1,(CC!A:A=G980)*(CC!B:B=I980),0))</f>
        <v>1402</v>
      </c>
      <c r="I980" s="28" t="s">
        <v>25</v>
      </c>
      <c r="J980" s="31">
        <v>3500.0</v>
      </c>
      <c r="K980" s="28" t="str">
        <f>IFERROR(__xludf.DUMMYFUNCTION("IFERROR(
INDEX(
FILTER(
MAP(
reglas!$B$2:$B$240,
reglas!$C$2:$C$240,
reglas!$D$2:$D$240,
reglas!$E$2:$E$240,
LAMBDA(rEmisor,rPatron,rConcepto,rTipo,
IF(
AND(
OR(
UPPER(TRIM(rEmisor))=UPPER(TRIM(C980)),
UPPER(TRIM(rEmisor))=""CUALQUIERA""
),
OR(
UPPER(TRIM"&amp;"(rTipo))=""SOLO EMISOR"",
AND(
UPPER(TRIM(rTipo))=""EXACTA"",
UPPER(TRIM(AG980))=UPPER(TRIM(rPatron))
),
AND(
OR(
UPPER(TRIM(rTipo))=""CONTIENE"",
UPPER(TRIM(rTipo))=""COINCIDENCIA""
),
ISNUMBER(SEARCH(UPPER(TRIM(rPatron)),UPPER(TRIM(D980))))
)
)
),
rConc"&amp;"epto,
""""
)
)
),
MAP(
reglas!$B$2:$B$240,
reglas!$C$2:$C$240,
reglas!$D$2:$D$240,
reglas!$E$2:$E$240,
LAMBDA(rEmisor,rPatron,rConcepto,rTipo,
IF(
AND(
OR(
UPPER(TRIM(rEmisor))=UPPER(TRIM(C980)),
UPPER(TRIM(rEmisor))=""CUALQUIERA""
),
OR(
UPPER(TRIM(rTipo"&amp;"))=""SOLO EMISOR"",
AND(
UPPER(TRIM(rTipo))=""EXACTA"",
UPPER(TRIM(D980))=UPPER(TRIM(rPatron))
),
AND(
OR(
UPPER(TRIM(rTipo))=""CONTIENE"",
UPPER(TRIM(rTipo))=""COINCIDENCIA""
),
ISNUMBER(SEARCH(UPPER(TRIM(rPatron)),UPPER(TRIM(D980))))
)
)
),
rConcepto,
"&amp;"""""
)
)
)&lt;&gt;""""
),
1
),
""""
)"),"MANIOBRAS")</f>
        <v>MANIOBRAS</v>
      </c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</row>
    <row r="981">
      <c r="A981" s="28">
        <v>1.0</v>
      </c>
      <c r="B981" s="28" t="s">
        <v>29</v>
      </c>
      <c r="C981" s="29" t="s">
        <v>271</v>
      </c>
      <c r="D981" s="29" t="s">
        <v>585</v>
      </c>
      <c r="E981" s="28">
        <v>622.32</v>
      </c>
      <c r="F981" s="28">
        <v>0.0</v>
      </c>
      <c r="G981" s="28" t="s">
        <v>84</v>
      </c>
      <c r="H981" s="28">
        <f t="array" ref="H981">INDEX(CC!C:C,MATCH(1,(CC!A:A=G981)*(CC!B:B=I981),0))</f>
        <v>1002</v>
      </c>
      <c r="I981" s="28" t="s">
        <v>25</v>
      </c>
      <c r="J981" s="31">
        <v>622.32</v>
      </c>
      <c r="K981" s="28" t="str">
        <f>IFERROR(__xludf.DUMMYFUNCTION("IFERROR(
INDEX(
FILTER(
MAP(
reglas!$B$2:$B$240,
reglas!$C$2:$C$240,
reglas!$D$2:$D$240,
reglas!$E$2:$E$240,
LAMBDA(rEmisor,rPatron,rConcepto,rTipo,
IF(
AND(
OR(
UPPER(TRIM(rEmisor))=UPPER(TRIM(C981)),
UPPER(TRIM(rEmisor))=""CUALQUIERA""
),
OR(
UPPER(TRIM"&amp;"(rTipo))=""SOLO EMISOR"",
AND(
UPPER(TRIM(rTipo))=""EXACTA"",
UPPER(TRIM(AG981))=UPPER(TRIM(rPatron))
),
AND(
OR(
UPPER(TRIM(rTipo))=""CONTIENE"",
UPPER(TRIM(rTipo))=""COINCIDENCIA""
),
ISNUMBER(SEARCH(UPPER(TRIM(rPatron)),UPPER(TRIM(D981))))
)
)
),
rConc"&amp;"epto,
""""
)
)
),
MAP(
reglas!$B$2:$B$240,
reglas!$C$2:$C$240,
reglas!$D$2:$D$240,
reglas!$E$2:$E$240,
LAMBDA(rEmisor,rPatron,rConcepto,rTipo,
IF(
AND(
OR(
UPPER(TRIM(rEmisor))=UPPER(TRIM(C981)),
UPPER(TRIM(rEmisor))=""CUALQUIERA""
),
OR(
UPPER(TRIM(rTipo"&amp;"))=""SOLO EMISOR"",
AND(
UPPER(TRIM(rTipo))=""EXACTA"",
UPPER(TRIM(D981))=UPPER(TRIM(rPatron))
),
AND(
OR(
UPPER(TRIM(rTipo))=""CONTIENE"",
UPPER(TRIM(rTipo))=""COINCIDENCIA""
),
ISNUMBER(SEARCH(UPPER(TRIM(rPatron)),UPPER(TRIM(D981))))
)
)
),
rConcepto,
"&amp;"""""
)
)
)&lt;&gt;""""
),
1
),
""""
)"),"MANIOBRAS")</f>
        <v>MANIOBRAS</v>
      </c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</row>
    <row r="982">
      <c r="A982" s="32"/>
      <c r="B982" s="32"/>
      <c r="C982" s="29" t="s">
        <v>271</v>
      </c>
      <c r="D982" s="29" t="s">
        <v>587</v>
      </c>
      <c r="E982" s="28">
        <v>569.38</v>
      </c>
      <c r="F982" s="28">
        <v>0.0</v>
      </c>
      <c r="G982" s="28" t="s">
        <v>84</v>
      </c>
      <c r="H982" s="28">
        <f t="array" ref="H982">INDEX(CC!C:C,MATCH(1,(CC!A:A=G982)*(CC!B:B=I982),0))</f>
        <v>1002</v>
      </c>
      <c r="I982" s="28" t="s">
        <v>25</v>
      </c>
      <c r="J982" s="31">
        <v>569.38</v>
      </c>
      <c r="K982" s="28" t="str">
        <f>IFERROR(__xludf.DUMMYFUNCTION("IFERROR(
INDEX(
FILTER(
MAP(
reglas!$B$2:$B$240,
reglas!$C$2:$C$240,
reglas!$D$2:$D$240,
reglas!$E$2:$E$240,
LAMBDA(rEmisor,rPatron,rConcepto,rTipo,
IF(
AND(
OR(
UPPER(TRIM(rEmisor))=UPPER(TRIM(C982)),
UPPER(TRIM(rEmisor))=""CUALQUIERA""
),
OR(
UPPER(TRIM"&amp;"(rTipo))=""SOLO EMISOR"",
AND(
UPPER(TRIM(rTipo))=""EXACTA"",
UPPER(TRIM(AG982))=UPPER(TRIM(rPatron))
),
AND(
OR(
UPPER(TRIM(rTipo))=""CONTIENE"",
UPPER(TRIM(rTipo))=""COINCIDENCIA""
),
ISNUMBER(SEARCH(UPPER(TRIM(rPatron)),UPPER(TRIM(D982))))
)
)
),
rConc"&amp;"epto,
""""
)
)
),
MAP(
reglas!$B$2:$B$240,
reglas!$C$2:$C$240,
reglas!$D$2:$D$240,
reglas!$E$2:$E$240,
LAMBDA(rEmisor,rPatron,rConcepto,rTipo,
IF(
AND(
OR(
UPPER(TRIM(rEmisor))=UPPER(TRIM(C982)),
UPPER(TRIM(rEmisor))=""CUALQUIERA""
),
OR(
UPPER(TRIM(rTipo"&amp;"))=""SOLO EMISOR"",
AND(
UPPER(TRIM(rTipo))=""EXACTA"",
UPPER(TRIM(D982))=UPPER(TRIM(rPatron))
),
AND(
OR(
UPPER(TRIM(rTipo))=""CONTIENE"",
UPPER(TRIM(rTipo))=""COINCIDENCIA""
),
ISNUMBER(SEARCH(UPPER(TRIM(rPatron)),UPPER(TRIM(D982))))
)
)
),
rConcepto,
"&amp;"""""
)
)
)&lt;&gt;""""
),
1
),
""""
)"),"MANIOBRAS")</f>
        <v>MANIOBRAS</v>
      </c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</row>
    <row r="983">
      <c r="A983" s="32"/>
      <c r="B983" s="32"/>
      <c r="C983" s="29" t="s">
        <v>271</v>
      </c>
      <c r="D983" s="29" t="s">
        <v>586</v>
      </c>
      <c r="E983" s="30">
        <v>2296.41</v>
      </c>
      <c r="F983" s="28">
        <v>0.0</v>
      </c>
      <c r="G983" s="28" t="s">
        <v>84</v>
      </c>
      <c r="H983" s="28">
        <f t="array" ref="H983">INDEX(CC!C:C,MATCH(1,(CC!A:A=G983)*(CC!B:B=I983),0))</f>
        <v>1002</v>
      </c>
      <c r="I983" s="28" t="s">
        <v>25</v>
      </c>
      <c r="J983" s="31">
        <v>2296.41</v>
      </c>
      <c r="K983" s="28" t="str">
        <f>IFERROR(__xludf.DUMMYFUNCTION("IFERROR(
INDEX(
FILTER(
MAP(
reglas!$B$2:$B$240,
reglas!$C$2:$C$240,
reglas!$D$2:$D$240,
reglas!$E$2:$E$240,
LAMBDA(rEmisor,rPatron,rConcepto,rTipo,
IF(
AND(
OR(
UPPER(TRIM(rEmisor))=UPPER(TRIM(C983)),
UPPER(TRIM(rEmisor))=""CUALQUIERA""
),
OR(
UPPER(TRIM"&amp;"(rTipo))=""SOLO EMISOR"",
AND(
UPPER(TRIM(rTipo))=""EXACTA"",
UPPER(TRIM(AG983))=UPPER(TRIM(rPatron))
),
AND(
OR(
UPPER(TRIM(rTipo))=""CONTIENE"",
UPPER(TRIM(rTipo))=""COINCIDENCIA""
),
ISNUMBER(SEARCH(UPPER(TRIM(rPatron)),UPPER(TRIM(D983))))
)
)
),
rConc"&amp;"epto,
""""
)
)
),
MAP(
reglas!$B$2:$B$240,
reglas!$C$2:$C$240,
reglas!$D$2:$D$240,
reglas!$E$2:$E$240,
LAMBDA(rEmisor,rPatron,rConcepto,rTipo,
IF(
AND(
OR(
UPPER(TRIM(rEmisor))=UPPER(TRIM(C983)),
UPPER(TRIM(rEmisor))=""CUALQUIERA""
),
OR(
UPPER(TRIM(rTipo"&amp;"))=""SOLO EMISOR"",
AND(
UPPER(TRIM(rTipo))=""EXACTA"",
UPPER(TRIM(D983))=UPPER(TRIM(rPatron))
),
AND(
OR(
UPPER(TRIM(rTipo))=""CONTIENE"",
UPPER(TRIM(rTipo))=""COINCIDENCIA""
),
ISNUMBER(SEARCH(UPPER(TRIM(rPatron)),UPPER(TRIM(D983))))
)
)
),
rConcepto,
"&amp;"""""
)
)
)&lt;&gt;""""
),
1
),
""""
)"),"MANIOBRAS")</f>
        <v>MANIOBRAS</v>
      </c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</row>
    <row r="984">
      <c r="A984" s="32"/>
      <c r="B984" s="32"/>
      <c r="C984" s="29" t="s">
        <v>271</v>
      </c>
      <c r="D984" s="29" t="s">
        <v>589</v>
      </c>
      <c r="E984" s="28">
        <v>923.77</v>
      </c>
      <c r="F984" s="28">
        <v>0.0</v>
      </c>
      <c r="G984" s="28" t="s">
        <v>84</v>
      </c>
      <c r="H984" s="28">
        <f t="array" ref="H984">INDEX(CC!C:C,MATCH(1,(CC!A:A=G984)*(CC!B:B=I984),0))</f>
        <v>1002</v>
      </c>
      <c r="I984" s="28" t="s">
        <v>25</v>
      </c>
      <c r="J984" s="31">
        <v>923.77</v>
      </c>
      <c r="K984" s="28" t="str">
        <f>IFERROR(__xludf.DUMMYFUNCTION("IFERROR(
INDEX(
FILTER(
MAP(
reglas!$B$2:$B$240,
reglas!$C$2:$C$240,
reglas!$D$2:$D$240,
reglas!$E$2:$E$240,
LAMBDA(rEmisor,rPatron,rConcepto,rTipo,
IF(
AND(
OR(
UPPER(TRIM(rEmisor))=UPPER(TRIM(C984)),
UPPER(TRIM(rEmisor))=""CUALQUIERA""
),
OR(
UPPER(TRIM"&amp;"(rTipo))=""SOLO EMISOR"",
AND(
UPPER(TRIM(rTipo))=""EXACTA"",
UPPER(TRIM(AG984))=UPPER(TRIM(rPatron))
),
AND(
OR(
UPPER(TRIM(rTipo))=""CONTIENE"",
UPPER(TRIM(rTipo))=""COINCIDENCIA""
),
ISNUMBER(SEARCH(UPPER(TRIM(rPatron)),UPPER(TRIM(D984))))
)
)
),
rConc"&amp;"epto,
""""
)
)
),
MAP(
reglas!$B$2:$B$240,
reglas!$C$2:$C$240,
reglas!$D$2:$D$240,
reglas!$E$2:$E$240,
LAMBDA(rEmisor,rPatron,rConcepto,rTipo,
IF(
AND(
OR(
UPPER(TRIM(rEmisor))=UPPER(TRIM(C984)),
UPPER(TRIM(rEmisor))=""CUALQUIERA""
),
OR(
UPPER(TRIM(rTipo"&amp;"))=""SOLO EMISOR"",
AND(
UPPER(TRIM(rTipo))=""EXACTA"",
UPPER(TRIM(D984))=UPPER(TRIM(rPatron))
),
AND(
OR(
UPPER(TRIM(rTipo))=""CONTIENE"",
UPPER(TRIM(rTipo))=""COINCIDENCIA""
),
ISNUMBER(SEARCH(UPPER(TRIM(rPatron)),UPPER(TRIM(D984))))
)
)
),
rConcepto,
"&amp;"""""
)
)
)&lt;&gt;""""
),
1
),
""""
)"),"MANIOBRAS")</f>
        <v>MANIOBRAS</v>
      </c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</row>
    <row r="985">
      <c r="A985" s="32"/>
      <c r="B985" s="32"/>
      <c r="C985" s="29" t="s">
        <v>271</v>
      </c>
      <c r="D985" s="29" t="s">
        <v>593</v>
      </c>
      <c r="E985" s="28">
        <v>749.3</v>
      </c>
      <c r="F985" s="28">
        <v>0.0</v>
      </c>
      <c r="G985" s="28" t="s">
        <v>84</v>
      </c>
      <c r="H985" s="28">
        <f t="array" ref="H985">INDEX(CC!C:C,MATCH(1,(CC!A:A=G985)*(CC!B:B=I985),0))</f>
        <v>1002</v>
      </c>
      <c r="I985" s="28" t="s">
        <v>25</v>
      </c>
      <c r="J985" s="31">
        <v>749.3</v>
      </c>
      <c r="K985" s="28" t="str">
        <f>IFERROR(__xludf.DUMMYFUNCTION("IFERROR(
INDEX(
FILTER(
MAP(
reglas!$B$2:$B$240,
reglas!$C$2:$C$240,
reglas!$D$2:$D$240,
reglas!$E$2:$E$240,
LAMBDA(rEmisor,rPatron,rConcepto,rTipo,
IF(
AND(
OR(
UPPER(TRIM(rEmisor))=UPPER(TRIM(C985)),
UPPER(TRIM(rEmisor))=""CUALQUIERA""
),
OR(
UPPER(TRIM"&amp;"(rTipo))=""SOLO EMISOR"",
AND(
UPPER(TRIM(rTipo))=""EXACTA"",
UPPER(TRIM(AG985))=UPPER(TRIM(rPatron))
),
AND(
OR(
UPPER(TRIM(rTipo))=""CONTIENE"",
UPPER(TRIM(rTipo))=""COINCIDENCIA""
),
ISNUMBER(SEARCH(UPPER(TRIM(rPatron)),UPPER(TRIM(D985))))
)
)
),
rConc"&amp;"epto,
""""
)
)
),
MAP(
reglas!$B$2:$B$240,
reglas!$C$2:$C$240,
reglas!$D$2:$D$240,
reglas!$E$2:$E$240,
LAMBDA(rEmisor,rPatron,rConcepto,rTipo,
IF(
AND(
OR(
UPPER(TRIM(rEmisor))=UPPER(TRIM(C985)),
UPPER(TRIM(rEmisor))=""CUALQUIERA""
),
OR(
UPPER(TRIM(rTipo"&amp;"))=""SOLO EMISOR"",
AND(
UPPER(TRIM(rTipo))=""EXACTA"",
UPPER(TRIM(D985))=UPPER(TRIM(rPatron))
),
AND(
OR(
UPPER(TRIM(rTipo))=""CONTIENE"",
UPPER(TRIM(rTipo))=""COINCIDENCIA""
),
ISNUMBER(SEARCH(UPPER(TRIM(rPatron)),UPPER(TRIM(D985))))
)
)
),
rConcepto,
"&amp;"""""
)
)
)&lt;&gt;""""
),
1
),
""""
)"),"MANIOBRAS")</f>
        <v>MANIOBRAS</v>
      </c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</row>
    <row r="986">
      <c r="A986" s="32"/>
      <c r="B986" s="32"/>
      <c r="C986" s="29" t="s">
        <v>271</v>
      </c>
      <c r="D986" s="29" t="s">
        <v>596</v>
      </c>
      <c r="E986" s="28">
        <v>653.3</v>
      </c>
      <c r="F986" s="28">
        <v>0.0</v>
      </c>
      <c r="G986" s="28" t="s">
        <v>84</v>
      </c>
      <c r="H986" s="28">
        <f t="array" ref="H986">INDEX(CC!C:C,MATCH(1,(CC!A:A=G986)*(CC!B:B=I986),0))</f>
        <v>1002</v>
      </c>
      <c r="I986" s="28" t="s">
        <v>25</v>
      </c>
      <c r="J986" s="31">
        <v>653.3</v>
      </c>
      <c r="K986" s="28" t="str">
        <f>IFERROR(__xludf.DUMMYFUNCTION("IFERROR(
INDEX(
FILTER(
MAP(
reglas!$B$2:$B$240,
reglas!$C$2:$C$240,
reglas!$D$2:$D$240,
reglas!$E$2:$E$240,
LAMBDA(rEmisor,rPatron,rConcepto,rTipo,
IF(
AND(
OR(
UPPER(TRIM(rEmisor))=UPPER(TRIM(C986)),
UPPER(TRIM(rEmisor))=""CUALQUIERA""
),
OR(
UPPER(TRIM"&amp;"(rTipo))=""SOLO EMISOR"",
AND(
UPPER(TRIM(rTipo))=""EXACTA"",
UPPER(TRIM(AG986))=UPPER(TRIM(rPatron))
),
AND(
OR(
UPPER(TRIM(rTipo))=""CONTIENE"",
UPPER(TRIM(rTipo))=""COINCIDENCIA""
),
ISNUMBER(SEARCH(UPPER(TRIM(rPatron)),UPPER(TRIM(D986))))
)
)
),
rConc"&amp;"epto,
""""
)
)
),
MAP(
reglas!$B$2:$B$240,
reglas!$C$2:$C$240,
reglas!$D$2:$D$240,
reglas!$E$2:$E$240,
LAMBDA(rEmisor,rPatron,rConcepto,rTipo,
IF(
AND(
OR(
UPPER(TRIM(rEmisor))=UPPER(TRIM(C986)),
UPPER(TRIM(rEmisor))=""CUALQUIERA""
),
OR(
UPPER(TRIM(rTipo"&amp;"))=""SOLO EMISOR"",
AND(
UPPER(TRIM(rTipo))=""EXACTA"",
UPPER(TRIM(D986))=UPPER(TRIM(rPatron))
),
AND(
OR(
UPPER(TRIM(rTipo))=""CONTIENE"",
UPPER(TRIM(rTipo))=""COINCIDENCIA""
),
ISNUMBER(SEARCH(UPPER(TRIM(rPatron)),UPPER(TRIM(D986))))
)
)
),
rConcepto,
"&amp;"""""
)
)
)&lt;&gt;""""
),
1
),
""""
)"),"MANIOBRAS")</f>
        <v>MANIOBRAS</v>
      </c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</row>
    <row r="987">
      <c r="A987" s="32"/>
      <c r="B987" s="28" t="s">
        <v>29</v>
      </c>
      <c r="C987" s="29" t="s">
        <v>140</v>
      </c>
      <c r="D987" s="29" t="s">
        <v>1797</v>
      </c>
      <c r="E987" s="30">
        <v>3550.0</v>
      </c>
      <c r="F987" s="28">
        <v>0.0</v>
      </c>
      <c r="G987" s="28" t="s">
        <v>55</v>
      </c>
      <c r="H987" s="28">
        <f t="array" ref="H987">INDEX(CC!C:C,MATCH(1,(CC!A:A=G987)*(CC!B:B=I987),0))</f>
        <v>902</v>
      </c>
      <c r="I987" s="28" t="s">
        <v>25</v>
      </c>
      <c r="J987" s="31">
        <v>3550.0</v>
      </c>
      <c r="K987" s="28" t="str">
        <f>IFERROR(__xludf.DUMMYFUNCTION("IFERROR(
INDEX(
FILTER(
MAP(
reglas!$B$2:$B$240,
reglas!$C$2:$C$240,
reglas!$D$2:$D$240,
reglas!$E$2:$E$240,
LAMBDA(rEmisor,rPatron,rConcepto,rTipo,
IF(
AND(
OR(
UPPER(TRIM(rEmisor))=UPPER(TRIM(C987)),
UPPER(TRIM(rEmisor))=""CUALQUIERA""
),
OR(
UPPER(TRIM"&amp;"(rTipo))=""SOLO EMISOR"",
AND(
UPPER(TRIM(rTipo))=""EXACTA"",
UPPER(TRIM(AG987))=UPPER(TRIM(rPatron))
),
AND(
OR(
UPPER(TRIM(rTipo))=""CONTIENE"",
UPPER(TRIM(rTipo))=""COINCIDENCIA""
),
ISNUMBER(SEARCH(UPPER(TRIM(rPatron)),UPPER(TRIM(D987))))
)
)
),
rConc"&amp;"epto,
""""
)
)
),
MAP(
reglas!$B$2:$B$240,
reglas!$C$2:$C$240,
reglas!$D$2:$D$240,
reglas!$E$2:$E$240,
LAMBDA(rEmisor,rPatron,rConcepto,rTipo,
IF(
AND(
OR(
UPPER(TRIM(rEmisor))=UPPER(TRIM(C987)),
UPPER(TRIM(rEmisor))=""CUALQUIERA""
),
OR(
UPPER(TRIM(rTipo"&amp;"))=""SOLO EMISOR"",
AND(
UPPER(TRIM(rTipo))=""EXACTA"",
UPPER(TRIM(D987))=UPPER(TRIM(rPatron))
),
AND(
OR(
UPPER(TRIM(rTipo))=""CONTIENE"",
UPPER(TRIM(rTipo))=""COINCIDENCIA""
),
ISNUMBER(SEARCH(UPPER(TRIM(rPatron)),UPPER(TRIM(D987))))
)
)
),
rConcepto,
"&amp;"""""
)
)
)&lt;&gt;""""
),
1
),
""""
)"),"SELLOS FISCALES")</f>
        <v>SELLOS FISCALES</v>
      </c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</row>
    <row r="988">
      <c r="A988" s="32"/>
      <c r="B988" s="32"/>
      <c r="C988" s="29" t="s">
        <v>140</v>
      </c>
      <c r="D988" s="29" t="s">
        <v>149</v>
      </c>
      <c r="E988" s="28">
        <v>350.0</v>
      </c>
      <c r="F988" s="28">
        <v>0.0</v>
      </c>
      <c r="G988" s="28" t="s">
        <v>55</v>
      </c>
      <c r="H988" s="28">
        <f t="array" ref="H988">INDEX(CC!C:C,MATCH(1,(CC!A:A=G988)*(CC!B:B=I988),0))</f>
        <v>902</v>
      </c>
      <c r="I988" s="28" t="s">
        <v>25</v>
      </c>
      <c r="J988" s="31">
        <v>350.0</v>
      </c>
      <c r="K988" s="28" t="str">
        <f>IFERROR(__xludf.DUMMYFUNCTION("IFERROR(
INDEX(
FILTER(
MAP(
reglas!$B$2:$B$240,
reglas!$C$2:$C$240,
reglas!$D$2:$D$240,
reglas!$E$2:$E$240,
LAMBDA(rEmisor,rPatron,rConcepto,rTipo,
IF(
AND(
OR(
UPPER(TRIM(rEmisor))=UPPER(TRIM(C988)),
UPPER(TRIM(rEmisor))=""CUALQUIERA""
),
OR(
UPPER(TRIM"&amp;"(rTipo))=""SOLO EMISOR"",
AND(
UPPER(TRIM(rTipo))=""EXACTA"",
UPPER(TRIM(AG988))=UPPER(TRIM(rPatron))
),
AND(
OR(
UPPER(TRIM(rTipo))=""CONTIENE"",
UPPER(TRIM(rTipo))=""COINCIDENCIA""
),
ISNUMBER(SEARCH(UPPER(TRIM(rPatron)),UPPER(TRIM(D988))))
)
)
),
rConc"&amp;"epto,
""""
)
)
),
MAP(
reglas!$B$2:$B$240,
reglas!$C$2:$C$240,
reglas!$D$2:$D$240,
reglas!$E$2:$E$240,
LAMBDA(rEmisor,rPatron,rConcepto,rTipo,
IF(
AND(
OR(
UPPER(TRIM(rEmisor))=UPPER(TRIM(C988)),
UPPER(TRIM(rEmisor))=""CUALQUIERA""
),
OR(
UPPER(TRIM(rTipo"&amp;"))=""SOLO EMISOR"",
AND(
UPPER(TRIM(rTipo))=""EXACTA"",
UPPER(TRIM(D988))=UPPER(TRIM(rPatron))
),
AND(
OR(
UPPER(TRIM(rTipo))=""CONTIENE"",
UPPER(TRIM(rTipo))=""COINCIDENCIA""
),
ISNUMBER(SEARCH(UPPER(TRIM(rPatron)),UPPER(TRIM(D988))))
)
)
),
rConcepto,
"&amp;"""""
)
)
)&lt;&gt;""""
),
1
),
""""
)"),"OTROS GASTOS")</f>
        <v>OTROS GASTOS</v>
      </c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</row>
    <row r="989">
      <c r="A989" s="32"/>
      <c r="B989" s="28" t="s">
        <v>29</v>
      </c>
      <c r="C989" s="29" t="s">
        <v>236</v>
      </c>
      <c r="D989" s="29" t="s">
        <v>1798</v>
      </c>
      <c r="E989" s="30">
        <v>1858.0</v>
      </c>
      <c r="F989" s="28">
        <v>0.0</v>
      </c>
      <c r="G989" s="28" t="s">
        <v>74</v>
      </c>
      <c r="H989" s="28">
        <f t="array" ref="H989">INDEX(CC!C:C,MATCH(1,(CC!A:A=G989)*(CC!B:B=I989),0))</f>
        <v>1502</v>
      </c>
      <c r="I989" s="28" t="s">
        <v>25</v>
      </c>
      <c r="J989" s="31">
        <v>1858.0</v>
      </c>
      <c r="K989" s="28" t="str">
        <f>IFERROR(__xludf.DUMMYFUNCTION("IFERROR(
INDEX(
FILTER(
MAP(
reglas!$B$2:$B$240,
reglas!$C$2:$C$240,
reglas!$D$2:$D$240,
reglas!$E$2:$E$240,
LAMBDA(rEmisor,rPatron,rConcepto,rTipo,
IF(
AND(
OR(
UPPER(TRIM(rEmisor))=UPPER(TRIM(C989)),
UPPER(TRIM(rEmisor))=""CUALQUIERA""
),
OR(
UPPER(TRIM"&amp;"(rTipo))=""SOLO EMISOR"",
AND(
UPPER(TRIM(rTipo))=""EXACTA"",
UPPER(TRIM(AG989))=UPPER(TRIM(rPatron))
),
AND(
OR(
UPPER(TRIM(rTipo))=""CONTIENE"",
UPPER(TRIM(rTipo))=""COINCIDENCIA""
),
ISNUMBER(SEARCH(UPPER(TRIM(rPatron)),UPPER(TRIM(D989))))
)
)
),
rConc"&amp;"epto,
""""
)
)
),
MAP(
reglas!$B$2:$B$240,
reglas!$C$2:$C$240,
reglas!$D$2:$D$240,
reglas!$E$2:$E$240,
LAMBDA(rEmisor,rPatron,rConcepto,rTipo,
IF(
AND(
OR(
UPPER(TRIM(rEmisor))=UPPER(TRIM(C989)),
UPPER(TRIM(rEmisor))=""CUALQUIERA""
),
OR(
UPPER(TRIM(rTipo"&amp;"))=""SOLO EMISOR"",
AND(
UPPER(TRIM(rTipo))=""EXACTA"",
UPPER(TRIM(D989))=UPPER(TRIM(rPatron))
),
AND(
OR(
UPPER(TRIM(rTipo))=""CONTIENE"",
UPPER(TRIM(rTipo))=""COINCIDENCIA""
),
ISNUMBER(SEARCH(UPPER(TRIM(rPatron)),UPPER(TRIM(D989))))
)
)
),
rConcepto,
"&amp;"""""
)
)
)&lt;&gt;""""
),
1
),
""""
)"),"PAPELERIA")</f>
        <v>PAPELERIA</v>
      </c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</row>
    <row r="990">
      <c r="A990" s="32"/>
      <c r="B990" s="32"/>
      <c r="C990" s="29" t="s">
        <v>236</v>
      </c>
      <c r="D990" s="29" t="s">
        <v>1799</v>
      </c>
      <c r="E990" s="28">
        <v>981.0</v>
      </c>
      <c r="F990" s="28">
        <v>0.0</v>
      </c>
      <c r="G990" s="28" t="s">
        <v>74</v>
      </c>
      <c r="H990" s="28">
        <f t="array" ref="H990">INDEX(CC!C:C,MATCH(1,(CC!A:A=G990)*(CC!B:B=I990),0))</f>
        <v>1502</v>
      </c>
      <c r="I990" s="28" t="s">
        <v>25</v>
      </c>
      <c r="J990" s="31">
        <v>981.0</v>
      </c>
      <c r="K990" s="28" t="str">
        <f>IFERROR(__xludf.DUMMYFUNCTION("IFERROR(
INDEX(
FILTER(
MAP(
reglas!$B$2:$B$240,
reglas!$C$2:$C$240,
reglas!$D$2:$D$240,
reglas!$E$2:$E$240,
LAMBDA(rEmisor,rPatron,rConcepto,rTipo,
IF(
AND(
OR(
UPPER(TRIM(rEmisor))=UPPER(TRIM(C990)),
UPPER(TRIM(rEmisor))=""CUALQUIERA""
),
OR(
UPPER(TRIM"&amp;"(rTipo))=""SOLO EMISOR"",
AND(
UPPER(TRIM(rTipo))=""EXACTA"",
UPPER(TRIM(AG990))=UPPER(TRIM(rPatron))
),
AND(
OR(
UPPER(TRIM(rTipo))=""CONTIENE"",
UPPER(TRIM(rTipo))=""COINCIDENCIA""
),
ISNUMBER(SEARCH(UPPER(TRIM(rPatron)),UPPER(TRIM(D990))))
)
)
),
rConc"&amp;"epto,
""""
)
)
),
MAP(
reglas!$B$2:$B$240,
reglas!$C$2:$C$240,
reglas!$D$2:$D$240,
reglas!$E$2:$E$240,
LAMBDA(rEmisor,rPatron,rConcepto,rTipo,
IF(
AND(
OR(
UPPER(TRIM(rEmisor))=UPPER(TRIM(C990)),
UPPER(TRIM(rEmisor))=""CUALQUIERA""
),
OR(
UPPER(TRIM(rTipo"&amp;"))=""SOLO EMISOR"",
AND(
UPPER(TRIM(rTipo))=""EXACTA"",
UPPER(TRIM(D990))=UPPER(TRIM(rPatron))
),
AND(
OR(
UPPER(TRIM(rTipo))=""CONTIENE"",
UPPER(TRIM(rTipo))=""COINCIDENCIA""
),
ISNUMBER(SEARCH(UPPER(TRIM(rPatron)),UPPER(TRIM(D990))))
)
)
),
rConcepto,
"&amp;"""""
)
)
)&lt;&gt;""""
),
1
),
""""
)"),"PAPELERIA")</f>
        <v>PAPELERIA</v>
      </c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</row>
    <row r="991">
      <c r="A991" s="32"/>
      <c r="B991" s="32"/>
      <c r="C991" s="29" t="s">
        <v>236</v>
      </c>
      <c r="D991" s="29" t="s">
        <v>1800</v>
      </c>
      <c r="E991" s="28">
        <v>144.0</v>
      </c>
      <c r="F991" s="28">
        <v>0.0</v>
      </c>
      <c r="G991" s="28" t="s">
        <v>74</v>
      </c>
      <c r="H991" s="28">
        <f t="array" ref="H991">INDEX(CC!C:C,MATCH(1,(CC!A:A=G991)*(CC!B:B=I991),0))</f>
        <v>1502</v>
      </c>
      <c r="I991" s="28" t="s">
        <v>25</v>
      </c>
      <c r="J991" s="31">
        <v>144.0</v>
      </c>
      <c r="K991" s="28" t="str">
        <f>IFERROR(__xludf.DUMMYFUNCTION("IFERROR(
INDEX(
FILTER(
MAP(
reglas!$B$2:$B$240,
reglas!$C$2:$C$240,
reglas!$D$2:$D$240,
reglas!$E$2:$E$240,
LAMBDA(rEmisor,rPatron,rConcepto,rTipo,
IF(
AND(
OR(
UPPER(TRIM(rEmisor))=UPPER(TRIM(C991)),
UPPER(TRIM(rEmisor))=""CUALQUIERA""
),
OR(
UPPER(TRIM"&amp;"(rTipo))=""SOLO EMISOR"",
AND(
UPPER(TRIM(rTipo))=""EXACTA"",
UPPER(TRIM(AG991))=UPPER(TRIM(rPatron))
),
AND(
OR(
UPPER(TRIM(rTipo))=""CONTIENE"",
UPPER(TRIM(rTipo))=""COINCIDENCIA""
),
ISNUMBER(SEARCH(UPPER(TRIM(rPatron)),UPPER(TRIM(D991))))
)
)
),
rConc"&amp;"epto,
""""
)
)
),
MAP(
reglas!$B$2:$B$240,
reglas!$C$2:$C$240,
reglas!$D$2:$D$240,
reglas!$E$2:$E$240,
LAMBDA(rEmisor,rPatron,rConcepto,rTipo,
IF(
AND(
OR(
UPPER(TRIM(rEmisor))=UPPER(TRIM(C991)),
UPPER(TRIM(rEmisor))=""CUALQUIERA""
),
OR(
UPPER(TRIM(rTipo"&amp;"))=""SOLO EMISOR"",
AND(
UPPER(TRIM(rTipo))=""EXACTA"",
UPPER(TRIM(D991))=UPPER(TRIM(rPatron))
),
AND(
OR(
UPPER(TRIM(rTipo))=""CONTIENE"",
UPPER(TRIM(rTipo))=""COINCIDENCIA""
),
ISNUMBER(SEARCH(UPPER(TRIM(rPatron)),UPPER(TRIM(D991))))
)
)
),
rConcepto,
"&amp;"""""
)
)
)&lt;&gt;""""
),
1
),
""""
)"),"PAPELERIA")</f>
        <v>PAPELERIA</v>
      </c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</row>
    <row r="992">
      <c r="A992" s="32"/>
      <c r="B992" s="32"/>
      <c r="C992" s="29" t="s">
        <v>236</v>
      </c>
      <c r="D992" s="29" t="s">
        <v>1801</v>
      </c>
      <c r="E992" s="28">
        <v>623.1</v>
      </c>
      <c r="F992" s="28">
        <v>0.0</v>
      </c>
      <c r="G992" s="28" t="s">
        <v>74</v>
      </c>
      <c r="H992" s="28">
        <f t="array" ref="H992">INDEX(CC!C:C,MATCH(1,(CC!A:A=G992)*(CC!B:B=I992),0))</f>
        <v>1502</v>
      </c>
      <c r="I992" s="28" t="s">
        <v>25</v>
      </c>
      <c r="J992" s="31">
        <v>623.1</v>
      </c>
      <c r="K992" s="28" t="str">
        <f>IFERROR(__xludf.DUMMYFUNCTION("IFERROR(
INDEX(
FILTER(
MAP(
reglas!$B$2:$B$240,
reglas!$C$2:$C$240,
reglas!$D$2:$D$240,
reglas!$E$2:$E$240,
LAMBDA(rEmisor,rPatron,rConcepto,rTipo,
IF(
AND(
OR(
UPPER(TRIM(rEmisor))=UPPER(TRIM(C992)),
UPPER(TRIM(rEmisor))=""CUALQUIERA""
),
OR(
UPPER(TRIM"&amp;"(rTipo))=""SOLO EMISOR"",
AND(
UPPER(TRIM(rTipo))=""EXACTA"",
UPPER(TRIM(AG992))=UPPER(TRIM(rPatron))
),
AND(
OR(
UPPER(TRIM(rTipo))=""CONTIENE"",
UPPER(TRIM(rTipo))=""COINCIDENCIA""
),
ISNUMBER(SEARCH(UPPER(TRIM(rPatron)),UPPER(TRIM(D992))))
)
)
),
rConc"&amp;"epto,
""""
)
)
),
MAP(
reglas!$B$2:$B$240,
reglas!$C$2:$C$240,
reglas!$D$2:$D$240,
reglas!$E$2:$E$240,
LAMBDA(rEmisor,rPatron,rConcepto,rTipo,
IF(
AND(
OR(
UPPER(TRIM(rEmisor))=UPPER(TRIM(C992)),
UPPER(TRIM(rEmisor))=""CUALQUIERA""
),
OR(
UPPER(TRIM(rTipo"&amp;"))=""SOLO EMISOR"",
AND(
UPPER(TRIM(rTipo))=""EXACTA"",
UPPER(TRIM(D992))=UPPER(TRIM(rPatron))
),
AND(
OR(
UPPER(TRIM(rTipo))=""CONTIENE"",
UPPER(TRIM(rTipo))=""COINCIDENCIA""
),
ISNUMBER(SEARCH(UPPER(TRIM(rPatron)),UPPER(TRIM(D992))))
)
)
),
rConcepto,
"&amp;"""""
)
)
)&lt;&gt;""""
),
1
),
""""
)"),"PAPELERIA")</f>
        <v>PAPELERIA</v>
      </c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</row>
    <row r="993">
      <c r="A993" s="32"/>
      <c r="B993" s="32"/>
      <c r="C993" s="29" t="s">
        <v>236</v>
      </c>
      <c r="D993" s="29" t="s">
        <v>1802</v>
      </c>
      <c r="E993" s="30">
        <v>1320.0</v>
      </c>
      <c r="F993" s="28">
        <v>0.0</v>
      </c>
      <c r="G993" s="28" t="s">
        <v>74</v>
      </c>
      <c r="H993" s="28">
        <f t="array" ref="H993">INDEX(CC!C:C,MATCH(1,(CC!A:A=G993)*(CC!B:B=I993),0))</f>
        <v>1502</v>
      </c>
      <c r="I993" s="28" t="s">
        <v>25</v>
      </c>
      <c r="J993" s="31">
        <v>1320.0</v>
      </c>
      <c r="K993" s="28" t="str">
        <f>IFERROR(__xludf.DUMMYFUNCTION("IFERROR(
INDEX(
FILTER(
MAP(
reglas!$B$2:$B$240,
reglas!$C$2:$C$240,
reglas!$D$2:$D$240,
reglas!$E$2:$E$240,
LAMBDA(rEmisor,rPatron,rConcepto,rTipo,
IF(
AND(
OR(
UPPER(TRIM(rEmisor))=UPPER(TRIM(C993)),
UPPER(TRIM(rEmisor))=""CUALQUIERA""
),
OR(
UPPER(TRIM"&amp;"(rTipo))=""SOLO EMISOR"",
AND(
UPPER(TRIM(rTipo))=""EXACTA"",
UPPER(TRIM(AG993))=UPPER(TRIM(rPatron))
),
AND(
OR(
UPPER(TRIM(rTipo))=""CONTIENE"",
UPPER(TRIM(rTipo))=""COINCIDENCIA""
),
ISNUMBER(SEARCH(UPPER(TRIM(rPatron)),UPPER(TRIM(D993))))
)
)
),
rConc"&amp;"epto,
""""
)
)
),
MAP(
reglas!$B$2:$B$240,
reglas!$C$2:$C$240,
reglas!$D$2:$D$240,
reglas!$E$2:$E$240,
LAMBDA(rEmisor,rPatron,rConcepto,rTipo,
IF(
AND(
OR(
UPPER(TRIM(rEmisor))=UPPER(TRIM(C993)),
UPPER(TRIM(rEmisor))=""CUALQUIERA""
),
OR(
UPPER(TRIM(rTipo"&amp;"))=""SOLO EMISOR"",
AND(
UPPER(TRIM(rTipo))=""EXACTA"",
UPPER(TRIM(D993))=UPPER(TRIM(rPatron))
),
AND(
OR(
UPPER(TRIM(rTipo))=""CONTIENE"",
UPPER(TRIM(rTipo))=""COINCIDENCIA""
),
ISNUMBER(SEARCH(UPPER(TRIM(rPatron)),UPPER(TRIM(D993))))
)
)
),
rConcepto,
"&amp;"""""
)
)
)&lt;&gt;""""
),
1
),
""""
)"),"PAPELERIA")</f>
        <v>PAPELERIA</v>
      </c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</row>
    <row r="994">
      <c r="A994" s="32"/>
      <c r="B994" s="32"/>
      <c r="C994" s="29" t="s">
        <v>236</v>
      </c>
      <c r="D994" s="29" t="s">
        <v>1803</v>
      </c>
      <c r="E994" s="28">
        <v>380.0</v>
      </c>
      <c r="F994" s="28">
        <v>0.0</v>
      </c>
      <c r="G994" s="28" t="s">
        <v>74</v>
      </c>
      <c r="H994" s="28">
        <f t="array" ref="H994">INDEX(CC!C:C,MATCH(1,(CC!A:A=G994)*(CC!B:B=I994),0))</f>
        <v>1502</v>
      </c>
      <c r="I994" s="28" t="s">
        <v>25</v>
      </c>
      <c r="J994" s="31">
        <v>380.0</v>
      </c>
      <c r="K994" s="28" t="str">
        <f>IFERROR(__xludf.DUMMYFUNCTION("IFERROR(
INDEX(
FILTER(
MAP(
reglas!$B$2:$B$240,
reglas!$C$2:$C$240,
reglas!$D$2:$D$240,
reglas!$E$2:$E$240,
LAMBDA(rEmisor,rPatron,rConcepto,rTipo,
IF(
AND(
OR(
UPPER(TRIM(rEmisor))=UPPER(TRIM(C994)),
UPPER(TRIM(rEmisor))=""CUALQUIERA""
),
OR(
UPPER(TRIM"&amp;"(rTipo))=""SOLO EMISOR"",
AND(
UPPER(TRIM(rTipo))=""EXACTA"",
UPPER(TRIM(AG994))=UPPER(TRIM(rPatron))
),
AND(
OR(
UPPER(TRIM(rTipo))=""CONTIENE"",
UPPER(TRIM(rTipo))=""COINCIDENCIA""
),
ISNUMBER(SEARCH(UPPER(TRIM(rPatron)),UPPER(TRIM(D994))))
)
)
),
rConc"&amp;"epto,
""""
)
)
),
MAP(
reglas!$B$2:$B$240,
reglas!$C$2:$C$240,
reglas!$D$2:$D$240,
reglas!$E$2:$E$240,
LAMBDA(rEmisor,rPatron,rConcepto,rTipo,
IF(
AND(
OR(
UPPER(TRIM(rEmisor))=UPPER(TRIM(C994)),
UPPER(TRIM(rEmisor))=""CUALQUIERA""
),
OR(
UPPER(TRIM(rTipo"&amp;"))=""SOLO EMISOR"",
AND(
UPPER(TRIM(rTipo))=""EXACTA"",
UPPER(TRIM(D994))=UPPER(TRIM(rPatron))
),
AND(
OR(
UPPER(TRIM(rTipo))=""CONTIENE"",
UPPER(TRIM(rTipo))=""COINCIDENCIA""
),
ISNUMBER(SEARCH(UPPER(TRIM(rPatron)),UPPER(TRIM(D994))))
)
)
),
rConcepto,
"&amp;"""""
)
)
)&lt;&gt;""""
),
1
),
""""
)"),"PAPELERIA")</f>
        <v>PAPELERIA</v>
      </c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</row>
    <row r="995">
      <c r="A995" s="32"/>
      <c r="B995" s="32"/>
      <c r="C995" s="29" t="s">
        <v>236</v>
      </c>
      <c r="D995" s="29" t="s">
        <v>1804</v>
      </c>
      <c r="E995" s="28">
        <v>240.0</v>
      </c>
      <c r="F995" s="28">
        <v>0.0</v>
      </c>
      <c r="G995" s="28" t="s">
        <v>74</v>
      </c>
      <c r="H995" s="28">
        <f t="array" ref="H995">INDEX(CC!C:C,MATCH(1,(CC!A:A=G995)*(CC!B:B=I995),0))</f>
        <v>1502</v>
      </c>
      <c r="I995" s="28" t="s">
        <v>25</v>
      </c>
      <c r="J995" s="31">
        <v>240.0</v>
      </c>
      <c r="K995" s="28" t="str">
        <f>IFERROR(__xludf.DUMMYFUNCTION("IFERROR(
INDEX(
FILTER(
MAP(
reglas!$B$2:$B$240,
reglas!$C$2:$C$240,
reglas!$D$2:$D$240,
reglas!$E$2:$E$240,
LAMBDA(rEmisor,rPatron,rConcepto,rTipo,
IF(
AND(
OR(
UPPER(TRIM(rEmisor))=UPPER(TRIM(C995)),
UPPER(TRIM(rEmisor))=""CUALQUIERA""
),
OR(
UPPER(TRIM"&amp;"(rTipo))=""SOLO EMISOR"",
AND(
UPPER(TRIM(rTipo))=""EXACTA"",
UPPER(TRIM(AG995))=UPPER(TRIM(rPatron))
),
AND(
OR(
UPPER(TRIM(rTipo))=""CONTIENE"",
UPPER(TRIM(rTipo))=""COINCIDENCIA""
),
ISNUMBER(SEARCH(UPPER(TRIM(rPatron)),UPPER(TRIM(D995))))
)
)
),
rConc"&amp;"epto,
""""
)
)
),
MAP(
reglas!$B$2:$B$240,
reglas!$C$2:$C$240,
reglas!$D$2:$D$240,
reglas!$E$2:$E$240,
LAMBDA(rEmisor,rPatron,rConcepto,rTipo,
IF(
AND(
OR(
UPPER(TRIM(rEmisor))=UPPER(TRIM(C995)),
UPPER(TRIM(rEmisor))=""CUALQUIERA""
),
OR(
UPPER(TRIM(rTipo"&amp;"))=""SOLO EMISOR"",
AND(
UPPER(TRIM(rTipo))=""EXACTA"",
UPPER(TRIM(D995))=UPPER(TRIM(rPatron))
),
AND(
OR(
UPPER(TRIM(rTipo))=""CONTIENE"",
UPPER(TRIM(rTipo))=""COINCIDENCIA""
),
ISNUMBER(SEARCH(UPPER(TRIM(rPatron)),UPPER(TRIM(D995))))
)
)
),
rConcepto,
"&amp;"""""
)
)
)&lt;&gt;""""
),
1
),
""""
)"),"PAPELERIA")</f>
        <v>PAPELERIA</v>
      </c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</row>
    <row r="996">
      <c r="A996" s="32"/>
      <c r="B996" s="32"/>
      <c r="C996" s="29" t="s">
        <v>236</v>
      </c>
      <c r="D996" s="29" t="s">
        <v>1805</v>
      </c>
      <c r="E996" s="28">
        <v>225.0</v>
      </c>
      <c r="F996" s="28">
        <v>0.0</v>
      </c>
      <c r="G996" s="28" t="s">
        <v>74</v>
      </c>
      <c r="H996" s="28">
        <f t="array" ref="H996">INDEX(CC!C:C,MATCH(1,(CC!A:A=G996)*(CC!B:B=I996),0))</f>
        <v>1502</v>
      </c>
      <c r="I996" s="28" t="s">
        <v>25</v>
      </c>
      <c r="J996" s="31">
        <v>225.0</v>
      </c>
      <c r="K996" s="28" t="str">
        <f>IFERROR(__xludf.DUMMYFUNCTION("IFERROR(
INDEX(
FILTER(
MAP(
reglas!$B$2:$B$240,
reglas!$C$2:$C$240,
reglas!$D$2:$D$240,
reglas!$E$2:$E$240,
LAMBDA(rEmisor,rPatron,rConcepto,rTipo,
IF(
AND(
OR(
UPPER(TRIM(rEmisor))=UPPER(TRIM(C996)),
UPPER(TRIM(rEmisor))=""CUALQUIERA""
),
OR(
UPPER(TRIM"&amp;"(rTipo))=""SOLO EMISOR"",
AND(
UPPER(TRIM(rTipo))=""EXACTA"",
UPPER(TRIM(AG996))=UPPER(TRIM(rPatron))
),
AND(
OR(
UPPER(TRIM(rTipo))=""CONTIENE"",
UPPER(TRIM(rTipo))=""COINCIDENCIA""
),
ISNUMBER(SEARCH(UPPER(TRIM(rPatron)),UPPER(TRIM(D996))))
)
)
),
rConc"&amp;"epto,
""""
)
)
),
MAP(
reglas!$B$2:$B$240,
reglas!$C$2:$C$240,
reglas!$D$2:$D$240,
reglas!$E$2:$E$240,
LAMBDA(rEmisor,rPatron,rConcepto,rTipo,
IF(
AND(
OR(
UPPER(TRIM(rEmisor))=UPPER(TRIM(C996)),
UPPER(TRIM(rEmisor))=""CUALQUIERA""
),
OR(
UPPER(TRIM(rTipo"&amp;"))=""SOLO EMISOR"",
AND(
UPPER(TRIM(rTipo))=""EXACTA"",
UPPER(TRIM(D996))=UPPER(TRIM(rPatron))
),
AND(
OR(
UPPER(TRIM(rTipo))=""CONTIENE"",
UPPER(TRIM(rTipo))=""COINCIDENCIA""
),
ISNUMBER(SEARCH(UPPER(TRIM(rPatron)),UPPER(TRIM(D996))))
)
)
),
rConcepto,
"&amp;"""""
)
)
)&lt;&gt;""""
),
1
),
""""
)"),"PAPELERIA")</f>
        <v>PAPELERIA</v>
      </c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</row>
    <row r="997">
      <c r="A997" s="32"/>
      <c r="B997" s="32"/>
      <c r="C997" s="29" t="s">
        <v>236</v>
      </c>
      <c r="D997" s="29" t="s">
        <v>1806</v>
      </c>
      <c r="E997" s="28">
        <v>168.0</v>
      </c>
      <c r="F997" s="28">
        <v>0.0</v>
      </c>
      <c r="G997" s="28" t="s">
        <v>74</v>
      </c>
      <c r="H997" s="28">
        <f t="array" ref="H997">INDEX(CC!C:C,MATCH(1,(CC!A:A=G997)*(CC!B:B=I997),0))</f>
        <v>1502</v>
      </c>
      <c r="I997" s="28" t="s">
        <v>25</v>
      </c>
      <c r="J997" s="31">
        <v>168.0</v>
      </c>
      <c r="K997" s="28" t="str">
        <f>IFERROR(__xludf.DUMMYFUNCTION("IFERROR(
INDEX(
FILTER(
MAP(
reglas!$B$2:$B$240,
reglas!$C$2:$C$240,
reglas!$D$2:$D$240,
reglas!$E$2:$E$240,
LAMBDA(rEmisor,rPatron,rConcepto,rTipo,
IF(
AND(
OR(
UPPER(TRIM(rEmisor))=UPPER(TRIM(C997)),
UPPER(TRIM(rEmisor))=""CUALQUIERA""
),
OR(
UPPER(TRIM"&amp;"(rTipo))=""SOLO EMISOR"",
AND(
UPPER(TRIM(rTipo))=""EXACTA"",
UPPER(TRIM(AG997))=UPPER(TRIM(rPatron))
),
AND(
OR(
UPPER(TRIM(rTipo))=""CONTIENE"",
UPPER(TRIM(rTipo))=""COINCIDENCIA""
),
ISNUMBER(SEARCH(UPPER(TRIM(rPatron)),UPPER(TRIM(D997))))
)
)
),
rConc"&amp;"epto,
""""
)
)
),
MAP(
reglas!$B$2:$B$240,
reglas!$C$2:$C$240,
reglas!$D$2:$D$240,
reglas!$E$2:$E$240,
LAMBDA(rEmisor,rPatron,rConcepto,rTipo,
IF(
AND(
OR(
UPPER(TRIM(rEmisor))=UPPER(TRIM(C997)),
UPPER(TRIM(rEmisor))=""CUALQUIERA""
),
OR(
UPPER(TRIM(rTipo"&amp;"))=""SOLO EMISOR"",
AND(
UPPER(TRIM(rTipo))=""EXACTA"",
UPPER(TRIM(D997))=UPPER(TRIM(rPatron))
),
AND(
OR(
UPPER(TRIM(rTipo))=""CONTIENE"",
UPPER(TRIM(rTipo))=""COINCIDENCIA""
),
ISNUMBER(SEARCH(UPPER(TRIM(rPatron)),UPPER(TRIM(D997))))
)
)
),
rConcepto,
"&amp;"""""
)
)
)&lt;&gt;""""
),
1
),
""""
)"),"PAPELERIA")</f>
        <v>PAPELERIA</v>
      </c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</row>
    <row r="998">
      <c r="A998" s="32"/>
      <c r="B998" s="32"/>
      <c r="C998" s="29" t="s">
        <v>236</v>
      </c>
      <c r="D998" s="29" t="s">
        <v>1807</v>
      </c>
      <c r="E998" s="28">
        <v>83.0</v>
      </c>
      <c r="F998" s="28">
        <v>0.0</v>
      </c>
      <c r="G998" s="28" t="s">
        <v>74</v>
      </c>
      <c r="H998" s="28">
        <f t="array" ref="H998">INDEX(CC!C:C,MATCH(1,(CC!A:A=G998)*(CC!B:B=I998),0))</f>
        <v>1502</v>
      </c>
      <c r="I998" s="28" t="s">
        <v>25</v>
      </c>
      <c r="J998" s="31">
        <v>83.0</v>
      </c>
      <c r="K998" s="28" t="str">
        <f>IFERROR(__xludf.DUMMYFUNCTION("IFERROR(
INDEX(
FILTER(
MAP(
reglas!$B$2:$B$240,
reglas!$C$2:$C$240,
reglas!$D$2:$D$240,
reglas!$E$2:$E$240,
LAMBDA(rEmisor,rPatron,rConcepto,rTipo,
IF(
AND(
OR(
UPPER(TRIM(rEmisor))=UPPER(TRIM(C998)),
UPPER(TRIM(rEmisor))=""CUALQUIERA""
),
OR(
UPPER(TRIM"&amp;"(rTipo))=""SOLO EMISOR"",
AND(
UPPER(TRIM(rTipo))=""EXACTA"",
UPPER(TRIM(AG998))=UPPER(TRIM(rPatron))
),
AND(
OR(
UPPER(TRIM(rTipo))=""CONTIENE"",
UPPER(TRIM(rTipo))=""COINCIDENCIA""
),
ISNUMBER(SEARCH(UPPER(TRIM(rPatron)),UPPER(TRIM(D998))))
)
)
),
rConc"&amp;"epto,
""""
)
)
),
MAP(
reglas!$B$2:$B$240,
reglas!$C$2:$C$240,
reglas!$D$2:$D$240,
reglas!$E$2:$E$240,
LAMBDA(rEmisor,rPatron,rConcepto,rTipo,
IF(
AND(
OR(
UPPER(TRIM(rEmisor))=UPPER(TRIM(C998)),
UPPER(TRIM(rEmisor))=""CUALQUIERA""
),
OR(
UPPER(TRIM(rTipo"&amp;"))=""SOLO EMISOR"",
AND(
UPPER(TRIM(rTipo))=""EXACTA"",
UPPER(TRIM(D998))=UPPER(TRIM(rPatron))
),
AND(
OR(
UPPER(TRIM(rTipo))=""CONTIENE"",
UPPER(TRIM(rTipo))=""COINCIDENCIA""
),
ISNUMBER(SEARCH(UPPER(TRIM(rPatron)),UPPER(TRIM(D998))))
)
)
),
rConcepto,
"&amp;"""""
)
)
)&lt;&gt;""""
),
1
),
""""
)"),"PAPELERIA")</f>
        <v>PAPELERIA</v>
      </c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</row>
    <row r="999">
      <c r="A999" s="32"/>
      <c r="B999" s="32"/>
      <c r="C999" s="29" t="s">
        <v>236</v>
      </c>
      <c r="D999" s="29" t="s">
        <v>1808</v>
      </c>
      <c r="E999" s="28">
        <v>54.0</v>
      </c>
      <c r="F999" s="28">
        <v>0.0</v>
      </c>
      <c r="G999" s="28" t="s">
        <v>74</v>
      </c>
      <c r="H999" s="28">
        <f t="array" ref="H999">INDEX(CC!C:C,MATCH(1,(CC!A:A=G999)*(CC!B:B=I999),0))</f>
        <v>1502</v>
      </c>
      <c r="I999" s="28" t="s">
        <v>25</v>
      </c>
      <c r="J999" s="31">
        <v>54.0</v>
      </c>
      <c r="K999" s="28" t="str">
        <f>IFERROR(__xludf.DUMMYFUNCTION("IFERROR(
INDEX(
FILTER(
MAP(
reglas!$B$2:$B$240,
reglas!$C$2:$C$240,
reglas!$D$2:$D$240,
reglas!$E$2:$E$240,
LAMBDA(rEmisor,rPatron,rConcepto,rTipo,
IF(
AND(
OR(
UPPER(TRIM(rEmisor))=UPPER(TRIM(C999)),
UPPER(TRIM(rEmisor))=""CUALQUIERA""
),
OR(
UPPER(TRIM"&amp;"(rTipo))=""SOLO EMISOR"",
AND(
UPPER(TRIM(rTipo))=""EXACTA"",
UPPER(TRIM(AG999))=UPPER(TRIM(rPatron))
),
AND(
OR(
UPPER(TRIM(rTipo))=""CONTIENE"",
UPPER(TRIM(rTipo))=""COINCIDENCIA""
),
ISNUMBER(SEARCH(UPPER(TRIM(rPatron)),UPPER(TRIM(D999))))
)
)
),
rConc"&amp;"epto,
""""
)
)
),
MAP(
reglas!$B$2:$B$240,
reglas!$C$2:$C$240,
reglas!$D$2:$D$240,
reglas!$E$2:$E$240,
LAMBDA(rEmisor,rPatron,rConcepto,rTipo,
IF(
AND(
OR(
UPPER(TRIM(rEmisor))=UPPER(TRIM(C999)),
UPPER(TRIM(rEmisor))=""CUALQUIERA""
),
OR(
UPPER(TRIM(rTipo"&amp;"))=""SOLO EMISOR"",
AND(
UPPER(TRIM(rTipo))=""EXACTA"",
UPPER(TRIM(D999))=UPPER(TRIM(rPatron))
),
AND(
OR(
UPPER(TRIM(rTipo))=""CONTIENE"",
UPPER(TRIM(rTipo))=""COINCIDENCIA""
),
ISNUMBER(SEARCH(UPPER(TRIM(rPatron)),UPPER(TRIM(D999))))
)
)
),
rConcepto,
"&amp;"""""
)
)
)&lt;&gt;""""
),
1
),
""""
)"),"PAPELERIA")</f>
        <v>PAPELERIA</v>
      </c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</row>
    <row r="1000">
      <c r="A1000" s="32"/>
      <c r="B1000" s="32"/>
      <c r="C1000" s="29" t="s">
        <v>236</v>
      </c>
      <c r="D1000" s="29" t="s">
        <v>1809</v>
      </c>
      <c r="E1000" s="28">
        <v>430.0</v>
      </c>
      <c r="F1000" s="28">
        <v>0.0</v>
      </c>
      <c r="G1000" s="28" t="s">
        <v>74</v>
      </c>
      <c r="H1000" s="28">
        <f t="array" ref="H1000">INDEX(CC!C:C,MATCH(1,(CC!A:A=G1000)*(CC!B:B=I1000),0))</f>
        <v>1502</v>
      </c>
      <c r="I1000" s="28" t="s">
        <v>25</v>
      </c>
      <c r="J1000" s="31">
        <v>430.0</v>
      </c>
      <c r="K1000" s="28" t="str">
        <f>IFERROR(__xludf.DUMMYFUNCTION("IFERROR(
INDEX(
FILTER(
MAP(
reglas!$B$2:$B$240,
reglas!$C$2:$C$240,
reglas!$D$2:$D$240,
reglas!$E$2:$E$240,
LAMBDA(rEmisor,rPatron,rConcepto,rTipo,
IF(
AND(
OR(
UPPER(TRIM(rEmisor))=UPPER(TRIM(C1000)),
UPPER(TRIM(rEmisor))=""CUALQUIERA""
),
OR(
UPPER(TRI"&amp;"M(rTipo))=""SOLO EMISOR"",
AND(
UPPER(TRIM(rTipo))=""EXACTA"",
UPPER(TRIM(AG1000))=UPPER(TRIM(rPatron))
),
AND(
OR(
UPPER(TRIM(rTipo))=""CONTIENE"",
UPPER(TRIM(rTipo))=""COINCIDENCIA""
),
ISNUMBER(SEARCH(UPPER(TRIM(rPatron)),UPPER(TRIM(D1000))))
)
)
),
rC"&amp;"oncepto,
""""
)
)
),
MAP(
reglas!$B$2:$B$240,
reglas!$C$2:$C$240,
reglas!$D$2:$D$240,
reglas!$E$2:$E$240,
LAMBDA(rEmisor,rPatron,rConcepto,rTipo,
IF(
AND(
OR(
UPPER(TRIM(rEmisor))=UPPER(TRIM(C1000)),
UPPER(TRIM(rEmisor))=""CUALQUIERA""
),
OR(
UPPER(TRIM(r"&amp;"Tipo))=""SOLO EMISOR"",
AND(
UPPER(TRIM(rTipo))=""EXACTA"",
UPPER(TRIM(D1000))=UPPER(TRIM(rPatron))
),
AND(
OR(
UPPER(TRIM(rTipo))=""CONTIENE"",
UPPER(TRIM(rTipo))=""COINCIDENCIA""
),
ISNUMBER(SEARCH(UPPER(TRIM(rPatron)),UPPER(TRIM(D1000))))
)
)
),
rConce"&amp;"pto,
""""
)
)
)&lt;&gt;""""
),
1
),
""""
)"),"PAPELERIA")</f>
        <v>PAPELERIA</v>
      </c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</row>
    <row r="1001">
      <c r="A1001" s="32"/>
      <c r="B1001" s="32"/>
      <c r="C1001" s="29" t="s">
        <v>236</v>
      </c>
      <c r="D1001" s="29" t="s">
        <v>1810</v>
      </c>
      <c r="E1001" s="28">
        <v>210.0</v>
      </c>
      <c r="F1001" s="28">
        <v>0.0</v>
      </c>
      <c r="G1001" s="28" t="s">
        <v>74</v>
      </c>
      <c r="H1001" s="28">
        <f t="array" ref="H1001">INDEX(CC!C:C,MATCH(1,(CC!A:A=G1001)*(CC!B:B=I1001),0))</f>
        <v>1502</v>
      </c>
      <c r="I1001" s="28" t="s">
        <v>25</v>
      </c>
      <c r="J1001" s="31">
        <v>210.0</v>
      </c>
      <c r="K1001" s="28" t="str">
        <f>IFERROR(__xludf.DUMMYFUNCTION("IFERROR(
INDEX(
FILTER(
MAP(
reglas!$B$2:$B$240,
reglas!$C$2:$C$240,
reglas!$D$2:$D$240,
reglas!$E$2:$E$240,
LAMBDA(rEmisor,rPatron,rConcepto,rTipo,
IF(
AND(
OR(
UPPER(TRIM(rEmisor))=UPPER(TRIM(C1001)),
UPPER(TRIM(rEmisor))=""CUALQUIERA""
),
OR(
UPPER(TRI"&amp;"M(rTipo))=""SOLO EMISOR"",
AND(
UPPER(TRIM(rTipo))=""EXACTA"",
UPPER(TRIM(AG1001))=UPPER(TRIM(rPatron))
),
AND(
OR(
UPPER(TRIM(rTipo))=""CONTIENE"",
UPPER(TRIM(rTipo))=""COINCIDENCIA""
),
ISNUMBER(SEARCH(UPPER(TRIM(rPatron)),UPPER(TRIM(D1001))))
)
)
),
rC"&amp;"oncepto,
""""
)
)
),
MAP(
reglas!$B$2:$B$240,
reglas!$C$2:$C$240,
reglas!$D$2:$D$240,
reglas!$E$2:$E$240,
LAMBDA(rEmisor,rPatron,rConcepto,rTipo,
IF(
AND(
OR(
UPPER(TRIM(rEmisor))=UPPER(TRIM(C1001)),
UPPER(TRIM(rEmisor))=""CUALQUIERA""
),
OR(
UPPER(TRIM(r"&amp;"Tipo))=""SOLO EMISOR"",
AND(
UPPER(TRIM(rTipo))=""EXACTA"",
UPPER(TRIM(D1001))=UPPER(TRIM(rPatron))
),
AND(
OR(
UPPER(TRIM(rTipo))=""CONTIENE"",
UPPER(TRIM(rTipo))=""COINCIDENCIA""
),
ISNUMBER(SEARCH(UPPER(TRIM(rPatron)),UPPER(TRIM(D1001))))
)
)
),
rConce"&amp;"pto,
""""
)
)
)&lt;&gt;""""
),
1
),
""""
)"),"PAPELERIA")</f>
        <v>PAPELERIA</v>
      </c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</row>
    <row r="1002">
      <c r="A1002" s="32"/>
      <c r="B1002" s="28" t="s">
        <v>29</v>
      </c>
      <c r="C1002" s="29" t="s">
        <v>172</v>
      </c>
      <c r="D1002" s="29" t="s">
        <v>1811</v>
      </c>
      <c r="E1002" s="30">
        <v>11500.0</v>
      </c>
      <c r="F1002" s="28">
        <v>0.0</v>
      </c>
      <c r="G1002" s="28" t="s">
        <v>250</v>
      </c>
      <c r="H1002" s="28">
        <f t="array" ref="H1002">INDEX(CC!C:C,MATCH(1,(CC!A:A=G1002)*(CC!B:B=I1002),0))</f>
        <v>1402</v>
      </c>
      <c r="I1002" s="28" t="s">
        <v>25</v>
      </c>
      <c r="J1002" s="31">
        <v>11500.0</v>
      </c>
      <c r="K1002" s="28" t="str">
        <f>IFERROR(__xludf.DUMMYFUNCTION("IFERROR(
INDEX(
FILTER(
MAP(
reglas!$B$2:$B$240,
reglas!$C$2:$C$240,
reglas!$D$2:$D$240,
reglas!$E$2:$E$240,
LAMBDA(rEmisor,rPatron,rConcepto,rTipo,
IF(
AND(
OR(
UPPER(TRIM(rEmisor))=UPPER(TRIM(C1002)),
UPPER(TRIM(rEmisor))=""CUALQUIERA""
),
OR(
UPPER(TRI"&amp;"M(rTipo))=""SOLO EMISOR"",
AND(
UPPER(TRIM(rTipo))=""EXACTA"",
UPPER(TRIM(AG1002))=UPPER(TRIM(rPatron))
),
AND(
OR(
UPPER(TRIM(rTipo))=""CONTIENE"",
UPPER(TRIM(rTipo))=""COINCIDENCIA""
),
ISNUMBER(SEARCH(UPPER(TRIM(rPatron)),UPPER(TRIM(D1002))))
)
)
),
rC"&amp;"oncepto,
""""
)
)
),
MAP(
reglas!$B$2:$B$240,
reglas!$C$2:$C$240,
reglas!$D$2:$D$240,
reglas!$E$2:$E$240,
LAMBDA(rEmisor,rPatron,rConcepto,rTipo,
IF(
AND(
OR(
UPPER(TRIM(rEmisor))=UPPER(TRIM(C1002)),
UPPER(TRIM(rEmisor))=""CUALQUIERA""
),
OR(
UPPER(TRIM(r"&amp;"Tipo))=""SOLO EMISOR"",
AND(
UPPER(TRIM(rTipo))=""EXACTA"",
UPPER(TRIM(D1002))=UPPER(TRIM(rPatron))
),
AND(
OR(
UPPER(TRIM(rTipo))=""CONTIENE"",
UPPER(TRIM(rTipo))=""COINCIDENCIA""
),
ISNUMBER(SEARCH(UPPER(TRIM(rPatron)),UPPER(TRIM(D1002))))
)
)
),
rConce"&amp;"pto,
""""
)
)
)&lt;&gt;""""
),
1
),
""""
)"),"TRANSPORTE")</f>
        <v>TRANSPORTE</v>
      </c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</row>
    <row r="1003">
      <c r="A1003" s="32"/>
      <c r="B1003" s="28" t="s">
        <v>29</v>
      </c>
      <c r="C1003" s="29" t="s">
        <v>172</v>
      </c>
      <c r="D1003" s="29" t="s">
        <v>1812</v>
      </c>
      <c r="E1003" s="30">
        <v>11500.0</v>
      </c>
      <c r="F1003" s="28">
        <v>0.0</v>
      </c>
      <c r="G1003" s="28" t="s">
        <v>250</v>
      </c>
      <c r="H1003" s="28">
        <f t="array" ref="H1003">INDEX(CC!C:C,MATCH(1,(CC!A:A=G1003)*(CC!B:B=I1003),0))</f>
        <v>1402</v>
      </c>
      <c r="I1003" s="28" t="s">
        <v>25</v>
      </c>
      <c r="J1003" s="31">
        <v>11500.0</v>
      </c>
      <c r="K1003" s="28" t="str">
        <f>IFERROR(__xludf.DUMMYFUNCTION("IFERROR(
INDEX(
FILTER(
MAP(
reglas!$B$2:$B$240,
reglas!$C$2:$C$240,
reglas!$D$2:$D$240,
reglas!$E$2:$E$240,
LAMBDA(rEmisor,rPatron,rConcepto,rTipo,
IF(
AND(
OR(
UPPER(TRIM(rEmisor))=UPPER(TRIM(C1003)),
UPPER(TRIM(rEmisor))=""CUALQUIERA""
),
OR(
UPPER(TRI"&amp;"M(rTipo))=""SOLO EMISOR"",
AND(
UPPER(TRIM(rTipo))=""EXACTA"",
UPPER(TRIM(AG1003))=UPPER(TRIM(rPatron))
),
AND(
OR(
UPPER(TRIM(rTipo))=""CONTIENE"",
UPPER(TRIM(rTipo))=""COINCIDENCIA""
),
ISNUMBER(SEARCH(UPPER(TRIM(rPatron)),UPPER(TRIM(D1003))))
)
)
),
rC"&amp;"oncepto,
""""
)
)
),
MAP(
reglas!$B$2:$B$240,
reglas!$C$2:$C$240,
reglas!$D$2:$D$240,
reglas!$E$2:$E$240,
LAMBDA(rEmisor,rPatron,rConcepto,rTipo,
IF(
AND(
OR(
UPPER(TRIM(rEmisor))=UPPER(TRIM(C1003)),
UPPER(TRIM(rEmisor))=""CUALQUIERA""
),
OR(
UPPER(TRIM(r"&amp;"Tipo))=""SOLO EMISOR"",
AND(
UPPER(TRIM(rTipo))=""EXACTA"",
UPPER(TRIM(D1003))=UPPER(TRIM(rPatron))
),
AND(
OR(
UPPER(TRIM(rTipo))=""CONTIENE"",
UPPER(TRIM(rTipo))=""COINCIDENCIA""
),
ISNUMBER(SEARCH(UPPER(TRIM(rPatron)),UPPER(TRIM(D1003))))
)
)
),
rConce"&amp;"pto,
""""
)
)
)&lt;&gt;""""
),
1
),
""""
)"),"TRANSPORTE")</f>
        <v>TRANSPORTE</v>
      </c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</row>
    <row r="1004">
      <c r="A1004" s="32"/>
      <c r="B1004" s="28" t="s">
        <v>29</v>
      </c>
      <c r="C1004" s="29" t="s">
        <v>439</v>
      </c>
      <c r="D1004" s="29" t="s">
        <v>1487</v>
      </c>
      <c r="E1004" s="30">
        <v>11728.97</v>
      </c>
      <c r="F1004" s="28">
        <v>0.0</v>
      </c>
      <c r="G1004" s="28" t="s">
        <v>554</v>
      </c>
      <c r="H1004" s="28">
        <f t="array" ref="H1004">INDEX(CC!C:C,MATCH(1,(CC!A:A=G1004)*(CC!B:B=I1004),0))</f>
        <v>1703</v>
      </c>
      <c r="I1004" s="28" t="s">
        <v>44</v>
      </c>
      <c r="J1004" s="31">
        <v>11728.97</v>
      </c>
      <c r="K1004" s="28" t="str">
        <f>IFERROR(__xludf.DUMMYFUNCTION("IFERROR(
INDEX(
FILTER(
MAP(
reglas!$B$2:$B$240,
reglas!$C$2:$C$240,
reglas!$D$2:$D$240,
reglas!$E$2:$E$240,
LAMBDA(rEmisor,rPatron,rConcepto,rTipo,
IF(
AND(
OR(
UPPER(TRIM(rEmisor))=UPPER(TRIM(C1004)),
UPPER(TRIM(rEmisor))=""CUALQUIERA""
),
OR(
UPPER(TRI"&amp;"M(rTipo))=""SOLO EMISOR"",
AND(
UPPER(TRIM(rTipo))=""EXACTA"",
UPPER(TRIM(AG1004))=UPPER(TRIM(rPatron))
),
AND(
OR(
UPPER(TRIM(rTipo))=""CONTIENE"",
UPPER(TRIM(rTipo))=""COINCIDENCIA""
),
ISNUMBER(SEARCH(UPPER(TRIM(rPatron)),UPPER(TRIM(D1004))))
)
)
),
rC"&amp;"oncepto,
""""
)
)
),
MAP(
reglas!$B$2:$B$240,
reglas!$C$2:$C$240,
reglas!$D$2:$D$240,
reglas!$E$2:$E$240,
LAMBDA(rEmisor,rPatron,rConcepto,rTipo,
IF(
AND(
OR(
UPPER(TRIM(rEmisor))=UPPER(TRIM(C1004)),
UPPER(TRIM(rEmisor))=""CUALQUIERA""
),
OR(
UPPER(TRIM(r"&amp;"Tipo))=""SOLO EMISOR"",
AND(
UPPER(TRIM(rTipo))=""EXACTA"",
UPPER(TRIM(D1004))=UPPER(TRIM(rPatron))
),
AND(
OR(
UPPER(TRIM(rTipo))=""CONTIENE"",
UPPER(TRIM(rTipo))=""COINCIDENCIA""
),
ISNUMBER(SEARCH(UPPER(TRIM(rPatron)),UPPER(TRIM(D1004))))
)
)
),
rConce"&amp;"pto,
""""
)
)
)&lt;&gt;""""
),
1
),
""""
)"),"REVALIDACION")</f>
        <v>REVALIDACION</v>
      </c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</row>
    <row r="1005">
      <c r="A1005" s="32"/>
      <c r="B1005" s="28" t="s">
        <v>29</v>
      </c>
      <c r="C1005" s="29" t="s">
        <v>172</v>
      </c>
      <c r="D1005" s="29" t="s">
        <v>1790</v>
      </c>
      <c r="E1005" s="30">
        <v>11500.0</v>
      </c>
      <c r="F1005" s="28">
        <v>0.0</v>
      </c>
      <c r="G1005" s="28" t="s">
        <v>250</v>
      </c>
      <c r="H1005" s="28">
        <f t="array" ref="H1005">INDEX(CC!C:C,MATCH(1,(CC!A:A=G1005)*(CC!B:B=I1005),0))</f>
        <v>1402</v>
      </c>
      <c r="I1005" s="28" t="s">
        <v>25</v>
      </c>
      <c r="J1005" s="31">
        <v>11500.0</v>
      </c>
      <c r="K1005" s="28" t="str">
        <f>IFERROR(__xludf.DUMMYFUNCTION("IFERROR(
INDEX(
FILTER(
MAP(
reglas!$B$2:$B$240,
reglas!$C$2:$C$240,
reglas!$D$2:$D$240,
reglas!$E$2:$E$240,
LAMBDA(rEmisor,rPatron,rConcepto,rTipo,
IF(
AND(
OR(
UPPER(TRIM(rEmisor))=UPPER(TRIM(C1005)),
UPPER(TRIM(rEmisor))=""CUALQUIERA""
),
OR(
UPPER(TRI"&amp;"M(rTipo))=""SOLO EMISOR"",
AND(
UPPER(TRIM(rTipo))=""EXACTA"",
UPPER(TRIM(AG1005))=UPPER(TRIM(rPatron))
),
AND(
OR(
UPPER(TRIM(rTipo))=""CONTIENE"",
UPPER(TRIM(rTipo))=""COINCIDENCIA""
),
ISNUMBER(SEARCH(UPPER(TRIM(rPatron)),UPPER(TRIM(D1005))))
)
)
),
rC"&amp;"oncepto,
""""
)
)
),
MAP(
reglas!$B$2:$B$240,
reglas!$C$2:$C$240,
reglas!$D$2:$D$240,
reglas!$E$2:$E$240,
LAMBDA(rEmisor,rPatron,rConcepto,rTipo,
IF(
AND(
OR(
UPPER(TRIM(rEmisor))=UPPER(TRIM(C1005)),
UPPER(TRIM(rEmisor))=""CUALQUIERA""
),
OR(
UPPER(TRIM(r"&amp;"Tipo))=""SOLO EMISOR"",
AND(
UPPER(TRIM(rTipo))=""EXACTA"",
UPPER(TRIM(D1005))=UPPER(TRIM(rPatron))
),
AND(
OR(
UPPER(TRIM(rTipo))=""CONTIENE"",
UPPER(TRIM(rTipo))=""COINCIDENCIA""
),
ISNUMBER(SEARCH(UPPER(TRIM(rPatron)),UPPER(TRIM(D1005))))
)
)
),
rConce"&amp;"pto,
""""
)
)
)&lt;&gt;""""
),
1
),
""""
)"),"TRANSPORTE")</f>
        <v>TRANSPORTE</v>
      </c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</row>
    <row r="1006">
      <c r="A1006" s="32"/>
      <c r="B1006" s="28" t="s">
        <v>29</v>
      </c>
      <c r="C1006" s="29" t="s">
        <v>163</v>
      </c>
      <c r="D1006" s="29" t="s">
        <v>1813</v>
      </c>
      <c r="E1006" s="28">
        <v>262.93</v>
      </c>
      <c r="F1006" s="28">
        <v>0.0</v>
      </c>
      <c r="G1006" s="28" t="s">
        <v>385</v>
      </c>
      <c r="H1006" s="28">
        <f t="array" ref="H1006">INDEX(CC!C:C,MATCH(1,(CC!A:A=G1006)*(CC!B:B=I1006),0))</f>
        <v>502</v>
      </c>
      <c r="I1006" s="28" t="s">
        <v>25</v>
      </c>
      <c r="J1006" s="31">
        <v>262.93</v>
      </c>
      <c r="K1006" s="28" t="str">
        <f>IFERROR(__xludf.DUMMYFUNCTION("IFERROR(
INDEX(
FILTER(
MAP(
reglas!$B$2:$B$240,
reglas!$C$2:$C$240,
reglas!$D$2:$D$240,
reglas!$E$2:$E$240,
LAMBDA(rEmisor,rPatron,rConcepto,rTipo,
IF(
AND(
OR(
UPPER(TRIM(rEmisor))=UPPER(TRIM(C1006)),
UPPER(TRIM(rEmisor))=""CUALQUIERA""
),
OR(
UPPER(TRI"&amp;"M(rTipo))=""SOLO EMISOR"",
AND(
UPPER(TRIM(rTipo))=""EXACTA"",
UPPER(TRIM(AG1006))=UPPER(TRIM(rPatron))
),
AND(
OR(
UPPER(TRIM(rTipo))=""CONTIENE"",
UPPER(TRIM(rTipo))=""COINCIDENCIA""
),
ISNUMBER(SEARCH(UPPER(TRIM(rPatron)),UPPER(TRIM(D1006))))
)
)
),
rC"&amp;"oncepto,
""""
)
)
),
MAP(
reglas!$B$2:$B$240,
reglas!$C$2:$C$240,
reglas!$D$2:$D$240,
reglas!$E$2:$E$240,
LAMBDA(rEmisor,rPatron,rConcepto,rTipo,
IF(
AND(
OR(
UPPER(TRIM(rEmisor))=UPPER(TRIM(C1006)),
UPPER(TRIM(rEmisor))=""CUALQUIERA""
),
OR(
UPPER(TRIM(r"&amp;"Tipo))=""SOLO EMISOR"",
AND(
UPPER(TRIM(rTipo))=""EXACTA"",
UPPER(TRIM(D1006))=UPPER(TRIM(rPatron))
),
AND(
OR(
UPPER(TRIM(rTipo))=""CONTIENE"",
UPPER(TRIM(rTipo))=""COINCIDENCIA""
),
ISNUMBER(SEARCH(UPPER(TRIM(rPatron)),UPPER(TRIM(D1006))))
)
)
),
rConce"&amp;"pto,
""""
)
)
)&lt;&gt;""""
),
1
),
""""
)"),"PATIO REGULADOR")</f>
        <v>PATIO REGULADOR</v>
      </c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</row>
    <row r="1007">
      <c r="A1007" s="32"/>
      <c r="B1007" s="28" t="s">
        <v>29</v>
      </c>
      <c r="C1007" s="29" t="s">
        <v>278</v>
      </c>
      <c r="D1007" s="29" t="s">
        <v>560</v>
      </c>
      <c r="E1007" s="30">
        <v>3500.0</v>
      </c>
      <c r="F1007" s="28">
        <v>0.0</v>
      </c>
      <c r="G1007" s="28" t="s">
        <v>250</v>
      </c>
      <c r="H1007" s="28">
        <f t="array" ref="H1007">INDEX(CC!C:C,MATCH(1,(CC!A:A=G1007)*(CC!B:B=I1007),0))</f>
        <v>1402</v>
      </c>
      <c r="I1007" s="28" t="s">
        <v>25</v>
      </c>
      <c r="J1007" s="31">
        <v>3500.0</v>
      </c>
      <c r="K1007" s="28" t="str">
        <f>IFERROR(__xludf.DUMMYFUNCTION("IFERROR(
INDEX(
FILTER(
MAP(
reglas!$B$2:$B$240,
reglas!$C$2:$C$240,
reglas!$D$2:$D$240,
reglas!$E$2:$E$240,
LAMBDA(rEmisor,rPatron,rConcepto,rTipo,
IF(
AND(
OR(
UPPER(TRIM(rEmisor))=UPPER(TRIM(C1007)),
UPPER(TRIM(rEmisor))=""CUALQUIERA""
),
OR(
UPPER(TRI"&amp;"M(rTipo))=""SOLO EMISOR"",
AND(
UPPER(TRIM(rTipo))=""EXACTA"",
UPPER(TRIM(AG1007))=UPPER(TRIM(rPatron))
),
AND(
OR(
UPPER(TRIM(rTipo))=""CONTIENE"",
UPPER(TRIM(rTipo))=""COINCIDENCIA""
),
ISNUMBER(SEARCH(UPPER(TRIM(rPatron)),UPPER(TRIM(D1007))))
)
)
),
rC"&amp;"oncepto,
""""
)
)
),
MAP(
reglas!$B$2:$B$240,
reglas!$C$2:$C$240,
reglas!$D$2:$D$240,
reglas!$E$2:$E$240,
LAMBDA(rEmisor,rPatron,rConcepto,rTipo,
IF(
AND(
OR(
UPPER(TRIM(rEmisor))=UPPER(TRIM(C1007)),
UPPER(TRIM(rEmisor))=""CUALQUIERA""
),
OR(
UPPER(TRIM(r"&amp;"Tipo))=""SOLO EMISOR"",
AND(
UPPER(TRIM(rTipo))=""EXACTA"",
UPPER(TRIM(D1007))=UPPER(TRIM(rPatron))
),
AND(
OR(
UPPER(TRIM(rTipo))=""CONTIENE"",
UPPER(TRIM(rTipo))=""COINCIDENCIA""
),
ISNUMBER(SEARCH(UPPER(TRIM(rPatron)),UPPER(TRIM(D1007))))
)
)
),
rConce"&amp;"pto,
""""
)
)
)&lt;&gt;""""
),
1
),
""""
)"),"MANIOBRAS")</f>
        <v>MANIOBRAS</v>
      </c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</row>
    <row r="1008">
      <c r="A1008" s="32"/>
      <c r="B1008" s="28" t="s">
        <v>29</v>
      </c>
      <c r="C1008" s="29" t="s">
        <v>236</v>
      </c>
      <c r="D1008" s="29" t="s">
        <v>1779</v>
      </c>
      <c r="E1008" s="28">
        <v>57.6</v>
      </c>
      <c r="F1008" s="28">
        <v>0.0</v>
      </c>
      <c r="G1008" s="28" t="s">
        <v>55</v>
      </c>
      <c r="H1008" s="28">
        <f t="array" ref="H1008">INDEX(CC!C:C,MATCH(1,(CC!A:A=G1008)*(CC!B:B=I1008),0))</f>
        <v>902</v>
      </c>
      <c r="I1008" s="28" t="s">
        <v>25</v>
      </c>
      <c r="J1008" s="31">
        <v>57.6</v>
      </c>
      <c r="K1008" s="28" t="str">
        <f>IFERROR(__xludf.DUMMYFUNCTION("IFERROR(
INDEX(
FILTER(
MAP(
reglas!$B$2:$B$240,
reglas!$C$2:$C$240,
reglas!$D$2:$D$240,
reglas!$E$2:$E$240,
LAMBDA(rEmisor,rPatron,rConcepto,rTipo,
IF(
AND(
OR(
UPPER(TRIM(rEmisor))=UPPER(TRIM(C1008)),
UPPER(TRIM(rEmisor))=""CUALQUIERA""
),
OR(
UPPER(TRI"&amp;"M(rTipo))=""SOLO EMISOR"",
AND(
UPPER(TRIM(rTipo))=""EXACTA"",
UPPER(TRIM(AG1008))=UPPER(TRIM(rPatron))
),
AND(
OR(
UPPER(TRIM(rTipo))=""CONTIENE"",
UPPER(TRIM(rTipo))=""COINCIDENCIA""
),
ISNUMBER(SEARCH(UPPER(TRIM(rPatron)),UPPER(TRIM(D1008))))
)
)
),
rC"&amp;"oncepto,
""""
)
)
),
MAP(
reglas!$B$2:$B$240,
reglas!$C$2:$C$240,
reglas!$D$2:$D$240,
reglas!$E$2:$E$240,
LAMBDA(rEmisor,rPatron,rConcepto,rTipo,
IF(
AND(
OR(
UPPER(TRIM(rEmisor))=UPPER(TRIM(C1008)),
UPPER(TRIM(rEmisor))=""CUALQUIERA""
),
OR(
UPPER(TRIM(r"&amp;"Tipo))=""SOLO EMISOR"",
AND(
UPPER(TRIM(rTipo))=""EXACTA"",
UPPER(TRIM(D1008))=UPPER(TRIM(rPatron))
),
AND(
OR(
UPPER(TRIM(rTipo))=""CONTIENE"",
UPPER(TRIM(rTipo))=""COINCIDENCIA""
),
ISNUMBER(SEARCH(UPPER(TRIM(rPatron)),UPPER(TRIM(D1008))))
)
)
),
rConce"&amp;"pto,
""""
)
)
)&lt;&gt;""""
),
1
),
""""
)"),"PAPELERIA")</f>
        <v>PAPELERIA</v>
      </c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</row>
    <row r="1009">
      <c r="A1009" s="32"/>
      <c r="B1009" s="32"/>
      <c r="C1009" s="29" t="s">
        <v>236</v>
      </c>
      <c r="D1009" s="29" t="s">
        <v>1814</v>
      </c>
      <c r="E1009" s="28">
        <v>184.0</v>
      </c>
      <c r="F1009" s="28">
        <v>0.0</v>
      </c>
      <c r="G1009" s="28" t="s">
        <v>55</v>
      </c>
      <c r="H1009" s="28">
        <f t="array" ref="H1009">INDEX(CC!C:C,MATCH(1,(CC!A:A=G1009)*(CC!B:B=I1009),0))</f>
        <v>902</v>
      </c>
      <c r="I1009" s="28" t="s">
        <v>25</v>
      </c>
      <c r="J1009" s="31">
        <v>184.0</v>
      </c>
      <c r="K1009" s="28" t="str">
        <f>IFERROR(__xludf.DUMMYFUNCTION("IFERROR(
INDEX(
FILTER(
MAP(
reglas!$B$2:$B$240,
reglas!$C$2:$C$240,
reglas!$D$2:$D$240,
reglas!$E$2:$E$240,
LAMBDA(rEmisor,rPatron,rConcepto,rTipo,
IF(
AND(
OR(
UPPER(TRIM(rEmisor))=UPPER(TRIM(C1009)),
UPPER(TRIM(rEmisor))=""CUALQUIERA""
),
OR(
UPPER(TRI"&amp;"M(rTipo))=""SOLO EMISOR"",
AND(
UPPER(TRIM(rTipo))=""EXACTA"",
UPPER(TRIM(AG1009))=UPPER(TRIM(rPatron))
),
AND(
OR(
UPPER(TRIM(rTipo))=""CONTIENE"",
UPPER(TRIM(rTipo))=""COINCIDENCIA""
),
ISNUMBER(SEARCH(UPPER(TRIM(rPatron)),UPPER(TRIM(D1009))))
)
)
),
rC"&amp;"oncepto,
""""
)
)
),
MAP(
reglas!$B$2:$B$240,
reglas!$C$2:$C$240,
reglas!$D$2:$D$240,
reglas!$E$2:$E$240,
LAMBDA(rEmisor,rPatron,rConcepto,rTipo,
IF(
AND(
OR(
UPPER(TRIM(rEmisor))=UPPER(TRIM(C1009)),
UPPER(TRIM(rEmisor))=""CUALQUIERA""
),
OR(
UPPER(TRIM(r"&amp;"Tipo))=""SOLO EMISOR"",
AND(
UPPER(TRIM(rTipo))=""EXACTA"",
UPPER(TRIM(D1009))=UPPER(TRIM(rPatron))
),
AND(
OR(
UPPER(TRIM(rTipo))=""CONTIENE"",
UPPER(TRIM(rTipo))=""COINCIDENCIA""
),
ISNUMBER(SEARCH(UPPER(TRIM(rPatron)),UPPER(TRIM(D1009))))
)
)
),
rConce"&amp;"pto,
""""
)
)
)&lt;&gt;""""
),
1
),
""""
)"),"PAPELERIA")</f>
        <v>PAPELERIA</v>
      </c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</row>
    <row r="1010">
      <c r="A1010" s="32"/>
      <c r="B1010" s="32"/>
      <c r="C1010" s="29" t="s">
        <v>236</v>
      </c>
      <c r="D1010" s="29" t="s">
        <v>1815</v>
      </c>
      <c r="E1010" s="28">
        <v>175.0</v>
      </c>
      <c r="F1010" s="28">
        <v>0.0</v>
      </c>
      <c r="G1010" s="28" t="s">
        <v>55</v>
      </c>
      <c r="H1010" s="28">
        <f t="array" ref="H1010">INDEX(CC!C:C,MATCH(1,(CC!A:A=G1010)*(CC!B:B=I1010),0))</f>
        <v>902</v>
      </c>
      <c r="I1010" s="28" t="s">
        <v>25</v>
      </c>
      <c r="J1010" s="31">
        <v>175.0</v>
      </c>
      <c r="K1010" s="28" t="str">
        <f>IFERROR(__xludf.DUMMYFUNCTION("IFERROR(
INDEX(
FILTER(
MAP(
reglas!$B$2:$B$240,
reglas!$C$2:$C$240,
reglas!$D$2:$D$240,
reglas!$E$2:$E$240,
LAMBDA(rEmisor,rPatron,rConcepto,rTipo,
IF(
AND(
OR(
UPPER(TRIM(rEmisor))=UPPER(TRIM(C1010)),
UPPER(TRIM(rEmisor))=""CUALQUIERA""
),
OR(
UPPER(TRI"&amp;"M(rTipo))=""SOLO EMISOR"",
AND(
UPPER(TRIM(rTipo))=""EXACTA"",
UPPER(TRIM(AG1010))=UPPER(TRIM(rPatron))
),
AND(
OR(
UPPER(TRIM(rTipo))=""CONTIENE"",
UPPER(TRIM(rTipo))=""COINCIDENCIA""
),
ISNUMBER(SEARCH(UPPER(TRIM(rPatron)),UPPER(TRIM(D1010))))
)
)
),
rC"&amp;"oncepto,
""""
)
)
),
MAP(
reglas!$B$2:$B$240,
reglas!$C$2:$C$240,
reglas!$D$2:$D$240,
reglas!$E$2:$E$240,
LAMBDA(rEmisor,rPatron,rConcepto,rTipo,
IF(
AND(
OR(
UPPER(TRIM(rEmisor))=UPPER(TRIM(C1010)),
UPPER(TRIM(rEmisor))=""CUALQUIERA""
),
OR(
UPPER(TRIM(r"&amp;"Tipo))=""SOLO EMISOR"",
AND(
UPPER(TRIM(rTipo))=""EXACTA"",
UPPER(TRIM(D1010))=UPPER(TRIM(rPatron))
),
AND(
OR(
UPPER(TRIM(rTipo))=""CONTIENE"",
UPPER(TRIM(rTipo))=""COINCIDENCIA""
),
ISNUMBER(SEARCH(UPPER(TRIM(rPatron)),UPPER(TRIM(D1010))))
)
)
),
rConce"&amp;"pto,
""""
)
)
)&lt;&gt;""""
),
1
),
""""
)"),"PAPELERIA")</f>
        <v>PAPELERIA</v>
      </c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</row>
    <row r="1011">
      <c r="A1011" s="32"/>
      <c r="B1011" s="32"/>
      <c r="C1011" s="29" t="s">
        <v>236</v>
      </c>
      <c r="D1011" s="29" t="s">
        <v>1816</v>
      </c>
      <c r="E1011" s="28">
        <v>45.0</v>
      </c>
      <c r="F1011" s="28">
        <v>0.0</v>
      </c>
      <c r="G1011" s="28" t="s">
        <v>55</v>
      </c>
      <c r="H1011" s="28">
        <f t="array" ref="H1011">INDEX(CC!C:C,MATCH(1,(CC!A:A=G1011)*(CC!B:B=I1011),0))</f>
        <v>902</v>
      </c>
      <c r="I1011" s="28" t="s">
        <v>25</v>
      </c>
      <c r="J1011" s="31">
        <v>45.0</v>
      </c>
      <c r="K1011" s="28" t="str">
        <f>IFERROR(__xludf.DUMMYFUNCTION("IFERROR(
INDEX(
FILTER(
MAP(
reglas!$B$2:$B$240,
reglas!$C$2:$C$240,
reglas!$D$2:$D$240,
reglas!$E$2:$E$240,
LAMBDA(rEmisor,rPatron,rConcepto,rTipo,
IF(
AND(
OR(
UPPER(TRIM(rEmisor))=UPPER(TRIM(C1011)),
UPPER(TRIM(rEmisor))=""CUALQUIERA""
),
OR(
UPPER(TRI"&amp;"M(rTipo))=""SOLO EMISOR"",
AND(
UPPER(TRIM(rTipo))=""EXACTA"",
UPPER(TRIM(AG1011))=UPPER(TRIM(rPatron))
),
AND(
OR(
UPPER(TRIM(rTipo))=""CONTIENE"",
UPPER(TRIM(rTipo))=""COINCIDENCIA""
),
ISNUMBER(SEARCH(UPPER(TRIM(rPatron)),UPPER(TRIM(D1011))))
)
)
),
rC"&amp;"oncepto,
""""
)
)
),
MAP(
reglas!$B$2:$B$240,
reglas!$C$2:$C$240,
reglas!$D$2:$D$240,
reglas!$E$2:$E$240,
LAMBDA(rEmisor,rPatron,rConcepto,rTipo,
IF(
AND(
OR(
UPPER(TRIM(rEmisor))=UPPER(TRIM(C1011)),
UPPER(TRIM(rEmisor))=""CUALQUIERA""
),
OR(
UPPER(TRIM(r"&amp;"Tipo))=""SOLO EMISOR"",
AND(
UPPER(TRIM(rTipo))=""EXACTA"",
UPPER(TRIM(D1011))=UPPER(TRIM(rPatron))
),
AND(
OR(
UPPER(TRIM(rTipo))=""CONTIENE"",
UPPER(TRIM(rTipo))=""COINCIDENCIA""
),
ISNUMBER(SEARCH(UPPER(TRIM(rPatron)),UPPER(TRIM(D1011))))
)
)
),
rConce"&amp;"pto,
""""
)
)
)&lt;&gt;""""
),
1
),
""""
)"),"PAPELERIA")</f>
        <v>PAPELERIA</v>
      </c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</row>
    <row r="1012">
      <c r="A1012" s="32"/>
      <c r="B1012" s="32"/>
      <c r="C1012" s="29" t="s">
        <v>236</v>
      </c>
      <c r="D1012" s="29" t="s">
        <v>1817</v>
      </c>
      <c r="E1012" s="28">
        <v>11.4</v>
      </c>
      <c r="F1012" s="28">
        <v>0.0</v>
      </c>
      <c r="G1012" s="28" t="s">
        <v>55</v>
      </c>
      <c r="H1012" s="28">
        <f t="array" ref="H1012">INDEX(CC!C:C,MATCH(1,(CC!A:A=G1012)*(CC!B:B=I1012),0))</f>
        <v>902</v>
      </c>
      <c r="I1012" s="28" t="s">
        <v>25</v>
      </c>
      <c r="J1012" s="31">
        <v>11.4</v>
      </c>
      <c r="K1012" s="28" t="str">
        <f>IFERROR(__xludf.DUMMYFUNCTION("IFERROR(
INDEX(
FILTER(
MAP(
reglas!$B$2:$B$240,
reglas!$C$2:$C$240,
reglas!$D$2:$D$240,
reglas!$E$2:$E$240,
LAMBDA(rEmisor,rPatron,rConcepto,rTipo,
IF(
AND(
OR(
UPPER(TRIM(rEmisor))=UPPER(TRIM(C1012)),
UPPER(TRIM(rEmisor))=""CUALQUIERA""
),
OR(
UPPER(TRI"&amp;"M(rTipo))=""SOLO EMISOR"",
AND(
UPPER(TRIM(rTipo))=""EXACTA"",
UPPER(TRIM(AG1012))=UPPER(TRIM(rPatron))
),
AND(
OR(
UPPER(TRIM(rTipo))=""CONTIENE"",
UPPER(TRIM(rTipo))=""COINCIDENCIA""
),
ISNUMBER(SEARCH(UPPER(TRIM(rPatron)),UPPER(TRIM(D1012))))
)
)
),
rC"&amp;"oncepto,
""""
)
)
),
MAP(
reglas!$B$2:$B$240,
reglas!$C$2:$C$240,
reglas!$D$2:$D$240,
reglas!$E$2:$E$240,
LAMBDA(rEmisor,rPatron,rConcepto,rTipo,
IF(
AND(
OR(
UPPER(TRIM(rEmisor))=UPPER(TRIM(C1012)),
UPPER(TRIM(rEmisor))=""CUALQUIERA""
),
OR(
UPPER(TRIM(r"&amp;"Tipo))=""SOLO EMISOR"",
AND(
UPPER(TRIM(rTipo))=""EXACTA"",
UPPER(TRIM(D1012))=UPPER(TRIM(rPatron))
),
AND(
OR(
UPPER(TRIM(rTipo))=""CONTIENE"",
UPPER(TRIM(rTipo))=""COINCIDENCIA""
),
ISNUMBER(SEARCH(UPPER(TRIM(rPatron)),UPPER(TRIM(D1012))))
)
)
),
rConce"&amp;"pto,
""""
)
)
)&lt;&gt;""""
),
1
),
""""
)"),"PAPELERIA")</f>
        <v>PAPELERIA</v>
      </c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</row>
    <row r="1013">
      <c r="A1013" s="32"/>
      <c r="B1013" s="32"/>
      <c r="C1013" s="29" t="s">
        <v>236</v>
      </c>
      <c r="D1013" s="29" t="s">
        <v>1818</v>
      </c>
      <c r="E1013" s="28">
        <v>11.7</v>
      </c>
      <c r="F1013" s="28">
        <v>0.0</v>
      </c>
      <c r="G1013" s="28" t="s">
        <v>55</v>
      </c>
      <c r="H1013" s="28">
        <f t="array" ref="H1013">INDEX(CC!C:C,MATCH(1,(CC!A:A=G1013)*(CC!B:B=I1013),0))</f>
        <v>902</v>
      </c>
      <c r="I1013" s="28" t="s">
        <v>25</v>
      </c>
      <c r="J1013" s="31">
        <v>11.7</v>
      </c>
      <c r="K1013" s="28" t="str">
        <f>IFERROR(__xludf.DUMMYFUNCTION("IFERROR(
INDEX(
FILTER(
MAP(
reglas!$B$2:$B$240,
reglas!$C$2:$C$240,
reglas!$D$2:$D$240,
reglas!$E$2:$E$240,
LAMBDA(rEmisor,rPatron,rConcepto,rTipo,
IF(
AND(
OR(
UPPER(TRIM(rEmisor))=UPPER(TRIM(C1013)),
UPPER(TRIM(rEmisor))=""CUALQUIERA""
),
OR(
UPPER(TRI"&amp;"M(rTipo))=""SOLO EMISOR"",
AND(
UPPER(TRIM(rTipo))=""EXACTA"",
UPPER(TRIM(AG1013))=UPPER(TRIM(rPatron))
),
AND(
OR(
UPPER(TRIM(rTipo))=""CONTIENE"",
UPPER(TRIM(rTipo))=""COINCIDENCIA""
),
ISNUMBER(SEARCH(UPPER(TRIM(rPatron)),UPPER(TRIM(D1013))))
)
)
),
rC"&amp;"oncepto,
""""
)
)
),
MAP(
reglas!$B$2:$B$240,
reglas!$C$2:$C$240,
reglas!$D$2:$D$240,
reglas!$E$2:$E$240,
LAMBDA(rEmisor,rPatron,rConcepto,rTipo,
IF(
AND(
OR(
UPPER(TRIM(rEmisor))=UPPER(TRIM(C1013)),
UPPER(TRIM(rEmisor))=""CUALQUIERA""
),
OR(
UPPER(TRIM(r"&amp;"Tipo))=""SOLO EMISOR"",
AND(
UPPER(TRIM(rTipo))=""EXACTA"",
UPPER(TRIM(D1013))=UPPER(TRIM(rPatron))
),
AND(
OR(
UPPER(TRIM(rTipo))=""CONTIENE"",
UPPER(TRIM(rTipo))=""COINCIDENCIA""
),
ISNUMBER(SEARCH(UPPER(TRIM(rPatron)),UPPER(TRIM(D1013))))
)
)
),
rConce"&amp;"pto,
""""
)
)
)&lt;&gt;""""
),
1
),
""""
)"),"PAPELERIA")</f>
        <v>PAPELERIA</v>
      </c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</row>
    <row r="1014">
      <c r="A1014" s="32"/>
      <c r="B1014" s="32"/>
      <c r="C1014" s="29" t="s">
        <v>236</v>
      </c>
      <c r="D1014" s="29" t="s">
        <v>1819</v>
      </c>
      <c r="E1014" s="28">
        <v>7.8</v>
      </c>
      <c r="F1014" s="28">
        <v>0.0</v>
      </c>
      <c r="G1014" s="28" t="s">
        <v>55</v>
      </c>
      <c r="H1014" s="28">
        <f t="array" ref="H1014">INDEX(CC!C:C,MATCH(1,(CC!A:A=G1014)*(CC!B:B=I1014),0))</f>
        <v>902</v>
      </c>
      <c r="I1014" s="28" t="s">
        <v>25</v>
      </c>
      <c r="J1014" s="31">
        <v>7.8</v>
      </c>
      <c r="K1014" s="28" t="str">
        <f>IFERROR(__xludf.DUMMYFUNCTION("IFERROR(
INDEX(
FILTER(
MAP(
reglas!$B$2:$B$240,
reglas!$C$2:$C$240,
reglas!$D$2:$D$240,
reglas!$E$2:$E$240,
LAMBDA(rEmisor,rPatron,rConcepto,rTipo,
IF(
AND(
OR(
UPPER(TRIM(rEmisor))=UPPER(TRIM(C1014)),
UPPER(TRIM(rEmisor))=""CUALQUIERA""
),
OR(
UPPER(TRI"&amp;"M(rTipo))=""SOLO EMISOR"",
AND(
UPPER(TRIM(rTipo))=""EXACTA"",
UPPER(TRIM(AG1014))=UPPER(TRIM(rPatron))
),
AND(
OR(
UPPER(TRIM(rTipo))=""CONTIENE"",
UPPER(TRIM(rTipo))=""COINCIDENCIA""
),
ISNUMBER(SEARCH(UPPER(TRIM(rPatron)),UPPER(TRIM(D1014))))
)
)
),
rC"&amp;"oncepto,
""""
)
)
),
MAP(
reglas!$B$2:$B$240,
reglas!$C$2:$C$240,
reglas!$D$2:$D$240,
reglas!$E$2:$E$240,
LAMBDA(rEmisor,rPatron,rConcepto,rTipo,
IF(
AND(
OR(
UPPER(TRIM(rEmisor))=UPPER(TRIM(C1014)),
UPPER(TRIM(rEmisor))=""CUALQUIERA""
),
OR(
UPPER(TRIM(r"&amp;"Tipo))=""SOLO EMISOR"",
AND(
UPPER(TRIM(rTipo))=""EXACTA"",
UPPER(TRIM(D1014))=UPPER(TRIM(rPatron))
),
AND(
OR(
UPPER(TRIM(rTipo))=""CONTIENE"",
UPPER(TRIM(rTipo))=""COINCIDENCIA""
),
ISNUMBER(SEARCH(UPPER(TRIM(rPatron)),UPPER(TRIM(D1014))))
)
)
),
rConce"&amp;"pto,
""""
)
)
)&lt;&gt;""""
),
1
),
""""
)"),"PAPELERIA")</f>
        <v>PAPELERIA</v>
      </c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</row>
    <row r="1015">
      <c r="A1015" s="32"/>
      <c r="B1015" s="32"/>
      <c r="C1015" s="29" t="s">
        <v>236</v>
      </c>
      <c r="D1015" s="29" t="s">
        <v>1820</v>
      </c>
      <c r="E1015" s="28">
        <v>8.4</v>
      </c>
      <c r="F1015" s="28">
        <v>0.0</v>
      </c>
      <c r="G1015" s="28" t="s">
        <v>55</v>
      </c>
      <c r="H1015" s="28">
        <f t="array" ref="H1015">INDEX(CC!C:C,MATCH(1,(CC!A:A=G1015)*(CC!B:B=I1015),0))</f>
        <v>902</v>
      </c>
      <c r="I1015" s="28" t="s">
        <v>25</v>
      </c>
      <c r="J1015" s="31">
        <v>8.4</v>
      </c>
      <c r="K1015" s="28" t="str">
        <f>IFERROR(__xludf.DUMMYFUNCTION("IFERROR(
INDEX(
FILTER(
MAP(
reglas!$B$2:$B$240,
reglas!$C$2:$C$240,
reglas!$D$2:$D$240,
reglas!$E$2:$E$240,
LAMBDA(rEmisor,rPatron,rConcepto,rTipo,
IF(
AND(
OR(
UPPER(TRIM(rEmisor))=UPPER(TRIM(C1015)),
UPPER(TRIM(rEmisor))=""CUALQUIERA""
),
OR(
UPPER(TRI"&amp;"M(rTipo))=""SOLO EMISOR"",
AND(
UPPER(TRIM(rTipo))=""EXACTA"",
UPPER(TRIM(AG1015))=UPPER(TRIM(rPatron))
),
AND(
OR(
UPPER(TRIM(rTipo))=""CONTIENE"",
UPPER(TRIM(rTipo))=""COINCIDENCIA""
),
ISNUMBER(SEARCH(UPPER(TRIM(rPatron)),UPPER(TRIM(D1015))))
)
)
),
rC"&amp;"oncepto,
""""
)
)
),
MAP(
reglas!$B$2:$B$240,
reglas!$C$2:$C$240,
reglas!$D$2:$D$240,
reglas!$E$2:$E$240,
LAMBDA(rEmisor,rPatron,rConcepto,rTipo,
IF(
AND(
OR(
UPPER(TRIM(rEmisor))=UPPER(TRIM(C1015)),
UPPER(TRIM(rEmisor))=""CUALQUIERA""
),
OR(
UPPER(TRIM(r"&amp;"Tipo))=""SOLO EMISOR"",
AND(
UPPER(TRIM(rTipo))=""EXACTA"",
UPPER(TRIM(D1015))=UPPER(TRIM(rPatron))
),
AND(
OR(
UPPER(TRIM(rTipo))=""CONTIENE"",
UPPER(TRIM(rTipo))=""COINCIDENCIA""
),
ISNUMBER(SEARCH(UPPER(TRIM(rPatron)),UPPER(TRIM(D1015))))
)
)
),
rConce"&amp;"pto,
""""
)
)
)&lt;&gt;""""
),
1
),
""""
)"),"PAPELERIA")</f>
        <v>PAPELERIA</v>
      </c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</row>
    <row r="1016">
      <c r="A1016" s="32"/>
      <c r="B1016" s="28" t="s">
        <v>29</v>
      </c>
      <c r="C1016" s="29" t="s">
        <v>278</v>
      </c>
      <c r="D1016" s="29" t="s">
        <v>560</v>
      </c>
      <c r="E1016" s="30">
        <v>3500.0</v>
      </c>
      <c r="F1016" s="28">
        <v>0.0</v>
      </c>
      <c r="G1016" s="28" t="s">
        <v>250</v>
      </c>
      <c r="H1016" s="28">
        <f t="array" ref="H1016">INDEX(CC!C:C,MATCH(1,(CC!A:A=G1016)*(CC!B:B=I1016),0))</f>
        <v>1402</v>
      </c>
      <c r="I1016" s="28" t="s">
        <v>25</v>
      </c>
      <c r="J1016" s="31">
        <v>3500.0</v>
      </c>
      <c r="K1016" s="28" t="str">
        <f>IFERROR(__xludf.DUMMYFUNCTION("IFERROR(
INDEX(
FILTER(
MAP(
reglas!$B$2:$B$240,
reglas!$C$2:$C$240,
reglas!$D$2:$D$240,
reglas!$E$2:$E$240,
LAMBDA(rEmisor,rPatron,rConcepto,rTipo,
IF(
AND(
OR(
UPPER(TRIM(rEmisor))=UPPER(TRIM(C1016)),
UPPER(TRIM(rEmisor))=""CUALQUIERA""
),
OR(
UPPER(TRI"&amp;"M(rTipo))=""SOLO EMISOR"",
AND(
UPPER(TRIM(rTipo))=""EXACTA"",
UPPER(TRIM(AG1016))=UPPER(TRIM(rPatron))
),
AND(
OR(
UPPER(TRIM(rTipo))=""CONTIENE"",
UPPER(TRIM(rTipo))=""COINCIDENCIA""
),
ISNUMBER(SEARCH(UPPER(TRIM(rPatron)),UPPER(TRIM(D1016))))
)
)
),
rC"&amp;"oncepto,
""""
)
)
),
MAP(
reglas!$B$2:$B$240,
reglas!$C$2:$C$240,
reglas!$D$2:$D$240,
reglas!$E$2:$E$240,
LAMBDA(rEmisor,rPatron,rConcepto,rTipo,
IF(
AND(
OR(
UPPER(TRIM(rEmisor))=UPPER(TRIM(C1016)),
UPPER(TRIM(rEmisor))=""CUALQUIERA""
),
OR(
UPPER(TRIM(r"&amp;"Tipo))=""SOLO EMISOR"",
AND(
UPPER(TRIM(rTipo))=""EXACTA"",
UPPER(TRIM(D1016))=UPPER(TRIM(rPatron))
),
AND(
OR(
UPPER(TRIM(rTipo))=""CONTIENE"",
UPPER(TRIM(rTipo))=""COINCIDENCIA""
),
ISNUMBER(SEARCH(UPPER(TRIM(rPatron)),UPPER(TRIM(D1016))))
)
)
),
rConce"&amp;"pto,
""""
)
)
)&lt;&gt;""""
),
1
),
""""
)"),"MANIOBRAS")</f>
        <v>MANIOBRAS</v>
      </c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</row>
    <row r="1017">
      <c r="A1017" s="28">
        <v>1.0</v>
      </c>
      <c r="B1017" s="28" t="s">
        <v>29</v>
      </c>
      <c r="C1017" s="29" t="s">
        <v>271</v>
      </c>
      <c r="D1017" s="29" t="s">
        <v>589</v>
      </c>
      <c r="E1017" s="28">
        <v>623.8</v>
      </c>
      <c r="F1017" s="28">
        <v>0.0</v>
      </c>
      <c r="G1017" s="28" t="s">
        <v>84</v>
      </c>
      <c r="H1017" s="28">
        <f t="array" ref="H1017">INDEX(CC!C:C,MATCH(1,(CC!A:A=G1017)*(CC!B:B=I1017),0))</f>
        <v>1002</v>
      </c>
      <c r="I1017" s="28" t="s">
        <v>25</v>
      </c>
      <c r="J1017" s="31">
        <v>623.8</v>
      </c>
      <c r="K1017" s="28" t="str">
        <f>IFERROR(__xludf.DUMMYFUNCTION("IFERROR(
INDEX(
FILTER(
MAP(
reglas!$B$2:$B$240,
reglas!$C$2:$C$240,
reglas!$D$2:$D$240,
reglas!$E$2:$E$240,
LAMBDA(rEmisor,rPatron,rConcepto,rTipo,
IF(
AND(
OR(
UPPER(TRIM(rEmisor))=UPPER(TRIM(C1017)),
UPPER(TRIM(rEmisor))=""CUALQUIERA""
),
OR(
UPPER(TRI"&amp;"M(rTipo))=""SOLO EMISOR"",
AND(
UPPER(TRIM(rTipo))=""EXACTA"",
UPPER(TRIM(AG1017))=UPPER(TRIM(rPatron))
),
AND(
OR(
UPPER(TRIM(rTipo))=""CONTIENE"",
UPPER(TRIM(rTipo))=""COINCIDENCIA""
),
ISNUMBER(SEARCH(UPPER(TRIM(rPatron)),UPPER(TRIM(D1017))))
)
)
),
rC"&amp;"oncepto,
""""
)
)
),
MAP(
reglas!$B$2:$B$240,
reglas!$C$2:$C$240,
reglas!$D$2:$D$240,
reglas!$E$2:$E$240,
LAMBDA(rEmisor,rPatron,rConcepto,rTipo,
IF(
AND(
OR(
UPPER(TRIM(rEmisor))=UPPER(TRIM(C1017)),
UPPER(TRIM(rEmisor))=""CUALQUIERA""
),
OR(
UPPER(TRIM(r"&amp;"Tipo))=""SOLO EMISOR"",
AND(
UPPER(TRIM(rTipo))=""EXACTA"",
UPPER(TRIM(D1017))=UPPER(TRIM(rPatron))
),
AND(
OR(
UPPER(TRIM(rTipo))=""CONTIENE"",
UPPER(TRIM(rTipo))=""COINCIDENCIA""
),
ISNUMBER(SEARCH(UPPER(TRIM(rPatron)),UPPER(TRIM(D1017))))
)
)
),
rConce"&amp;"pto,
""""
)
)
)&lt;&gt;""""
),
1
),
""""
)"),"MANIOBRAS")</f>
        <v>MANIOBRAS</v>
      </c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</row>
    <row r="1018">
      <c r="A1018" s="32"/>
      <c r="B1018" s="28" t="s">
        <v>29</v>
      </c>
      <c r="C1018" s="29" t="s">
        <v>172</v>
      </c>
      <c r="D1018" s="29" t="s">
        <v>1789</v>
      </c>
      <c r="E1018" s="30">
        <v>11500.0</v>
      </c>
      <c r="F1018" s="28">
        <v>0.0</v>
      </c>
      <c r="G1018" s="28" t="s">
        <v>250</v>
      </c>
      <c r="H1018" s="28">
        <f t="array" ref="H1018">INDEX(CC!C:C,MATCH(1,(CC!A:A=G1018)*(CC!B:B=I1018),0))</f>
        <v>1402</v>
      </c>
      <c r="I1018" s="28" t="s">
        <v>25</v>
      </c>
      <c r="J1018" s="31">
        <v>11500.0</v>
      </c>
      <c r="K1018" s="28" t="str">
        <f>IFERROR(__xludf.DUMMYFUNCTION("IFERROR(
INDEX(
FILTER(
MAP(
reglas!$B$2:$B$240,
reglas!$C$2:$C$240,
reglas!$D$2:$D$240,
reglas!$E$2:$E$240,
LAMBDA(rEmisor,rPatron,rConcepto,rTipo,
IF(
AND(
OR(
UPPER(TRIM(rEmisor))=UPPER(TRIM(C1018)),
UPPER(TRIM(rEmisor))=""CUALQUIERA""
),
OR(
UPPER(TRI"&amp;"M(rTipo))=""SOLO EMISOR"",
AND(
UPPER(TRIM(rTipo))=""EXACTA"",
UPPER(TRIM(AG1018))=UPPER(TRIM(rPatron))
),
AND(
OR(
UPPER(TRIM(rTipo))=""CONTIENE"",
UPPER(TRIM(rTipo))=""COINCIDENCIA""
),
ISNUMBER(SEARCH(UPPER(TRIM(rPatron)),UPPER(TRIM(D1018))))
)
)
),
rC"&amp;"oncepto,
""""
)
)
),
MAP(
reglas!$B$2:$B$240,
reglas!$C$2:$C$240,
reglas!$D$2:$D$240,
reglas!$E$2:$E$240,
LAMBDA(rEmisor,rPatron,rConcepto,rTipo,
IF(
AND(
OR(
UPPER(TRIM(rEmisor))=UPPER(TRIM(C1018)),
UPPER(TRIM(rEmisor))=""CUALQUIERA""
),
OR(
UPPER(TRIM(r"&amp;"Tipo))=""SOLO EMISOR"",
AND(
UPPER(TRIM(rTipo))=""EXACTA"",
UPPER(TRIM(D1018))=UPPER(TRIM(rPatron))
),
AND(
OR(
UPPER(TRIM(rTipo))=""CONTIENE"",
UPPER(TRIM(rTipo))=""COINCIDENCIA""
),
ISNUMBER(SEARCH(UPPER(TRIM(rPatron)),UPPER(TRIM(D1018))))
)
)
),
rConce"&amp;"pto,
""""
)
)
)&lt;&gt;""""
),
1
),
""""
)"),"TRANSPORTE")</f>
        <v>TRANSPORTE</v>
      </c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</row>
    <row r="1019">
      <c r="A1019" s="32"/>
      <c r="B1019" s="28" t="s">
        <v>29</v>
      </c>
      <c r="C1019" s="29" t="s">
        <v>185</v>
      </c>
      <c r="D1019" s="29" t="s">
        <v>1821</v>
      </c>
      <c r="E1019" s="28">
        <v>600.0</v>
      </c>
      <c r="F1019" s="28">
        <v>600.0</v>
      </c>
      <c r="G1019" s="99" t="s">
        <v>250</v>
      </c>
      <c r="H1019" s="28">
        <f t="array" ref="H1019">INDEX(CC!C:C,MATCH(1,(CC!A:A=G1019)*(CC!B:B=I1019),0))</f>
        <v>1402</v>
      </c>
      <c r="I1019" s="28" t="s">
        <v>25</v>
      </c>
      <c r="J1019" s="31">
        <v>0.0</v>
      </c>
      <c r="K1019" s="28" t="str">
        <f>IFERROR(__xludf.DUMMYFUNCTION("IFERROR(
INDEX(
FILTER(
MAP(
reglas!$B$2:$B$240,
reglas!$C$2:$C$240,
reglas!$D$2:$D$240,
reglas!$E$2:$E$240,
LAMBDA(rEmisor,rPatron,rConcepto,rTipo,
IF(
AND(
OR(
UPPER(TRIM(rEmisor))=UPPER(TRIM(C1019)),
UPPER(TRIM(rEmisor))=""CUALQUIERA""
),
OR(
UPPER(TRI"&amp;"M(rTipo))=""SOLO EMISOR"",
AND(
UPPER(TRIM(rTipo))=""EXACTA"",
UPPER(TRIM(AG1019))=UPPER(TRIM(rPatron))
),
AND(
OR(
UPPER(TRIM(rTipo))=""CONTIENE"",
UPPER(TRIM(rTipo))=""COINCIDENCIA""
),
ISNUMBER(SEARCH(UPPER(TRIM(rPatron)),UPPER(TRIM(D1019))))
)
)
),
rC"&amp;"oncepto,
""""
)
)
),
MAP(
reglas!$B$2:$B$240,
reglas!$C$2:$C$240,
reglas!$D$2:$D$240,
reglas!$E$2:$E$240,
LAMBDA(rEmisor,rPatron,rConcepto,rTipo,
IF(
AND(
OR(
UPPER(TRIM(rEmisor))=UPPER(TRIM(C1019)),
UPPER(TRIM(rEmisor))=""CUALQUIERA""
),
OR(
UPPER(TRIM(r"&amp;"Tipo))=""SOLO EMISOR"",
AND(
UPPER(TRIM(rTipo))=""EXACTA"",
UPPER(TRIM(D1019))=UPPER(TRIM(rPatron))
),
AND(
OR(
UPPER(TRIM(rTipo))=""CONTIENE"",
UPPER(TRIM(rTipo))=""COINCIDENCIA""
),
ISNUMBER(SEARCH(UPPER(TRIM(rPatron)),UPPER(TRIM(D1019))))
)
)
),
rConce"&amp;"pto,
""""
)
)
)&lt;&gt;""""
),
1
),
""""
)"),"TELEFONIA MOVIL")</f>
        <v>TELEFONIA MOVIL</v>
      </c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</row>
    <row r="1020">
      <c r="A1020" s="32"/>
      <c r="B1020" s="28" t="s">
        <v>29</v>
      </c>
      <c r="C1020" s="29" t="s">
        <v>172</v>
      </c>
      <c r="D1020" s="29" t="s">
        <v>1811</v>
      </c>
      <c r="E1020" s="30">
        <v>11500.0</v>
      </c>
      <c r="F1020" s="28">
        <v>0.0</v>
      </c>
      <c r="G1020" s="28" t="s">
        <v>250</v>
      </c>
      <c r="H1020" s="28">
        <f t="array" ref="H1020">INDEX(CC!C:C,MATCH(1,(CC!A:A=G1020)*(CC!B:B=I1020),0))</f>
        <v>1402</v>
      </c>
      <c r="I1020" s="28" t="s">
        <v>25</v>
      </c>
      <c r="J1020" s="31">
        <v>11500.0</v>
      </c>
      <c r="K1020" s="28" t="str">
        <f>IFERROR(__xludf.DUMMYFUNCTION("IFERROR(
INDEX(
FILTER(
MAP(
reglas!$B$2:$B$240,
reglas!$C$2:$C$240,
reglas!$D$2:$D$240,
reglas!$E$2:$E$240,
LAMBDA(rEmisor,rPatron,rConcepto,rTipo,
IF(
AND(
OR(
UPPER(TRIM(rEmisor))=UPPER(TRIM(C1020)),
UPPER(TRIM(rEmisor))=""CUALQUIERA""
),
OR(
UPPER(TRI"&amp;"M(rTipo))=""SOLO EMISOR"",
AND(
UPPER(TRIM(rTipo))=""EXACTA"",
UPPER(TRIM(AG1020))=UPPER(TRIM(rPatron))
),
AND(
OR(
UPPER(TRIM(rTipo))=""CONTIENE"",
UPPER(TRIM(rTipo))=""COINCIDENCIA""
),
ISNUMBER(SEARCH(UPPER(TRIM(rPatron)),UPPER(TRIM(D1020))))
)
)
),
rC"&amp;"oncepto,
""""
)
)
),
MAP(
reglas!$B$2:$B$240,
reglas!$C$2:$C$240,
reglas!$D$2:$D$240,
reglas!$E$2:$E$240,
LAMBDA(rEmisor,rPatron,rConcepto,rTipo,
IF(
AND(
OR(
UPPER(TRIM(rEmisor))=UPPER(TRIM(C1020)),
UPPER(TRIM(rEmisor))=""CUALQUIERA""
),
OR(
UPPER(TRIM(r"&amp;"Tipo))=""SOLO EMISOR"",
AND(
UPPER(TRIM(rTipo))=""EXACTA"",
UPPER(TRIM(D1020))=UPPER(TRIM(rPatron))
),
AND(
OR(
UPPER(TRIM(rTipo))=""CONTIENE"",
UPPER(TRIM(rTipo))=""COINCIDENCIA""
),
ISNUMBER(SEARCH(UPPER(TRIM(rPatron)),UPPER(TRIM(D1020))))
)
)
),
rConce"&amp;"pto,
""""
)
)
)&lt;&gt;""""
),
1
),
""""
)"),"TRANSPORTE")</f>
        <v>TRANSPORTE</v>
      </c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</row>
    <row r="1021">
      <c r="A1021" s="32"/>
      <c r="B1021" s="28" t="s">
        <v>29</v>
      </c>
      <c r="C1021" s="29" t="s">
        <v>331</v>
      </c>
      <c r="D1021" s="29" t="s">
        <v>33</v>
      </c>
      <c r="E1021" s="28">
        <v>0.01</v>
      </c>
      <c r="F1021" s="28">
        <v>0.0</v>
      </c>
      <c r="G1021" s="28" t="s">
        <v>385</v>
      </c>
      <c r="H1021" s="28">
        <f t="array" ref="H1021">INDEX(CC!C:C,MATCH(1,(CC!A:A=G1021)*(CC!B:B=I1021),0))</f>
        <v>502</v>
      </c>
      <c r="I1021" s="28" t="s">
        <v>25</v>
      </c>
      <c r="J1021" s="31">
        <v>0.01</v>
      </c>
      <c r="K1021" s="28" t="str">
        <f>IFERROR(__xludf.DUMMYFUNCTION("IFERROR(
INDEX(
FILTER(
MAP(
reglas!$B$2:$B$240,
reglas!$C$2:$C$240,
reglas!$D$2:$D$240,
reglas!$E$2:$E$240,
LAMBDA(rEmisor,rPatron,rConcepto,rTipo,
IF(
AND(
OR(
UPPER(TRIM(rEmisor))=UPPER(TRIM(C1021)),
UPPER(TRIM(rEmisor))=""CUALQUIERA""
),
OR(
UPPER(TRI"&amp;"M(rTipo))=""SOLO EMISOR"",
AND(
UPPER(TRIM(rTipo))=""EXACTA"",
UPPER(TRIM(AG1021))=UPPER(TRIM(rPatron))
),
AND(
OR(
UPPER(TRIM(rTipo))=""CONTIENE"",
UPPER(TRIM(rTipo))=""COINCIDENCIA""
),
ISNUMBER(SEARCH(UPPER(TRIM(rPatron)),UPPER(TRIM(D1021))))
)
)
),
rC"&amp;"oncepto,
""""
)
)
),
MAP(
reglas!$B$2:$B$240,
reglas!$C$2:$C$240,
reglas!$D$2:$D$240,
reglas!$E$2:$E$240,
LAMBDA(rEmisor,rPatron,rConcepto,rTipo,
IF(
AND(
OR(
UPPER(TRIM(rEmisor))=UPPER(TRIM(C1021)),
UPPER(TRIM(rEmisor))=""CUALQUIERA""
),
OR(
UPPER(TRIM(r"&amp;"Tipo))=""SOLO EMISOR"",
AND(
UPPER(TRIM(rTipo))=""EXACTA"",
UPPER(TRIM(D1021))=UPPER(TRIM(rPatron))
),
AND(
OR(
UPPER(TRIM(rTipo))=""CONTIENE"",
UPPER(TRIM(rTipo))=""COINCIDENCIA""
),
ISNUMBER(SEARCH(UPPER(TRIM(rPatron)),UPPER(TRIM(D1021))))
)
)
),
rConce"&amp;"pto,
""""
)
)
)&lt;&gt;""""
),
1
),
""""
)"),"N/A")</f>
        <v>N/A</v>
      </c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</row>
    <row r="1022">
      <c r="A1022" s="32"/>
      <c r="B1022" s="28" t="s">
        <v>29</v>
      </c>
      <c r="C1022" s="29" t="s">
        <v>278</v>
      </c>
      <c r="D1022" s="29" t="s">
        <v>560</v>
      </c>
      <c r="E1022" s="30">
        <v>3500.0</v>
      </c>
      <c r="F1022" s="28">
        <v>0.0</v>
      </c>
      <c r="G1022" s="28" t="s">
        <v>250</v>
      </c>
      <c r="H1022" s="28">
        <f t="array" ref="H1022">INDEX(CC!C:C,MATCH(1,(CC!A:A=G1022)*(CC!B:B=I1022),0))</f>
        <v>1402</v>
      </c>
      <c r="I1022" s="28" t="s">
        <v>25</v>
      </c>
      <c r="J1022" s="31">
        <v>3500.0</v>
      </c>
      <c r="K1022" s="28" t="str">
        <f>IFERROR(__xludf.DUMMYFUNCTION("IFERROR(
INDEX(
FILTER(
MAP(
reglas!$B$2:$B$240,
reglas!$C$2:$C$240,
reglas!$D$2:$D$240,
reglas!$E$2:$E$240,
LAMBDA(rEmisor,rPatron,rConcepto,rTipo,
IF(
AND(
OR(
UPPER(TRIM(rEmisor))=UPPER(TRIM(C1022)),
UPPER(TRIM(rEmisor))=""CUALQUIERA""
),
OR(
UPPER(TRI"&amp;"M(rTipo))=""SOLO EMISOR"",
AND(
UPPER(TRIM(rTipo))=""EXACTA"",
UPPER(TRIM(AG1022))=UPPER(TRIM(rPatron))
),
AND(
OR(
UPPER(TRIM(rTipo))=""CONTIENE"",
UPPER(TRIM(rTipo))=""COINCIDENCIA""
),
ISNUMBER(SEARCH(UPPER(TRIM(rPatron)),UPPER(TRIM(D1022))))
)
)
),
rC"&amp;"oncepto,
""""
)
)
),
MAP(
reglas!$B$2:$B$240,
reglas!$C$2:$C$240,
reglas!$D$2:$D$240,
reglas!$E$2:$E$240,
LAMBDA(rEmisor,rPatron,rConcepto,rTipo,
IF(
AND(
OR(
UPPER(TRIM(rEmisor))=UPPER(TRIM(C1022)),
UPPER(TRIM(rEmisor))=""CUALQUIERA""
),
OR(
UPPER(TRIM(r"&amp;"Tipo))=""SOLO EMISOR"",
AND(
UPPER(TRIM(rTipo))=""EXACTA"",
UPPER(TRIM(D1022))=UPPER(TRIM(rPatron))
),
AND(
OR(
UPPER(TRIM(rTipo))=""CONTIENE"",
UPPER(TRIM(rTipo))=""COINCIDENCIA""
),
ISNUMBER(SEARCH(UPPER(TRIM(rPatron)),UPPER(TRIM(D1022))))
)
)
),
rConce"&amp;"pto,
""""
)
)
)&lt;&gt;""""
),
1
),
""""
)"),"MANIOBRAS")</f>
        <v>MANIOBRAS</v>
      </c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</row>
    <row r="1023">
      <c r="A1023" s="32"/>
      <c r="B1023" s="28" t="s">
        <v>29</v>
      </c>
      <c r="C1023" s="29" t="s">
        <v>1822</v>
      </c>
      <c r="D1023" s="29" t="s">
        <v>1823</v>
      </c>
      <c r="E1023" s="28">
        <v>337.93</v>
      </c>
      <c r="F1023" s="28">
        <v>0.0</v>
      </c>
      <c r="G1023" s="28" t="s">
        <v>55</v>
      </c>
      <c r="H1023" s="28">
        <f t="array" ref="H1023">INDEX(CC!C:C,MATCH(1,(CC!A:A=G1023)*(CC!B:B=I1023),0))</f>
        <v>902</v>
      </c>
      <c r="I1023" s="28" t="s">
        <v>25</v>
      </c>
      <c r="J1023" s="31">
        <v>337.93</v>
      </c>
      <c r="K1023" s="28" t="str">
        <f>IFERROR(__xludf.DUMMYFUNCTION("IFERROR(
INDEX(
FILTER(
MAP(
reglas!$B$2:$B$240,
reglas!$C$2:$C$240,
reglas!$D$2:$D$240,
reglas!$E$2:$E$240,
LAMBDA(rEmisor,rPatron,rConcepto,rTipo,
IF(
AND(
OR(
UPPER(TRIM(rEmisor))=UPPER(TRIM(C1023)),
UPPER(TRIM(rEmisor))=""CUALQUIERA""
),
OR(
UPPER(TRI"&amp;"M(rTipo))=""SOLO EMISOR"",
AND(
UPPER(TRIM(rTipo))=""EXACTA"",
UPPER(TRIM(AG1023))=UPPER(TRIM(rPatron))
),
AND(
OR(
UPPER(TRIM(rTipo))=""CONTIENE"",
UPPER(TRIM(rTipo))=""COINCIDENCIA""
),
ISNUMBER(SEARCH(UPPER(TRIM(rPatron)),UPPER(TRIM(D1023))))
)
)
),
rC"&amp;"oncepto,
""""
)
)
),
MAP(
reglas!$B$2:$B$240,
reglas!$C$2:$C$240,
reglas!$D$2:$D$240,
reglas!$E$2:$E$240,
LAMBDA(rEmisor,rPatron,rConcepto,rTipo,
IF(
AND(
OR(
UPPER(TRIM(rEmisor))=UPPER(TRIM(C1023)),
UPPER(TRIM(rEmisor))=""CUALQUIERA""
),
OR(
UPPER(TRIM(r"&amp;"Tipo))=""SOLO EMISOR"",
AND(
UPPER(TRIM(rTipo))=""EXACTA"",
UPPER(TRIM(D1023))=UPPER(TRIM(rPatron))
),
AND(
OR(
UPPER(TRIM(rTipo))=""CONTIENE"",
UPPER(TRIM(rTipo))=""COINCIDENCIA""
),
ISNUMBER(SEARCH(UPPER(TRIM(rPatron)),UPPER(TRIM(D1023))))
)
)
),
rConce"&amp;"pto,
""""
)
)
)&lt;&gt;""""
),
1
),
""""
)"),"UNIFORMES")</f>
        <v>UNIFORMES</v>
      </c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</row>
    <row r="1024">
      <c r="A1024" s="32"/>
      <c r="B1024" s="28" t="s">
        <v>29</v>
      </c>
      <c r="C1024" s="29" t="s">
        <v>278</v>
      </c>
      <c r="D1024" s="29" t="s">
        <v>560</v>
      </c>
      <c r="E1024" s="30">
        <v>3500.0</v>
      </c>
      <c r="F1024" s="28">
        <v>0.0</v>
      </c>
      <c r="G1024" s="28" t="s">
        <v>250</v>
      </c>
      <c r="H1024" s="28">
        <f t="array" ref="H1024">INDEX(CC!C:C,MATCH(1,(CC!A:A=G1024)*(CC!B:B=I1024),0))</f>
        <v>1402</v>
      </c>
      <c r="I1024" s="28" t="s">
        <v>25</v>
      </c>
      <c r="J1024" s="31">
        <v>3500.0</v>
      </c>
      <c r="K1024" s="28" t="str">
        <f>IFERROR(__xludf.DUMMYFUNCTION("IFERROR(
INDEX(
FILTER(
MAP(
reglas!$B$2:$B$240,
reglas!$C$2:$C$240,
reglas!$D$2:$D$240,
reglas!$E$2:$E$240,
LAMBDA(rEmisor,rPatron,rConcepto,rTipo,
IF(
AND(
OR(
UPPER(TRIM(rEmisor))=UPPER(TRIM(C1024)),
UPPER(TRIM(rEmisor))=""CUALQUIERA""
),
OR(
UPPER(TRI"&amp;"M(rTipo))=""SOLO EMISOR"",
AND(
UPPER(TRIM(rTipo))=""EXACTA"",
UPPER(TRIM(AG1024))=UPPER(TRIM(rPatron))
),
AND(
OR(
UPPER(TRIM(rTipo))=""CONTIENE"",
UPPER(TRIM(rTipo))=""COINCIDENCIA""
),
ISNUMBER(SEARCH(UPPER(TRIM(rPatron)),UPPER(TRIM(D1024))))
)
)
),
rC"&amp;"oncepto,
""""
)
)
),
MAP(
reglas!$B$2:$B$240,
reglas!$C$2:$C$240,
reglas!$D$2:$D$240,
reglas!$E$2:$E$240,
LAMBDA(rEmisor,rPatron,rConcepto,rTipo,
IF(
AND(
OR(
UPPER(TRIM(rEmisor))=UPPER(TRIM(C1024)),
UPPER(TRIM(rEmisor))=""CUALQUIERA""
),
OR(
UPPER(TRIM(r"&amp;"Tipo))=""SOLO EMISOR"",
AND(
UPPER(TRIM(rTipo))=""EXACTA"",
UPPER(TRIM(D1024))=UPPER(TRIM(rPatron))
),
AND(
OR(
UPPER(TRIM(rTipo))=""CONTIENE"",
UPPER(TRIM(rTipo))=""COINCIDENCIA""
),
ISNUMBER(SEARCH(UPPER(TRIM(rPatron)),UPPER(TRIM(D1024))))
)
)
),
rConce"&amp;"pto,
""""
)
)
)&lt;&gt;""""
),
1
),
""""
)"),"MANIOBRAS")</f>
        <v>MANIOBRAS</v>
      </c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</row>
    <row r="1025">
      <c r="A1025" s="32"/>
      <c r="B1025" s="28" t="s">
        <v>29</v>
      </c>
      <c r="C1025" s="29" t="s">
        <v>185</v>
      </c>
      <c r="D1025" s="29" t="s">
        <v>1824</v>
      </c>
      <c r="E1025" s="30">
        <v>1706.9</v>
      </c>
      <c r="F1025" s="28">
        <v>0.0</v>
      </c>
      <c r="G1025" s="32"/>
      <c r="H1025" s="28" t="str">
        <f t="array" ref="H1025">INDEX(CC!C:C,MATCH(1,(CC!A:A=G1025)*(CC!B:B=I1025),0))</f>
        <v/>
      </c>
      <c r="I1025" s="32"/>
      <c r="J1025" s="31">
        <v>1706.9</v>
      </c>
      <c r="K1025" s="28" t="str">
        <f>IFERROR(__xludf.DUMMYFUNCTION("IFERROR(
INDEX(
FILTER(
MAP(
reglas!$B$2:$B$240,
reglas!$C$2:$C$240,
reglas!$D$2:$D$240,
reglas!$E$2:$E$240,
LAMBDA(rEmisor,rPatron,rConcepto,rTipo,
IF(
AND(
OR(
UPPER(TRIM(rEmisor))=UPPER(TRIM(C1025)),
UPPER(TRIM(rEmisor))=""CUALQUIERA""
),
OR(
UPPER(TRI"&amp;"M(rTipo))=""SOLO EMISOR"",
AND(
UPPER(TRIM(rTipo))=""EXACTA"",
UPPER(TRIM(AG1025))=UPPER(TRIM(rPatron))
),
AND(
OR(
UPPER(TRIM(rTipo))=""CONTIENE"",
UPPER(TRIM(rTipo))=""COINCIDENCIA""
),
ISNUMBER(SEARCH(UPPER(TRIM(rPatron)),UPPER(TRIM(D1025))))
)
)
),
rC"&amp;"oncepto,
""""
)
)
),
MAP(
reglas!$B$2:$B$240,
reglas!$C$2:$C$240,
reglas!$D$2:$D$240,
reglas!$E$2:$E$240,
LAMBDA(rEmisor,rPatron,rConcepto,rTipo,
IF(
AND(
OR(
UPPER(TRIM(rEmisor))=UPPER(TRIM(C1025)),
UPPER(TRIM(rEmisor))=""CUALQUIERA""
),
OR(
UPPER(TRIM(r"&amp;"Tipo))=""SOLO EMISOR"",
AND(
UPPER(TRIM(rTipo))=""EXACTA"",
UPPER(TRIM(D1025))=UPPER(TRIM(rPatron))
),
AND(
OR(
UPPER(TRIM(rTipo))=""CONTIENE"",
UPPER(TRIM(rTipo))=""COINCIDENCIA""
),
ISNUMBER(SEARCH(UPPER(TRIM(rPatron)),UPPER(TRIM(D1025))))
)
)
),
rConce"&amp;"pto,
""""
)
)
)&lt;&gt;""""
),
1
),
""""
)"),"TELEFONIA MOVIL")</f>
        <v>TELEFONIA MOVIL</v>
      </c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</row>
    <row r="1026">
      <c r="A1026" s="32"/>
      <c r="B1026" s="28" t="s">
        <v>29</v>
      </c>
      <c r="C1026" s="29" t="s">
        <v>278</v>
      </c>
      <c r="D1026" s="29" t="s">
        <v>560</v>
      </c>
      <c r="E1026" s="30">
        <v>3500.0</v>
      </c>
      <c r="F1026" s="28">
        <v>0.0</v>
      </c>
      <c r="G1026" s="28" t="s">
        <v>250</v>
      </c>
      <c r="H1026" s="28">
        <f t="array" ref="H1026">INDEX(CC!C:C,MATCH(1,(CC!A:A=G1026)*(CC!B:B=I1026),0))</f>
        <v>1402</v>
      </c>
      <c r="I1026" s="28" t="s">
        <v>25</v>
      </c>
      <c r="J1026" s="31">
        <v>3500.0</v>
      </c>
      <c r="K1026" s="28" t="str">
        <f>IFERROR(__xludf.DUMMYFUNCTION("IFERROR(
INDEX(
FILTER(
MAP(
reglas!$B$2:$B$240,
reglas!$C$2:$C$240,
reglas!$D$2:$D$240,
reglas!$E$2:$E$240,
LAMBDA(rEmisor,rPatron,rConcepto,rTipo,
IF(
AND(
OR(
UPPER(TRIM(rEmisor))=UPPER(TRIM(C1026)),
UPPER(TRIM(rEmisor))=""CUALQUIERA""
),
OR(
UPPER(TRI"&amp;"M(rTipo))=""SOLO EMISOR"",
AND(
UPPER(TRIM(rTipo))=""EXACTA"",
UPPER(TRIM(AG1026))=UPPER(TRIM(rPatron))
),
AND(
OR(
UPPER(TRIM(rTipo))=""CONTIENE"",
UPPER(TRIM(rTipo))=""COINCIDENCIA""
),
ISNUMBER(SEARCH(UPPER(TRIM(rPatron)),UPPER(TRIM(D1026))))
)
)
),
rC"&amp;"oncepto,
""""
)
)
),
MAP(
reglas!$B$2:$B$240,
reglas!$C$2:$C$240,
reglas!$D$2:$D$240,
reglas!$E$2:$E$240,
LAMBDA(rEmisor,rPatron,rConcepto,rTipo,
IF(
AND(
OR(
UPPER(TRIM(rEmisor))=UPPER(TRIM(C1026)),
UPPER(TRIM(rEmisor))=""CUALQUIERA""
),
OR(
UPPER(TRIM(r"&amp;"Tipo))=""SOLO EMISOR"",
AND(
UPPER(TRIM(rTipo))=""EXACTA"",
UPPER(TRIM(D1026))=UPPER(TRIM(rPatron))
),
AND(
OR(
UPPER(TRIM(rTipo))=""CONTIENE"",
UPPER(TRIM(rTipo))=""COINCIDENCIA""
),
ISNUMBER(SEARCH(UPPER(TRIM(rPatron)),UPPER(TRIM(D1026))))
)
)
),
rConce"&amp;"pto,
""""
)
)
)&lt;&gt;""""
),
1
),
""""
)"),"MANIOBRAS")</f>
        <v>MANIOBRAS</v>
      </c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</row>
    <row r="1027">
      <c r="A1027" s="32"/>
      <c r="B1027" s="28" t="s">
        <v>29</v>
      </c>
      <c r="C1027" s="29" t="s">
        <v>163</v>
      </c>
      <c r="D1027" s="29" t="s">
        <v>1825</v>
      </c>
      <c r="E1027" s="28">
        <v>262.93</v>
      </c>
      <c r="F1027" s="28">
        <v>0.0</v>
      </c>
      <c r="G1027" s="28" t="s">
        <v>385</v>
      </c>
      <c r="H1027" s="28">
        <f t="array" ref="H1027">INDEX(CC!C:C,MATCH(1,(CC!A:A=G1027)*(CC!B:B=I1027),0))</f>
        <v>502</v>
      </c>
      <c r="I1027" s="28" t="s">
        <v>25</v>
      </c>
      <c r="J1027" s="31">
        <v>262.93</v>
      </c>
      <c r="K1027" s="28" t="str">
        <f>IFERROR(__xludf.DUMMYFUNCTION("IFERROR(
INDEX(
FILTER(
MAP(
reglas!$B$2:$B$240,
reglas!$C$2:$C$240,
reglas!$D$2:$D$240,
reglas!$E$2:$E$240,
LAMBDA(rEmisor,rPatron,rConcepto,rTipo,
IF(
AND(
OR(
UPPER(TRIM(rEmisor))=UPPER(TRIM(C1027)),
UPPER(TRIM(rEmisor))=""CUALQUIERA""
),
OR(
UPPER(TRI"&amp;"M(rTipo))=""SOLO EMISOR"",
AND(
UPPER(TRIM(rTipo))=""EXACTA"",
UPPER(TRIM(AG1027))=UPPER(TRIM(rPatron))
),
AND(
OR(
UPPER(TRIM(rTipo))=""CONTIENE"",
UPPER(TRIM(rTipo))=""COINCIDENCIA""
),
ISNUMBER(SEARCH(UPPER(TRIM(rPatron)),UPPER(TRIM(D1027))))
)
)
),
rC"&amp;"oncepto,
""""
)
)
),
MAP(
reglas!$B$2:$B$240,
reglas!$C$2:$C$240,
reglas!$D$2:$D$240,
reglas!$E$2:$E$240,
LAMBDA(rEmisor,rPatron,rConcepto,rTipo,
IF(
AND(
OR(
UPPER(TRIM(rEmisor))=UPPER(TRIM(C1027)),
UPPER(TRIM(rEmisor))=""CUALQUIERA""
),
OR(
UPPER(TRIM(r"&amp;"Tipo))=""SOLO EMISOR"",
AND(
UPPER(TRIM(rTipo))=""EXACTA"",
UPPER(TRIM(D1027))=UPPER(TRIM(rPatron))
),
AND(
OR(
UPPER(TRIM(rTipo))=""CONTIENE"",
UPPER(TRIM(rTipo))=""COINCIDENCIA""
),
ISNUMBER(SEARCH(UPPER(TRIM(rPatron)),UPPER(TRIM(D1027))))
)
)
),
rConce"&amp;"pto,
""""
)
)
)&lt;&gt;""""
),
1
),
""""
)"),"PATIO REGULADOR")</f>
        <v>PATIO REGULADOR</v>
      </c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</row>
    <row r="1028">
      <c r="A1028" s="28">
        <v>1.0</v>
      </c>
      <c r="B1028" s="28" t="s">
        <v>29</v>
      </c>
      <c r="C1028" s="29" t="s">
        <v>437</v>
      </c>
      <c r="D1028" s="29" t="s">
        <v>1826</v>
      </c>
      <c r="E1028" s="30">
        <v>3410.6</v>
      </c>
      <c r="F1028" s="28">
        <v>0.0</v>
      </c>
      <c r="G1028" s="99" t="s">
        <v>250</v>
      </c>
      <c r="H1028" s="28">
        <f t="array" ref="H1028">INDEX(CC!C:C,MATCH(1,(CC!A:A=G1028)*(CC!B:B=I1028),0))</f>
        <v>1402</v>
      </c>
      <c r="I1028" s="28" t="s">
        <v>25</v>
      </c>
      <c r="J1028" s="31">
        <v>3410.6</v>
      </c>
      <c r="K1028" s="28" t="str">
        <f>IFERROR(__xludf.DUMMYFUNCTION("IFERROR(
INDEX(
FILTER(
MAP(
reglas!$B$2:$B$240,
reglas!$C$2:$C$240,
reglas!$D$2:$D$240,
reglas!$E$2:$E$240,
LAMBDA(rEmisor,rPatron,rConcepto,rTipo,
IF(
AND(
OR(
UPPER(TRIM(rEmisor))=UPPER(TRIM(C1028)),
UPPER(TRIM(rEmisor))=""CUALQUIERA""
),
OR(
UPPER(TRI"&amp;"M(rTipo))=""SOLO EMISOR"",
AND(
UPPER(TRIM(rTipo))=""EXACTA"",
UPPER(TRIM(AG1028))=UPPER(TRIM(rPatron))
),
AND(
OR(
UPPER(TRIM(rTipo))=""CONTIENE"",
UPPER(TRIM(rTipo))=""COINCIDENCIA""
),
ISNUMBER(SEARCH(UPPER(TRIM(rPatron)),UPPER(TRIM(D1028))))
)
)
),
rC"&amp;"oncepto,
""""
)
)
),
MAP(
reglas!$B$2:$B$240,
reglas!$C$2:$C$240,
reglas!$D$2:$D$240,
reglas!$E$2:$E$240,
LAMBDA(rEmisor,rPatron,rConcepto,rTipo,
IF(
AND(
OR(
UPPER(TRIM(rEmisor))=UPPER(TRIM(C1028)),
UPPER(TRIM(rEmisor))=""CUALQUIERA""
),
OR(
UPPER(TRIM(r"&amp;"Tipo))=""SOLO EMISOR"",
AND(
UPPER(TRIM(rTipo))=""EXACTA"",
UPPER(TRIM(D1028))=UPPER(TRIM(rPatron))
),
AND(
OR(
UPPER(TRIM(rTipo))=""CONTIENE"",
UPPER(TRIM(rTipo))=""COINCIDENCIA""
),
ISNUMBER(SEARCH(UPPER(TRIM(rPatron)),UPPER(TRIM(D1028))))
)
)
),
rConce"&amp;"pto,
""""
)
)
)&lt;&gt;""""
),
1
),
""""
)"),"MANIOBRAS")</f>
        <v>MANIOBRAS</v>
      </c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/>
    </row>
    <row r="1029">
      <c r="A1029" s="32"/>
      <c r="B1029" s="28" t="s">
        <v>29</v>
      </c>
      <c r="C1029" s="29" t="s">
        <v>70</v>
      </c>
      <c r="D1029" s="29" t="s">
        <v>1701</v>
      </c>
      <c r="E1029" s="30">
        <v>2790.66</v>
      </c>
      <c r="F1029" s="28">
        <v>0.0</v>
      </c>
      <c r="G1029" s="28" t="s">
        <v>74</v>
      </c>
      <c r="H1029" s="28">
        <f t="array" ref="H1029">INDEX(CC!C:C,MATCH(1,(CC!A:A=G1029)*(CC!B:B=I1029),0))</f>
        <v>1503</v>
      </c>
      <c r="I1029" s="28" t="s">
        <v>44</v>
      </c>
      <c r="J1029" s="31">
        <v>2790.66</v>
      </c>
      <c r="K1029" s="28" t="str">
        <f>IFERROR(__xludf.DUMMYFUNCTION("IFERROR(
INDEX(
FILTER(
MAP(
reglas!$B$2:$B$240,
reglas!$C$2:$C$240,
reglas!$D$2:$D$240,
reglas!$E$2:$E$240,
LAMBDA(rEmisor,rPatron,rConcepto,rTipo,
IF(
AND(
OR(
UPPER(TRIM(rEmisor))=UPPER(TRIM(C1029)),
UPPER(TRIM(rEmisor))=""CUALQUIERA""
),
OR(
UPPER(TRI"&amp;"M(rTipo))=""SOLO EMISOR"",
AND(
UPPER(TRIM(rTipo))=""EXACTA"",
UPPER(TRIM(AG1029))=UPPER(TRIM(rPatron))
),
AND(
OR(
UPPER(TRIM(rTipo))=""CONTIENE"",
UPPER(TRIM(rTipo))=""COINCIDENCIA""
),
ISNUMBER(SEARCH(UPPER(TRIM(rPatron)),UPPER(TRIM(D1029))))
)
)
),
rC"&amp;"oncepto,
""""
)
)
),
MAP(
reglas!$B$2:$B$240,
reglas!$C$2:$C$240,
reglas!$D$2:$D$240,
reglas!$E$2:$E$240,
LAMBDA(rEmisor,rPatron,rConcepto,rTipo,
IF(
AND(
OR(
UPPER(TRIM(rEmisor))=UPPER(TRIM(C1029)),
UPPER(TRIM(rEmisor))=""CUALQUIERA""
),
OR(
UPPER(TRIM(r"&amp;"Tipo))=""SOLO EMISOR"",
AND(
UPPER(TRIM(rTipo))=""EXACTA"",
UPPER(TRIM(D1029))=UPPER(TRIM(rPatron))
),
AND(
OR(
UPPER(TRIM(rTipo))=""CONTIENE"",
UPPER(TRIM(rTipo))=""COINCIDENCIA""
),
ISNUMBER(SEARCH(UPPER(TRIM(rPatron)),UPPER(TRIM(D1029))))
)
)
),
rConce"&amp;"pto,
""""
)
)
)&lt;&gt;""""
),
1
),
""""
)"),"MANIOBRAS")</f>
        <v>MANIOBRAS</v>
      </c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</row>
    <row r="1030">
      <c r="A1030" s="32"/>
      <c r="B1030" s="32"/>
      <c r="C1030" s="29" t="s">
        <v>70</v>
      </c>
      <c r="D1030" s="29" t="s">
        <v>1702</v>
      </c>
      <c r="E1030" s="28">
        <v>711.73</v>
      </c>
      <c r="F1030" s="28">
        <v>0.0</v>
      </c>
      <c r="G1030" s="28" t="s">
        <v>74</v>
      </c>
      <c r="H1030" s="28">
        <f t="array" ref="H1030">INDEX(CC!C:C,MATCH(1,(CC!A:A=G1030)*(CC!B:B=I1030),0))</f>
        <v>1503</v>
      </c>
      <c r="I1030" s="28" t="s">
        <v>44</v>
      </c>
      <c r="J1030" s="31">
        <v>711.73</v>
      </c>
      <c r="K1030" s="28" t="str">
        <f>IFERROR(__xludf.DUMMYFUNCTION("IFERROR(
INDEX(
FILTER(
MAP(
reglas!$B$2:$B$240,
reglas!$C$2:$C$240,
reglas!$D$2:$D$240,
reglas!$E$2:$E$240,
LAMBDA(rEmisor,rPatron,rConcepto,rTipo,
IF(
AND(
OR(
UPPER(TRIM(rEmisor))=UPPER(TRIM(C1030)),
UPPER(TRIM(rEmisor))=""CUALQUIERA""
),
OR(
UPPER(TRI"&amp;"M(rTipo))=""SOLO EMISOR"",
AND(
UPPER(TRIM(rTipo))=""EXACTA"",
UPPER(TRIM(AG1030))=UPPER(TRIM(rPatron))
),
AND(
OR(
UPPER(TRIM(rTipo))=""CONTIENE"",
UPPER(TRIM(rTipo))=""COINCIDENCIA""
),
ISNUMBER(SEARCH(UPPER(TRIM(rPatron)),UPPER(TRIM(D1030))))
)
)
),
rC"&amp;"oncepto,
""""
)
)
),
MAP(
reglas!$B$2:$B$240,
reglas!$C$2:$C$240,
reglas!$D$2:$D$240,
reglas!$E$2:$E$240,
LAMBDA(rEmisor,rPatron,rConcepto,rTipo,
IF(
AND(
OR(
UPPER(TRIM(rEmisor))=UPPER(TRIM(C1030)),
UPPER(TRIM(rEmisor))=""CUALQUIERA""
),
OR(
UPPER(TRIM(r"&amp;"Tipo))=""SOLO EMISOR"",
AND(
UPPER(TRIM(rTipo))=""EXACTA"",
UPPER(TRIM(D1030))=UPPER(TRIM(rPatron))
),
AND(
OR(
UPPER(TRIM(rTipo))=""CONTIENE"",
UPPER(TRIM(rTipo))=""COINCIDENCIA""
),
ISNUMBER(SEARCH(UPPER(TRIM(rPatron)),UPPER(TRIM(D1030))))
)
)
),
rConce"&amp;"pto,
""""
)
)
)&lt;&gt;""""
),
1
),
""""
)"),"MANIOBRAS")</f>
        <v>MANIOBRAS</v>
      </c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27"/>
      <c r="X1030" s="27"/>
      <c r="Y1030" s="27"/>
    </row>
    <row r="1031">
      <c r="A1031" s="32"/>
      <c r="B1031" s="32"/>
      <c r="C1031" s="29" t="s">
        <v>70</v>
      </c>
      <c r="D1031" s="29" t="s">
        <v>1703</v>
      </c>
      <c r="E1031" s="30">
        <v>2668.4</v>
      </c>
      <c r="F1031" s="28">
        <v>0.0</v>
      </c>
      <c r="G1031" s="28" t="s">
        <v>74</v>
      </c>
      <c r="H1031" s="28">
        <f t="array" ref="H1031">INDEX(CC!C:C,MATCH(1,(CC!A:A=G1031)*(CC!B:B=I1031),0))</f>
        <v>1503</v>
      </c>
      <c r="I1031" s="28" t="s">
        <v>44</v>
      </c>
      <c r="J1031" s="31">
        <v>2668.4</v>
      </c>
      <c r="K1031" s="28" t="str">
        <f>IFERROR(__xludf.DUMMYFUNCTION("IFERROR(
INDEX(
FILTER(
MAP(
reglas!$B$2:$B$240,
reglas!$C$2:$C$240,
reglas!$D$2:$D$240,
reglas!$E$2:$E$240,
LAMBDA(rEmisor,rPatron,rConcepto,rTipo,
IF(
AND(
OR(
UPPER(TRIM(rEmisor))=UPPER(TRIM(C1031)),
UPPER(TRIM(rEmisor))=""CUALQUIERA""
),
OR(
UPPER(TRI"&amp;"M(rTipo))=""SOLO EMISOR"",
AND(
UPPER(TRIM(rTipo))=""EXACTA"",
UPPER(TRIM(AG1031))=UPPER(TRIM(rPatron))
),
AND(
OR(
UPPER(TRIM(rTipo))=""CONTIENE"",
UPPER(TRIM(rTipo))=""COINCIDENCIA""
),
ISNUMBER(SEARCH(UPPER(TRIM(rPatron)),UPPER(TRIM(D1031))))
)
)
),
rC"&amp;"oncepto,
""""
)
)
),
MAP(
reglas!$B$2:$B$240,
reglas!$C$2:$C$240,
reglas!$D$2:$D$240,
reglas!$E$2:$E$240,
LAMBDA(rEmisor,rPatron,rConcepto,rTipo,
IF(
AND(
OR(
UPPER(TRIM(rEmisor))=UPPER(TRIM(C1031)),
UPPER(TRIM(rEmisor))=""CUALQUIERA""
),
OR(
UPPER(TRIM(r"&amp;"Tipo))=""SOLO EMISOR"",
AND(
UPPER(TRIM(rTipo))=""EXACTA"",
UPPER(TRIM(D1031))=UPPER(TRIM(rPatron))
),
AND(
OR(
UPPER(TRIM(rTipo))=""CONTIENE"",
UPPER(TRIM(rTipo))=""COINCIDENCIA""
),
ISNUMBER(SEARCH(UPPER(TRIM(rPatron)),UPPER(TRIM(D1031))))
)
)
),
rConce"&amp;"pto,
""""
)
)
)&lt;&gt;""""
),
1
),
""""
)"),"MANIOBRAS")</f>
        <v>MANIOBRAS</v>
      </c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  <c r="W1031" s="27"/>
      <c r="X1031" s="27"/>
      <c r="Y1031" s="27"/>
    </row>
    <row r="1032">
      <c r="A1032" s="32"/>
      <c r="B1032" s="32"/>
      <c r="C1032" s="29" t="s">
        <v>70</v>
      </c>
      <c r="D1032" s="29" t="s">
        <v>1704</v>
      </c>
      <c r="E1032" s="28">
        <v>266.84</v>
      </c>
      <c r="F1032" s="28">
        <v>0.0</v>
      </c>
      <c r="G1032" s="28" t="s">
        <v>74</v>
      </c>
      <c r="H1032" s="28">
        <f t="array" ref="H1032">INDEX(CC!C:C,MATCH(1,(CC!A:A=G1032)*(CC!B:B=I1032),0))</f>
        <v>1503</v>
      </c>
      <c r="I1032" s="28" t="s">
        <v>44</v>
      </c>
      <c r="J1032" s="31">
        <v>266.84</v>
      </c>
      <c r="K1032" s="28" t="str">
        <f>IFERROR(__xludf.DUMMYFUNCTION("IFERROR(
INDEX(
FILTER(
MAP(
reglas!$B$2:$B$240,
reglas!$C$2:$C$240,
reglas!$D$2:$D$240,
reglas!$E$2:$E$240,
LAMBDA(rEmisor,rPatron,rConcepto,rTipo,
IF(
AND(
OR(
UPPER(TRIM(rEmisor))=UPPER(TRIM(C1032)),
UPPER(TRIM(rEmisor))=""CUALQUIERA""
),
OR(
UPPER(TRI"&amp;"M(rTipo))=""SOLO EMISOR"",
AND(
UPPER(TRIM(rTipo))=""EXACTA"",
UPPER(TRIM(AG1032))=UPPER(TRIM(rPatron))
),
AND(
OR(
UPPER(TRIM(rTipo))=""CONTIENE"",
UPPER(TRIM(rTipo))=""COINCIDENCIA""
),
ISNUMBER(SEARCH(UPPER(TRIM(rPatron)),UPPER(TRIM(D1032))))
)
)
),
rC"&amp;"oncepto,
""""
)
)
),
MAP(
reglas!$B$2:$B$240,
reglas!$C$2:$C$240,
reglas!$D$2:$D$240,
reglas!$E$2:$E$240,
LAMBDA(rEmisor,rPatron,rConcepto,rTipo,
IF(
AND(
OR(
UPPER(TRIM(rEmisor))=UPPER(TRIM(C1032)),
UPPER(TRIM(rEmisor))=""CUALQUIERA""
),
OR(
UPPER(TRIM(r"&amp;"Tipo))=""SOLO EMISOR"",
AND(
UPPER(TRIM(rTipo))=""EXACTA"",
UPPER(TRIM(D1032))=UPPER(TRIM(rPatron))
),
AND(
OR(
UPPER(TRIM(rTipo))=""CONTIENE"",
UPPER(TRIM(rTipo))=""COINCIDENCIA""
),
ISNUMBER(SEARCH(UPPER(TRIM(rPatron)),UPPER(TRIM(D1032))))
)
)
),
rConce"&amp;"pto,
""""
)
)
)&lt;&gt;""""
),
1
),
""""
)"),"MANIOBRAS")</f>
        <v>MANIOBRAS</v>
      </c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  <c r="W1032" s="27"/>
      <c r="X1032" s="27"/>
      <c r="Y1032" s="27"/>
    </row>
    <row r="1033">
      <c r="A1033" s="32"/>
      <c r="B1033" s="32"/>
      <c r="C1033" s="29" t="s">
        <v>70</v>
      </c>
      <c r="D1033" s="29" t="s">
        <v>1705</v>
      </c>
      <c r="E1033" s="28">
        <v>406.04</v>
      </c>
      <c r="F1033" s="28">
        <v>0.0</v>
      </c>
      <c r="G1033" s="28" t="s">
        <v>74</v>
      </c>
      <c r="H1033" s="28">
        <f t="array" ref="H1033">INDEX(CC!C:C,MATCH(1,(CC!A:A=G1033)*(CC!B:B=I1033),0))</f>
        <v>1503</v>
      </c>
      <c r="I1033" s="28" t="s">
        <v>44</v>
      </c>
      <c r="J1033" s="31">
        <v>406.04</v>
      </c>
      <c r="K1033" s="28" t="str">
        <f>IFERROR(__xludf.DUMMYFUNCTION("IFERROR(
INDEX(
FILTER(
MAP(
reglas!$B$2:$B$240,
reglas!$C$2:$C$240,
reglas!$D$2:$D$240,
reglas!$E$2:$E$240,
LAMBDA(rEmisor,rPatron,rConcepto,rTipo,
IF(
AND(
OR(
UPPER(TRIM(rEmisor))=UPPER(TRIM(C1033)),
UPPER(TRIM(rEmisor))=""CUALQUIERA""
),
OR(
UPPER(TRI"&amp;"M(rTipo))=""SOLO EMISOR"",
AND(
UPPER(TRIM(rTipo))=""EXACTA"",
UPPER(TRIM(AG1033))=UPPER(TRIM(rPatron))
),
AND(
OR(
UPPER(TRIM(rTipo))=""CONTIENE"",
UPPER(TRIM(rTipo))=""COINCIDENCIA""
),
ISNUMBER(SEARCH(UPPER(TRIM(rPatron)),UPPER(TRIM(D1033))))
)
)
),
rC"&amp;"oncepto,
""""
)
)
),
MAP(
reglas!$B$2:$B$240,
reglas!$C$2:$C$240,
reglas!$D$2:$D$240,
reglas!$E$2:$E$240,
LAMBDA(rEmisor,rPatron,rConcepto,rTipo,
IF(
AND(
OR(
UPPER(TRIM(rEmisor))=UPPER(TRIM(C1033)),
UPPER(TRIM(rEmisor))=""CUALQUIERA""
),
OR(
UPPER(TRIM(r"&amp;"Tipo))=""SOLO EMISOR"",
AND(
UPPER(TRIM(rTipo))=""EXACTA"",
UPPER(TRIM(D1033))=UPPER(TRIM(rPatron))
),
AND(
OR(
UPPER(TRIM(rTipo))=""CONTIENE"",
UPPER(TRIM(rTipo))=""COINCIDENCIA""
),
ISNUMBER(SEARCH(UPPER(TRIM(rPatron)),UPPER(TRIM(D1033))))
)
)
),
rConce"&amp;"pto,
""""
)
)
)&lt;&gt;""""
),
1
),
""""
)"),"MANIOBRAS")</f>
        <v>MANIOBRAS</v>
      </c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  <c r="W1033" s="27"/>
      <c r="X1033" s="27"/>
      <c r="Y1033" s="27"/>
    </row>
    <row r="1034">
      <c r="A1034" s="32"/>
      <c r="B1034" s="28" t="s">
        <v>29</v>
      </c>
      <c r="C1034" s="29" t="s">
        <v>278</v>
      </c>
      <c r="D1034" s="29" t="s">
        <v>560</v>
      </c>
      <c r="E1034" s="30">
        <v>3500.0</v>
      </c>
      <c r="F1034" s="28">
        <v>0.0</v>
      </c>
      <c r="G1034" s="28" t="s">
        <v>250</v>
      </c>
      <c r="H1034" s="28">
        <f t="array" ref="H1034">INDEX(CC!C:C,MATCH(1,(CC!A:A=G1034)*(CC!B:B=I1034),0))</f>
        <v>1402</v>
      </c>
      <c r="I1034" s="28" t="s">
        <v>25</v>
      </c>
      <c r="J1034" s="31">
        <v>3500.0</v>
      </c>
      <c r="K1034" s="28" t="str">
        <f>IFERROR(__xludf.DUMMYFUNCTION("IFERROR(
INDEX(
FILTER(
MAP(
reglas!$B$2:$B$240,
reglas!$C$2:$C$240,
reglas!$D$2:$D$240,
reglas!$E$2:$E$240,
LAMBDA(rEmisor,rPatron,rConcepto,rTipo,
IF(
AND(
OR(
UPPER(TRIM(rEmisor))=UPPER(TRIM(C1034)),
UPPER(TRIM(rEmisor))=""CUALQUIERA""
),
OR(
UPPER(TRI"&amp;"M(rTipo))=""SOLO EMISOR"",
AND(
UPPER(TRIM(rTipo))=""EXACTA"",
UPPER(TRIM(AG1034))=UPPER(TRIM(rPatron))
),
AND(
OR(
UPPER(TRIM(rTipo))=""CONTIENE"",
UPPER(TRIM(rTipo))=""COINCIDENCIA""
),
ISNUMBER(SEARCH(UPPER(TRIM(rPatron)),UPPER(TRIM(D1034))))
)
)
),
rC"&amp;"oncepto,
""""
)
)
),
MAP(
reglas!$B$2:$B$240,
reglas!$C$2:$C$240,
reglas!$D$2:$D$240,
reglas!$E$2:$E$240,
LAMBDA(rEmisor,rPatron,rConcepto,rTipo,
IF(
AND(
OR(
UPPER(TRIM(rEmisor))=UPPER(TRIM(C1034)),
UPPER(TRIM(rEmisor))=""CUALQUIERA""
),
OR(
UPPER(TRIM(r"&amp;"Tipo))=""SOLO EMISOR"",
AND(
UPPER(TRIM(rTipo))=""EXACTA"",
UPPER(TRIM(D1034))=UPPER(TRIM(rPatron))
),
AND(
OR(
UPPER(TRIM(rTipo))=""CONTIENE"",
UPPER(TRIM(rTipo))=""COINCIDENCIA""
),
ISNUMBER(SEARCH(UPPER(TRIM(rPatron)),UPPER(TRIM(D1034))))
)
)
),
rConce"&amp;"pto,
""""
)
)
)&lt;&gt;""""
),
1
),
""""
)"),"MANIOBRAS")</f>
        <v>MANIOBRAS</v>
      </c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</row>
    <row r="1035">
      <c r="A1035" s="32"/>
      <c r="B1035" s="28" t="s">
        <v>29</v>
      </c>
      <c r="C1035" s="29" t="s">
        <v>278</v>
      </c>
      <c r="D1035" s="29" t="s">
        <v>560</v>
      </c>
      <c r="E1035" s="30">
        <v>3500.0</v>
      </c>
      <c r="F1035" s="28">
        <v>0.0</v>
      </c>
      <c r="G1035" s="28" t="s">
        <v>250</v>
      </c>
      <c r="H1035" s="28">
        <f t="array" ref="H1035">INDEX(CC!C:C,MATCH(1,(CC!A:A=G1035)*(CC!B:B=I1035),0))</f>
        <v>1402</v>
      </c>
      <c r="I1035" s="28" t="s">
        <v>25</v>
      </c>
      <c r="J1035" s="31">
        <v>3500.0</v>
      </c>
      <c r="K1035" s="28" t="str">
        <f>IFERROR(__xludf.DUMMYFUNCTION("IFERROR(
INDEX(
FILTER(
MAP(
reglas!$B$2:$B$240,
reglas!$C$2:$C$240,
reglas!$D$2:$D$240,
reglas!$E$2:$E$240,
LAMBDA(rEmisor,rPatron,rConcepto,rTipo,
IF(
AND(
OR(
UPPER(TRIM(rEmisor))=UPPER(TRIM(C1035)),
UPPER(TRIM(rEmisor))=""CUALQUIERA""
),
OR(
UPPER(TRI"&amp;"M(rTipo))=""SOLO EMISOR"",
AND(
UPPER(TRIM(rTipo))=""EXACTA"",
UPPER(TRIM(AG1035))=UPPER(TRIM(rPatron))
),
AND(
OR(
UPPER(TRIM(rTipo))=""CONTIENE"",
UPPER(TRIM(rTipo))=""COINCIDENCIA""
),
ISNUMBER(SEARCH(UPPER(TRIM(rPatron)),UPPER(TRIM(D1035))))
)
)
),
rC"&amp;"oncepto,
""""
)
)
),
MAP(
reglas!$B$2:$B$240,
reglas!$C$2:$C$240,
reglas!$D$2:$D$240,
reglas!$E$2:$E$240,
LAMBDA(rEmisor,rPatron,rConcepto,rTipo,
IF(
AND(
OR(
UPPER(TRIM(rEmisor))=UPPER(TRIM(C1035)),
UPPER(TRIM(rEmisor))=""CUALQUIERA""
),
OR(
UPPER(TRIM(r"&amp;"Tipo))=""SOLO EMISOR"",
AND(
UPPER(TRIM(rTipo))=""EXACTA"",
UPPER(TRIM(D1035))=UPPER(TRIM(rPatron))
),
AND(
OR(
UPPER(TRIM(rTipo))=""CONTIENE"",
UPPER(TRIM(rTipo))=""COINCIDENCIA""
),
ISNUMBER(SEARCH(UPPER(TRIM(rPatron)),UPPER(TRIM(D1035))))
)
)
),
rConce"&amp;"pto,
""""
)
)
)&lt;&gt;""""
),
1
),
""""
)"),"MANIOBRAS")</f>
        <v>MANIOBRAS</v>
      </c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  <c r="W1035" s="27"/>
      <c r="X1035" s="27"/>
      <c r="Y1035" s="27"/>
    </row>
    <row r="1036">
      <c r="A1036" s="32"/>
      <c r="B1036" s="28" t="s">
        <v>29</v>
      </c>
      <c r="C1036" s="29" t="s">
        <v>278</v>
      </c>
      <c r="D1036" s="29" t="s">
        <v>560</v>
      </c>
      <c r="E1036" s="30">
        <v>3500.0</v>
      </c>
      <c r="F1036" s="28">
        <v>0.0</v>
      </c>
      <c r="G1036" s="28" t="s">
        <v>250</v>
      </c>
      <c r="H1036" s="28">
        <f t="array" ref="H1036">INDEX(CC!C:C,MATCH(1,(CC!A:A=G1036)*(CC!B:B=I1036),0))</f>
        <v>1402</v>
      </c>
      <c r="I1036" s="28" t="s">
        <v>25</v>
      </c>
      <c r="J1036" s="31">
        <v>3500.0</v>
      </c>
      <c r="K1036" s="28" t="str">
        <f>IFERROR(__xludf.DUMMYFUNCTION("IFERROR(
INDEX(
FILTER(
MAP(
reglas!$B$2:$B$240,
reglas!$C$2:$C$240,
reglas!$D$2:$D$240,
reglas!$E$2:$E$240,
LAMBDA(rEmisor,rPatron,rConcepto,rTipo,
IF(
AND(
OR(
UPPER(TRIM(rEmisor))=UPPER(TRIM(C1036)),
UPPER(TRIM(rEmisor))=""CUALQUIERA""
),
OR(
UPPER(TRI"&amp;"M(rTipo))=""SOLO EMISOR"",
AND(
UPPER(TRIM(rTipo))=""EXACTA"",
UPPER(TRIM(AG1036))=UPPER(TRIM(rPatron))
),
AND(
OR(
UPPER(TRIM(rTipo))=""CONTIENE"",
UPPER(TRIM(rTipo))=""COINCIDENCIA""
),
ISNUMBER(SEARCH(UPPER(TRIM(rPatron)),UPPER(TRIM(D1036))))
)
)
),
rC"&amp;"oncepto,
""""
)
)
),
MAP(
reglas!$B$2:$B$240,
reglas!$C$2:$C$240,
reglas!$D$2:$D$240,
reglas!$E$2:$E$240,
LAMBDA(rEmisor,rPatron,rConcepto,rTipo,
IF(
AND(
OR(
UPPER(TRIM(rEmisor))=UPPER(TRIM(C1036)),
UPPER(TRIM(rEmisor))=""CUALQUIERA""
),
OR(
UPPER(TRIM(r"&amp;"Tipo))=""SOLO EMISOR"",
AND(
UPPER(TRIM(rTipo))=""EXACTA"",
UPPER(TRIM(D1036))=UPPER(TRIM(rPatron))
),
AND(
OR(
UPPER(TRIM(rTipo))=""CONTIENE"",
UPPER(TRIM(rTipo))=""COINCIDENCIA""
),
ISNUMBER(SEARCH(UPPER(TRIM(rPatron)),UPPER(TRIM(D1036))))
)
)
),
rConce"&amp;"pto,
""""
)
)
)&lt;&gt;""""
),
1
),
""""
)"),"MANIOBRAS")</f>
        <v>MANIOBRAS</v>
      </c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  <c r="W1036" s="27"/>
      <c r="X1036" s="27"/>
      <c r="Y1036" s="27"/>
    </row>
    <row r="1037">
      <c r="A1037" s="32"/>
      <c r="B1037" s="28" t="s">
        <v>29</v>
      </c>
      <c r="C1037" s="29" t="s">
        <v>172</v>
      </c>
      <c r="D1037" s="29" t="s">
        <v>1811</v>
      </c>
      <c r="E1037" s="30">
        <v>11500.0</v>
      </c>
      <c r="F1037" s="28">
        <v>0.0</v>
      </c>
      <c r="G1037" s="28" t="s">
        <v>250</v>
      </c>
      <c r="H1037" s="28">
        <f t="array" ref="H1037">INDEX(CC!C:C,MATCH(1,(CC!A:A=G1037)*(CC!B:B=I1037),0))</f>
        <v>1402</v>
      </c>
      <c r="I1037" s="28" t="s">
        <v>25</v>
      </c>
      <c r="J1037" s="31">
        <v>11500.0</v>
      </c>
      <c r="K1037" s="28" t="str">
        <f>IFERROR(__xludf.DUMMYFUNCTION("IFERROR(
INDEX(
FILTER(
MAP(
reglas!$B$2:$B$240,
reglas!$C$2:$C$240,
reglas!$D$2:$D$240,
reglas!$E$2:$E$240,
LAMBDA(rEmisor,rPatron,rConcepto,rTipo,
IF(
AND(
OR(
UPPER(TRIM(rEmisor))=UPPER(TRIM(C1037)),
UPPER(TRIM(rEmisor))=""CUALQUIERA""
),
OR(
UPPER(TRI"&amp;"M(rTipo))=""SOLO EMISOR"",
AND(
UPPER(TRIM(rTipo))=""EXACTA"",
UPPER(TRIM(AG1037))=UPPER(TRIM(rPatron))
),
AND(
OR(
UPPER(TRIM(rTipo))=""CONTIENE"",
UPPER(TRIM(rTipo))=""COINCIDENCIA""
),
ISNUMBER(SEARCH(UPPER(TRIM(rPatron)),UPPER(TRIM(D1037))))
)
)
),
rC"&amp;"oncepto,
""""
)
)
),
MAP(
reglas!$B$2:$B$240,
reglas!$C$2:$C$240,
reglas!$D$2:$D$240,
reglas!$E$2:$E$240,
LAMBDA(rEmisor,rPatron,rConcepto,rTipo,
IF(
AND(
OR(
UPPER(TRIM(rEmisor))=UPPER(TRIM(C1037)),
UPPER(TRIM(rEmisor))=""CUALQUIERA""
),
OR(
UPPER(TRIM(r"&amp;"Tipo))=""SOLO EMISOR"",
AND(
UPPER(TRIM(rTipo))=""EXACTA"",
UPPER(TRIM(D1037))=UPPER(TRIM(rPatron))
),
AND(
OR(
UPPER(TRIM(rTipo))=""CONTIENE"",
UPPER(TRIM(rTipo))=""COINCIDENCIA""
),
ISNUMBER(SEARCH(UPPER(TRIM(rPatron)),UPPER(TRIM(D1037))))
)
)
),
rConce"&amp;"pto,
""""
)
)
)&lt;&gt;""""
),
1
),
""""
)"),"TRANSPORTE")</f>
        <v>TRANSPORTE</v>
      </c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  <c r="W1037" s="27"/>
      <c r="X1037" s="27"/>
      <c r="Y1037" s="27"/>
    </row>
    <row r="1038">
      <c r="A1038" s="28">
        <v>1.0</v>
      </c>
      <c r="B1038" s="28" t="s">
        <v>29</v>
      </c>
      <c r="C1038" s="29" t="s">
        <v>437</v>
      </c>
      <c r="D1038" s="29" t="s">
        <v>1827</v>
      </c>
      <c r="E1038" s="30">
        <v>3427.74</v>
      </c>
      <c r="F1038" s="28">
        <v>0.0</v>
      </c>
      <c r="G1038" s="99" t="s">
        <v>250</v>
      </c>
      <c r="H1038" s="28">
        <f t="array" ref="H1038">INDEX(CC!C:C,MATCH(1,(CC!A:A=G1038)*(CC!B:B=I1038),0))</f>
        <v>1402</v>
      </c>
      <c r="I1038" s="28" t="s">
        <v>25</v>
      </c>
      <c r="J1038" s="31">
        <v>3427.74</v>
      </c>
      <c r="K1038" s="28" t="str">
        <f>IFERROR(__xludf.DUMMYFUNCTION("IFERROR(
INDEX(
FILTER(
MAP(
reglas!$B$2:$B$240,
reglas!$C$2:$C$240,
reglas!$D$2:$D$240,
reglas!$E$2:$E$240,
LAMBDA(rEmisor,rPatron,rConcepto,rTipo,
IF(
AND(
OR(
UPPER(TRIM(rEmisor))=UPPER(TRIM(C1038)),
UPPER(TRIM(rEmisor))=""CUALQUIERA""
),
OR(
UPPER(TRI"&amp;"M(rTipo))=""SOLO EMISOR"",
AND(
UPPER(TRIM(rTipo))=""EXACTA"",
UPPER(TRIM(AG1038))=UPPER(TRIM(rPatron))
),
AND(
OR(
UPPER(TRIM(rTipo))=""CONTIENE"",
UPPER(TRIM(rTipo))=""COINCIDENCIA""
),
ISNUMBER(SEARCH(UPPER(TRIM(rPatron)),UPPER(TRIM(D1038))))
)
)
),
rC"&amp;"oncepto,
""""
)
)
),
MAP(
reglas!$B$2:$B$240,
reglas!$C$2:$C$240,
reglas!$D$2:$D$240,
reglas!$E$2:$E$240,
LAMBDA(rEmisor,rPatron,rConcepto,rTipo,
IF(
AND(
OR(
UPPER(TRIM(rEmisor))=UPPER(TRIM(C1038)),
UPPER(TRIM(rEmisor))=""CUALQUIERA""
),
OR(
UPPER(TRIM(r"&amp;"Tipo))=""SOLO EMISOR"",
AND(
UPPER(TRIM(rTipo))=""EXACTA"",
UPPER(TRIM(D1038))=UPPER(TRIM(rPatron))
),
AND(
OR(
UPPER(TRIM(rTipo))=""CONTIENE"",
UPPER(TRIM(rTipo))=""COINCIDENCIA""
),
ISNUMBER(SEARCH(UPPER(TRIM(rPatron)),UPPER(TRIM(D1038))))
)
)
),
rConce"&amp;"pto,
""""
)
)
)&lt;&gt;""""
),
1
),
""""
)"),"MANIOBRAS")</f>
        <v>MANIOBRAS</v>
      </c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  <c r="W1038" s="27"/>
      <c r="X1038" s="27"/>
      <c r="Y1038" s="27"/>
    </row>
    <row r="1039">
      <c r="A1039" s="32"/>
      <c r="B1039" s="28" t="s">
        <v>29</v>
      </c>
      <c r="C1039" s="29" t="s">
        <v>278</v>
      </c>
      <c r="D1039" s="29" t="s">
        <v>560</v>
      </c>
      <c r="E1039" s="30">
        <v>3500.0</v>
      </c>
      <c r="F1039" s="28">
        <v>0.0</v>
      </c>
      <c r="G1039" s="28" t="s">
        <v>250</v>
      </c>
      <c r="H1039" s="28">
        <f t="array" ref="H1039">INDEX(CC!C:C,MATCH(1,(CC!A:A=G1039)*(CC!B:B=I1039),0))</f>
        <v>1402</v>
      </c>
      <c r="I1039" s="28" t="s">
        <v>25</v>
      </c>
      <c r="J1039" s="31">
        <v>3500.0</v>
      </c>
      <c r="K1039" s="28" t="str">
        <f>IFERROR(__xludf.DUMMYFUNCTION("IFERROR(
INDEX(
FILTER(
MAP(
reglas!$B$2:$B$240,
reglas!$C$2:$C$240,
reglas!$D$2:$D$240,
reglas!$E$2:$E$240,
LAMBDA(rEmisor,rPatron,rConcepto,rTipo,
IF(
AND(
OR(
UPPER(TRIM(rEmisor))=UPPER(TRIM(C1039)),
UPPER(TRIM(rEmisor))=""CUALQUIERA""
),
OR(
UPPER(TRI"&amp;"M(rTipo))=""SOLO EMISOR"",
AND(
UPPER(TRIM(rTipo))=""EXACTA"",
UPPER(TRIM(AG1039))=UPPER(TRIM(rPatron))
),
AND(
OR(
UPPER(TRIM(rTipo))=""CONTIENE"",
UPPER(TRIM(rTipo))=""COINCIDENCIA""
),
ISNUMBER(SEARCH(UPPER(TRIM(rPatron)),UPPER(TRIM(D1039))))
)
)
),
rC"&amp;"oncepto,
""""
)
)
),
MAP(
reglas!$B$2:$B$240,
reglas!$C$2:$C$240,
reglas!$D$2:$D$240,
reglas!$E$2:$E$240,
LAMBDA(rEmisor,rPatron,rConcepto,rTipo,
IF(
AND(
OR(
UPPER(TRIM(rEmisor))=UPPER(TRIM(C1039)),
UPPER(TRIM(rEmisor))=""CUALQUIERA""
),
OR(
UPPER(TRIM(r"&amp;"Tipo))=""SOLO EMISOR"",
AND(
UPPER(TRIM(rTipo))=""EXACTA"",
UPPER(TRIM(D1039))=UPPER(TRIM(rPatron))
),
AND(
OR(
UPPER(TRIM(rTipo))=""CONTIENE"",
UPPER(TRIM(rTipo))=""COINCIDENCIA""
),
ISNUMBER(SEARCH(UPPER(TRIM(rPatron)),UPPER(TRIM(D1039))))
)
)
),
rConce"&amp;"pto,
""""
)
)
)&lt;&gt;""""
),
1
),
""""
)"),"MANIOBRAS")</f>
        <v>MANIOBRAS</v>
      </c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7"/>
      <c r="X1039" s="27"/>
      <c r="Y1039" s="27"/>
    </row>
    <row r="1040">
      <c r="A1040" s="32"/>
      <c r="B1040" s="28" t="s">
        <v>29</v>
      </c>
      <c r="C1040" s="29" t="s">
        <v>276</v>
      </c>
      <c r="D1040" s="29" t="s">
        <v>1619</v>
      </c>
      <c r="E1040" s="30">
        <v>1802.0</v>
      </c>
      <c r="F1040" s="28">
        <v>0.0</v>
      </c>
      <c r="G1040" s="28" t="s">
        <v>74</v>
      </c>
      <c r="H1040" s="28">
        <f t="array" ref="H1040">INDEX(CC!C:C,MATCH(1,(CC!A:A=G1040)*(CC!B:B=I1040),0))</f>
        <v>1503</v>
      </c>
      <c r="I1040" s="28" t="s">
        <v>44</v>
      </c>
      <c r="J1040" s="31">
        <v>1802.0</v>
      </c>
      <c r="K1040" s="28" t="str">
        <f>IFERROR(__xludf.DUMMYFUNCTION("IFERROR(
INDEX(
FILTER(
MAP(
reglas!$B$2:$B$240,
reglas!$C$2:$C$240,
reglas!$D$2:$D$240,
reglas!$E$2:$E$240,
LAMBDA(rEmisor,rPatron,rConcepto,rTipo,
IF(
AND(
OR(
UPPER(TRIM(rEmisor))=UPPER(TRIM(C1040)),
UPPER(TRIM(rEmisor))=""CUALQUIERA""
),
OR(
UPPER(TRI"&amp;"M(rTipo))=""SOLO EMISOR"",
AND(
UPPER(TRIM(rTipo))=""EXACTA"",
UPPER(TRIM(AG1040))=UPPER(TRIM(rPatron))
),
AND(
OR(
UPPER(TRIM(rTipo))=""CONTIENE"",
UPPER(TRIM(rTipo))=""COINCIDENCIA""
),
ISNUMBER(SEARCH(UPPER(TRIM(rPatron)),UPPER(TRIM(D1040))))
)
)
),
rC"&amp;"oncepto,
""""
)
)
),
MAP(
reglas!$B$2:$B$240,
reglas!$C$2:$C$240,
reglas!$D$2:$D$240,
reglas!$E$2:$E$240,
LAMBDA(rEmisor,rPatron,rConcepto,rTipo,
IF(
AND(
OR(
UPPER(TRIM(rEmisor))=UPPER(TRIM(C1040)),
UPPER(TRIM(rEmisor))=""CUALQUIERA""
),
OR(
UPPER(TRIM(r"&amp;"Tipo))=""SOLO EMISOR"",
AND(
UPPER(TRIM(rTipo))=""EXACTA"",
UPPER(TRIM(D1040))=UPPER(TRIM(rPatron))
),
AND(
OR(
UPPER(TRIM(rTipo))=""CONTIENE"",
UPPER(TRIM(rTipo))=""COINCIDENCIA""
),
ISNUMBER(SEARCH(UPPER(TRIM(rPatron)),UPPER(TRIM(D1040))))
)
)
),
rConce"&amp;"pto,
""""
)
)
)&lt;&gt;""""
),
1
),
""""
)"),"MANIOBRAS")</f>
        <v>MANIOBRAS</v>
      </c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  <c r="W1040" s="27"/>
      <c r="X1040" s="27"/>
      <c r="Y1040" s="27"/>
    </row>
    <row r="1041">
      <c r="A1041" s="28">
        <v>1.0</v>
      </c>
      <c r="B1041" s="28" t="s">
        <v>29</v>
      </c>
      <c r="C1041" s="29" t="s">
        <v>120</v>
      </c>
      <c r="D1041" s="29" t="s">
        <v>1072</v>
      </c>
      <c r="E1041" s="28">
        <v>736.0</v>
      </c>
      <c r="F1041" s="28">
        <v>0.0</v>
      </c>
      <c r="G1041" s="99" t="s">
        <v>551</v>
      </c>
      <c r="H1041" s="28">
        <f t="array" ref="H1041">INDEX(CC!C:C,MATCH(1,(CC!A:A=G1041)*(CC!B:B=I1041),0))</f>
        <v>1202</v>
      </c>
      <c r="I1041" s="28" t="s">
        <v>25</v>
      </c>
      <c r="J1041" s="31">
        <v>736.0</v>
      </c>
      <c r="K1041" s="28" t="str">
        <f>IFERROR(__xludf.DUMMYFUNCTION("IFERROR(
INDEX(
FILTER(
MAP(
reglas!$B$2:$B$240,
reglas!$C$2:$C$240,
reglas!$D$2:$D$240,
reglas!$E$2:$E$240,
LAMBDA(rEmisor,rPatron,rConcepto,rTipo,
IF(
AND(
OR(
UPPER(TRIM(rEmisor))=UPPER(TRIM(C1041)),
UPPER(TRIM(rEmisor))=""CUALQUIERA""
),
OR(
UPPER(TRI"&amp;"M(rTipo))=""SOLO EMISOR"",
AND(
UPPER(TRIM(rTipo))=""EXACTA"",
UPPER(TRIM(AG1041))=UPPER(TRIM(rPatron))
),
AND(
OR(
UPPER(TRIM(rTipo))=""CONTIENE"",
UPPER(TRIM(rTipo))=""COINCIDENCIA""
),
ISNUMBER(SEARCH(UPPER(TRIM(rPatron)),UPPER(TRIM(D1041))))
)
)
),
rC"&amp;"oncepto,
""""
)
)
),
MAP(
reglas!$B$2:$B$240,
reglas!$C$2:$C$240,
reglas!$D$2:$D$240,
reglas!$E$2:$E$240,
LAMBDA(rEmisor,rPatron,rConcepto,rTipo,
IF(
AND(
OR(
UPPER(TRIM(rEmisor))=UPPER(TRIM(C1041)),
UPPER(TRIM(rEmisor))=""CUALQUIERA""
),
OR(
UPPER(TRIM(r"&amp;"Tipo))=""SOLO EMISOR"",
AND(
UPPER(TRIM(rTipo))=""EXACTA"",
UPPER(TRIM(D1041))=UPPER(TRIM(rPatron))
),
AND(
OR(
UPPER(TRIM(rTipo))=""CONTIENE"",
UPPER(TRIM(rTipo))=""COINCIDENCIA""
),
ISNUMBER(SEARCH(UPPER(TRIM(rPatron)),UPPER(TRIM(D1041))))
)
)
),
rConce"&amp;"pto,
""""
)
)
)&lt;&gt;""""
),
1
),
""""
)"),"VALIDACION")</f>
        <v>VALIDACION</v>
      </c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  <c r="W1041" s="27"/>
      <c r="X1041" s="27"/>
      <c r="Y1041" s="27"/>
    </row>
    <row r="1042">
      <c r="A1042" s="32"/>
      <c r="B1042" s="32"/>
      <c r="C1042" s="29" t="s">
        <v>120</v>
      </c>
      <c r="D1042" s="29" t="s">
        <v>1794</v>
      </c>
      <c r="E1042" s="28">
        <v>46.0</v>
      </c>
      <c r="F1042" s="28">
        <v>0.0</v>
      </c>
      <c r="G1042" s="99" t="s">
        <v>551</v>
      </c>
      <c r="H1042" s="28">
        <f t="array" ref="H1042">INDEX(CC!C:C,MATCH(1,(CC!A:A=G1042)*(CC!B:B=I1042),0))</f>
        <v>1202</v>
      </c>
      <c r="I1042" s="28" t="s">
        <v>25</v>
      </c>
      <c r="J1042" s="31">
        <v>46.0</v>
      </c>
      <c r="K1042" s="28" t="str">
        <f>IFERROR(__xludf.DUMMYFUNCTION("IFERROR(
INDEX(
FILTER(
MAP(
reglas!$B$2:$B$240,
reglas!$C$2:$C$240,
reglas!$D$2:$D$240,
reglas!$E$2:$E$240,
LAMBDA(rEmisor,rPatron,rConcepto,rTipo,
IF(
AND(
OR(
UPPER(TRIM(rEmisor))=UPPER(TRIM(C1042)),
UPPER(TRIM(rEmisor))=""CUALQUIERA""
),
OR(
UPPER(TRI"&amp;"M(rTipo))=""SOLO EMISOR"",
AND(
UPPER(TRIM(rTipo))=""EXACTA"",
UPPER(TRIM(AG1042))=UPPER(TRIM(rPatron))
),
AND(
OR(
UPPER(TRIM(rTipo))=""CONTIENE"",
UPPER(TRIM(rTipo))=""COINCIDENCIA""
),
ISNUMBER(SEARCH(UPPER(TRIM(rPatron)),UPPER(TRIM(D1042))))
)
)
),
rC"&amp;"oncepto,
""""
)
)
),
MAP(
reglas!$B$2:$B$240,
reglas!$C$2:$C$240,
reglas!$D$2:$D$240,
reglas!$E$2:$E$240,
LAMBDA(rEmisor,rPatron,rConcepto,rTipo,
IF(
AND(
OR(
UPPER(TRIM(rEmisor))=UPPER(TRIM(C1042)),
UPPER(TRIM(rEmisor))=""CUALQUIERA""
),
OR(
UPPER(TRIM(r"&amp;"Tipo))=""SOLO EMISOR"",
AND(
UPPER(TRIM(rTipo))=""EXACTA"",
UPPER(TRIM(D1042))=UPPER(TRIM(rPatron))
),
AND(
OR(
UPPER(TRIM(rTipo))=""CONTIENE"",
UPPER(TRIM(rTipo))=""COINCIDENCIA""
),
ISNUMBER(SEARCH(UPPER(TRIM(rPatron)),UPPER(TRIM(D1042))))
)
)
),
rConce"&amp;"pto,
""""
)
)
)&lt;&gt;""""
),
1
),
""""
)"),"RECTIFICACIONES")</f>
        <v>RECTIFICACIONES</v>
      </c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</row>
    <row r="1043">
      <c r="A1043" s="32"/>
      <c r="B1043" s="28" t="s">
        <v>29</v>
      </c>
      <c r="C1043" s="29" t="s">
        <v>163</v>
      </c>
      <c r="D1043" s="29" t="s">
        <v>1828</v>
      </c>
      <c r="E1043" s="28">
        <v>262.93</v>
      </c>
      <c r="F1043" s="28">
        <v>0.0</v>
      </c>
      <c r="G1043" s="28" t="s">
        <v>385</v>
      </c>
      <c r="H1043" s="28">
        <f t="array" ref="H1043">INDEX(CC!C:C,MATCH(1,(CC!A:A=G1043)*(CC!B:B=I1043),0))</f>
        <v>502</v>
      </c>
      <c r="I1043" s="28" t="s">
        <v>25</v>
      </c>
      <c r="J1043" s="31">
        <v>262.93</v>
      </c>
      <c r="K1043" s="28" t="str">
        <f>IFERROR(__xludf.DUMMYFUNCTION("IFERROR(
INDEX(
FILTER(
MAP(
reglas!$B$2:$B$240,
reglas!$C$2:$C$240,
reglas!$D$2:$D$240,
reglas!$E$2:$E$240,
LAMBDA(rEmisor,rPatron,rConcepto,rTipo,
IF(
AND(
OR(
UPPER(TRIM(rEmisor))=UPPER(TRIM(C1043)),
UPPER(TRIM(rEmisor))=""CUALQUIERA""
),
OR(
UPPER(TRI"&amp;"M(rTipo))=""SOLO EMISOR"",
AND(
UPPER(TRIM(rTipo))=""EXACTA"",
UPPER(TRIM(AG1043))=UPPER(TRIM(rPatron))
),
AND(
OR(
UPPER(TRIM(rTipo))=""CONTIENE"",
UPPER(TRIM(rTipo))=""COINCIDENCIA""
),
ISNUMBER(SEARCH(UPPER(TRIM(rPatron)),UPPER(TRIM(D1043))))
)
)
),
rC"&amp;"oncepto,
""""
)
)
),
MAP(
reglas!$B$2:$B$240,
reglas!$C$2:$C$240,
reglas!$D$2:$D$240,
reglas!$E$2:$E$240,
LAMBDA(rEmisor,rPatron,rConcepto,rTipo,
IF(
AND(
OR(
UPPER(TRIM(rEmisor))=UPPER(TRIM(C1043)),
UPPER(TRIM(rEmisor))=""CUALQUIERA""
),
OR(
UPPER(TRIM(r"&amp;"Tipo))=""SOLO EMISOR"",
AND(
UPPER(TRIM(rTipo))=""EXACTA"",
UPPER(TRIM(D1043))=UPPER(TRIM(rPatron))
),
AND(
OR(
UPPER(TRIM(rTipo))=""CONTIENE"",
UPPER(TRIM(rTipo))=""COINCIDENCIA""
),
ISNUMBER(SEARCH(UPPER(TRIM(rPatron)),UPPER(TRIM(D1043))))
)
)
),
rConce"&amp;"pto,
""""
)
)
)&lt;&gt;""""
),
1
),
""""
)"),"PATIO REGULADOR")</f>
        <v>PATIO REGULADOR</v>
      </c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  <c r="W1043" s="27"/>
      <c r="X1043" s="27"/>
      <c r="Y1043" s="27"/>
    </row>
    <row r="1044">
      <c r="A1044" s="32"/>
      <c r="B1044" s="28" t="s">
        <v>29</v>
      </c>
      <c r="C1044" s="29" t="s">
        <v>278</v>
      </c>
      <c r="D1044" s="29" t="s">
        <v>560</v>
      </c>
      <c r="E1044" s="30">
        <v>3500.0</v>
      </c>
      <c r="F1044" s="28">
        <v>0.0</v>
      </c>
      <c r="G1044" s="28" t="s">
        <v>250</v>
      </c>
      <c r="H1044" s="28">
        <f t="array" ref="H1044">INDEX(CC!C:C,MATCH(1,(CC!A:A=G1044)*(CC!B:B=I1044),0))</f>
        <v>1402</v>
      </c>
      <c r="I1044" s="28" t="s">
        <v>25</v>
      </c>
      <c r="J1044" s="31">
        <v>3500.0</v>
      </c>
      <c r="K1044" s="28" t="str">
        <f>IFERROR(__xludf.DUMMYFUNCTION("IFERROR(
INDEX(
FILTER(
MAP(
reglas!$B$2:$B$240,
reglas!$C$2:$C$240,
reglas!$D$2:$D$240,
reglas!$E$2:$E$240,
LAMBDA(rEmisor,rPatron,rConcepto,rTipo,
IF(
AND(
OR(
UPPER(TRIM(rEmisor))=UPPER(TRIM(C1044)),
UPPER(TRIM(rEmisor))=""CUALQUIERA""
),
OR(
UPPER(TRI"&amp;"M(rTipo))=""SOLO EMISOR"",
AND(
UPPER(TRIM(rTipo))=""EXACTA"",
UPPER(TRIM(AG1044))=UPPER(TRIM(rPatron))
),
AND(
OR(
UPPER(TRIM(rTipo))=""CONTIENE"",
UPPER(TRIM(rTipo))=""COINCIDENCIA""
),
ISNUMBER(SEARCH(UPPER(TRIM(rPatron)),UPPER(TRIM(D1044))))
)
)
),
rC"&amp;"oncepto,
""""
)
)
),
MAP(
reglas!$B$2:$B$240,
reglas!$C$2:$C$240,
reglas!$D$2:$D$240,
reglas!$E$2:$E$240,
LAMBDA(rEmisor,rPatron,rConcepto,rTipo,
IF(
AND(
OR(
UPPER(TRIM(rEmisor))=UPPER(TRIM(C1044)),
UPPER(TRIM(rEmisor))=""CUALQUIERA""
),
OR(
UPPER(TRIM(r"&amp;"Tipo))=""SOLO EMISOR"",
AND(
UPPER(TRIM(rTipo))=""EXACTA"",
UPPER(TRIM(D1044))=UPPER(TRIM(rPatron))
),
AND(
OR(
UPPER(TRIM(rTipo))=""CONTIENE"",
UPPER(TRIM(rTipo))=""COINCIDENCIA""
),
ISNUMBER(SEARCH(UPPER(TRIM(rPatron)),UPPER(TRIM(D1044))))
)
)
),
rConce"&amp;"pto,
""""
)
)
)&lt;&gt;""""
),
1
),
""""
)"),"MANIOBRAS")</f>
        <v>MANIOBRAS</v>
      </c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  <c r="W1044" s="27"/>
      <c r="X1044" s="27"/>
      <c r="Y1044" s="27"/>
    </row>
    <row r="1045">
      <c r="A1045" s="32"/>
      <c r="B1045" s="28" t="s">
        <v>29</v>
      </c>
      <c r="C1045" s="29" t="s">
        <v>172</v>
      </c>
      <c r="D1045" s="29" t="s">
        <v>1773</v>
      </c>
      <c r="E1045" s="30">
        <v>11500.0</v>
      </c>
      <c r="F1045" s="28">
        <v>0.0</v>
      </c>
      <c r="G1045" s="28" t="s">
        <v>250</v>
      </c>
      <c r="H1045" s="28">
        <f t="array" ref="H1045">INDEX(CC!C:C,MATCH(1,(CC!A:A=G1045)*(CC!B:B=I1045),0))</f>
        <v>1402</v>
      </c>
      <c r="I1045" s="28" t="s">
        <v>25</v>
      </c>
      <c r="J1045" s="31">
        <v>11500.0</v>
      </c>
      <c r="K1045" s="28" t="str">
        <f>IFERROR(__xludf.DUMMYFUNCTION("IFERROR(
INDEX(
FILTER(
MAP(
reglas!$B$2:$B$240,
reglas!$C$2:$C$240,
reglas!$D$2:$D$240,
reglas!$E$2:$E$240,
LAMBDA(rEmisor,rPatron,rConcepto,rTipo,
IF(
AND(
OR(
UPPER(TRIM(rEmisor))=UPPER(TRIM(C1045)),
UPPER(TRIM(rEmisor))=""CUALQUIERA""
),
OR(
UPPER(TRI"&amp;"M(rTipo))=""SOLO EMISOR"",
AND(
UPPER(TRIM(rTipo))=""EXACTA"",
UPPER(TRIM(AG1045))=UPPER(TRIM(rPatron))
),
AND(
OR(
UPPER(TRIM(rTipo))=""CONTIENE"",
UPPER(TRIM(rTipo))=""COINCIDENCIA""
),
ISNUMBER(SEARCH(UPPER(TRIM(rPatron)),UPPER(TRIM(D1045))))
)
)
),
rC"&amp;"oncepto,
""""
)
)
),
MAP(
reglas!$B$2:$B$240,
reglas!$C$2:$C$240,
reglas!$D$2:$D$240,
reglas!$E$2:$E$240,
LAMBDA(rEmisor,rPatron,rConcepto,rTipo,
IF(
AND(
OR(
UPPER(TRIM(rEmisor))=UPPER(TRIM(C1045)),
UPPER(TRIM(rEmisor))=""CUALQUIERA""
),
OR(
UPPER(TRIM(r"&amp;"Tipo))=""SOLO EMISOR"",
AND(
UPPER(TRIM(rTipo))=""EXACTA"",
UPPER(TRIM(D1045))=UPPER(TRIM(rPatron))
),
AND(
OR(
UPPER(TRIM(rTipo))=""CONTIENE"",
UPPER(TRIM(rTipo))=""COINCIDENCIA""
),
ISNUMBER(SEARCH(UPPER(TRIM(rPatron)),UPPER(TRIM(D1045))))
)
)
),
rConce"&amp;"pto,
""""
)
)
)&lt;&gt;""""
),
1
),
""""
)"),"TRANSPORTE")</f>
        <v>TRANSPORTE</v>
      </c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  <c r="W1045" s="27"/>
      <c r="X1045" s="27"/>
      <c r="Y1045" s="27"/>
    </row>
    <row r="1046">
      <c r="A1046" s="32"/>
      <c r="B1046" s="28" t="s">
        <v>29</v>
      </c>
      <c r="C1046" s="29" t="s">
        <v>278</v>
      </c>
      <c r="D1046" s="29" t="s">
        <v>560</v>
      </c>
      <c r="E1046" s="30">
        <v>3500.0</v>
      </c>
      <c r="F1046" s="28">
        <v>0.0</v>
      </c>
      <c r="G1046" s="28" t="s">
        <v>250</v>
      </c>
      <c r="H1046" s="28">
        <f t="array" ref="H1046">INDEX(CC!C:C,MATCH(1,(CC!A:A=G1046)*(CC!B:B=I1046),0))</f>
        <v>1402</v>
      </c>
      <c r="I1046" s="28" t="s">
        <v>25</v>
      </c>
      <c r="J1046" s="31">
        <v>3500.0</v>
      </c>
      <c r="K1046" s="28" t="str">
        <f>IFERROR(__xludf.DUMMYFUNCTION("IFERROR(
INDEX(
FILTER(
MAP(
reglas!$B$2:$B$240,
reglas!$C$2:$C$240,
reglas!$D$2:$D$240,
reglas!$E$2:$E$240,
LAMBDA(rEmisor,rPatron,rConcepto,rTipo,
IF(
AND(
OR(
UPPER(TRIM(rEmisor))=UPPER(TRIM(C1046)),
UPPER(TRIM(rEmisor))=""CUALQUIERA""
),
OR(
UPPER(TRI"&amp;"M(rTipo))=""SOLO EMISOR"",
AND(
UPPER(TRIM(rTipo))=""EXACTA"",
UPPER(TRIM(AG1046))=UPPER(TRIM(rPatron))
),
AND(
OR(
UPPER(TRIM(rTipo))=""CONTIENE"",
UPPER(TRIM(rTipo))=""COINCIDENCIA""
),
ISNUMBER(SEARCH(UPPER(TRIM(rPatron)),UPPER(TRIM(D1046))))
)
)
),
rC"&amp;"oncepto,
""""
)
)
),
MAP(
reglas!$B$2:$B$240,
reglas!$C$2:$C$240,
reglas!$D$2:$D$240,
reglas!$E$2:$E$240,
LAMBDA(rEmisor,rPatron,rConcepto,rTipo,
IF(
AND(
OR(
UPPER(TRIM(rEmisor))=UPPER(TRIM(C1046)),
UPPER(TRIM(rEmisor))=""CUALQUIERA""
),
OR(
UPPER(TRIM(r"&amp;"Tipo))=""SOLO EMISOR"",
AND(
UPPER(TRIM(rTipo))=""EXACTA"",
UPPER(TRIM(D1046))=UPPER(TRIM(rPatron))
),
AND(
OR(
UPPER(TRIM(rTipo))=""CONTIENE"",
UPPER(TRIM(rTipo))=""COINCIDENCIA""
),
ISNUMBER(SEARCH(UPPER(TRIM(rPatron)),UPPER(TRIM(D1046))))
)
)
),
rConce"&amp;"pto,
""""
)
)
)&lt;&gt;""""
),
1
),
""""
)"),"MANIOBRAS")</f>
        <v>MANIOBRAS</v>
      </c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  <c r="W1046" s="27"/>
      <c r="X1046" s="27"/>
      <c r="Y1046" s="27"/>
    </row>
    <row r="1047">
      <c r="A1047" s="28">
        <v>1.0</v>
      </c>
      <c r="B1047" s="28" t="s">
        <v>29</v>
      </c>
      <c r="C1047" s="29" t="s">
        <v>89</v>
      </c>
      <c r="D1047" s="29" t="s">
        <v>91</v>
      </c>
      <c r="E1047" s="30">
        <v>1283.04</v>
      </c>
      <c r="F1047" s="28">
        <v>0.0</v>
      </c>
      <c r="G1047" s="28" t="s">
        <v>601</v>
      </c>
      <c r="H1047" s="28">
        <f t="array" ref="H1047">INDEX(CC!C:C,MATCH(1,(CC!A:A=G1047)*(CC!B:B=I1047),0))</f>
        <v>402</v>
      </c>
      <c r="I1047" s="28" t="s">
        <v>25</v>
      </c>
      <c r="J1047" s="31">
        <v>1283.04</v>
      </c>
      <c r="K1047" s="28" t="str">
        <f>IFERROR(__xludf.DUMMYFUNCTION("IFERROR(
INDEX(
FILTER(
MAP(
reglas!$B$2:$B$240,
reglas!$C$2:$C$240,
reglas!$D$2:$D$240,
reglas!$E$2:$E$240,
LAMBDA(rEmisor,rPatron,rConcepto,rTipo,
IF(
AND(
OR(
UPPER(TRIM(rEmisor))=UPPER(TRIM(C1047)),
UPPER(TRIM(rEmisor))=""CUALQUIERA""
),
OR(
UPPER(TRI"&amp;"M(rTipo))=""SOLO EMISOR"",
AND(
UPPER(TRIM(rTipo))=""EXACTA"",
UPPER(TRIM(AG1047))=UPPER(TRIM(rPatron))
),
AND(
OR(
UPPER(TRIM(rTipo))=""CONTIENE"",
UPPER(TRIM(rTipo))=""COINCIDENCIA""
),
ISNUMBER(SEARCH(UPPER(TRIM(rPatron)),UPPER(TRIM(D1047))))
)
)
),
rC"&amp;"oncepto,
""""
)
)
),
MAP(
reglas!$B$2:$B$240,
reglas!$C$2:$C$240,
reglas!$D$2:$D$240,
reglas!$E$2:$E$240,
LAMBDA(rEmisor,rPatron,rConcepto,rTipo,
IF(
AND(
OR(
UPPER(TRIM(rEmisor))=UPPER(TRIM(C1047)),
UPPER(TRIM(rEmisor))=""CUALQUIERA""
),
OR(
UPPER(TRIM(r"&amp;"Tipo))=""SOLO EMISOR"",
AND(
UPPER(TRIM(rTipo))=""EXACTA"",
UPPER(TRIM(D1047))=UPPER(TRIM(rPatron))
),
AND(
OR(
UPPER(TRIM(rTipo))=""CONTIENE"",
UPPER(TRIM(rTipo))=""COINCIDENCIA""
),
ISNUMBER(SEARCH(UPPER(TRIM(rPatron)),UPPER(TRIM(D1047))))
)
)
),
rConce"&amp;"pto,
""""
)
)
)&lt;&gt;""""
),
1
),
""""
)"),"MANIOBRAS")</f>
        <v>MANIOBRAS</v>
      </c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7"/>
      <c r="X1047" s="27"/>
      <c r="Y1047" s="27"/>
    </row>
    <row r="1048">
      <c r="A1048" s="32"/>
      <c r="B1048" s="28" t="s">
        <v>29</v>
      </c>
      <c r="C1048" s="29" t="s">
        <v>172</v>
      </c>
      <c r="D1048" s="29" t="s">
        <v>1789</v>
      </c>
      <c r="E1048" s="30">
        <v>11500.0</v>
      </c>
      <c r="F1048" s="28">
        <v>0.0</v>
      </c>
      <c r="G1048" s="28" t="s">
        <v>250</v>
      </c>
      <c r="H1048" s="28">
        <f t="array" ref="H1048">INDEX(CC!C:C,MATCH(1,(CC!A:A=G1048)*(CC!B:B=I1048),0))</f>
        <v>1402</v>
      </c>
      <c r="I1048" s="28" t="s">
        <v>25</v>
      </c>
      <c r="J1048" s="31">
        <v>11500.0</v>
      </c>
      <c r="K1048" s="28" t="str">
        <f>IFERROR(__xludf.DUMMYFUNCTION("IFERROR(
INDEX(
FILTER(
MAP(
reglas!$B$2:$B$240,
reglas!$C$2:$C$240,
reglas!$D$2:$D$240,
reglas!$E$2:$E$240,
LAMBDA(rEmisor,rPatron,rConcepto,rTipo,
IF(
AND(
OR(
UPPER(TRIM(rEmisor))=UPPER(TRIM(C1048)),
UPPER(TRIM(rEmisor))=""CUALQUIERA""
),
OR(
UPPER(TRI"&amp;"M(rTipo))=""SOLO EMISOR"",
AND(
UPPER(TRIM(rTipo))=""EXACTA"",
UPPER(TRIM(AG1048))=UPPER(TRIM(rPatron))
),
AND(
OR(
UPPER(TRIM(rTipo))=""CONTIENE"",
UPPER(TRIM(rTipo))=""COINCIDENCIA""
),
ISNUMBER(SEARCH(UPPER(TRIM(rPatron)),UPPER(TRIM(D1048))))
)
)
),
rC"&amp;"oncepto,
""""
)
)
),
MAP(
reglas!$B$2:$B$240,
reglas!$C$2:$C$240,
reglas!$D$2:$D$240,
reglas!$E$2:$E$240,
LAMBDA(rEmisor,rPatron,rConcepto,rTipo,
IF(
AND(
OR(
UPPER(TRIM(rEmisor))=UPPER(TRIM(C1048)),
UPPER(TRIM(rEmisor))=""CUALQUIERA""
),
OR(
UPPER(TRIM(r"&amp;"Tipo))=""SOLO EMISOR"",
AND(
UPPER(TRIM(rTipo))=""EXACTA"",
UPPER(TRIM(D1048))=UPPER(TRIM(rPatron))
),
AND(
OR(
UPPER(TRIM(rTipo))=""CONTIENE"",
UPPER(TRIM(rTipo))=""COINCIDENCIA""
),
ISNUMBER(SEARCH(UPPER(TRIM(rPatron)),UPPER(TRIM(D1048))))
)
)
),
rConce"&amp;"pto,
""""
)
)
)&lt;&gt;""""
),
1
),
""""
)"),"TRANSPORTE")</f>
        <v>TRANSPORTE</v>
      </c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  <c r="W1048" s="27"/>
      <c r="X1048" s="27"/>
      <c r="Y1048" s="27"/>
    </row>
    <row r="1049">
      <c r="A1049" s="32"/>
      <c r="B1049" s="28" t="s">
        <v>29</v>
      </c>
      <c r="C1049" s="29" t="s">
        <v>172</v>
      </c>
      <c r="D1049" s="29" t="s">
        <v>1811</v>
      </c>
      <c r="E1049" s="30">
        <v>11500.0</v>
      </c>
      <c r="F1049" s="28">
        <v>0.0</v>
      </c>
      <c r="G1049" s="28" t="s">
        <v>250</v>
      </c>
      <c r="H1049" s="28">
        <f t="array" ref="H1049">INDEX(CC!C:C,MATCH(1,(CC!A:A=G1049)*(CC!B:B=I1049),0))</f>
        <v>1402</v>
      </c>
      <c r="I1049" s="28" t="s">
        <v>25</v>
      </c>
      <c r="J1049" s="31">
        <v>11500.0</v>
      </c>
      <c r="K1049" s="28" t="str">
        <f>IFERROR(__xludf.DUMMYFUNCTION("IFERROR(
INDEX(
FILTER(
MAP(
reglas!$B$2:$B$240,
reglas!$C$2:$C$240,
reglas!$D$2:$D$240,
reglas!$E$2:$E$240,
LAMBDA(rEmisor,rPatron,rConcepto,rTipo,
IF(
AND(
OR(
UPPER(TRIM(rEmisor))=UPPER(TRIM(C1049)),
UPPER(TRIM(rEmisor))=""CUALQUIERA""
),
OR(
UPPER(TRI"&amp;"M(rTipo))=""SOLO EMISOR"",
AND(
UPPER(TRIM(rTipo))=""EXACTA"",
UPPER(TRIM(AG1049))=UPPER(TRIM(rPatron))
),
AND(
OR(
UPPER(TRIM(rTipo))=""CONTIENE"",
UPPER(TRIM(rTipo))=""COINCIDENCIA""
),
ISNUMBER(SEARCH(UPPER(TRIM(rPatron)),UPPER(TRIM(D1049))))
)
)
),
rC"&amp;"oncepto,
""""
)
)
),
MAP(
reglas!$B$2:$B$240,
reglas!$C$2:$C$240,
reglas!$D$2:$D$240,
reglas!$E$2:$E$240,
LAMBDA(rEmisor,rPatron,rConcepto,rTipo,
IF(
AND(
OR(
UPPER(TRIM(rEmisor))=UPPER(TRIM(C1049)),
UPPER(TRIM(rEmisor))=""CUALQUIERA""
),
OR(
UPPER(TRIM(r"&amp;"Tipo))=""SOLO EMISOR"",
AND(
UPPER(TRIM(rTipo))=""EXACTA"",
UPPER(TRIM(D1049))=UPPER(TRIM(rPatron))
),
AND(
OR(
UPPER(TRIM(rTipo))=""CONTIENE"",
UPPER(TRIM(rTipo))=""COINCIDENCIA""
),
ISNUMBER(SEARCH(UPPER(TRIM(rPatron)),UPPER(TRIM(D1049))))
)
)
),
rConce"&amp;"pto,
""""
)
)
)&lt;&gt;""""
),
1
),
""""
)"),"TRANSPORTE")</f>
        <v>TRANSPORTE</v>
      </c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</row>
    <row r="1050">
      <c r="A1050" s="28">
        <v>1.0</v>
      </c>
      <c r="B1050" s="28" t="s">
        <v>29</v>
      </c>
      <c r="C1050" s="29" t="s">
        <v>120</v>
      </c>
      <c r="D1050" s="29" t="s">
        <v>127</v>
      </c>
      <c r="E1050" s="28">
        <v>920.0</v>
      </c>
      <c r="F1050" s="28">
        <v>0.0</v>
      </c>
      <c r="G1050" s="99" t="s">
        <v>551</v>
      </c>
      <c r="H1050" s="28">
        <f t="array" ref="H1050">INDEX(CC!C:C,MATCH(1,(CC!A:A=G1050)*(CC!B:B=I1050),0))</f>
        <v>1202</v>
      </c>
      <c r="I1050" s="28" t="s">
        <v>25</v>
      </c>
      <c r="J1050" s="31">
        <v>920.0</v>
      </c>
      <c r="K1050" s="28" t="str">
        <f>IFERROR(__xludf.DUMMYFUNCTION("IFERROR(
INDEX(
FILTER(
MAP(
reglas!$B$2:$B$240,
reglas!$C$2:$C$240,
reglas!$D$2:$D$240,
reglas!$E$2:$E$240,
LAMBDA(rEmisor,rPatron,rConcepto,rTipo,
IF(
AND(
OR(
UPPER(TRIM(rEmisor))=UPPER(TRIM(C1050)),
UPPER(TRIM(rEmisor))=""CUALQUIERA""
),
OR(
UPPER(TRI"&amp;"M(rTipo))=""SOLO EMISOR"",
AND(
UPPER(TRIM(rTipo))=""EXACTA"",
UPPER(TRIM(AG1050))=UPPER(TRIM(rPatron))
),
AND(
OR(
UPPER(TRIM(rTipo))=""CONTIENE"",
UPPER(TRIM(rTipo))=""COINCIDENCIA""
),
ISNUMBER(SEARCH(UPPER(TRIM(rPatron)),UPPER(TRIM(D1050))))
)
)
),
rC"&amp;"oncepto,
""""
)
)
),
MAP(
reglas!$B$2:$B$240,
reglas!$C$2:$C$240,
reglas!$D$2:$D$240,
reglas!$E$2:$E$240,
LAMBDA(rEmisor,rPatron,rConcepto,rTipo,
IF(
AND(
OR(
UPPER(TRIM(rEmisor))=UPPER(TRIM(C1050)),
UPPER(TRIM(rEmisor))=""CUALQUIERA""
),
OR(
UPPER(TRIM(r"&amp;"Tipo))=""SOLO EMISOR"",
AND(
UPPER(TRIM(rTipo))=""EXACTA"",
UPPER(TRIM(D1050))=UPPER(TRIM(rPatron))
),
AND(
OR(
UPPER(TRIM(rTipo))=""CONTIENE"",
UPPER(TRIM(rTipo))=""COINCIDENCIA""
),
ISNUMBER(SEARCH(UPPER(TRIM(rPatron)),UPPER(TRIM(D1050))))
)
)
),
rConce"&amp;"pto,
""""
)
)
)&lt;&gt;""""
),
1
),
""""
)"),"VALIDACION")</f>
        <v>VALIDACION</v>
      </c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  <c r="W1050" s="27"/>
      <c r="X1050" s="27"/>
      <c r="Y1050" s="27"/>
    </row>
    <row r="1051">
      <c r="A1051" s="32"/>
      <c r="B1051" s="28" t="s">
        <v>29</v>
      </c>
      <c r="C1051" s="29" t="s">
        <v>331</v>
      </c>
      <c r="D1051" s="29" t="s">
        <v>33</v>
      </c>
      <c r="E1051" s="28">
        <v>0.01</v>
      </c>
      <c r="F1051" s="28">
        <v>0.0</v>
      </c>
      <c r="G1051" s="28" t="s">
        <v>385</v>
      </c>
      <c r="H1051" s="28">
        <f t="array" ref="H1051">INDEX(CC!C:C,MATCH(1,(CC!A:A=G1051)*(CC!B:B=I1051),0))</f>
        <v>502</v>
      </c>
      <c r="I1051" s="28" t="s">
        <v>25</v>
      </c>
      <c r="J1051" s="31">
        <v>0.01</v>
      </c>
      <c r="K1051" s="28" t="str">
        <f>IFERROR(__xludf.DUMMYFUNCTION("IFERROR(
INDEX(
FILTER(
MAP(
reglas!$B$2:$B$240,
reglas!$C$2:$C$240,
reglas!$D$2:$D$240,
reglas!$E$2:$E$240,
LAMBDA(rEmisor,rPatron,rConcepto,rTipo,
IF(
AND(
OR(
UPPER(TRIM(rEmisor))=UPPER(TRIM(C1051)),
UPPER(TRIM(rEmisor))=""CUALQUIERA""
),
OR(
UPPER(TRI"&amp;"M(rTipo))=""SOLO EMISOR"",
AND(
UPPER(TRIM(rTipo))=""EXACTA"",
UPPER(TRIM(AG1051))=UPPER(TRIM(rPatron))
),
AND(
OR(
UPPER(TRIM(rTipo))=""CONTIENE"",
UPPER(TRIM(rTipo))=""COINCIDENCIA""
),
ISNUMBER(SEARCH(UPPER(TRIM(rPatron)),UPPER(TRIM(D1051))))
)
)
),
rC"&amp;"oncepto,
""""
)
)
),
MAP(
reglas!$B$2:$B$240,
reglas!$C$2:$C$240,
reglas!$D$2:$D$240,
reglas!$E$2:$E$240,
LAMBDA(rEmisor,rPatron,rConcepto,rTipo,
IF(
AND(
OR(
UPPER(TRIM(rEmisor))=UPPER(TRIM(C1051)),
UPPER(TRIM(rEmisor))=""CUALQUIERA""
),
OR(
UPPER(TRIM(r"&amp;"Tipo))=""SOLO EMISOR"",
AND(
UPPER(TRIM(rTipo))=""EXACTA"",
UPPER(TRIM(D1051))=UPPER(TRIM(rPatron))
),
AND(
OR(
UPPER(TRIM(rTipo))=""CONTIENE"",
UPPER(TRIM(rTipo))=""COINCIDENCIA""
),
ISNUMBER(SEARCH(UPPER(TRIM(rPatron)),UPPER(TRIM(D1051))))
)
)
),
rConce"&amp;"pto,
""""
)
)
)&lt;&gt;""""
),
1
),
""""
)"),"N/A")</f>
        <v>N/A</v>
      </c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</row>
    <row r="1052">
      <c r="A1052" s="32"/>
      <c r="B1052" s="28" t="s">
        <v>29</v>
      </c>
      <c r="C1052" s="29" t="s">
        <v>172</v>
      </c>
      <c r="D1052" s="29" t="s">
        <v>1789</v>
      </c>
      <c r="E1052" s="30">
        <v>11500.0</v>
      </c>
      <c r="F1052" s="28">
        <v>0.0</v>
      </c>
      <c r="G1052" s="28" t="s">
        <v>250</v>
      </c>
      <c r="H1052" s="28">
        <f t="array" ref="H1052">INDEX(CC!C:C,MATCH(1,(CC!A:A=G1052)*(CC!B:B=I1052),0))</f>
        <v>1402</v>
      </c>
      <c r="I1052" s="28" t="s">
        <v>25</v>
      </c>
      <c r="J1052" s="31">
        <v>11500.0</v>
      </c>
      <c r="K1052" s="28" t="str">
        <f>IFERROR(__xludf.DUMMYFUNCTION("IFERROR(
INDEX(
FILTER(
MAP(
reglas!$B$2:$B$240,
reglas!$C$2:$C$240,
reglas!$D$2:$D$240,
reglas!$E$2:$E$240,
LAMBDA(rEmisor,rPatron,rConcepto,rTipo,
IF(
AND(
OR(
UPPER(TRIM(rEmisor))=UPPER(TRIM(C1052)),
UPPER(TRIM(rEmisor))=""CUALQUIERA""
),
OR(
UPPER(TRI"&amp;"M(rTipo))=""SOLO EMISOR"",
AND(
UPPER(TRIM(rTipo))=""EXACTA"",
UPPER(TRIM(AG1052))=UPPER(TRIM(rPatron))
),
AND(
OR(
UPPER(TRIM(rTipo))=""CONTIENE"",
UPPER(TRIM(rTipo))=""COINCIDENCIA""
),
ISNUMBER(SEARCH(UPPER(TRIM(rPatron)),UPPER(TRIM(D1052))))
)
)
),
rC"&amp;"oncepto,
""""
)
)
),
MAP(
reglas!$B$2:$B$240,
reglas!$C$2:$C$240,
reglas!$D$2:$D$240,
reglas!$E$2:$E$240,
LAMBDA(rEmisor,rPatron,rConcepto,rTipo,
IF(
AND(
OR(
UPPER(TRIM(rEmisor))=UPPER(TRIM(C1052)),
UPPER(TRIM(rEmisor))=""CUALQUIERA""
),
OR(
UPPER(TRIM(r"&amp;"Tipo))=""SOLO EMISOR"",
AND(
UPPER(TRIM(rTipo))=""EXACTA"",
UPPER(TRIM(D1052))=UPPER(TRIM(rPatron))
),
AND(
OR(
UPPER(TRIM(rTipo))=""CONTIENE"",
UPPER(TRIM(rTipo))=""COINCIDENCIA""
),
ISNUMBER(SEARCH(UPPER(TRIM(rPatron)),UPPER(TRIM(D1052))))
)
)
),
rConce"&amp;"pto,
""""
)
)
)&lt;&gt;""""
),
1
),
""""
)"),"TRANSPORTE")</f>
        <v>TRANSPORTE</v>
      </c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</row>
    <row r="1053">
      <c r="A1053" s="32"/>
      <c r="B1053" s="28" t="s">
        <v>29</v>
      </c>
      <c r="C1053" s="29" t="s">
        <v>278</v>
      </c>
      <c r="D1053" s="29" t="s">
        <v>560</v>
      </c>
      <c r="E1053" s="30">
        <v>3500.0</v>
      </c>
      <c r="F1053" s="28">
        <v>0.0</v>
      </c>
      <c r="G1053" s="28" t="s">
        <v>250</v>
      </c>
      <c r="H1053" s="28">
        <f t="array" ref="H1053">INDEX(CC!C:C,MATCH(1,(CC!A:A=G1053)*(CC!B:B=I1053),0))</f>
        <v>1402</v>
      </c>
      <c r="I1053" s="28" t="s">
        <v>25</v>
      </c>
      <c r="J1053" s="31">
        <v>3500.0</v>
      </c>
      <c r="K1053" s="28" t="str">
        <f>IFERROR(__xludf.DUMMYFUNCTION("IFERROR(
INDEX(
FILTER(
MAP(
reglas!$B$2:$B$240,
reglas!$C$2:$C$240,
reglas!$D$2:$D$240,
reglas!$E$2:$E$240,
LAMBDA(rEmisor,rPatron,rConcepto,rTipo,
IF(
AND(
OR(
UPPER(TRIM(rEmisor))=UPPER(TRIM(C1053)),
UPPER(TRIM(rEmisor))=""CUALQUIERA""
),
OR(
UPPER(TRI"&amp;"M(rTipo))=""SOLO EMISOR"",
AND(
UPPER(TRIM(rTipo))=""EXACTA"",
UPPER(TRIM(AG1053))=UPPER(TRIM(rPatron))
),
AND(
OR(
UPPER(TRIM(rTipo))=""CONTIENE"",
UPPER(TRIM(rTipo))=""COINCIDENCIA""
),
ISNUMBER(SEARCH(UPPER(TRIM(rPatron)),UPPER(TRIM(D1053))))
)
)
),
rC"&amp;"oncepto,
""""
)
)
),
MAP(
reglas!$B$2:$B$240,
reglas!$C$2:$C$240,
reglas!$D$2:$D$240,
reglas!$E$2:$E$240,
LAMBDA(rEmisor,rPatron,rConcepto,rTipo,
IF(
AND(
OR(
UPPER(TRIM(rEmisor))=UPPER(TRIM(C1053)),
UPPER(TRIM(rEmisor))=""CUALQUIERA""
),
OR(
UPPER(TRIM(r"&amp;"Tipo))=""SOLO EMISOR"",
AND(
UPPER(TRIM(rTipo))=""EXACTA"",
UPPER(TRIM(D1053))=UPPER(TRIM(rPatron))
),
AND(
OR(
UPPER(TRIM(rTipo))=""CONTIENE"",
UPPER(TRIM(rTipo))=""COINCIDENCIA""
),
ISNUMBER(SEARCH(UPPER(TRIM(rPatron)),UPPER(TRIM(D1053))))
)
)
),
rConce"&amp;"pto,
""""
)
)
)&lt;&gt;""""
),
1
),
""""
)"),"MANIOBRAS")</f>
        <v>MANIOBRAS</v>
      </c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  <c r="W1053" s="27"/>
      <c r="X1053" s="27"/>
      <c r="Y1053" s="27"/>
    </row>
    <row r="1054">
      <c r="A1054" s="28">
        <v>1.0</v>
      </c>
      <c r="B1054" s="28" t="s">
        <v>29</v>
      </c>
      <c r="C1054" s="29" t="s">
        <v>271</v>
      </c>
      <c r="D1054" s="29" t="s">
        <v>585</v>
      </c>
      <c r="E1054" s="28">
        <v>623.85</v>
      </c>
      <c r="F1054" s="28">
        <v>0.0</v>
      </c>
      <c r="G1054" s="28" t="s">
        <v>84</v>
      </c>
      <c r="H1054" s="28">
        <f t="array" ref="H1054">INDEX(CC!C:C,MATCH(1,(CC!A:A=G1054)*(CC!B:B=I1054),0))</f>
        <v>1002</v>
      </c>
      <c r="I1054" s="28" t="s">
        <v>25</v>
      </c>
      <c r="J1054" s="31">
        <v>623.85</v>
      </c>
      <c r="K1054" s="28" t="str">
        <f>IFERROR(__xludf.DUMMYFUNCTION("IFERROR(
INDEX(
FILTER(
MAP(
reglas!$B$2:$B$240,
reglas!$C$2:$C$240,
reglas!$D$2:$D$240,
reglas!$E$2:$E$240,
LAMBDA(rEmisor,rPatron,rConcepto,rTipo,
IF(
AND(
OR(
UPPER(TRIM(rEmisor))=UPPER(TRIM(C1054)),
UPPER(TRIM(rEmisor))=""CUALQUIERA""
),
OR(
UPPER(TRI"&amp;"M(rTipo))=""SOLO EMISOR"",
AND(
UPPER(TRIM(rTipo))=""EXACTA"",
UPPER(TRIM(AG1054))=UPPER(TRIM(rPatron))
),
AND(
OR(
UPPER(TRIM(rTipo))=""CONTIENE"",
UPPER(TRIM(rTipo))=""COINCIDENCIA""
),
ISNUMBER(SEARCH(UPPER(TRIM(rPatron)),UPPER(TRIM(D1054))))
)
)
),
rC"&amp;"oncepto,
""""
)
)
),
MAP(
reglas!$B$2:$B$240,
reglas!$C$2:$C$240,
reglas!$D$2:$D$240,
reglas!$E$2:$E$240,
LAMBDA(rEmisor,rPatron,rConcepto,rTipo,
IF(
AND(
OR(
UPPER(TRIM(rEmisor))=UPPER(TRIM(C1054)),
UPPER(TRIM(rEmisor))=""CUALQUIERA""
),
OR(
UPPER(TRIM(r"&amp;"Tipo))=""SOLO EMISOR"",
AND(
UPPER(TRIM(rTipo))=""EXACTA"",
UPPER(TRIM(D1054))=UPPER(TRIM(rPatron))
),
AND(
OR(
UPPER(TRIM(rTipo))=""CONTIENE"",
UPPER(TRIM(rTipo))=""COINCIDENCIA""
),
ISNUMBER(SEARCH(UPPER(TRIM(rPatron)),UPPER(TRIM(D1054))))
)
)
),
rConce"&amp;"pto,
""""
)
)
)&lt;&gt;""""
),
1
),
""""
)"),"MANIOBRAS")</f>
        <v>MANIOBRAS</v>
      </c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  <c r="W1054" s="27"/>
      <c r="X1054" s="27"/>
      <c r="Y1054" s="27"/>
    </row>
    <row r="1055">
      <c r="A1055" s="32"/>
      <c r="B1055" s="32"/>
      <c r="C1055" s="29" t="s">
        <v>271</v>
      </c>
      <c r="D1055" s="29" t="s">
        <v>587</v>
      </c>
      <c r="E1055" s="28">
        <v>570.78</v>
      </c>
      <c r="F1055" s="28">
        <v>0.0</v>
      </c>
      <c r="G1055" s="28" t="s">
        <v>84</v>
      </c>
      <c r="H1055" s="28">
        <f t="array" ref="H1055">INDEX(CC!C:C,MATCH(1,(CC!A:A=G1055)*(CC!B:B=I1055),0))</f>
        <v>1002</v>
      </c>
      <c r="I1055" s="28" t="s">
        <v>25</v>
      </c>
      <c r="J1055" s="31">
        <v>570.78</v>
      </c>
      <c r="K1055" s="28" t="str">
        <f>IFERROR(__xludf.DUMMYFUNCTION("IFERROR(
INDEX(
FILTER(
MAP(
reglas!$B$2:$B$240,
reglas!$C$2:$C$240,
reglas!$D$2:$D$240,
reglas!$E$2:$E$240,
LAMBDA(rEmisor,rPatron,rConcepto,rTipo,
IF(
AND(
OR(
UPPER(TRIM(rEmisor))=UPPER(TRIM(C1055)),
UPPER(TRIM(rEmisor))=""CUALQUIERA""
),
OR(
UPPER(TRI"&amp;"M(rTipo))=""SOLO EMISOR"",
AND(
UPPER(TRIM(rTipo))=""EXACTA"",
UPPER(TRIM(AG1055))=UPPER(TRIM(rPatron))
),
AND(
OR(
UPPER(TRIM(rTipo))=""CONTIENE"",
UPPER(TRIM(rTipo))=""COINCIDENCIA""
),
ISNUMBER(SEARCH(UPPER(TRIM(rPatron)),UPPER(TRIM(D1055))))
)
)
),
rC"&amp;"oncepto,
""""
)
)
),
MAP(
reglas!$B$2:$B$240,
reglas!$C$2:$C$240,
reglas!$D$2:$D$240,
reglas!$E$2:$E$240,
LAMBDA(rEmisor,rPatron,rConcepto,rTipo,
IF(
AND(
OR(
UPPER(TRIM(rEmisor))=UPPER(TRIM(C1055)),
UPPER(TRIM(rEmisor))=""CUALQUIERA""
),
OR(
UPPER(TRIM(r"&amp;"Tipo))=""SOLO EMISOR"",
AND(
UPPER(TRIM(rTipo))=""EXACTA"",
UPPER(TRIM(D1055))=UPPER(TRIM(rPatron))
),
AND(
OR(
UPPER(TRIM(rTipo))=""CONTIENE"",
UPPER(TRIM(rTipo))=""COINCIDENCIA""
),
ISNUMBER(SEARCH(UPPER(TRIM(rPatron)),UPPER(TRIM(D1055))))
)
)
),
rConce"&amp;"pto,
""""
)
)
)&lt;&gt;""""
),
1
),
""""
)"),"MANIOBRAS")</f>
        <v>MANIOBRAS</v>
      </c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  <c r="W1055" s="27"/>
      <c r="X1055" s="27"/>
      <c r="Y1055" s="27"/>
    </row>
    <row r="1056">
      <c r="A1056" s="32"/>
      <c r="B1056" s="32"/>
      <c r="C1056" s="29" t="s">
        <v>271</v>
      </c>
      <c r="D1056" s="29" t="s">
        <v>589</v>
      </c>
      <c r="E1056" s="28">
        <v>624.19</v>
      </c>
      <c r="F1056" s="28">
        <v>0.0</v>
      </c>
      <c r="G1056" s="28" t="s">
        <v>84</v>
      </c>
      <c r="H1056" s="28">
        <f t="array" ref="H1056">INDEX(CC!C:C,MATCH(1,(CC!A:A=G1056)*(CC!B:B=I1056),0))</f>
        <v>1002</v>
      </c>
      <c r="I1056" s="28" t="s">
        <v>25</v>
      </c>
      <c r="J1056" s="31">
        <v>624.19</v>
      </c>
      <c r="K1056" s="28" t="str">
        <f>IFERROR(__xludf.DUMMYFUNCTION("IFERROR(
INDEX(
FILTER(
MAP(
reglas!$B$2:$B$240,
reglas!$C$2:$C$240,
reglas!$D$2:$D$240,
reglas!$E$2:$E$240,
LAMBDA(rEmisor,rPatron,rConcepto,rTipo,
IF(
AND(
OR(
UPPER(TRIM(rEmisor))=UPPER(TRIM(C1056)),
UPPER(TRIM(rEmisor))=""CUALQUIERA""
),
OR(
UPPER(TRI"&amp;"M(rTipo))=""SOLO EMISOR"",
AND(
UPPER(TRIM(rTipo))=""EXACTA"",
UPPER(TRIM(AG1056))=UPPER(TRIM(rPatron))
),
AND(
OR(
UPPER(TRIM(rTipo))=""CONTIENE"",
UPPER(TRIM(rTipo))=""COINCIDENCIA""
),
ISNUMBER(SEARCH(UPPER(TRIM(rPatron)),UPPER(TRIM(D1056))))
)
)
),
rC"&amp;"oncepto,
""""
)
)
),
MAP(
reglas!$B$2:$B$240,
reglas!$C$2:$C$240,
reglas!$D$2:$D$240,
reglas!$E$2:$E$240,
LAMBDA(rEmisor,rPatron,rConcepto,rTipo,
IF(
AND(
OR(
UPPER(TRIM(rEmisor))=UPPER(TRIM(C1056)),
UPPER(TRIM(rEmisor))=""CUALQUIERA""
),
OR(
UPPER(TRIM(r"&amp;"Tipo))=""SOLO EMISOR"",
AND(
UPPER(TRIM(rTipo))=""EXACTA"",
UPPER(TRIM(D1056))=UPPER(TRIM(rPatron))
),
AND(
OR(
UPPER(TRIM(rTipo))=""CONTIENE"",
UPPER(TRIM(rTipo))=""COINCIDENCIA""
),
ISNUMBER(SEARCH(UPPER(TRIM(rPatron)),UPPER(TRIM(D1056))))
)
)
),
rConce"&amp;"pto,
""""
)
)
)&lt;&gt;""""
),
1
),
""""
)"),"MANIOBRAS")</f>
        <v>MANIOBRAS</v>
      </c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  <c r="W1056" s="27"/>
      <c r="X1056" s="27"/>
      <c r="Y1056" s="27"/>
    </row>
    <row r="1057">
      <c r="A1057" s="32"/>
      <c r="B1057" s="32"/>
      <c r="C1057" s="29" t="s">
        <v>271</v>
      </c>
      <c r="D1057" s="29" t="s">
        <v>596</v>
      </c>
      <c r="E1057" s="28">
        <v>654.91</v>
      </c>
      <c r="F1057" s="28">
        <v>0.0</v>
      </c>
      <c r="G1057" s="28" t="s">
        <v>84</v>
      </c>
      <c r="H1057" s="28">
        <f t="array" ref="H1057">INDEX(CC!C:C,MATCH(1,(CC!A:A=G1057)*(CC!B:B=I1057),0))</f>
        <v>1002</v>
      </c>
      <c r="I1057" s="28" t="s">
        <v>25</v>
      </c>
      <c r="J1057" s="31">
        <v>654.91</v>
      </c>
      <c r="K1057" s="28" t="str">
        <f>IFERROR(__xludf.DUMMYFUNCTION("IFERROR(
INDEX(
FILTER(
MAP(
reglas!$B$2:$B$240,
reglas!$C$2:$C$240,
reglas!$D$2:$D$240,
reglas!$E$2:$E$240,
LAMBDA(rEmisor,rPatron,rConcepto,rTipo,
IF(
AND(
OR(
UPPER(TRIM(rEmisor))=UPPER(TRIM(C1057)),
UPPER(TRIM(rEmisor))=""CUALQUIERA""
),
OR(
UPPER(TRI"&amp;"M(rTipo))=""SOLO EMISOR"",
AND(
UPPER(TRIM(rTipo))=""EXACTA"",
UPPER(TRIM(AG1057))=UPPER(TRIM(rPatron))
),
AND(
OR(
UPPER(TRIM(rTipo))=""CONTIENE"",
UPPER(TRIM(rTipo))=""COINCIDENCIA""
),
ISNUMBER(SEARCH(UPPER(TRIM(rPatron)),UPPER(TRIM(D1057))))
)
)
),
rC"&amp;"oncepto,
""""
)
)
),
MAP(
reglas!$B$2:$B$240,
reglas!$C$2:$C$240,
reglas!$D$2:$D$240,
reglas!$E$2:$E$240,
LAMBDA(rEmisor,rPatron,rConcepto,rTipo,
IF(
AND(
OR(
UPPER(TRIM(rEmisor))=UPPER(TRIM(C1057)),
UPPER(TRIM(rEmisor))=""CUALQUIERA""
),
OR(
UPPER(TRIM(r"&amp;"Tipo))=""SOLO EMISOR"",
AND(
UPPER(TRIM(rTipo))=""EXACTA"",
UPPER(TRIM(D1057))=UPPER(TRIM(rPatron))
),
AND(
OR(
UPPER(TRIM(rTipo))=""CONTIENE"",
UPPER(TRIM(rTipo))=""COINCIDENCIA""
),
ISNUMBER(SEARCH(UPPER(TRIM(rPatron)),UPPER(TRIM(D1057))))
)
)
),
rConce"&amp;"pto,
""""
)
)
)&lt;&gt;""""
),
1
),
""""
)"),"MANIOBRAS")</f>
        <v>MANIOBRAS</v>
      </c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  <c r="W1057" s="27"/>
      <c r="X1057" s="27"/>
      <c r="Y1057" s="27"/>
    </row>
    <row r="1058">
      <c r="A1058" s="32"/>
      <c r="B1058" s="28" t="s">
        <v>29</v>
      </c>
      <c r="C1058" s="29" t="s">
        <v>172</v>
      </c>
      <c r="D1058" s="29" t="s">
        <v>1829</v>
      </c>
      <c r="E1058" s="30">
        <v>11500.0</v>
      </c>
      <c r="F1058" s="28">
        <v>0.0</v>
      </c>
      <c r="G1058" s="28" t="s">
        <v>250</v>
      </c>
      <c r="H1058" s="28">
        <f t="array" ref="H1058">INDEX(CC!C:C,MATCH(1,(CC!A:A=G1058)*(CC!B:B=I1058),0))</f>
        <v>1402</v>
      </c>
      <c r="I1058" s="28" t="s">
        <v>25</v>
      </c>
      <c r="J1058" s="31">
        <v>11500.0</v>
      </c>
      <c r="K1058" s="28" t="str">
        <f>IFERROR(__xludf.DUMMYFUNCTION("IFERROR(
INDEX(
FILTER(
MAP(
reglas!$B$2:$B$240,
reglas!$C$2:$C$240,
reglas!$D$2:$D$240,
reglas!$E$2:$E$240,
LAMBDA(rEmisor,rPatron,rConcepto,rTipo,
IF(
AND(
OR(
UPPER(TRIM(rEmisor))=UPPER(TRIM(C1058)),
UPPER(TRIM(rEmisor))=""CUALQUIERA""
),
OR(
UPPER(TRI"&amp;"M(rTipo))=""SOLO EMISOR"",
AND(
UPPER(TRIM(rTipo))=""EXACTA"",
UPPER(TRIM(AG1058))=UPPER(TRIM(rPatron))
),
AND(
OR(
UPPER(TRIM(rTipo))=""CONTIENE"",
UPPER(TRIM(rTipo))=""COINCIDENCIA""
),
ISNUMBER(SEARCH(UPPER(TRIM(rPatron)),UPPER(TRIM(D1058))))
)
)
),
rC"&amp;"oncepto,
""""
)
)
),
MAP(
reglas!$B$2:$B$240,
reglas!$C$2:$C$240,
reglas!$D$2:$D$240,
reglas!$E$2:$E$240,
LAMBDA(rEmisor,rPatron,rConcepto,rTipo,
IF(
AND(
OR(
UPPER(TRIM(rEmisor))=UPPER(TRIM(C1058)),
UPPER(TRIM(rEmisor))=""CUALQUIERA""
),
OR(
UPPER(TRIM(r"&amp;"Tipo))=""SOLO EMISOR"",
AND(
UPPER(TRIM(rTipo))=""EXACTA"",
UPPER(TRIM(D1058))=UPPER(TRIM(rPatron))
),
AND(
OR(
UPPER(TRIM(rTipo))=""CONTIENE"",
UPPER(TRIM(rTipo))=""COINCIDENCIA""
),
ISNUMBER(SEARCH(UPPER(TRIM(rPatron)),UPPER(TRIM(D1058))))
)
)
),
rConce"&amp;"pto,
""""
)
)
)&lt;&gt;""""
),
1
),
""""
)"),"TRANSPORTE")</f>
        <v>TRANSPORTE</v>
      </c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  <c r="W1058" s="27"/>
      <c r="X1058" s="27"/>
      <c r="Y1058" s="27"/>
    </row>
    <row r="1059">
      <c r="A1059" s="32"/>
      <c r="B1059" s="28" t="s">
        <v>29</v>
      </c>
      <c r="C1059" s="29" t="s">
        <v>163</v>
      </c>
      <c r="D1059" s="29" t="s">
        <v>166</v>
      </c>
      <c r="E1059" s="28">
        <v>200.87</v>
      </c>
      <c r="F1059" s="28">
        <v>0.0</v>
      </c>
      <c r="G1059" s="28" t="s">
        <v>84</v>
      </c>
      <c r="H1059" s="28">
        <f t="array" ref="H1059">INDEX(CC!C:C,MATCH(1,(CC!A:A=G1059)*(CC!B:B=I1059),0))</f>
        <v>1002</v>
      </c>
      <c r="I1059" s="28" t="s">
        <v>25</v>
      </c>
      <c r="J1059" s="31">
        <v>200.87</v>
      </c>
      <c r="K1059" s="28" t="str">
        <f>IFERROR(__xludf.DUMMYFUNCTION("IFERROR(
INDEX(
FILTER(
MAP(
reglas!$B$2:$B$240,
reglas!$C$2:$C$240,
reglas!$D$2:$D$240,
reglas!$E$2:$E$240,
LAMBDA(rEmisor,rPatron,rConcepto,rTipo,
IF(
AND(
OR(
UPPER(TRIM(rEmisor))=UPPER(TRIM(C1059)),
UPPER(TRIM(rEmisor))=""CUALQUIERA""
),
OR(
UPPER(TRI"&amp;"M(rTipo))=""SOLO EMISOR"",
AND(
UPPER(TRIM(rTipo))=""EXACTA"",
UPPER(TRIM(AG1059))=UPPER(TRIM(rPatron))
),
AND(
OR(
UPPER(TRIM(rTipo))=""CONTIENE"",
UPPER(TRIM(rTipo))=""COINCIDENCIA""
),
ISNUMBER(SEARCH(UPPER(TRIM(rPatron)),UPPER(TRIM(D1059))))
)
)
),
rC"&amp;"oncepto,
""""
)
)
),
MAP(
reglas!$B$2:$B$240,
reglas!$C$2:$C$240,
reglas!$D$2:$D$240,
reglas!$E$2:$E$240,
LAMBDA(rEmisor,rPatron,rConcepto,rTipo,
IF(
AND(
OR(
UPPER(TRIM(rEmisor))=UPPER(TRIM(C1059)),
UPPER(TRIM(rEmisor))=""CUALQUIERA""
),
OR(
UPPER(TRIM(r"&amp;"Tipo))=""SOLO EMISOR"",
AND(
UPPER(TRIM(rTipo))=""EXACTA"",
UPPER(TRIM(D1059))=UPPER(TRIM(rPatron))
),
AND(
OR(
UPPER(TRIM(rTipo))=""CONTIENE"",
UPPER(TRIM(rTipo))=""COINCIDENCIA""
),
ISNUMBER(SEARCH(UPPER(TRIM(rPatron)),UPPER(TRIM(D1059))))
)
)
),
rConce"&amp;"pto,
""""
)
)
)&lt;&gt;""""
),
1
),
""""
)"),"ARRENDAMIENTO")</f>
        <v>ARRENDAMIENTO</v>
      </c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  <c r="W1059" s="27"/>
      <c r="X1059" s="27"/>
      <c r="Y1059" s="27"/>
    </row>
    <row r="1060">
      <c r="A1060" s="32"/>
      <c r="B1060" s="28" t="s">
        <v>29</v>
      </c>
      <c r="C1060" s="29" t="s">
        <v>172</v>
      </c>
      <c r="D1060" s="29" t="s">
        <v>1830</v>
      </c>
      <c r="E1060" s="30">
        <v>11500.0</v>
      </c>
      <c r="F1060" s="28">
        <v>0.0</v>
      </c>
      <c r="G1060" s="28" t="s">
        <v>250</v>
      </c>
      <c r="H1060" s="28">
        <f t="array" ref="H1060">INDEX(CC!C:C,MATCH(1,(CC!A:A=G1060)*(CC!B:B=I1060),0))</f>
        <v>1402</v>
      </c>
      <c r="I1060" s="28" t="s">
        <v>25</v>
      </c>
      <c r="J1060" s="31">
        <v>11500.0</v>
      </c>
      <c r="K1060" s="28" t="str">
        <f>IFERROR(__xludf.DUMMYFUNCTION("IFERROR(
INDEX(
FILTER(
MAP(
reglas!$B$2:$B$240,
reglas!$C$2:$C$240,
reglas!$D$2:$D$240,
reglas!$E$2:$E$240,
LAMBDA(rEmisor,rPatron,rConcepto,rTipo,
IF(
AND(
OR(
UPPER(TRIM(rEmisor))=UPPER(TRIM(C1060)),
UPPER(TRIM(rEmisor))=""CUALQUIERA""
),
OR(
UPPER(TRI"&amp;"M(rTipo))=""SOLO EMISOR"",
AND(
UPPER(TRIM(rTipo))=""EXACTA"",
UPPER(TRIM(AG1060))=UPPER(TRIM(rPatron))
),
AND(
OR(
UPPER(TRIM(rTipo))=""CONTIENE"",
UPPER(TRIM(rTipo))=""COINCIDENCIA""
),
ISNUMBER(SEARCH(UPPER(TRIM(rPatron)),UPPER(TRIM(D1060))))
)
)
),
rC"&amp;"oncepto,
""""
)
)
),
MAP(
reglas!$B$2:$B$240,
reglas!$C$2:$C$240,
reglas!$D$2:$D$240,
reglas!$E$2:$E$240,
LAMBDA(rEmisor,rPatron,rConcepto,rTipo,
IF(
AND(
OR(
UPPER(TRIM(rEmisor))=UPPER(TRIM(C1060)),
UPPER(TRIM(rEmisor))=""CUALQUIERA""
),
OR(
UPPER(TRIM(r"&amp;"Tipo))=""SOLO EMISOR"",
AND(
UPPER(TRIM(rTipo))=""EXACTA"",
UPPER(TRIM(D1060))=UPPER(TRIM(rPatron))
),
AND(
OR(
UPPER(TRIM(rTipo))=""CONTIENE"",
UPPER(TRIM(rTipo))=""COINCIDENCIA""
),
ISNUMBER(SEARCH(UPPER(TRIM(rPatron)),UPPER(TRIM(D1060))))
)
)
),
rConce"&amp;"pto,
""""
)
)
)&lt;&gt;""""
),
1
),
""""
)"),"TRANSPORTE")</f>
        <v>TRANSPORTE</v>
      </c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  <c r="W1060" s="27"/>
      <c r="X1060" s="27"/>
      <c r="Y1060" s="27"/>
    </row>
    <row r="1061">
      <c r="A1061" s="32"/>
      <c r="B1061" s="28" t="s">
        <v>29</v>
      </c>
      <c r="C1061" s="29" t="s">
        <v>278</v>
      </c>
      <c r="D1061" s="29" t="s">
        <v>560</v>
      </c>
      <c r="E1061" s="30">
        <v>3500.0</v>
      </c>
      <c r="F1061" s="28">
        <v>0.0</v>
      </c>
      <c r="G1061" s="28" t="s">
        <v>250</v>
      </c>
      <c r="H1061" s="28">
        <f t="array" ref="H1061">INDEX(CC!C:C,MATCH(1,(CC!A:A=G1061)*(CC!B:B=I1061),0))</f>
        <v>1402</v>
      </c>
      <c r="I1061" s="28" t="s">
        <v>25</v>
      </c>
      <c r="J1061" s="31">
        <v>3500.0</v>
      </c>
      <c r="K1061" s="28" t="str">
        <f>IFERROR(__xludf.DUMMYFUNCTION("IFERROR(
INDEX(
FILTER(
MAP(
reglas!$B$2:$B$240,
reglas!$C$2:$C$240,
reglas!$D$2:$D$240,
reglas!$E$2:$E$240,
LAMBDA(rEmisor,rPatron,rConcepto,rTipo,
IF(
AND(
OR(
UPPER(TRIM(rEmisor))=UPPER(TRIM(C1061)),
UPPER(TRIM(rEmisor))=""CUALQUIERA""
),
OR(
UPPER(TRI"&amp;"M(rTipo))=""SOLO EMISOR"",
AND(
UPPER(TRIM(rTipo))=""EXACTA"",
UPPER(TRIM(AG1061))=UPPER(TRIM(rPatron))
),
AND(
OR(
UPPER(TRIM(rTipo))=""CONTIENE"",
UPPER(TRIM(rTipo))=""COINCIDENCIA""
),
ISNUMBER(SEARCH(UPPER(TRIM(rPatron)),UPPER(TRIM(D1061))))
)
)
),
rC"&amp;"oncepto,
""""
)
)
),
MAP(
reglas!$B$2:$B$240,
reglas!$C$2:$C$240,
reglas!$D$2:$D$240,
reglas!$E$2:$E$240,
LAMBDA(rEmisor,rPatron,rConcepto,rTipo,
IF(
AND(
OR(
UPPER(TRIM(rEmisor))=UPPER(TRIM(C1061)),
UPPER(TRIM(rEmisor))=""CUALQUIERA""
),
OR(
UPPER(TRIM(r"&amp;"Tipo))=""SOLO EMISOR"",
AND(
UPPER(TRIM(rTipo))=""EXACTA"",
UPPER(TRIM(D1061))=UPPER(TRIM(rPatron))
),
AND(
OR(
UPPER(TRIM(rTipo))=""CONTIENE"",
UPPER(TRIM(rTipo))=""COINCIDENCIA""
),
ISNUMBER(SEARCH(UPPER(TRIM(rPatron)),UPPER(TRIM(D1061))))
)
)
),
rConce"&amp;"pto,
""""
)
)
)&lt;&gt;""""
),
1
),
""""
)"),"MANIOBRAS")</f>
        <v>MANIOBRAS</v>
      </c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  <c r="W1061" s="27"/>
      <c r="X1061" s="27"/>
      <c r="Y1061" s="27"/>
    </row>
    <row r="1062">
      <c r="A1062" s="32"/>
      <c r="B1062" s="28" t="s">
        <v>29</v>
      </c>
      <c r="C1062" s="29" t="s">
        <v>331</v>
      </c>
      <c r="D1062" s="29" t="s">
        <v>33</v>
      </c>
      <c r="E1062" s="28">
        <v>0.01</v>
      </c>
      <c r="F1062" s="28">
        <v>0.0</v>
      </c>
      <c r="G1062" s="28" t="s">
        <v>385</v>
      </c>
      <c r="H1062" s="28">
        <f t="array" ref="H1062">INDEX(CC!C:C,MATCH(1,(CC!A:A=G1062)*(CC!B:B=I1062),0))</f>
        <v>502</v>
      </c>
      <c r="I1062" s="28" t="s">
        <v>25</v>
      </c>
      <c r="J1062" s="31">
        <v>0.01</v>
      </c>
      <c r="K1062" s="28" t="str">
        <f>IFERROR(__xludf.DUMMYFUNCTION("IFERROR(
INDEX(
FILTER(
MAP(
reglas!$B$2:$B$240,
reglas!$C$2:$C$240,
reglas!$D$2:$D$240,
reglas!$E$2:$E$240,
LAMBDA(rEmisor,rPatron,rConcepto,rTipo,
IF(
AND(
OR(
UPPER(TRIM(rEmisor))=UPPER(TRIM(C1062)),
UPPER(TRIM(rEmisor))=""CUALQUIERA""
),
OR(
UPPER(TRI"&amp;"M(rTipo))=""SOLO EMISOR"",
AND(
UPPER(TRIM(rTipo))=""EXACTA"",
UPPER(TRIM(AG1062))=UPPER(TRIM(rPatron))
),
AND(
OR(
UPPER(TRIM(rTipo))=""CONTIENE"",
UPPER(TRIM(rTipo))=""COINCIDENCIA""
),
ISNUMBER(SEARCH(UPPER(TRIM(rPatron)),UPPER(TRIM(D1062))))
)
)
),
rC"&amp;"oncepto,
""""
)
)
),
MAP(
reglas!$B$2:$B$240,
reglas!$C$2:$C$240,
reglas!$D$2:$D$240,
reglas!$E$2:$E$240,
LAMBDA(rEmisor,rPatron,rConcepto,rTipo,
IF(
AND(
OR(
UPPER(TRIM(rEmisor))=UPPER(TRIM(C1062)),
UPPER(TRIM(rEmisor))=""CUALQUIERA""
),
OR(
UPPER(TRIM(r"&amp;"Tipo))=""SOLO EMISOR"",
AND(
UPPER(TRIM(rTipo))=""EXACTA"",
UPPER(TRIM(D1062))=UPPER(TRIM(rPatron))
),
AND(
OR(
UPPER(TRIM(rTipo))=""CONTIENE"",
UPPER(TRIM(rTipo))=""COINCIDENCIA""
),
ISNUMBER(SEARCH(UPPER(TRIM(rPatron)),UPPER(TRIM(D1062))))
)
)
),
rConce"&amp;"pto,
""""
)
)
)&lt;&gt;""""
),
1
),
""""
)"),"N/A")</f>
        <v>N/A</v>
      </c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7"/>
      <c r="X1062" s="27"/>
      <c r="Y1062" s="27"/>
    </row>
    <row r="1063">
      <c r="A1063" s="28">
        <v>1.0</v>
      </c>
      <c r="B1063" s="28" t="s">
        <v>29</v>
      </c>
      <c r="C1063" s="29" t="s">
        <v>271</v>
      </c>
      <c r="D1063" s="29" t="s">
        <v>585</v>
      </c>
      <c r="E1063" s="28">
        <v>623.85</v>
      </c>
      <c r="F1063" s="28">
        <v>0.0</v>
      </c>
      <c r="G1063" s="28" t="s">
        <v>84</v>
      </c>
      <c r="H1063" s="28">
        <f t="array" ref="H1063">INDEX(CC!C:C,MATCH(1,(CC!A:A=G1063)*(CC!B:B=I1063),0))</f>
        <v>1002</v>
      </c>
      <c r="I1063" s="28" t="s">
        <v>25</v>
      </c>
      <c r="J1063" s="31">
        <v>623.85</v>
      </c>
      <c r="K1063" s="28" t="str">
        <f>IFERROR(__xludf.DUMMYFUNCTION("IFERROR(
INDEX(
FILTER(
MAP(
reglas!$B$2:$B$240,
reglas!$C$2:$C$240,
reglas!$D$2:$D$240,
reglas!$E$2:$E$240,
LAMBDA(rEmisor,rPatron,rConcepto,rTipo,
IF(
AND(
OR(
UPPER(TRIM(rEmisor))=UPPER(TRIM(C1063)),
UPPER(TRIM(rEmisor))=""CUALQUIERA""
),
OR(
UPPER(TRI"&amp;"M(rTipo))=""SOLO EMISOR"",
AND(
UPPER(TRIM(rTipo))=""EXACTA"",
UPPER(TRIM(AG1063))=UPPER(TRIM(rPatron))
),
AND(
OR(
UPPER(TRIM(rTipo))=""CONTIENE"",
UPPER(TRIM(rTipo))=""COINCIDENCIA""
),
ISNUMBER(SEARCH(UPPER(TRIM(rPatron)),UPPER(TRIM(D1063))))
)
)
),
rC"&amp;"oncepto,
""""
)
)
),
MAP(
reglas!$B$2:$B$240,
reglas!$C$2:$C$240,
reglas!$D$2:$D$240,
reglas!$E$2:$E$240,
LAMBDA(rEmisor,rPatron,rConcepto,rTipo,
IF(
AND(
OR(
UPPER(TRIM(rEmisor))=UPPER(TRIM(C1063)),
UPPER(TRIM(rEmisor))=""CUALQUIERA""
),
OR(
UPPER(TRIM(r"&amp;"Tipo))=""SOLO EMISOR"",
AND(
UPPER(TRIM(rTipo))=""EXACTA"",
UPPER(TRIM(D1063))=UPPER(TRIM(rPatron))
),
AND(
OR(
UPPER(TRIM(rTipo))=""CONTIENE"",
UPPER(TRIM(rTipo))=""COINCIDENCIA""
),
ISNUMBER(SEARCH(UPPER(TRIM(rPatron)),UPPER(TRIM(D1063))))
)
)
),
rConce"&amp;"pto,
""""
)
)
)&lt;&gt;""""
),
1
),
""""
)"),"MANIOBRAS")</f>
        <v>MANIOBRAS</v>
      </c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  <c r="W1063" s="27"/>
      <c r="X1063" s="27"/>
      <c r="Y1063" s="27"/>
    </row>
    <row r="1064">
      <c r="A1064" s="32"/>
      <c r="B1064" s="32"/>
      <c r="C1064" s="29" t="s">
        <v>271</v>
      </c>
      <c r="D1064" s="29" t="s">
        <v>587</v>
      </c>
      <c r="E1064" s="28">
        <v>570.78</v>
      </c>
      <c r="F1064" s="28">
        <v>0.0</v>
      </c>
      <c r="G1064" s="28" t="s">
        <v>84</v>
      </c>
      <c r="H1064" s="28">
        <f t="array" ref="H1064">INDEX(CC!C:C,MATCH(1,(CC!A:A=G1064)*(CC!B:B=I1064),0))</f>
        <v>1002</v>
      </c>
      <c r="I1064" s="28" t="s">
        <v>25</v>
      </c>
      <c r="J1064" s="31">
        <v>570.78</v>
      </c>
      <c r="K1064" s="28" t="str">
        <f>IFERROR(__xludf.DUMMYFUNCTION("IFERROR(
INDEX(
FILTER(
MAP(
reglas!$B$2:$B$240,
reglas!$C$2:$C$240,
reglas!$D$2:$D$240,
reglas!$E$2:$E$240,
LAMBDA(rEmisor,rPatron,rConcepto,rTipo,
IF(
AND(
OR(
UPPER(TRIM(rEmisor))=UPPER(TRIM(C1064)),
UPPER(TRIM(rEmisor))=""CUALQUIERA""
),
OR(
UPPER(TRI"&amp;"M(rTipo))=""SOLO EMISOR"",
AND(
UPPER(TRIM(rTipo))=""EXACTA"",
UPPER(TRIM(AG1064))=UPPER(TRIM(rPatron))
),
AND(
OR(
UPPER(TRIM(rTipo))=""CONTIENE"",
UPPER(TRIM(rTipo))=""COINCIDENCIA""
),
ISNUMBER(SEARCH(UPPER(TRIM(rPatron)),UPPER(TRIM(D1064))))
)
)
),
rC"&amp;"oncepto,
""""
)
)
),
MAP(
reglas!$B$2:$B$240,
reglas!$C$2:$C$240,
reglas!$D$2:$D$240,
reglas!$E$2:$E$240,
LAMBDA(rEmisor,rPatron,rConcepto,rTipo,
IF(
AND(
OR(
UPPER(TRIM(rEmisor))=UPPER(TRIM(C1064)),
UPPER(TRIM(rEmisor))=""CUALQUIERA""
),
OR(
UPPER(TRIM(r"&amp;"Tipo))=""SOLO EMISOR"",
AND(
UPPER(TRIM(rTipo))=""EXACTA"",
UPPER(TRIM(D1064))=UPPER(TRIM(rPatron))
),
AND(
OR(
UPPER(TRIM(rTipo))=""CONTIENE"",
UPPER(TRIM(rTipo))=""COINCIDENCIA""
),
ISNUMBER(SEARCH(UPPER(TRIM(rPatron)),UPPER(TRIM(D1064))))
)
)
),
rConce"&amp;"pto,
""""
)
)
)&lt;&gt;""""
),
1
),
""""
)"),"MANIOBRAS")</f>
        <v>MANIOBRAS</v>
      </c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  <c r="W1064" s="27"/>
      <c r="X1064" s="27"/>
      <c r="Y1064" s="27"/>
    </row>
    <row r="1065">
      <c r="A1065" s="32"/>
      <c r="B1065" s="32"/>
      <c r="C1065" s="29" t="s">
        <v>271</v>
      </c>
      <c r="D1065" s="29" t="s">
        <v>589</v>
      </c>
      <c r="E1065" s="28">
        <v>624.19</v>
      </c>
      <c r="F1065" s="28">
        <v>0.0</v>
      </c>
      <c r="G1065" s="28" t="s">
        <v>84</v>
      </c>
      <c r="H1065" s="28">
        <f t="array" ref="H1065">INDEX(CC!C:C,MATCH(1,(CC!A:A=G1065)*(CC!B:B=I1065),0))</f>
        <v>1002</v>
      </c>
      <c r="I1065" s="28" t="s">
        <v>25</v>
      </c>
      <c r="J1065" s="31">
        <v>624.19</v>
      </c>
      <c r="K1065" s="28" t="str">
        <f>IFERROR(__xludf.DUMMYFUNCTION("IFERROR(
INDEX(
FILTER(
MAP(
reglas!$B$2:$B$240,
reglas!$C$2:$C$240,
reglas!$D$2:$D$240,
reglas!$E$2:$E$240,
LAMBDA(rEmisor,rPatron,rConcepto,rTipo,
IF(
AND(
OR(
UPPER(TRIM(rEmisor))=UPPER(TRIM(C1065)),
UPPER(TRIM(rEmisor))=""CUALQUIERA""
),
OR(
UPPER(TRI"&amp;"M(rTipo))=""SOLO EMISOR"",
AND(
UPPER(TRIM(rTipo))=""EXACTA"",
UPPER(TRIM(AG1065))=UPPER(TRIM(rPatron))
),
AND(
OR(
UPPER(TRIM(rTipo))=""CONTIENE"",
UPPER(TRIM(rTipo))=""COINCIDENCIA""
),
ISNUMBER(SEARCH(UPPER(TRIM(rPatron)),UPPER(TRIM(D1065))))
)
)
),
rC"&amp;"oncepto,
""""
)
)
),
MAP(
reglas!$B$2:$B$240,
reglas!$C$2:$C$240,
reglas!$D$2:$D$240,
reglas!$E$2:$E$240,
LAMBDA(rEmisor,rPatron,rConcepto,rTipo,
IF(
AND(
OR(
UPPER(TRIM(rEmisor))=UPPER(TRIM(C1065)),
UPPER(TRIM(rEmisor))=""CUALQUIERA""
),
OR(
UPPER(TRIM(r"&amp;"Tipo))=""SOLO EMISOR"",
AND(
UPPER(TRIM(rTipo))=""EXACTA"",
UPPER(TRIM(D1065))=UPPER(TRIM(rPatron))
),
AND(
OR(
UPPER(TRIM(rTipo))=""CONTIENE"",
UPPER(TRIM(rTipo))=""COINCIDENCIA""
),
ISNUMBER(SEARCH(UPPER(TRIM(rPatron)),UPPER(TRIM(D1065))))
)
)
),
rConce"&amp;"pto,
""""
)
)
)&lt;&gt;""""
),
1
),
""""
)"),"MANIOBRAS")</f>
        <v>MANIOBRAS</v>
      </c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  <c r="W1065" s="27"/>
      <c r="X1065" s="27"/>
      <c r="Y1065" s="27"/>
    </row>
    <row r="1066">
      <c r="A1066" s="32"/>
      <c r="B1066" s="32"/>
      <c r="C1066" s="29" t="s">
        <v>271</v>
      </c>
      <c r="D1066" s="29" t="s">
        <v>596</v>
      </c>
      <c r="E1066" s="28">
        <v>654.91</v>
      </c>
      <c r="F1066" s="28">
        <v>0.0</v>
      </c>
      <c r="G1066" s="28" t="s">
        <v>84</v>
      </c>
      <c r="H1066" s="28">
        <f t="array" ref="H1066">INDEX(CC!C:C,MATCH(1,(CC!A:A=G1066)*(CC!B:B=I1066),0))</f>
        <v>1002</v>
      </c>
      <c r="I1066" s="28" t="s">
        <v>25</v>
      </c>
      <c r="J1066" s="31">
        <v>654.91</v>
      </c>
      <c r="K1066" s="28" t="str">
        <f>IFERROR(__xludf.DUMMYFUNCTION("IFERROR(
INDEX(
FILTER(
MAP(
reglas!$B$2:$B$240,
reglas!$C$2:$C$240,
reglas!$D$2:$D$240,
reglas!$E$2:$E$240,
LAMBDA(rEmisor,rPatron,rConcepto,rTipo,
IF(
AND(
OR(
UPPER(TRIM(rEmisor))=UPPER(TRIM(C1066)),
UPPER(TRIM(rEmisor))=""CUALQUIERA""
),
OR(
UPPER(TRI"&amp;"M(rTipo))=""SOLO EMISOR"",
AND(
UPPER(TRIM(rTipo))=""EXACTA"",
UPPER(TRIM(AG1066))=UPPER(TRIM(rPatron))
),
AND(
OR(
UPPER(TRIM(rTipo))=""CONTIENE"",
UPPER(TRIM(rTipo))=""COINCIDENCIA""
),
ISNUMBER(SEARCH(UPPER(TRIM(rPatron)),UPPER(TRIM(D1066))))
)
)
),
rC"&amp;"oncepto,
""""
)
)
),
MAP(
reglas!$B$2:$B$240,
reglas!$C$2:$C$240,
reglas!$D$2:$D$240,
reglas!$E$2:$E$240,
LAMBDA(rEmisor,rPatron,rConcepto,rTipo,
IF(
AND(
OR(
UPPER(TRIM(rEmisor))=UPPER(TRIM(C1066)),
UPPER(TRIM(rEmisor))=""CUALQUIERA""
),
OR(
UPPER(TRIM(r"&amp;"Tipo))=""SOLO EMISOR"",
AND(
UPPER(TRIM(rTipo))=""EXACTA"",
UPPER(TRIM(D1066))=UPPER(TRIM(rPatron))
),
AND(
OR(
UPPER(TRIM(rTipo))=""CONTIENE"",
UPPER(TRIM(rTipo))=""COINCIDENCIA""
),
ISNUMBER(SEARCH(UPPER(TRIM(rPatron)),UPPER(TRIM(D1066))))
)
)
),
rConce"&amp;"pto,
""""
)
)
)&lt;&gt;""""
),
1
),
""""
)"),"MANIOBRAS")</f>
        <v>MANIOBRAS</v>
      </c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  <c r="W1066" s="27"/>
      <c r="X1066" s="27"/>
      <c r="Y1066" s="27"/>
    </row>
    <row r="1067">
      <c r="A1067" s="28">
        <v>1.0</v>
      </c>
      <c r="B1067" s="28" t="s">
        <v>29</v>
      </c>
      <c r="C1067" s="29" t="s">
        <v>271</v>
      </c>
      <c r="D1067" s="29" t="s">
        <v>585</v>
      </c>
      <c r="E1067" s="28">
        <v>622.42</v>
      </c>
      <c r="F1067" s="28">
        <v>0.0</v>
      </c>
      <c r="G1067" s="28" t="s">
        <v>84</v>
      </c>
      <c r="H1067" s="28">
        <f t="array" ref="H1067">INDEX(CC!C:C,MATCH(1,(CC!A:A=G1067)*(CC!B:B=I1067),0))</f>
        <v>1002</v>
      </c>
      <c r="I1067" s="28" t="s">
        <v>25</v>
      </c>
      <c r="J1067" s="31">
        <v>622.42</v>
      </c>
      <c r="K1067" s="28" t="str">
        <f>IFERROR(__xludf.DUMMYFUNCTION("IFERROR(
INDEX(
FILTER(
MAP(
reglas!$B$2:$B$240,
reglas!$C$2:$C$240,
reglas!$D$2:$D$240,
reglas!$E$2:$E$240,
LAMBDA(rEmisor,rPatron,rConcepto,rTipo,
IF(
AND(
OR(
UPPER(TRIM(rEmisor))=UPPER(TRIM(C1067)),
UPPER(TRIM(rEmisor))=""CUALQUIERA""
),
OR(
UPPER(TRI"&amp;"M(rTipo))=""SOLO EMISOR"",
AND(
UPPER(TRIM(rTipo))=""EXACTA"",
UPPER(TRIM(AG1067))=UPPER(TRIM(rPatron))
),
AND(
OR(
UPPER(TRIM(rTipo))=""CONTIENE"",
UPPER(TRIM(rTipo))=""COINCIDENCIA""
),
ISNUMBER(SEARCH(UPPER(TRIM(rPatron)),UPPER(TRIM(D1067))))
)
)
),
rC"&amp;"oncepto,
""""
)
)
),
MAP(
reglas!$B$2:$B$240,
reglas!$C$2:$C$240,
reglas!$D$2:$D$240,
reglas!$E$2:$E$240,
LAMBDA(rEmisor,rPatron,rConcepto,rTipo,
IF(
AND(
OR(
UPPER(TRIM(rEmisor))=UPPER(TRIM(C1067)),
UPPER(TRIM(rEmisor))=""CUALQUIERA""
),
OR(
UPPER(TRIM(r"&amp;"Tipo))=""SOLO EMISOR"",
AND(
UPPER(TRIM(rTipo))=""EXACTA"",
UPPER(TRIM(D1067))=UPPER(TRIM(rPatron))
),
AND(
OR(
UPPER(TRIM(rTipo))=""CONTIENE"",
UPPER(TRIM(rTipo))=""COINCIDENCIA""
),
ISNUMBER(SEARCH(UPPER(TRIM(rPatron)),UPPER(TRIM(D1067))))
)
)
),
rConce"&amp;"pto,
""""
)
)
)&lt;&gt;""""
),
1
),
""""
)"),"MANIOBRAS")</f>
        <v>MANIOBRAS</v>
      </c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  <c r="W1067" s="27"/>
      <c r="X1067" s="27"/>
      <c r="Y1067" s="27"/>
    </row>
    <row r="1068">
      <c r="A1068" s="32"/>
      <c r="B1068" s="32"/>
      <c r="C1068" s="29" t="s">
        <v>271</v>
      </c>
      <c r="D1068" s="29" t="s">
        <v>587</v>
      </c>
      <c r="E1068" s="28">
        <v>569.47</v>
      </c>
      <c r="F1068" s="28">
        <v>0.0</v>
      </c>
      <c r="G1068" s="28" t="s">
        <v>84</v>
      </c>
      <c r="H1068" s="28">
        <f t="array" ref="H1068">INDEX(CC!C:C,MATCH(1,(CC!A:A=G1068)*(CC!B:B=I1068),0))</f>
        <v>1002</v>
      </c>
      <c r="I1068" s="28" t="s">
        <v>25</v>
      </c>
      <c r="J1068" s="31">
        <v>569.47</v>
      </c>
      <c r="K1068" s="28" t="str">
        <f>IFERROR(__xludf.DUMMYFUNCTION("IFERROR(
INDEX(
FILTER(
MAP(
reglas!$B$2:$B$240,
reglas!$C$2:$C$240,
reglas!$D$2:$D$240,
reglas!$E$2:$E$240,
LAMBDA(rEmisor,rPatron,rConcepto,rTipo,
IF(
AND(
OR(
UPPER(TRIM(rEmisor))=UPPER(TRIM(C1068)),
UPPER(TRIM(rEmisor))=""CUALQUIERA""
),
OR(
UPPER(TRI"&amp;"M(rTipo))=""SOLO EMISOR"",
AND(
UPPER(TRIM(rTipo))=""EXACTA"",
UPPER(TRIM(AG1068))=UPPER(TRIM(rPatron))
),
AND(
OR(
UPPER(TRIM(rTipo))=""CONTIENE"",
UPPER(TRIM(rTipo))=""COINCIDENCIA""
),
ISNUMBER(SEARCH(UPPER(TRIM(rPatron)),UPPER(TRIM(D1068))))
)
)
),
rC"&amp;"oncepto,
""""
)
)
),
MAP(
reglas!$B$2:$B$240,
reglas!$C$2:$C$240,
reglas!$D$2:$D$240,
reglas!$E$2:$E$240,
LAMBDA(rEmisor,rPatron,rConcepto,rTipo,
IF(
AND(
OR(
UPPER(TRIM(rEmisor))=UPPER(TRIM(C1068)),
UPPER(TRIM(rEmisor))=""CUALQUIERA""
),
OR(
UPPER(TRIM(r"&amp;"Tipo))=""SOLO EMISOR"",
AND(
UPPER(TRIM(rTipo))=""EXACTA"",
UPPER(TRIM(D1068))=UPPER(TRIM(rPatron))
),
AND(
OR(
UPPER(TRIM(rTipo))=""CONTIENE"",
UPPER(TRIM(rTipo))=""COINCIDENCIA""
),
ISNUMBER(SEARCH(UPPER(TRIM(rPatron)),UPPER(TRIM(D1068))))
)
)
),
rConce"&amp;"pto,
""""
)
)
)&lt;&gt;""""
),
1
),
""""
)"),"MANIOBRAS")</f>
        <v>MANIOBRAS</v>
      </c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  <c r="V1068" s="27"/>
      <c r="W1068" s="27"/>
      <c r="X1068" s="27"/>
      <c r="Y1068" s="27"/>
    </row>
    <row r="1069">
      <c r="A1069" s="32"/>
      <c r="B1069" s="32"/>
      <c r="C1069" s="29" t="s">
        <v>271</v>
      </c>
      <c r="D1069" s="29" t="s">
        <v>589</v>
      </c>
      <c r="E1069" s="28">
        <v>622.76</v>
      </c>
      <c r="F1069" s="28">
        <v>0.0</v>
      </c>
      <c r="G1069" s="28" t="s">
        <v>84</v>
      </c>
      <c r="H1069" s="28">
        <f t="array" ref="H1069">INDEX(CC!C:C,MATCH(1,(CC!A:A=G1069)*(CC!B:B=I1069),0))</f>
        <v>1002</v>
      </c>
      <c r="I1069" s="28" t="s">
        <v>25</v>
      </c>
      <c r="J1069" s="31">
        <v>622.76</v>
      </c>
      <c r="K1069" s="28" t="str">
        <f>IFERROR(__xludf.DUMMYFUNCTION("IFERROR(
INDEX(
FILTER(
MAP(
reglas!$B$2:$B$240,
reglas!$C$2:$C$240,
reglas!$D$2:$D$240,
reglas!$E$2:$E$240,
LAMBDA(rEmisor,rPatron,rConcepto,rTipo,
IF(
AND(
OR(
UPPER(TRIM(rEmisor))=UPPER(TRIM(C1069)),
UPPER(TRIM(rEmisor))=""CUALQUIERA""
),
OR(
UPPER(TRI"&amp;"M(rTipo))=""SOLO EMISOR"",
AND(
UPPER(TRIM(rTipo))=""EXACTA"",
UPPER(TRIM(AG1069))=UPPER(TRIM(rPatron))
),
AND(
OR(
UPPER(TRIM(rTipo))=""CONTIENE"",
UPPER(TRIM(rTipo))=""COINCIDENCIA""
),
ISNUMBER(SEARCH(UPPER(TRIM(rPatron)),UPPER(TRIM(D1069))))
)
)
),
rC"&amp;"oncepto,
""""
)
)
),
MAP(
reglas!$B$2:$B$240,
reglas!$C$2:$C$240,
reglas!$D$2:$D$240,
reglas!$E$2:$E$240,
LAMBDA(rEmisor,rPatron,rConcepto,rTipo,
IF(
AND(
OR(
UPPER(TRIM(rEmisor))=UPPER(TRIM(C1069)),
UPPER(TRIM(rEmisor))=""CUALQUIERA""
),
OR(
UPPER(TRIM(r"&amp;"Tipo))=""SOLO EMISOR"",
AND(
UPPER(TRIM(rTipo))=""EXACTA"",
UPPER(TRIM(D1069))=UPPER(TRIM(rPatron))
),
AND(
OR(
UPPER(TRIM(rTipo))=""CONTIENE"",
UPPER(TRIM(rTipo))=""COINCIDENCIA""
),
ISNUMBER(SEARCH(UPPER(TRIM(rPatron)),UPPER(TRIM(D1069))))
)
)
),
rConce"&amp;"pto,
""""
)
)
)&lt;&gt;""""
),
1
),
""""
)"),"MANIOBRAS")</f>
        <v>MANIOBRAS</v>
      </c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  <c r="W1069" s="27"/>
      <c r="X1069" s="27"/>
      <c r="Y1069" s="27"/>
    </row>
    <row r="1070">
      <c r="A1070" s="32"/>
      <c r="B1070" s="32"/>
      <c r="C1070" s="29" t="s">
        <v>271</v>
      </c>
      <c r="D1070" s="29" t="s">
        <v>596</v>
      </c>
      <c r="E1070" s="28">
        <v>653.4</v>
      </c>
      <c r="F1070" s="28">
        <v>0.0</v>
      </c>
      <c r="G1070" s="28" t="s">
        <v>84</v>
      </c>
      <c r="H1070" s="28">
        <f t="array" ref="H1070">INDEX(CC!C:C,MATCH(1,(CC!A:A=G1070)*(CC!B:B=I1070),0))</f>
        <v>1002</v>
      </c>
      <c r="I1070" s="28" t="s">
        <v>25</v>
      </c>
      <c r="J1070" s="31">
        <v>653.4</v>
      </c>
      <c r="K1070" s="28" t="str">
        <f>IFERROR(__xludf.DUMMYFUNCTION("IFERROR(
INDEX(
FILTER(
MAP(
reglas!$B$2:$B$240,
reglas!$C$2:$C$240,
reglas!$D$2:$D$240,
reglas!$E$2:$E$240,
LAMBDA(rEmisor,rPatron,rConcepto,rTipo,
IF(
AND(
OR(
UPPER(TRIM(rEmisor))=UPPER(TRIM(C1070)),
UPPER(TRIM(rEmisor))=""CUALQUIERA""
),
OR(
UPPER(TRI"&amp;"M(rTipo))=""SOLO EMISOR"",
AND(
UPPER(TRIM(rTipo))=""EXACTA"",
UPPER(TRIM(AG1070))=UPPER(TRIM(rPatron))
),
AND(
OR(
UPPER(TRIM(rTipo))=""CONTIENE"",
UPPER(TRIM(rTipo))=""COINCIDENCIA""
),
ISNUMBER(SEARCH(UPPER(TRIM(rPatron)),UPPER(TRIM(D1070))))
)
)
),
rC"&amp;"oncepto,
""""
)
)
),
MAP(
reglas!$B$2:$B$240,
reglas!$C$2:$C$240,
reglas!$D$2:$D$240,
reglas!$E$2:$E$240,
LAMBDA(rEmisor,rPatron,rConcepto,rTipo,
IF(
AND(
OR(
UPPER(TRIM(rEmisor))=UPPER(TRIM(C1070)),
UPPER(TRIM(rEmisor))=""CUALQUIERA""
),
OR(
UPPER(TRIM(r"&amp;"Tipo))=""SOLO EMISOR"",
AND(
UPPER(TRIM(rTipo))=""EXACTA"",
UPPER(TRIM(D1070))=UPPER(TRIM(rPatron))
),
AND(
OR(
UPPER(TRIM(rTipo))=""CONTIENE"",
UPPER(TRIM(rTipo))=""COINCIDENCIA""
),
ISNUMBER(SEARCH(UPPER(TRIM(rPatron)),UPPER(TRIM(D1070))))
)
)
),
rConce"&amp;"pto,
""""
)
)
)&lt;&gt;""""
),
1
),
""""
)"),"MANIOBRAS")</f>
        <v>MANIOBRAS</v>
      </c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  <c r="W1070" s="27"/>
      <c r="X1070" s="27"/>
      <c r="Y1070" s="27"/>
    </row>
    <row r="1071">
      <c r="A1071" s="32"/>
      <c r="B1071" s="28" t="s">
        <v>29</v>
      </c>
      <c r="C1071" s="29" t="s">
        <v>278</v>
      </c>
      <c r="D1071" s="29" t="s">
        <v>560</v>
      </c>
      <c r="E1071" s="30">
        <v>3500.0</v>
      </c>
      <c r="F1071" s="28">
        <v>0.0</v>
      </c>
      <c r="G1071" s="28" t="s">
        <v>250</v>
      </c>
      <c r="H1071" s="28">
        <f t="array" ref="H1071">INDEX(CC!C:C,MATCH(1,(CC!A:A=G1071)*(CC!B:B=I1071),0))</f>
        <v>1402</v>
      </c>
      <c r="I1071" s="28" t="s">
        <v>25</v>
      </c>
      <c r="J1071" s="31">
        <v>3500.0</v>
      </c>
      <c r="K1071" s="28" t="str">
        <f>IFERROR(__xludf.DUMMYFUNCTION("IFERROR(
INDEX(
FILTER(
MAP(
reglas!$B$2:$B$240,
reglas!$C$2:$C$240,
reglas!$D$2:$D$240,
reglas!$E$2:$E$240,
LAMBDA(rEmisor,rPatron,rConcepto,rTipo,
IF(
AND(
OR(
UPPER(TRIM(rEmisor))=UPPER(TRIM(C1071)),
UPPER(TRIM(rEmisor))=""CUALQUIERA""
),
OR(
UPPER(TRI"&amp;"M(rTipo))=""SOLO EMISOR"",
AND(
UPPER(TRIM(rTipo))=""EXACTA"",
UPPER(TRIM(AG1071))=UPPER(TRIM(rPatron))
),
AND(
OR(
UPPER(TRIM(rTipo))=""CONTIENE"",
UPPER(TRIM(rTipo))=""COINCIDENCIA""
),
ISNUMBER(SEARCH(UPPER(TRIM(rPatron)),UPPER(TRIM(D1071))))
)
)
),
rC"&amp;"oncepto,
""""
)
)
),
MAP(
reglas!$B$2:$B$240,
reglas!$C$2:$C$240,
reglas!$D$2:$D$240,
reglas!$E$2:$E$240,
LAMBDA(rEmisor,rPatron,rConcepto,rTipo,
IF(
AND(
OR(
UPPER(TRIM(rEmisor))=UPPER(TRIM(C1071)),
UPPER(TRIM(rEmisor))=""CUALQUIERA""
),
OR(
UPPER(TRIM(r"&amp;"Tipo))=""SOLO EMISOR"",
AND(
UPPER(TRIM(rTipo))=""EXACTA"",
UPPER(TRIM(D1071))=UPPER(TRIM(rPatron))
),
AND(
OR(
UPPER(TRIM(rTipo))=""CONTIENE"",
UPPER(TRIM(rTipo))=""COINCIDENCIA""
),
ISNUMBER(SEARCH(UPPER(TRIM(rPatron)),UPPER(TRIM(D1071))))
)
)
),
rConce"&amp;"pto,
""""
)
)
)&lt;&gt;""""
),
1
),
""""
)"),"MANIOBRAS")</f>
        <v>MANIOBRAS</v>
      </c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  <c r="W1071" s="27"/>
      <c r="X1071" s="27"/>
      <c r="Y1071" s="27"/>
    </row>
    <row r="1072">
      <c r="A1072" s="32"/>
      <c r="B1072" s="28" t="s">
        <v>29</v>
      </c>
      <c r="C1072" s="29" t="s">
        <v>172</v>
      </c>
      <c r="D1072" s="29" t="s">
        <v>1831</v>
      </c>
      <c r="E1072" s="30">
        <v>11500.0</v>
      </c>
      <c r="F1072" s="28">
        <v>0.0</v>
      </c>
      <c r="G1072" s="28" t="s">
        <v>250</v>
      </c>
      <c r="H1072" s="28">
        <f t="array" ref="H1072">INDEX(CC!C:C,MATCH(1,(CC!A:A=G1072)*(CC!B:B=I1072),0))</f>
        <v>1402</v>
      </c>
      <c r="I1072" s="28" t="s">
        <v>25</v>
      </c>
      <c r="J1072" s="31">
        <v>11500.0</v>
      </c>
      <c r="K1072" s="28" t="str">
        <f>IFERROR(__xludf.DUMMYFUNCTION("IFERROR(
INDEX(
FILTER(
MAP(
reglas!$B$2:$B$240,
reglas!$C$2:$C$240,
reglas!$D$2:$D$240,
reglas!$E$2:$E$240,
LAMBDA(rEmisor,rPatron,rConcepto,rTipo,
IF(
AND(
OR(
UPPER(TRIM(rEmisor))=UPPER(TRIM(C1072)),
UPPER(TRIM(rEmisor))=""CUALQUIERA""
),
OR(
UPPER(TRI"&amp;"M(rTipo))=""SOLO EMISOR"",
AND(
UPPER(TRIM(rTipo))=""EXACTA"",
UPPER(TRIM(AG1072))=UPPER(TRIM(rPatron))
),
AND(
OR(
UPPER(TRIM(rTipo))=""CONTIENE"",
UPPER(TRIM(rTipo))=""COINCIDENCIA""
),
ISNUMBER(SEARCH(UPPER(TRIM(rPatron)),UPPER(TRIM(D1072))))
)
)
),
rC"&amp;"oncepto,
""""
)
)
),
MAP(
reglas!$B$2:$B$240,
reglas!$C$2:$C$240,
reglas!$D$2:$D$240,
reglas!$E$2:$E$240,
LAMBDA(rEmisor,rPatron,rConcepto,rTipo,
IF(
AND(
OR(
UPPER(TRIM(rEmisor))=UPPER(TRIM(C1072)),
UPPER(TRIM(rEmisor))=""CUALQUIERA""
),
OR(
UPPER(TRIM(r"&amp;"Tipo))=""SOLO EMISOR"",
AND(
UPPER(TRIM(rTipo))=""EXACTA"",
UPPER(TRIM(D1072))=UPPER(TRIM(rPatron))
),
AND(
OR(
UPPER(TRIM(rTipo))=""CONTIENE"",
UPPER(TRIM(rTipo))=""COINCIDENCIA""
),
ISNUMBER(SEARCH(UPPER(TRIM(rPatron)),UPPER(TRIM(D1072))))
)
)
),
rConce"&amp;"pto,
""""
)
)
)&lt;&gt;""""
),
1
),
""""
)"),"TRANSPORTE")</f>
        <v>TRANSPORTE</v>
      </c>
      <c r="L1072" s="27"/>
      <c r="M1072" s="27"/>
      <c r="N1072" s="27"/>
      <c r="O1072" s="27"/>
      <c r="P1072" s="27"/>
      <c r="Q1072" s="27"/>
      <c r="R1072" s="27"/>
      <c r="S1072" s="27"/>
      <c r="T1072" s="27"/>
      <c r="U1072" s="27"/>
      <c r="V1072" s="27"/>
      <c r="W1072" s="27"/>
      <c r="X1072" s="27"/>
      <c r="Y1072" s="27"/>
    </row>
    <row r="1073">
      <c r="A1073" s="28">
        <v>1.0</v>
      </c>
      <c r="B1073" s="28" t="s">
        <v>29</v>
      </c>
      <c r="C1073" s="29" t="s">
        <v>271</v>
      </c>
      <c r="D1073" s="29" t="s">
        <v>585</v>
      </c>
      <c r="E1073" s="28">
        <v>622.42</v>
      </c>
      <c r="F1073" s="28">
        <v>0.0</v>
      </c>
      <c r="G1073" s="28" t="s">
        <v>84</v>
      </c>
      <c r="H1073" s="28">
        <f t="array" ref="H1073">INDEX(CC!C:C,MATCH(1,(CC!A:A=G1073)*(CC!B:B=I1073),0))</f>
        <v>1002</v>
      </c>
      <c r="I1073" s="28" t="s">
        <v>25</v>
      </c>
      <c r="J1073" s="31">
        <v>622.42</v>
      </c>
      <c r="K1073" s="28" t="str">
        <f>IFERROR(__xludf.DUMMYFUNCTION("IFERROR(
INDEX(
FILTER(
MAP(
reglas!$B$2:$B$240,
reglas!$C$2:$C$240,
reglas!$D$2:$D$240,
reglas!$E$2:$E$240,
LAMBDA(rEmisor,rPatron,rConcepto,rTipo,
IF(
AND(
OR(
UPPER(TRIM(rEmisor))=UPPER(TRIM(C1073)),
UPPER(TRIM(rEmisor))=""CUALQUIERA""
),
OR(
UPPER(TRI"&amp;"M(rTipo))=""SOLO EMISOR"",
AND(
UPPER(TRIM(rTipo))=""EXACTA"",
UPPER(TRIM(AG1073))=UPPER(TRIM(rPatron))
),
AND(
OR(
UPPER(TRIM(rTipo))=""CONTIENE"",
UPPER(TRIM(rTipo))=""COINCIDENCIA""
),
ISNUMBER(SEARCH(UPPER(TRIM(rPatron)),UPPER(TRIM(D1073))))
)
)
),
rC"&amp;"oncepto,
""""
)
)
),
MAP(
reglas!$B$2:$B$240,
reglas!$C$2:$C$240,
reglas!$D$2:$D$240,
reglas!$E$2:$E$240,
LAMBDA(rEmisor,rPatron,rConcepto,rTipo,
IF(
AND(
OR(
UPPER(TRIM(rEmisor))=UPPER(TRIM(C1073)),
UPPER(TRIM(rEmisor))=""CUALQUIERA""
),
OR(
UPPER(TRIM(r"&amp;"Tipo))=""SOLO EMISOR"",
AND(
UPPER(TRIM(rTipo))=""EXACTA"",
UPPER(TRIM(D1073))=UPPER(TRIM(rPatron))
),
AND(
OR(
UPPER(TRIM(rTipo))=""CONTIENE"",
UPPER(TRIM(rTipo))=""COINCIDENCIA""
),
ISNUMBER(SEARCH(UPPER(TRIM(rPatron)),UPPER(TRIM(D1073))))
)
)
),
rConce"&amp;"pto,
""""
)
)
)&lt;&gt;""""
),
1
),
""""
)"),"MANIOBRAS")</f>
        <v>MANIOBRAS</v>
      </c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  <c r="V1073" s="27"/>
      <c r="W1073" s="27"/>
      <c r="X1073" s="27"/>
      <c r="Y1073" s="27"/>
    </row>
    <row r="1074">
      <c r="A1074" s="32"/>
      <c r="B1074" s="32"/>
      <c r="C1074" s="29" t="s">
        <v>271</v>
      </c>
      <c r="D1074" s="29" t="s">
        <v>587</v>
      </c>
      <c r="E1074" s="28">
        <v>569.47</v>
      </c>
      <c r="F1074" s="28">
        <v>0.0</v>
      </c>
      <c r="G1074" s="28" t="s">
        <v>84</v>
      </c>
      <c r="H1074" s="28">
        <f t="array" ref="H1074">INDEX(CC!C:C,MATCH(1,(CC!A:A=G1074)*(CC!B:B=I1074),0))</f>
        <v>1002</v>
      </c>
      <c r="I1074" s="28" t="s">
        <v>25</v>
      </c>
      <c r="J1074" s="31">
        <v>569.47</v>
      </c>
      <c r="K1074" s="28" t="str">
        <f>IFERROR(__xludf.DUMMYFUNCTION("IFERROR(
INDEX(
FILTER(
MAP(
reglas!$B$2:$B$240,
reglas!$C$2:$C$240,
reglas!$D$2:$D$240,
reglas!$E$2:$E$240,
LAMBDA(rEmisor,rPatron,rConcepto,rTipo,
IF(
AND(
OR(
UPPER(TRIM(rEmisor))=UPPER(TRIM(C1074)),
UPPER(TRIM(rEmisor))=""CUALQUIERA""
),
OR(
UPPER(TRI"&amp;"M(rTipo))=""SOLO EMISOR"",
AND(
UPPER(TRIM(rTipo))=""EXACTA"",
UPPER(TRIM(AG1074))=UPPER(TRIM(rPatron))
),
AND(
OR(
UPPER(TRIM(rTipo))=""CONTIENE"",
UPPER(TRIM(rTipo))=""COINCIDENCIA""
),
ISNUMBER(SEARCH(UPPER(TRIM(rPatron)),UPPER(TRIM(D1074))))
)
)
),
rC"&amp;"oncepto,
""""
)
)
),
MAP(
reglas!$B$2:$B$240,
reglas!$C$2:$C$240,
reglas!$D$2:$D$240,
reglas!$E$2:$E$240,
LAMBDA(rEmisor,rPatron,rConcepto,rTipo,
IF(
AND(
OR(
UPPER(TRIM(rEmisor))=UPPER(TRIM(C1074)),
UPPER(TRIM(rEmisor))=""CUALQUIERA""
),
OR(
UPPER(TRIM(r"&amp;"Tipo))=""SOLO EMISOR"",
AND(
UPPER(TRIM(rTipo))=""EXACTA"",
UPPER(TRIM(D1074))=UPPER(TRIM(rPatron))
),
AND(
OR(
UPPER(TRIM(rTipo))=""CONTIENE"",
UPPER(TRIM(rTipo))=""COINCIDENCIA""
),
ISNUMBER(SEARCH(UPPER(TRIM(rPatron)),UPPER(TRIM(D1074))))
)
)
),
rConce"&amp;"pto,
""""
)
)
)&lt;&gt;""""
),
1
),
""""
)"),"MANIOBRAS")</f>
        <v>MANIOBRAS</v>
      </c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  <c r="W1074" s="27"/>
      <c r="X1074" s="27"/>
      <c r="Y1074" s="27"/>
    </row>
    <row r="1075">
      <c r="A1075" s="32"/>
      <c r="B1075" s="32"/>
      <c r="C1075" s="29" t="s">
        <v>271</v>
      </c>
      <c r="D1075" s="29" t="s">
        <v>589</v>
      </c>
      <c r="E1075" s="28">
        <v>622.76</v>
      </c>
      <c r="F1075" s="28">
        <v>0.0</v>
      </c>
      <c r="G1075" s="28" t="s">
        <v>84</v>
      </c>
      <c r="H1075" s="28">
        <f t="array" ref="H1075">INDEX(CC!C:C,MATCH(1,(CC!A:A=G1075)*(CC!B:B=I1075),0))</f>
        <v>1002</v>
      </c>
      <c r="I1075" s="28" t="s">
        <v>25</v>
      </c>
      <c r="J1075" s="31">
        <v>622.76</v>
      </c>
      <c r="K1075" s="28" t="str">
        <f>IFERROR(__xludf.DUMMYFUNCTION("IFERROR(
INDEX(
FILTER(
MAP(
reglas!$B$2:$B$240,
reglas!$C$2:$C$240,
reglas!$D$2:$D$240,
reglas!$E$2:$E$240,
LAMBDA(rEmisor,rPatron,rConcepto,rTipo,
IF(
AND(
OR(
UPPER(TRIM(rEmisor))=UPPER(TRIM(C1075)),
UPPER(TRIM(rEmisor))=""CUALQUIERA""
),
OR(
UPPER(TRI"&amp;"M(rTipo))=""SOLO EMISOR"",
AND(
UPPER(TRIM(rTipo))=""EXACTA"",
UPPER(TRIM(AG1075))=UPPER(TRIM(rPatron))
),
AND(
OR(
UPPER(TRIM(rTipo))=""CONTIENE"",
UPPER(TRIM(rTipo))=""COINCIDENCIA""
),
ISNUMBER(SEARCH(UPPER(TRIM(rPatron)),UPPER(TRIM(D1075))))
)
)
),
rC"&amp;"oncepto,
""""
)
)
),
MAP(
reglas!$B$2:$B$240,
reglas!$C$2:$C$240,
reglas!$D$2:$D$240,
reglas!$E$2:$E$240,
LAMBDA(rEmisor,rPatron,rConcepto,rTipo,
IF(
AND(
OR(
UPPER(TRIM(rEmisor))=UPPER(TRIM(C1075)),
UPPER(TRIM(rEmisor))=""CUALQUIERA""
),
OR(
UPPER(TRIM(r"&amp;"Tipo))=""SOLO EMISOR"",
AND(
UPPER(TRIM(rTipo))=""EXACTA"",
UPPER(TRIM(D1075))=UPPER(TRIM(rPatron))
),
AND(
OR(
UPPER(TRIM(rTipo))=""CONTIENE"",
UPPER(TRIM(rTipo))=""COINCIDENCIA""
),
ISNUMBER(SEARCH(UPPER(TRIM(rPatron)),UPPER(TRIM(D1075))))
)
)
),
rConce"&amp;"pto,
""""
)
)
)&lt;&gt;""""
),
1
),
""""
)"),"MANIOBRAS")</f>
        <v>MANIOBRAS</v>
      </c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  <c r="W1075" s="27"/>
      <c r="X1075" s="27"/>
      <c r="Y1075" s="27"/>
    </row>
    <row r="1076">
      <c r="A1076" s="32"/>
      <c r="B1076" s="32"/>
      <c r="C1076" s="29" t="s">
        <v>271</v>
      </c>
      <c r="D1076" s="29" t="s">
        <v>596</v>
      </c>
      <c r="E1076" s="28">
        <v>653.4</v>
      </c>
      <c r="F1076" s="28">
        <v>0.0</v>
      </c>
      <c r="G1076" s="28" t="s">
        <v>84</v>
      </c>
      <c r="H1076" s="28">
        <f t="array" ref="H1076">INDEX(CC!C:C,MATCH(1,(CC!A:A=G1076)*(CC!B:B=I1076),0))</f>
        <v>1002</v>
      </c>
      <c r="I1076" s="28" t="s">
        <v>25</v>
      </c>
      <c r="J1076" s="31">
        <v>653.4</v>
      </c>
      <c r="K1076" s="28" t="str">
        <f>IFERROR(__xludf.DUMMYFUNCTION("IFERROR(
INDEX(
FILTER(
MAP(
reglas!$B$2:$B$240,
reglas!$C$2:$C$240,
reglas!$D$2:$D$240,
reglas!$E$2:$E$240,
LAMBDA(rEmisor,rPatron,rConcepto,rTipo,
IF(
AND(
OR(
UPPER(TRIM(rEmisor))=UPPER(TRIM(C1076)),
UPPER(TRIM(rEmisor))=""CUALQUIERA""
),
OR(
UPPER(TRI"&amp;"M(rTipo))=""SOLO EMISOR"",
AND(
UPPER(TRIM(rTipo))=""EXACTA"",
UPPER(TRIM(AG1076))=UPPER(TRIM(rPatron))
),
AND(
OR(
UPPER(TRIM(rTipo))=""CONTIENE"",
UPPER(TRIM(rTipo))=""COINCIDENCIA""
),
ISNUMBER(SEARCH(UPPER(TRIM(rPatron)),UPPER(TRIM(D1076))))
)
)
),
rC"&amp;"oncepto,
""""
)
)
),
MAP(
reglas!$B$2:$B$240,
reglas!$C$2:$C$240,
reglas!$D$2:$D$240,
reglas!$E$2:$E$240,
LAMBDA(rEmisor,rPatron,rConcepto,rTipo,
IF(
AND(
OR(
UPPER(TRIM(rEmisor))=UPPER(TRIM(C1076)),
UPPER(TRIM(rEmisor))=""CUALQUIERA""
),
OR(
UPPER(TRIM(r"&amp;"Tipo))=""SOLO EMISOR"",
AND(
UPPER(TRIM(rTipo))=""EXACTA"",
UPPER(TRIM(D1076))=UPPER(TRIM(rPatron))
),
AND(
OR(
UPPER(TRIM(rTipo))=""CONTIENE"",
UPPER(TRIM(rTipo))=""COINCIDENCIA""
),
ISNUMBER(SEARCH(UPPER(TRIM(rPatron)),UPPER(TRIM(D1076))))
)
)
),
rConce"&amp;"pto,
""""
)
)
)&lt;&gt;""""
),
1
),
""""
)"),"MANIOBRAS")</f>
        <v>MANIOBRAS</v>
      </c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  <c r="W1076" s="27"/>
      <c r="X1076" s="27"/>
      <c r="Y1076" s="27"/>
    </row>
    <row r="1077">
      <c r="A1077" s="28">
        <v>17.0638</v>
      </c>
      <c r="B1077" s="28" t="s">
        <v>244</v>
      </c>
      <c r="C1077" s="29" t="s">
        <v>1832</v>
      </c>
      <c r="D1077" s="29" t="s">
        <v>1833</v>
      </c>
      <c r="E1077" s="28">
        <v>46.0</v>
      </c>
      <c r="F1077" s="28">
        <v>0.0</v>
      </c>
      <c r="G1077" s="99" t="s">
        <v>554</v>
      </c>
      <c r="H1077" s="28">
        <f t="array" ref="H1077">INDEX(CC!C:C,MATCH(1,(CC!A:A=G1077)*(CC!B:B=I1077),0))</f>
        <v>1703</v>
      </c>
      <c r="I1077" s="28" t="s">
        <v>44</v>
      </c>
      <c r="J1077" s="31">
        <v>784.93</v>
      </c>
      <c r="K1077" s="28" t="str">
        <f>IFERROR(__xludf.DUMMYFUNCTION("IFERROR(
INDEX(
FILTER(
MAP(
reglas!$B$2:$B$240,
reglas!$C$2:$C$240,
reglas!$D$2:$D$240,
reglas!$E$2:$E$240,
LAMBDA(rEmisor,rPatron,rConcepto,rTipo,
IF(
AND(
OR(
UPPER(TRIM(rEmisor))=UPPER(TRIM(C1077)),
UPPER(TRIM(rEmisor))=""CUALQUIERA""
),
OR(
UPPER(TRI"&amp;"M(rTipo))=""SOLO EMISOR"",
AND(
UPPER(TRIM(rTipo))=""EXACTA"",
UPPER(TRIM(AG1077))=UPPER(TRIM(rPatron))
),
AND(
OR(
UPPER(TRIM(rTipo))=""CONTIENE"",
UPPER(TRIM(rTipo))=""COINCIDENCIA""
),
ISNUMBER(SEARCH(UPPER(TRIM(rPatron)),UPPER(TRIM(D1077))))
)
)
),
rC"&amp;"oncepto,
""""
)
)
),
MAP(
reglas!$B$2:$B$240,
reglas!$C$2:$C$240,
reglas!$D$2:$D$240,
reglas!$E$2:$E$240,
LAMBDA(rEmisor,rPatron,rConcepto,rTipo,
IF(
AND(
OR(
UPPER(TRIM(rEmisor))=UPPER(TRIM(C1077)),
UPPER(TRIM(rEmisor))=""CUALQUIERA""
),
OR(
UPPER(TRIM(r"&amp;"Tipo))=""SOLO EMISOR"",
AND(
UPPER(TRIM(rTipo))=""EXACTA"",
UPPER(TRIM(D1077))=UPPER(TRIM(rPatron))
),
AND(
OR(
UPPER(TRIM(rTipo))=""CONTIENE"",
UPPER(TRIM(rTipo))=""COINCIDENCIA""
),
ISNUMBER(SEARCH(UPPER(TRIM(rPatron)),UPPER(TRIM(D1077))))
)
)
),
rConce"&amp;"pto,
""""
)
)
)&lt;&gt;""""
),
1
),
""""
)"),"")</f>
        <v/>
      </c>
      <c r="L1077" s="27"/>
      <c r="M1077" s="27"/>
      <c r="N1077" s="27"/>
      <c r="O1077" s="27"/>
      <c r="P1077" s="27"/>
      <c r="Q1077" s="27"/>
      <c r="R1077" s="27"/>
      <c r="S1077" s="27"/>
      <c r="T1077" s="27"/>
      <c r="U1077" s="27"/>
      <c r="V1077" s="27"/>
      <c r="W1077" s="27"/>
      <c r="X1077" s="27"/>
      <c r="Y1077" s="27"/>
    </row>
    <row r="1078">
      <c r="A1078" s="32"/>
      <c r="B1078" s="32"/>
      <c r="C1078" s="29" t="s">
        <v>1832</v>
      </c>
      <c r="D1078" s="29" t="s">
        <v>1834</v>
      </c>
      <c r="E1078" s="28">
        <v>258.72</v>
      </c>
      <c r="F1078" s="28">
        <v>0.0</v>
      </c>
      <c r="G1078" s="99" t="s">
        <v>554</v>
      </c>
      <c r="H1078" s="28">
        <f t="array" ref="H1078">INDEX(CC!C:C,MATCH(1,(CC!A:A=G1078)*(CC!B:B=I1078),0))</f>
        <v>1703</v>
      </c>
      <c r="I1078" s="28" t="s">
        <v>44</v>
      </c>
      <c r="J1078" s="31">
        <v>4414.75</v>
      </c>
      <c r="K1078" s="28" t="str">
        <f>IFERROR(__xludf.DUMMYFUNCTION("IFERROR(
INDEX(
FILTER(
MAP(
reglas!$B$2:$B$240,
reglas!$C$2:$C$240,
reglas!$D$2:$D$240,
reglas!$E$2:$E$240,
LAMBDA(rEmisor,rPatron,rConcepto,rTipo,
IF(
AND(
OR(
UPPER(TRIM(rEmisor))=UPPER(TRIM(C1078)),
UPPER(TRIM(rEmisor))=""CUALQUIERA""
),
OR(
UPPER(TRI"&amp;"M(rTipo))=""SOLO EMISOR"",
AND(
UPPER(TRIM(rTipo))=""EXACTA"",
UPPER(TRIM(AG1078))=UPPER(TRIM(rPatron))
),
AND(
OR(
UPPER(TRIM(rTipo))=""CONTIENE"",
UPPER(TRIM(rTipo))=""COINCIDENCIA""
),
ISNUMBER(SEARCH(UPPER(TRIM(rPatron)),UPPER(TRIM(D1078))))
)
)
),
rC"&amp;"oncepto,
""""
)
)
),
MAP(
reglas!$B$2:$B$240,
reglas!$C$2:$C$240,
reglas!$D$2:$D$240,
reglas!$E$2:$E$240,
LAMBDA(rEmisor,rPatron,rConcepto,rTipo,
IF(
AND(
OR(
UPPER(TRIM(rEmisor))=UPPER(TRIM(C1078)),
UPPER(TRIM(rEmisor))=""CUALQUIERA""
),
OR(
UPPER(TRIM(r"&amp;"Tipo))=""SOLO EMISOR"",
AND(
UPPER(TRIM(rTipo))=""EXACTA"",
UPPER(TRIM(D1078))=UPPER(TRIM(rPatron))
),
AND(
OR(
UPPER(TRIM(rTipo))=""CONTIENE"",
UPPER(TRIM(rTipo))=""COINCIDENCIA""
),
ISNUMBER(SEARCH(UPPER(TRIM(rPatron)),UPPER(TRIM(D1078))))
)
)
),
rConce"&amp;"pto,
""""
)
)
)&lt;&gt;""""
),
1
),
""""
)"),"")</f>
        <v/>
      </c>
      <c r="L1078" s="27"/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  <c r="W1078" s="27"/>
      <c r="X1078" s="27"/>
      <c r="Y1078" s="27"/>
    </row>
    <row r="1079">
      <c r="A1079" s="32"/>
      <c r="B1079" s="32"/>
      <c r="C1079" s="29" t="s">
        <v>1832</v>
      </c>
      <c r="D1079" s="29" t="s">
        <v>1835</v>
      </c>
      <c r="E1079" s="28">
        <v>11.0</v>
      </c>
      <c r="F1079" s="28">
        <v>0.0</v>
      </c>
      <c r="G1079" s="99" t="s">
        <v>554</v>
      </c>
      <c r="H1079" s="28">
        <f t="array" ref="H1079">INDEX(CC!C:C,MATCH(1,(CC!A:A=G1079)*(CC!B:B=I1079),0))</f>
        <v>1703</v>
      </c>
      <c r="I1079" s="28" t="s">
        <v>44</v>
      </c>
      <c r="J1079" s="31">
        <v>187.7</v>
      </c>
      <c r="K1079" s="28" t="str">
        <f>IFERROR(__xludf.DUMMYFUNCTION("IFERROR(
INDEX(
FILTER(
MAP(
reglas!$B$2:$B$240,
reglas!$C$2:$C$240,
reglas!$D$2:$D$240,
reglas!$E$2:$E$240,
LAMBDA(rEmisor,rPatron,rConcepto,rTipo,
IF(
AND(
OR(
UPPER(TRIM(rEmisor))=UPPER(TRIM(C1079)),
UPPER(TRIM(rEmisor))=""CUALQUIERA""
),
OR(
UPPER(TRI"&amp;"M(rTipo))=""SOLO EMISOR"",
AND(
UPPER(TRIM(rTipo))=""EXACTA"",
UPPER(TRIM(AG1079))=UPPER(TRIM(rPatron))
),
AND(
OR(
UPPER(TRIM(rTipo))=""CONTIENE"",
UPPER(TRIM(rTipo))=""COINCIDENCIA""
),
ISNUMBER(SEARCH(UPPER(TRIM(rPatron)),UPPER(TRIM(D1079))))
)
)
),
rC"&amp;"oncepto,
""""
)
)
),
MAP(
reglas!$B$2:$B$240,
reglas!$C$2:$C$240,
reglas!$D$2:$D$240,
reglas!$E$2:$E$240,
LAMBDA(rEmisor,rPatron,rConcepto,rTipo,
IF(
AND(
OR(
UPPER(TRIM(rEmisor))=UPPER(TRIM(C1079)),
UPPER(TRIM(rEmisor))=""CUALQUIERA""
),
OR(
UPPER(TRIM(r"&amp;"Tipo))=""SOLO EMISOR"",
AND(
UPPER(TRIM(rTipo))=""EXACTA"",
UPPER(TRIM(D1079))=UPPER(TRIM(rPatron))
),
AND(
OR(
UPPER(TRIM(rTipo))=""CONTIENE"",
UPPER(TRIM(rTipo))=""COINCIDENCIA""
),
ISNUMBER(SEARCH(UPPER(TRIM(rPatron)),UPPER(TRIM(D1079))))
)
)
),
rConce"&amp;"pto,
""""
)
)
)&lt;&gt;""""
),
1
),
""""
)"),"")</f>
        <v/>
      </c>
      <c r="L1079" s="27"/>
      <c r="M1079" s="27"/>
      <c r="N1079" s="27"/>
      <c r="O1079" s="27"/>
      <c r="P1079" s="27"/>
      <c r="Q1079" s="27"/>
      <c r="R1079" s="27"/>
      <c r="S1079" s="27"/>
      <c r="T1079" s="27"/>
      <c r="U1079" s="27"/>
      <c r="V1079" s="27"/>
      <c r="W1079" s="27"/>
      <c r="X1079" s="27"/>
      <c r="Y1079" s="27"/>
    </row>
    <row r="1080">
      <c r="A1080" s="32"/>
      <c r="B1080" s="32"/>
      <c r="C1080" s="29" t="s">
        <v>1832</v>
      </c>
      <c r="D1080" s="29" t="s">
        <v>1836</v>
      </c>
      <c r="E1080" s="28">
        <v>40.66</v>
      </c>
      <c r="F1080" s="28">
        <v>0.0</v>
      </c>
      <c r="G1080" s="99" t="s">
        <v>554</v>
      </c>
      <c r="H1080" s="28">
        <f t="array" ref="H1080">INDEX(CC!C:C,MATCH(1,(CC!A:A=G1080)*(CC!B:B=I1080),0))</f>
        <v>1703</v>
      </c>
      <c r="I1080" s="28" t="s">
        <v>44</v>
      </c>
      <c r="J1080" s="31">
        <v>693.81</v>
      </c>
      <c r="K1080" s="28" t="str">
        <f>IFERROR(__xludf.DUMMYFUNCTION("IFERROR(
INDEX(
FILTER(
MAP(
reglas!$B$2:$B$240,
reglas!$C$2:$C$240,
reglas!$D$2:$D$240,
reglas!$E$2:$E$240,
LAMBDA(rEmisor,rPatron,rConcepto,rTipo,
IF(
AND(
OR(
UPPER(TRIM(rEmisor))=UPPER(TRIM(C1080)),
UPPER(TRIM(rEmisor))=""CUALQUIERA""
),
OR(
UPPER(TRI"&amp;"M(rTipo))=""SOLO EMISOR"",
AND(
UPPER(TRIM(rTipo))=""EXACTA"",
UPPER(TRIM(AG1080))=UPPER(TRIM(rPatron))
),
AND(
OR(
UPPER(TRIM(rTipo))=""CONTIENE"",
UPPER(TRIM(rTipo))=""COINCIDENCIA""
),
ISNUMBER(SEARCH(UPPER(TRIM(rPatron)),UPPER(TRIM(D1080))))
)
)
),
rC"&amp;"oncepto,
""""
)
)
),
MAP(
reglas!$B$2:$B$240,
reglas!$C$2:$C$240,
reglas!$D$2:$D$240,
reglas!$E$2:$E$240,
LAMBDA(rEmisor,rPatron,rConcepto,rTipo,
IF(
AND(
OR(
UPPER(TRIM(rEmisor))=UPPER(TRIM(C1080)),
UPPER(TRIM(rEmisor))=""CUALQUIERA""
),
OR(
UPPER(TRIM(r"&amp;"Tipo))=""SOLO EMISOR"",
AND(
UPPER(TRIM(rTipo))=""EXACTA"",
UPPER(TRIM(D1080))=UPPER(TRIM(rPatron))
),
AND(
OR(
UPPER(TRIM(rTipo))=""CONTIENE"",
UPPER(TRIM(rTipo))=""COINCIDENCIA""
),
ISNUMBER(SEARCH(UPPER(TRIM(rPatron)),UPPER(TRIM(D1080))))
)
)
),
rConce"&amp;"pto,
""""
)
)
)&lt;&gt;""""
),
1
),
""""
)"),"")</f>
        <v/>
      </c>
      <c r="L1080" s="27"/>
      <c r="M1080" s="27"/>
      <c r="N1080" s="27"/>
      <c r="O1080" s="27"/>
      <c r="P1080" s="27"/>
      <c r="Q1080" s="27"/>
      <c r="R1080" s="27"/>
      <c r="S1080" s="27"/>
      <c r="T1080" s="27"/>
      <c r="U1080" s="27"/>
      <c r="V1080" s="27"/>
      <c r="W1080" s="27"/>
      <c r="X1080" s="27"/>
      <c r="Y1080" s="27"/>
    </row>
    <row r="1081">
      <c r="A1081" s="32"/>
      <c r="B1081" s="32"/>
      <c r="C1081" s="29" t="s">
        <v>1832</v>
      </c>
      <c r="D1081" s="29" t="s">
        <v>1837</v>
      </c>
      <c r="E1081" s="28">
        <v>20.0</v>
      </c>
      <c r="F1081" s="28">
        <v>0.0</v>
      </c>
      <c r="G1081" s="99" t="s">
        <v>554</v>
      </c>
      <c r="H1081" s="28">
        <f t="array" ref="H1081">INDEX(CC!C:C,MATCH(1,(CC!A:A=G1081)*(CC!B:B=I1081),0))</f>
        <v>1703</v>
      </c>
      <c r="I1081" s="28" t="s">
        <v>44</v>
      </c>
      <c r="J1081" s="31">
        <v>341.28</v>
      </c>
      <c r="K1081" s="28" t="str">
        <f>IFERROR(__xludf.DUMMYFUNCTION("IFERROR(
INDEX(
FILTER(
MAP(
reglas!$B$2:$B$240,
reglas!$C$2:$C$240,
reglas!$D$2:$D$240,
reglas!$E$2:$E$240,
LAMBDA(rEmisor,rPatron,rConcepto,rTipo,
IF(
AND(
OR(
UPPER(TRIM(rEmisor))=UPPER(TRIM(C1081)),
UPPER(TRIM(rEmisor))=""CUALQUIERA""
),
OR(
UPPER(TRI"&amp;"M(rTipo))=""SOLO EMISOR"",
AND(
UPPER(TRIM(rTipo))=""EXACTA"",
UPPER(TRIM(AG1081))=UPPER(TRIM(rPatron))
),
AND(
OR(
UPPER(TRIM(rTipo))=""CONTIENE"",
UPPER(TRIM(rTipo))=""COINCIDENCIA""
),
ISNUMBER(SEARCH(UPPER(TRIM(rPatron)),UPPER(TRIM(D1081))))
)
)
),
rC"&amp;"oncepto,
""""
)
)
),
MAP(
reglas!$B$2:$B$240,
reglas!$C$2:$C$240,
reglas!$D$2:$D$240,
reglas!$E$2:$E$240,
LAMBDA(rEmisor,rPatron,rConcepto,rTipo,
IF(
AND(
OR(
UPPER(TRIM(rEmisor))=UPPER(TRIM(C1081)),
UPPER(TRIM(rEmisor))=""CUALQUIERA""
),
OR(
UPPER(TRIM(r"&amp;"Tipo))=""SOLO EMISOR"",
AND(
UPPER(TRIM(rTipo))=""EXACTA"",
UPPER(TRIM(D1081))=UPPER(TRIM(rPatron))
),
AND(
OR(
UPPER(TRIM(rTipo))=""CONTIENE"",
UPPER(TRIM(rTipo))=""COINCIDENCIA""
),
ISNUMBER(SEARCH(UPPER(TRIM(rPatron)),UPPER(TRIM(D1081))))
)
)
),
rConce"&amp;"pto,
""""
)
)
)&lt;&gt;""""
),
1
),
""""
)"),"")</f>
        <v/>
      </c>
      <c r="L1081" s="27"/>
      <c r="M1081" s="27"/>
      <c r="N1081" s="27"/>
      <c r="O1081" s="27"/>
      <c r="P1081" s="27"/>
      <c r="Q1081" s="27"/>
      <c r="R1081" s="27"/>
      <c r="S1081" s="27"/>
      <c r="T1081" s="27"/>
      <c r="U1081" s="27"/>
      <c r="V1081" s="27"/>
      <c r="W1081" s="27"/>
      <c r="X1081" s="27"/>
      <c r="Y1081" s="27"/>
    </row>
    <row r="1082">
      <c r="A1082" s="32"/>
      <c r="B1082" s="32"/>
      <c r="C1082" s="29" t="s">
        <v>1832</v>
      </c>
      <c r="D1082" s="29" t="s">
        <v>1838</v>
      </c>
      <c r="E1082" s="28">
        <v>73.92</v>
      </c>
      <c r="F1082" s="28">
        <v>0.0</v>
      </c>
      <c r="G1082" s="99" t="s">
        <v>554</v>
      </c>
      <c r="H1082" s="28">
        <f t="array" ref="H1082">INDEX(CC!C:C,MATCH(1,(CC!A:A=G1082)*(CC!B:B=I1082),0))</f>
        <v>1703</v>
      </c>
      <c r="I1082" s="28" t="s">
        <v>44</v>
      </c>
      <c r="J1082" s="31">
        <v>1261.36</v>
      </c>
      <c r="K1082" s="28" t="str">
        <f>IFERROR(__xludf.DUMMYFUNCTION("IFERROR(
INDEX(
FILTER(
MAP(
reglas!$B$2:$B$240,
reglas!$C$2:$C$240,
reglas!$D$2:$D$240,
reglas!$E$2:$E$240,
LAMBDA(rEmisor,rPatron,rConcepto,rTipo,
IF(
AND(
OR(
UPPER(TRIM(rEmisor))=UPPER(TRIM(C1082)),
UPPER(TRIM(rEmisor))=""CUALQUIERA""
),
OR(
UPPER(TRI"&amp;"M(rTipo))=""SOLO EMISOR"",
AND(
UPPER(TRIM(rTipo))=""EXACTA"",
UPPER(TRIM(AG1082))=UPPER(TRIM(rPatron))
),
AND(
OR(
UPPER(TRIM(rTipo))=""CONTIENE"",
UPPER(TRIM(rTipo))=""COINCIDENCIA""
),
ISNUMBER(SEARCH(UPPER(TRIM(rPatron)),UPPER(TRIM(D1082))))
)
)
),
rC"&amp;"oncepto,
""""
)
)
),
MAP(
reglas!$B$2:$B$240,
reglas!$C$2:$C$240,
reglas!$D$2:$D$240,
reglas!$E$2:$E$240,
LAMBDA(rEmisor,rPatron,rConcepto,rTipo,
IF(
AND(
OR(
UPPER(TRIM(rEmisor))=UPPER(TRIM(C1082)),
UPPER(TRIM(rEmisor))=""CUALQUIERA""
),
OR(
UPPER(TRIM(r"&amp;"Tipo))=""SOLO EMISOR"",
AND(
UPPER(TRIM(rTipo))=""EXACTA"",
UPPER(TRIM(D1082))=UPPER(TRIM(rPatron))
),
AND(
OR(
UPPER(TRIM(rTipo))=""CONTIENE"",
UPPER(TRIM(rTipo))=""COINCIDENCIA""
),
ISNUMBER(SEARCH(UPPER(TRIM(rPatron)),UPPER(TRIM(D1082))))
)
)
),
rConce"&amp;"pto,
""""
)
)
)&lt;&gt;""""
),
1
),
""""
)"),"")</f>
        <v/>
      </c>
      <c r="L1082" s="27"/>
      <c r="M1082" s="27"/>
      <c r="N1082" s="27"/>
      <c r="O1082" s="27"/>
      <c r="P1082" s="27"/>
      <c r="Q1082" s="27"/>
      <c r="R1082" s="27"/>
      <c r="S1082" s="27"/>
      <c r="T1082" s="27"/>
      <c r="U1082" s="27"/>
      <c r="V1082" s="27"/>
      <c r="W1082" s="27"/>
      <c r="X1082" s="27"/>
      <c r="Y1082" s="27"/>
    </row>
    <row r="1083">
      <c r="A1083" s="32"/>
      <c r="B1083" s="32"/>
      <c r="C1083" s="29" t="s">
        <v>1832</v>
      </c>
      <c r="D1083" s="29" t="s">
        <v>1839</v>
      </c>
      <c r="E1083" s="28">
        <v>22.18</v>
      </c>
      <c r="F1083" s="28">
        <v>0.0</v>
      </c>
      <c r="G1083" s="99" t="s">
        <v>554</v>
      </c>
      <c r="H1083" s="28">
        <f t="array" ref="H1083">INDEX(CC!C:C,MATCH(1,(CC!A:A=G1083)*(CC!B:B=I1083),0))</f>
        <v>1703</v>
      </c>
      <c r="I1083" s="28" t="s">
        <v>44</v>
      </c>
      <c r="J1083" s="31">
        <v>378.48</v>
      </c>
      <c r="K1083" s="28" t="str">
        <f>IFERROR(__xludf.DUMMYFUNCTION("IFERROR(
INDEX(
FILTER(
MAP(
reglas!$B$2:$B$240,
reglas!$C$2:$C$240,
reglas!$D$2:$D$240,
reglas!$E$2:$E$240,
LAMBDA(rEmisor,rPatron,rConcepto,rTipo,
IF(
AND(
OR(
UPPER(TRIM(rEmisor))=UPPER(TRIM(C1083)),
UPPER(TRIM(rEmisor))=""CUALQUIERA""
),
OR(
UPPER(TRI"&amp;"M(rTipo))=""SOLO EMISOR"",
AND(
UPPER(TRIM(rTipo))=""EXACTA"",
UPPER(TRIM(AG1083))=UPPER(TRIM(rPatron))
),
AND(
OR(
UPPER(TRIM(rTipo))=""CONTIENE"",
UPPER(TRIM(rTipo))=""COINCIDENCIA""
),
ISNUMBER(SEARCH(UPPER(TRIM(rPatron)),UPPER(TRIM(D1083))))
)
)
),
rC"&amp;"oncepto,
""""
)
)
),
MAP(
reglas!$B$2:$B$240,
reglas!$C$2:$C$240,
reglas!$D$2:$D$240,
reglas!$E$2:$E$240,
LAMBDA(rEmisor,rPatron,rConcepto,rTipo,
IF(
AND(
OR(
UPPER(TRIM(rEmisor))=UPPER(TRIM(C1083)),
UPPER(TRIM(rEmisor))=""CUALQUIERA""
),
OR(
UPPER(TRIM(r"&amp;"Tipo))=""SOLO EMISOR"",
AND(
UPPER(TRIM(rTipo))=""EXACTA"",
UPPER(TRIM(D1083))=UPPER(TRIM(rPatron))
),
AND(
OR(
UPPER(TRIM(rTipo))=""CONTIENE"",
UPPER(TRIM(rTipo))=""COINCIDENCIA""
),
ISNUMBER(SEARCH(UPPER(TRIM(rPatron)),UPPER(TRIM(D1083))))
)
)
),
rConce"&amp;"pto,
""""
)
)
)&lt;&gt;""""
),
1
),
""""
)"),"")</f>
        <v/>
      </c>
      <c r="L1083" s="27"/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</row>
    <row r="1084">
      <c r="A1084" s="32"/>
      <c r="B1084" s="32"/>
      <c r="C1084" s="29" t="s">
        <v>1832</v>
      </c>
      <c r="D1084" s="29" t="s">
        <v>1840</v>
      </c>
      <c r="E1084" s="28">
        <v>92.4</v>
      </c>
      <c r="F1084" s="28">
        <v>0.0</v>
      </c>
      <c r="G1084" s="99" t="s">
        <v>554</v>
      </c>
      <c r="H1084" s="28">
        <f t="array" ref="H1084">INDEX(CC!C:C,MATCH(1,(CC!A:A=G1084)*(CC!B:B=I1084),0))</f>
        <v>1703</v>
      </c>
      <c r="I1084" s="28" t="s">
        <v>44</v>
      </c>
      <c r="J1084" s="31">
        <v>1576.7</v>
      </c>
      <c r="K1084" s="28" t="str">
        <f>IFERROR(__xludf.DUMMYFUNCTION("IFERROR(
INDEX(
FILTER(
MAP(
reglas!$B$2:$B$240,
reglas!$C$2:$C$240,
reglas!$D$2:$D$240,
reglas!$E$2:$E$240,
LAMBDA(rEmisor,rPatron,rConcepto,rTipo,
IF(
AND(
OR(
UPPER(TRIM(rEmisor))=UPPER(TRIM(C1084)),
UPPER(TRIM(rEmisor))=""CUALQUIERA""
),
OR(
UPPER(TRI"&amp;"M(rTipo))=""SOLO EMISOR"",
AND(
UPPER(TRIM(rTipo))=""EXACTA"",
UPPER(TRIM(AG1084))=UPPER(TRIM(rPatron))
),
AND(
OR(
UPPER(TRIM(rTipo))=""CONTIENE"",
UPPER(TRIM(rTipo))=""COINCIDENCIA""
),
ISNUMBER(SEARCH(UPPER(TRIM(rPatron)),UPPER(TRIM(D1084))))
)
)
),
rC"&amp;"oncepto,
""""
)
)
),
MAP(
reglas!$B$2:$B$240,
reglas!$C$2:$C$240,
reglas!$D$2:$D$240,
reglas!$E$2:$E$240,
LAMBDA(rEmisor,rPatron,rConcepto,rTipo,
IF(
AND(
OR(
UPPER(TRIM(rEmisor))=UPPER(TRIM(C1084)),
UPPER(TRIM(rEmisor))=""CUALQUIERA""
),
OR(
UPPER(TRIM(r"&amp;"Tipo))=""SOLO EMISOR"",
AND(
UPPER(TRIM(rTipo))=""EXACTA"",
UPPER(TRIM(D1084))=UPPER(TRIM(rPatron))
),
AND(
OR(
UPPER(TRIM(rTipo))=""CONTIENE"",
UPPER(TRIM(rTipo))=""COINCIDENCIA""
),
ISNUMBER(SEARCH(UPPER(TRIM(rPatron)),UPPER(TRIM(D1084))))
)
)
),
rConce"&amp;"pto,
""""
)
)
)&lt;&gt;""""
),
1
),
""""
)"),"")</f>
        <v/>
      </c>
      <c r="L1084" s="27"/>
      <c r="M1084" s="27"/>
      <c r="N1084" s="27"/>
      <c r="O1084" s="27"/>
      <c r="P1084" s="27"/>
      <c r="Q1084" s="27"/>
      <c r="R1084" s="27"/>
      <c r="S1084" s="27"/>
      <c r="T1084" s="27"/>
      <c r="U1084" s="27"/>
      <c r="V1084" s="27"/>
      <c r="W1084" s="27"/>
      <c r="X1084" s="27"/>
      <c r="Y1084" s="27"/>
    </row>
    <row r="1085">
      <c r="A1085" s="32"/>
      <c r="B1085" s="28" t="s">
        <v>29</v>
      </c>
      <c r="C1085" s="29" t="s">
        <v>172</v>
      </c>
      <c r="D1085" s="29" t="s">
        <v>1773</v>
      </c>
      <c r="E1085" s="30">
        <v>11500.0</v>
      </c>
      <c r="F1085" s="28">
        <v>0.0</v>
      </c>
      <c r="G1085" s="28" t="s">
        <v>250</v>
      </c>
      <c r="H1085" s="28">
        <f t="array" ref="H1085">INDEX(CC!C:C,MATCH(1,(CC!A:A=G1085)*(CC!B:B=I1085),0))</f>
        <v>1402</v>
      </c>
      <c r="I1085" s="28" t="s">
        <v>25</v>
      </c>
      <c r="J1085" s="31">
        <v>11500.0</v>
      </c>
      <c r="K1085" s="28" t="str">
        <f>IFERROR(__xludf.DUMMYFUNCTION("IFERROR(
INDEX(
FILTER(
MAP(
reglas!$B$2:$B$240,
reglas!$C$2:$C$240,
reglas!$D$2:$D$240,
reglas!$E$2:$E$240,
LAMBDA(rEmisor,rPatron,rConcepto,rTipo,
IF(
AND(
OR(
UPPER(TRIM(rEmisor))=UPPER(TRIM(C1085)),
UPPER(TRIM(rEmisor))=""CUALQUIERA""
),
OR(
UPPER(TRI"&amp;"M(rTipo))=""SOLO EMISOR"",
AND(
UPPER(TRIM(rTipo))=""EXACTA"",
UPPER(TRIM(AG1085))=UPPER(TRIM(rPatron))
),
AND(
OR(
UPPER(TRIM(rTipo))=""CONTIENE"",
UPPER(TRIM(rTipo))=""COINCIDENCIA""
),
ISNUMBER(SEARCH(UPPER(TRIM(rPatron)),UPPER(TRIM(D1085))))
)
)
),
rC"&amp;"oncepto,
""""
)
)
),
MAP(
reglas!$B$2:$B$240,
reglas!$C$2:$C$240,
reglas!$D$2:$D$240,
reglas!$E$2:$E$240,
LAMBDA(rEmisor,rPatron,rConcepto,rTipo,
IF(
AND(
OR(
UPPER(TRIM(rEmisor))=UPPER(TRIM(C1085)),
UPPER(TRIM(rEmisor))=""CUALQUIERA""
),
OR(
UPPER(TRIM(r"&amp;"Tipo))=""SOLO EMISOR"",
AND(
UPPER(TRIM(rTipo))=""EXACTA"",
UPPER(TRIM(D1085))=UPPER(TRIM(rPatron))
),
AND(
OR(
UPPER(TRIM(rTipo))=""CONTIENE"",
UPPER(TRIM(rTipo))=""COINCIDENCIA""
),
ISNUMBER(SEARCH(UPPER(TRIM(rPatron)),UPPER(TRIM(D1085))))
)
)
),
rConce"&amp;"pto,
""""
)
)
)&lt;&gt;""""
),
1
),
""""
)"),"TRANSPORTE")</f>
        <v>TRANSPORTE</v>
      </c>
      <c r="L1085" s="27"/>
      <c r="M1085" s="27"/>
      <c r="N1085" s="27"/>
      <c r="O1085" s="27"/>
      <c r="P1085" s="27"/>
      <c r="Q1085" s="27"/>
      <c r="R1085" s="27"/>
      <c r="S1085" s="27"/>
      <c r="T1085" s="27"/>
      <c r="U1085" s="27"/>
      <c r="V1085" s="27"/>
      <c r="W1085" s="27"/>
      <c r="X1085" s="27"/>
      <c r="Y1085" s="27"/>
    </row>
    <row r="1086">
      <c r="A1086" s="32"/>
      <c r="B1086" s="28" t="s">
        <v>29</v>
      </c>
      <c r="C1086" s="29" t="s">
        <v>331</v>
      </c>
      <c r="D1086" s="29" t="s">
        <v>33</v>
      </c>
      <c r="E1086" s="28">
        <v>0.01</v>
      </c>
      <c r="F1086" s="28">
        <v>0.0</v>
      </c>
      <c r="G1086" s="28" t="s">
        <v>385</v>
      </c>
      <c r="H1086" s="28">
        <f t="array" ref="H1086">INDEX(CC!C:C,MATCH(1,(CC!A:A=G1086)*(CC!B:B=I1086),0))</f>
        <v>502</v>
      </c>
      <c r="I1086" s="28" t="s">
        <v>25</v>
      </c>
      <c r="J1086" s="31">
        <v>0.01</v>
      </c>
      <c r="K1086" s="28" t="str">
        <f>IFERROR(__xludf.DUMMYFUNCTION("IFERROR(
INDEX(
FILTER(
MAP(
reglas!$B$2:$B$240,
reglas!$C$2:$C$240,
reglas!$D$2:$D$240,
reglas!$E$2:$E$240,
LAMBDA(rEmisor,rPatron,rConcepto,rTipo,
IF(
AND(
OR(
UPPER(TRIM(rEmisor))=UPPER(TRIM(C1086)),
UPPER(TRIM(rEmisor))=""CUALQUIERA""
),
OR(
UPPER(TRI"&amp;"M(rTipo))=""SOLO EMISOR"",
AND(
UPPER(TRIM(rTipo))=""EXACTA"",
UPPER(TRIM(AG1086))=UPPER(TRIM(rPatron))
),
AND(
OR(
UPPER(TRIM(rTipo))=""CONTIENE"",
UPPER(TRIM(rTipo))=""COINCIDENCIA""
),
ISNUMBER(SEARCH(UPPER(TRIM(rPatron)),UPPER(TRIM(D1086))))
)
)
),
rC"&amp;"oncepto,
""""
)
)
),
MAP(
reglas!$B$2:$B$240,
reglas!$C$2:$C$240,
reglas!$D$2:$D$240,
reglas!$E$2:$E$240,
LAMBDA(rEmisor,rPatron,rConcepto,rTipo,
IF(
AND(
OR(
UPPER(TRIM(rEmisor))=UPPER(TRIM(C1086)),
UPPER(TRIM(rEmisor))=""CUALQUIERA""
),
OR(
UPPER(TRIM(r"&amp;"Tipo))=""SOLO EMISOR"",
AND(
UPPER(TRIM(rTipo))=""EXACTA"",
UPPER(TRIM(D1086))=UPPER(TRIM(rPatron))
),
AND(
OR(
UPPER(TRIM(rTipo))=""CONTIENE"",
UPPER(TRIM(rTipo))=""COINCIDENCIA""
),
ISNUMBER(SEARCH(UPPER(TRIM(rPatron)),UPPER(TRIM(D1086))))
)
)
),
rConce"&amp;"pto,
""""
)
)
)&lt;&gt;""""
),
1
),
""""
)"),"N/A")</f>
        <v>N/A</v>
      </c>
      <c r="L1086" s="27"/>
      <c r="M1086" s="27"/>
      <c r="N1086" s="27"/>
      <c r="O1086" s="27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</row>
    <row r="1087">
      <c r="A1087" s="28">
        <v>1.0</v>
      </c>
      <c r="B1087" s="28" t="s">
        <v>29</v>
      </c>
      <c r="C1087" s="29" t="s">
        <v>89</v>
      </c>
      <c r="D1087" s="29" t="s">
        <v>91</v>
      </c>
      <c r="E1087" s="30">
        <v>1283.04</v>
      </c>
      <c r="F1087" s="28">
        <v>0.0</v>
      </c>
      <c r="G1087" s="28" t="s">
        <v>601</v>
      </c>
      <c r="H1087" s="28">
        <f t="array" ref="H1087">INDEX(CC!C:C,MATCH(1,(CC!A:A=G1087)*(CC!B:B=I1087),0))</f>
        <v>402</v>
      </c>
      <c r="I1087" s="28" t="s">
        <v>25</v>
      </c>
      <c r="J1087" s="31">
        <v>1283.04</v>
      </c>
      <c r="K1087" s="28" t="str">
        <f>IFERROR(__xludf.DUMMYFUNCTION("IFERROR(
INDEX(
FILTER(
MAP(
reglas!$B$2:$B$240,
reglas!$C$2:$C$240,
reglas!$D$2:$D$240,
reglas!$E$2:$E$240,
LAMBDA(rEmisor,rPatron,rConcepto,rTipo,
IF(
AND(
OR(
UPPER(TRIM(rEmisor))=UPPER(TRIM(C1087)),
UPPER(TRIM(rEmisor))=""CUALQUIERA""
),
OR(
UPPER(TRI"&amp;"M(rTipo))=""SOLO EMISOR"",
AND(
UPPER(TRIM(rTipo))=""EXACTA"",
UPPER(TRIM(AG1087))=UPPER(TRIM(rPatron))
),
AND(
OR(
UPPER(TRIM(rTipo))=""CONTIENE"",
UPPER(TRIM(rTipo))=""COINCIDENCIA""
),
ISNUMBER(SEARCH(UPPER(TRIM(rPatron)),UPPER(TRIM(D1087))))
)
)
),
rC"&amp;"oncepto,
""""
)
)
),
MAP(
reglas!$B$2:$B$240,
reglas!$C$2:$C$240,
reglas!$D$2:$D$240,
reglas!$E$2:$E$240,
LAMBDA(rEmisor,rPatron,rConcepto,rTipo,
IF(
AND(
OR(
UPPER(TRIM(rEmisor))=UPPER(TRIM(C1087)),
UPPER(TRIM(rEmisor))=""CUALQUIERA""
),
OR(
UPPER(TRIM(r"&amp;"Tipo))=""SOLO EMISOR"",
AND(
UPPER(TRIM(rTipo))=""EXACTA"",
UPPER(TRIM(D1087))=UPPER(TRIM(rPatron))
),
AND(
OR(
UPPER(TRIM(rTipo))=""CONTIENE"",
UPPER(TRIM(rTipo))=""COINCIDENCIA""
),
ISNUMBER(SEARCH(UPPER(TRIM(rPatron)),UPPER(TRIM(D1087))))
)
)
),
rConce"&amp;"pto,
""""
)
)
)&lt;&gt;""""
),
1
),
""""
)"),"MANIOBRAS")</f>
        <v>MANIOBRAS</v>
      </c>
      <c r="L1087" s="27"/>
      <c r="M1087" s="27"/>
      <c r="N1087" s="27"/>
      <c r="O1087" s="27"/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</row>
    <row r="1088">
      <c r="A1088" s="32"/>
      <c r="B1088" s="28" t="s">
        <v>29</v>
      </c>
      <c r="C1088" s="29" t="s">
        <v>172</v>
      </c>
      <c r="D1088" s="29" t="s">
        <v>1829</v>
      </c>
      <c r="E1088" s="30">
        <v>11500.0</v>
      </c>
      <c r="F1088" s="28">
        <v>0.0</v>
      </c>
      <c r="G1088" s="28" t="s">
        <v>250</v>
      </c>
      <c r="H1088" s="28">
        <f t="array" ref="H1088">INDEX(CC!C:C,MATCH(1,(CC!A:A=G1088)*(CC!B:B=I1088),0))</f>
        <v>1402</v>
      </c>
      <c r="I1088" s="28" t="s">
        <v>25</v>
      </c>
      <c r="J1088" s="31">
        <v>11500.0</v>
      </c>
      <c r="K1088" s="28" t="str">
        <f>IFERROR(__xludf.DUMMYFUNCTION("IFERROR(
INDEX(
FILTER(
MAP(
reglas!$B$2:$B$240,
reglas!$C$2:$C$240,
reglas!$D$2:$D$240,
reglas!$E$2:$E$240,
LAMBDA(rEmisor,rPatron,rConcepto,rTipo,
IF(
AND(
OR(
UPPER(TRIM(rEmisor))=UPPER(TRIM(C1088)),
UPPER(TRIM(rEmisor))=""CUALQUIERA""
),
OR(
UPPER(TRI"&amp;"M(rTipo))=""SOLO EMISOR"",
AND(
UPPER(TRIM(rTipo))=""EXACTA"",
UPPER(TRIM(AG1088))=UPPER(TRIM(rPatron))
),
AND(
OR(
UPPER(TRIM(rTipo))=""CONTIENE"",
UPPER(TRIM(rTipo))=""COINCIDENCIA""
),
ISNUMBER(SEARCH(UPPER(TRIM(rPatron)),UPPER(TRIM(D1088))))
)
)
),
rC"&amp;"oncepto,
""""
)
)
),
MAP(
reglas!$B$2:$B$240,
reglas!$C$2:$C$240,
reglas!$D$2:$D$240,
reglas!$E$2:$E$240,
LAMBDA(rEmisor,rPatron,rConcepto,rTipo,
IF(
AND(
OR(
UPPER(TRIM(rEmisor))=UPPER(TRIM(C1088)),
UPPER(TRIM(rEmisor))=""CUALQUIERA""
),
OR(
UPPER(TRIM(r"&amp;"Tipo))=""SOLO EMISOR"",
AND(
UPPER(TRIM(rTipo))=""EXACTA"",
UPPER(TRIM(D1088))=UPPER(TRIM(rPatron))
),
AND(
OR(
UPPER(TRIM(rTipo))=""CONTIENE"",
UPPER(TRIM(rTipo))=""COINCIDENCIA""
),
ISNUMBER(SEARCH(UPPER(TRIM(rPatron)),UPPER(TRIM(D1088))))
)
)
),
rConce"&amp;"pto,
""""
)
)
)&lt;&gt;""""
),
1
),
""""
)"),"TRANSPORTE")</f>
        <v>TRANSPORTE</v>
      </c>
      <c r="L1088" s="27"/>
      <c r="M1088" s="27"/>
      <c r="N1088" s="27"/>
      <c r="O1088" s="27"/>
      <c r="P1088" s="27"/>
      <c r="Q1088" s="27"/>
      <c r="R1088" s="27"/>
      <c r="S1088" s="27"/>
      <c r="T1088" s="27"/>
      <c r="U1088" s="27"/>
      <c r="V1088" s="27"/>
      <c r="W1088" s="27"/>
      <c r="X1088" s="27"/>
      <c r="Y1088" s="27"/>
    </row>
    <row r="1089">
      <c r="A1089" s="28">
        <v>1.0</v>
      </c>
      <c r="B1089" s="28" t="s">
        <v>29</v>
      </c>
      <c r="C1089" s="29" t="s">
        <v>271</v>
      </c>
      <c r="D1089" s="29" t="s">
        <v>585</v>
      </c>
      <c r="E1089" s="28">
        <v>622.42</v>
      </c>
      <c r="F1089" s="28">
        <v>0.0</v>
      </c>
      <c r="G1089" s="28" t="s">
        <v>84</v>
      </c>
      <c r="H1089" s="28">
        <f t="array" ref="H1089">INDEX(CC!C:C,MATCH(1,(CC!A:A=G1089)*(CC!B:B=I1089),0))</f>
        <v>1002</v>
      </c>
      <c r="I1089" s="28" t="s">
        <v>25</v>
      </c>
      <c r="J1089" s="31">
        <v>622.42</v>
      </c>
      <c r="K1089" s="28" t="str">
        <f>IFERROR(__xludf.DUMMYFUNCTION("IFERROR(
INDEX(
FILTER(
MAP(
reglas!$B$2:$B$240,
reglas!$C$2:$C$240,
reglas!$D$2:$D$240,
reglas!$E$2:$E$240,
LAMBDA(rEmisor,rPatron,rConcepto,rTipo,
IF(
AND(
OR(
UPPER(TRIM(rEmisor))=UPPER(TRIM(C1089)),
UPPER(TRIM(rEmisor))=""CUALQUIERA""
),
OR(
UPPER(TRI"&amp;"M(rTipo))=""SOLO EMISOR"",
AND(
UPPER(TRIM(rTipo))=""EXACTA"",
UPPER(TRIM(AG1089))=UPPER(TRIM(rPatron))
),
AND(
OR(
UPPER(TRIM(rTipo))=""CONTIENE"",
UPPER(TRIM(rTipo))=""COINCIDENCIA""
),
ISNUMBER(SEARCH(UPPER(TRIM(rPatron)),UPPER(TRIM(D1089))))
)
)
),
rC"&amp;"oncepto,
""""
)
)
),
MAP(
reglas!$B$2:$B$240,
reglas!$C$2:$C$240,
reglas!$D$2:$D$240,
reglas!$E$2:$E$240,
LAMBDA(rEmisor,rPatron,rConcepto,rTipo,
IF(
AND(
OR(
UPPER(TRIM(rEmisor))=UPPER(TRIM(C1089)),
UPPER(TRIM(rEmisor))=""CUALQUIERA""
),
OR(
UPPER(TRIM(r"&amp;"Tipo))=""SOLO EMISOR"",
AND(
UPPER(TRIM(rTipo))=""EXACTA"",
UPPER(TRIM(D1089))=UPPER(TRIM(rPatron))
),
AND(
OR(
UPPER(TRIM(rTipo))=""CONTIENE"",
UPPER(TRIM(rTipo))=""COINCIDENCIA""
),
ISNUMBER(SEARCH(UPPER(TRIM(rPatron)),UPPER(TRIM(D1089))))
)
)
),
rConce"&amp;"pto,
""""
)
)
)&lt;&gt;""""
),
1
),
""""
)"),"MANIOBRAS")</f>
        <v>MANIOBRAS</v>
      </c>
      <c r="L1089" s="27"/>
      <c r="M1089" s="27"/>
      <c r="N1089" s="27"/>
      <c r="O1089" s="27"/>
      <c r="P1089" s="27"/>
      <c r="Q1089" s="27"/>
      <c r="R1089" s="27"/>
      <c r="S1089" s="27"/>
      <c r="T1089" s="27"/>
      <c r="U1089" s="27"/>
      <c r="V1089" s="27"/>
      <c r="W1089" s="27"/>
      <c r="X1089" s="27"/>
      <c r="Y1089" s="27"/>
    </row>
    <row r="1090">
      <c r="A1090" s="32"/>
      <c r="B1090" s="32"/>
      <c r="C1090" s="29" t="s">
        <v>271</v>
      </c>
      <c r="D1090" s="29" t="s">
        <v>587</v>
      </c>
      <c r="E1090" s="28">
        <v>569.47</v>
      </c>
      <c r="F1090" s="28">
        <v>0.0</v>
      </c>
      <c r="G1090" s="28" t="s">
        <v>84</v>
      </c>
      <c r="H1090" s="28">
        <f t="array" ref="H1090">INDEX(CC!C:C,MATCH(1,(CC!A:A=G1090)*(CC!B:B=I1090),0))</f>
        <v>1002</v>
      </c>
      <c r="I1090" s="28" t="s">
        <v>25</v>
      </c>
      <c r="J1090" s="31">
        <v>569.47</v>
      </c>
      <c r="K1090" s="28" t="str">
        <f>IFERROR(__xludf.DUMMYFUNCTION("IFERROR(
INDEX(
FILTER(
MAP(
reglas!$B$2:$B$240,
reglas!$C$2:$C$240,
reglas!$D$2:$D$240,
reglas!$E$2:$E$240,
LAMBDA(rEmisor,rPatron,rConcepto,rTipo,
IF(
AND(
OR(
UPPER(TRIM(rEmisor))=UPPER(TRIM(C1090)),
UPPER(TRIM(rEmisor))=""CUALQUIERA""
),
OR(
UPPER(TRI"&amp;"M(rTipo))=""SOLO EMISOR"",
AND(
UPPER(TRIM(rTipo))=""EXACTA"",
UPPER(TRIM(AG1090))=UPPER(TRIM(rPatron))
),
AND(
OR(
UPPER(TRIM(rTipo))=""CONTIENE"",
UPPER(TRIM(rTipo))=""COINCIDENCIA""
),
ISNUMBER(SEARCH(UPPER(TRIM(rPatron)),UPPER(TRIM(D1090))))
)
)
),
rC"&amp;"oncepto,
""""
)
)
),
MAP(
reglas!$B$2:$B$240,
reglas!$C$2:$C$240,
reglas!$D$2:$D$240,
reglas!$E$2:$E$240,
LAMBDA(rEmisor,rPatron,rConcepto,rTipo,
IF(
AND(
OR(
UPPER(TRIM(rEmisor))=UPPER(TRIM(C1090)),
UPPER(TRIM(rEmisor))=""CUALQUIERA""
),
OR(
UPPER(TRIM(r"&amp;"Tipo))=""SOLO EMISOR"",
AND(
UPPER(TRIM(rTipo))=""EXACTA"",
UPPER(TRIM(D1090))=UPPER(TRIM(rPatron))
),
AND(
OR(
UPPER(TRIM(rTipo))=""CONTIENE"",
UPPER(TRIM(rTipo))=""COINCIDENCIA""
),
ISNUMBER(SEARCH(UPPER(TRIM(rPatron)),UPPER(TRIM(D1090))))
)
)
),
rConce"&amp;"pto,
""""
)
)
)&lt;&gt;""""
),
1
),
""""
)"),"MANIOBRAS")</f>
        <v>MANIOBRAS</v>
      </c>
      <c r="L1090" s="27"/>
      <c r="M1090" s="27"/>
      <c r="N1090" s="27"/>
      <c r="O1090" s="27"/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</row>
    <row r="1091">
      <c r="A1091" s="32"/>
      <c r="B1091" s="32"/>
      <c r="C1091" s="29" t="s">
        <v>271</v>
      </c>
      <c r="D1091" s="29" t="s">
        <v>589</v>
      </c>
      <c r="E1091" s="28">
        <v>622.76</v>
      </c>
      <c r="F1091" s="28">
        <v>0.0</v>
      </c>
      <c r="G1091" s="28" t="s">
        <v>84</v>
      </c>
      <c r="H1091" s="28">
        <f t="array" ref="H1091">INDEX(CC!C:C,MATCH(1,(CC!A:A=G1091)*(CC!B:B=I1091),0))</f>
        <v>1002</v>
      </c>
      <c r="I1091" s="28" t="s">
        <v>25</v>
      </c>
      <c r="J1091" s="31">
        <v>622.76</v>
      </c>
      <c r="K1091" s="28" t="str">
        <f>IFERROR(__xludf.DUMMYFUNCTION("IFERROR(
INDEX(
FILTER(
MAP(
reglas!$B$2:$B$240,
reglas!$C$2:$C$240,
reglas!$D$2:$D$240,
reglas!$E$2:$E$240,
LAMBDA(rEmisor,rPatron,rConcepto,rTipo,
IF(
AND(
OR(
UPPER(TRIM(rEmisor))=UPPER(TRIM(C1091)),
UPPER(TRIM(rEmisor))=""CUALQUIERA""
),
OR(
UPPER(TRI"&amp;"M(rTipo))=""SOLO EMISOR"",
AND(
UPPER(TRIM(rTipo))=""EXACTA"",
UPPER(TRIM(AG1091))=UPPER(TRIM(rPatron))
),
AND(
OR(
UPPER(TRIM(rTipo))=""CONTIENE"",
UPPER(TRIM(rTipo))=""COINCIDENCIA""
),
ISNUMBER(SEARCH(UPPER(TRIM(rPatron)),UPPER(TRIM(D1091))))
)
)
),
rC"&amp;"oncepto,
""""
)
)
),
MAP(
reglas!$B$2:$B$240,
reglas!$C$2:$C$240,
reglas!$D$2:$D$240,
reglas!$E$2:$E$240,
LAMBDA(rEmisor,rPatron,rConcepto,rTipo,
IF(
AND(
OR(
UPPER(TRIM(rEmisor))=UPPER(TRIM(C1091)),
UPPER(TRIM(rEmisor))=""CUALQUIERA""
),
OR(
UPPER(TRIM(r"&amp;"Tipo))=""SOLO EMISOR"",
AND(
UPPER(TRIM(rTipo))=""EXACTA"",
UPPER(TRIM(D1091))=UPPER(TRIM(rPatron))
),
AND(
OR(
UPPER(TRIM(rTipo))=""CONTIENE"",
UPPER(TRIM(rTipo))=""COINCIDENCIA""
),
ISNUMBER(SEARCH(UPPER(TRIM(rPatron)),UPPER(TRIM(D1091))))
)
)
),
rConce"&amp;"pto,
""""
)
)
)&lt;&gt;""""
),
1
),
""""
)"),"MANIOBRAS")</f>
        <v>MANIOBRAS</v>
      </c>
      <c r="L1091" s="27"/>
      <c r="M1091" s="27"/>
      <c r="N1091" s="27"/>
      <c r="O1091" s="27"/>
      <c r="P1091" s="27"/>
      <c r="Q1091" s="27"/>
      <c r="R1091" s="27"/>
      <c r="S1091" s="27"/>
      <c r="T1091" s="27"/>
      <c r="U1091" s="27"/>
      <c r="V1091" s="27"/>
      <c r="W1091" s="27"/>
      <c r="X1091" s="27"/>
      <c r="Y1091" s="27"/>
    </row>
    <row r="1092">
      <c r="A1092" s="32"/>
      <c r="B1092" s="32"/>
      <c r="C1092" s="29" t="s">
        <v>271</v>
      </c>
      <c r="D1092" s="29" t="s">
        <v>596</v>
      </c>
      <c r="E1092" s="28">
        <v>653.4</v>
      </c>
      <c r="F1092" s="28">
        <v>0.0</v>
      </c>
      <c r="G1092" s="28" t="s">
        <v>84</v>
      </c>
      <c r="H1092" s="28">
        <f t="array" ref="H1092">INDEX(CC!C:C,MATCH(1,(CC!A:A=G1092)*(CC!B:B=I1092),0))</f>
        <v>1002</v>
      </c>
      <c r="I1092" s="28" t="s">
        <v>25</v>
      </c>
      <c r="J1092" s="31">
        <v>653.4</v>
      </c>
      <c r="K1092" s="28" t="str">
        <f>IFERROR(__xludf.DUMMYFUNCTION("IFERROR(
INDEX(
FILTER(
MAP(
reglas!$B$2:$B$240,
reglas!$C$2:$C$240,
reglas!$D$2:$D$240,
reglas!$E$2:$E$240,
LAMBDA(rEmisor,rPatron,rConcepto,rTipo,
IF(
AND(
OR(
UPPER(TRIM(rEmisor))=UPPER(TRIM(C1092)),
UPPER(TRIM(rEmisor))=""CUALQUIERA""
),
OR(
UPPER(TRI"&amp;"M(rTipo))=""SOLO EMISOR"",
AND(
UPPER(TRIM(rTipo))=""EXACTA"",
UPPER(TRIM(AG1092))=UPPER(TRIM(rPatron))
),
AND(
OR(
UPPER(TRIM(rTipo))=""CONTIENE"",
UPPER(TRIM(rTipo))=""COINCIDENCIA""
),
ISNUMBER(SEARCH(UPPER(TRIM(rPatron)),UPPER(TRIM(D1092))))
)
)
),
rC"&amp;"oncepto,
""""
)
)
),
MAP(
reglas!$B$2:$B$240,
reglas!$C$2:$C$240,
reglas!$D$2:$D$240,
reglas!$E$2:$E$240,
LAMBDA(rEmisor,rPatron,rConcepto,rTipo,
IF(
AND(
OR(
UPPER(TRIM(rEmisor))=UPPER(TRIM(C1092)),
UPPER(TRIM(rEmisor))=""CUALQUIERA""
),
OR(
UPPER(TRIM(r"&amp;"Tipo))=""SOLO EMISOR"",
AND(
UPPER(TRIM(rTipo))=""EXACTA"",
UPPER(TRIM(D1092))=UPPER(TRIM(rPatron))
),
AND(
OR(
UPPER(TRIM(rTipo))=""CONTIENE"",
UPPER(TRIM(rTipo))=""COINCIDENCIA""
),
ISNUMBER(SEARCH(UPPER(TRIM(rPatron)),UPPER(TRIM(D1092))))
)
)
),
rConce"&amp;"pto,
""""
)
)
)&lt;&gt;""""
),
1
),
""""
)"),"MANIOBRAS")</f>
        <v>MANIOBRAS</v>
      </c>
      <c r="L1092" s="27"/>
      <c r="M1092" s="27"/>
      <c r="N1092" s="27"/>
      <c r="O1092" s="27"/>
      <c r="P1092" s="27"/>
      <c r="Q1092" s="27"/>
      <c r="R1092" s="27"/>
      <c r="S1092" s="27"/>
      <c r="T1092" s="27"/>
      <c r="U1092" s="27"/>
      <c r="V1092" s="27"/>
      <c r="W1092" s="27"/>
      <c r="X1092" s="27"/>
      <c r="Y1092" s="27"/>
    </row>
    <row r="1093">
      <c r="A1093" s="28">
        <v>1.0</v>
      </c>
      <c r="B1093" s="28" t="s">
        <v>29</v>
      </c>
      <c r="C1093" s="29" t="s">
        <v>89</v>
      </c>
      <c r="D1093" s="29" t="s">
        <v>91</v>
      </c>
      <c r="E1093" s="30">
        <v>1283.04</v>
      </c>
      <c r="F1093" s="28">
        <v>0.0</v>
      </c>
      <c r="G1093" s="28" t="s">
        <v>601</v>
      </c>
      <c r="H1093" s="28">
        <f t="array" ref="H1093">INDEX(CC!C:C,MATCH(1,(CC!A:A=G1093)*(CC!B:B=I1093),0))</f>
        <v>402</v>
      </c>
      <c r="I1093" s="28" t="s">
        <v>25</v>
      </c>
      <c r="J1093" s="31">
        <v>1283.04</v>
      </c>
      <c r="K1093" s="28" t="str">
        <f>IFERROR(__xludf.DUMMYFUNCTION("IFERROR(
INDEX(
FILTER(
MAP(
reglas!$B$2:$B$240,
reglas!$C$2:$C$240,
reglas!$D$2:$D$240,
reglas!$E$2:$E$240,
LAMBDA(rEmisor,rPatron,rConcepto,rTipo,
IF(
AND(
OR(
UPPER(TRIM(rEmisor))=UPPER(TRIM(C1093)),
UPPER(TRIM(rEmisor))=""CUALQUIERA""
),
OR(
UPPER(TRI"&amp;"M(rTipo))=""SOLO EMISOR"",
AND(
UPPER(TRIM(rTipo))=""EXACTA"",
UPPER(TRIM(AG1093))=UPPER(TRIM(rPatron))
),
AND(
OR(
UPPER(TRIM(rTipo))=""CONTIENE"",
UPPER(TRIM(rTipo))=""COINCIDENCIA""
),
ISNUMBER(SEARCH(UPPER(TRIM(rPatron)),UPPER(TRIM(D1093))))
)
)
),
rC"&amp;"oncepto,
""""
)
)
),
MAP(
reglas!$B$2:$B$240,
reglas!$C$2:$C$240,
reglas!$D$2:$D$240,
reglas!$E$2:$E$240,
LAMBDA(rEmisor,rPatron,rConcepto,rTipo,
IF(
AND(
OR(
UPPER(TRIM(rEmisor))=UPPER(TRIM(C1093)),
UPPER(TRIM(rEmisor))=""CUALQUIERA""
),
OR(
UPPER(TRIM(r"&amp;"Tipo))=""SOLO EMISOR"",
AND(
UPPER(TRIM(rTipo))=""EXACTA"",
UPPER(TRIM(D1093))=UPPER(TRIM(rPatron))
),
AND(
OR(
UPPER(TRIM(rTipo))=""CONTIENE"",
UPPER(TRIM(rTipo))=""COINCIDENCIA""
),
ISNUMBER(SEARCH(UPPER(TRIM(rPatron)),UPPER(TRIM(D1093))))
)
)
),
rConce"&amp;"pto,
""""
)
)
)&lt;&gt;""""
),
1
),
""""
)"),"MANIOBRAS")</f>
        <v>MANIOBRAS</v>
      </c>
      <c r="L1093" s="27"/>
      <c r="M1093" s="27"/>
      <c r="N1093" s="27"/>
      <c r="O1093" s="27"/>
      <c r="P1093" s="27"/>
      <c r="Q1093" s="27"/>
      <c r="R1093" s="27"/>
      <c r="S1093" s="27"/>
      <c r="T1093" s="27"/>
      <c r="U1093" s="27"/>
      <c r="V1093" s="27"/>
      <c r="W1093" s="27"/>
      <c r="X1093" s="27"/>
      <c r="Y1093" s="27"/>
    </row>
    <row r="1094">
      <c r="A1094" s="28">
        <v>1.0</v>
      </c>
      <c r="B1094" s="28" t="s">
        <v>29</v>
      </c>
      <c r="C1094" s="29" t="s">
        <v>271</v>
      </c>
      <c r="D1094" s="29" t="s">
        <v>585</v>
      </c>
      <c r="E1094" s="28">
        <v>622.42</v>
      </c>
      <c r="F1094" s="28">
        <v>0.0</v>
      </c>
      <c r="G1094" s="28" t="s">
        <v>84</v>
      </c>
      <c r="H1094" s="28">
        <f t="array" ref="H1094">INDEX(CC!C:C,MATCH(1,(CC!A:A=G1094)*(CC!B:B=I1094),0))</f>
        <v>1002</v>
      </c>
      <c r="I1094" s="28" t="s">
        <v>25</v>
      </c>
      <c r="J1094" s="31">
        <v>622.42</v>
      </c>
      <c r="K1094" s="28" t="str">
        <f>IFERROR(__xludf.DUMMYFUNCTION("IFERROR(
INDEX(
FILTER(
MAP(
reglas!$B$2:$B$240,
reglas!$C$2:$C$240,
reglas!$D$2:$D$240,
reglas!$E$2:$E$240,
LAMBDA(rEmisor,rPatron,rConcepto,rTipo,
IF(
AND(
OR(
UPPER(TRIM(rEmisor))=UPPER(TRIM(C1094)),
UPPER(TRIM(rEmisor))=""CUALQUIERA""
),
OR(
UPPER(TRI"&amp;"M(rTipo))=""SOLO EMISOR"",
AND(
UPPER(TRIM(rTipo))=""EXACTA"",
UPPER(TRIM(AG1094))=UPPER(TRIM(rPatron))
),
AND(
OR(
UPPER(TRIM(rTipo))=""CONTIENE"",
UPPER(TRIM(rTipo))=""COINCIDENCIA""
),
ISNUMBER(SEARCH(UPPER(TRIM(rPatron)),UPPER(TRIM(D1094))))
)
)
),
rC"&amp;"oncepto,
""""
)
)
),
MAP(
reglas!$B$2:$B$240,
reglas!$C$2:$C$240,
reglas!$D$2:$D$240,
reglas!$E$2:$E$240,
LAMBDA(rEmisor,rPatron,rConcepto,rTipo,
IF(
AND(
OR(
UPPER(TRIM(rEmisor))=UPPER(TRIM(C1094)),
UPPER(TRIM(rEmisor))=""CUALQUIERA""
),
OR(
UPPER(TRIM(r"&amp;"Tipo))=""SOLO EMISOR"",
AND(
UPPER(TRIM(rTipo))=""EXACTA"",
UPPER(TRIM(D1094))=UPPER(TRIM(rPatron))
),
AND(
OR(
UPPER(TRIM(rTipo))=""CONTIENE"",
UPPER(TRIM(rTipo))=""COINCIDENCIA""
),
ISNUMBER(SEARCH(UPPER(TRIM(rPatron)),UPPER(TRIM(D1094))))
)
)
),
rConce"&amp;"pto,
""""
)
)
)&lt;&gt;""""
),
1
),
""""
)"),"MANIOBRAS")</f>
        <v>MANIOBRAS</v>
      </c>
      <c r="L1094" s="27"/>
      <c r="M1094" s="27"/>
      <c r="N1094" s="27"/>
      <c r="O1094" s="27"/>
      <c r="P1094" s="27"/>
      <c r="Q1094" s="27"/>
      <c r="R1094" s="27"/>
      <c r="S1094" s="27"/>
      <c r="T1094" s="27"/>
      <c r="U1094" s="27"/>
      <c r="V1094" s="27"/>
      <c r="W1094" s="27"/>
      <c r="X1094" s="27"/>
      <c r="Y1094" s="27"/>
    </row>
    <row r="1095">
      <c r="A1095" s="32"/>
      <c r="B1095" s="32"/>
      <c r="C1095" s="29" t="s">
        <v>271</v>
      </c>
      <c r="D1095" s="29" t="s">
        <v>587</v>
      </c>
      <c r="E1095" s="28">
        <v>569.47</v>
      </c>
      <c r="F1095" s="28">
        <v>0.0</v>
      </c>
      <c r="G1095" s="28" t="s">
        <v>84</v>
      </c>
      <c r="H1095" s="28">
        <f t="array" ref="H1095">INDEX(CC!C:C,MATCH(1,(CC!A:A=G1095)*(CC!B:B=I1095),0))</f>
        <v>1002</v>
      </c>
      <c r="I1095" s="28" t="s">
        <v>25</v>
      </c>
      <c r="J1095" s="31">
        <v>569.47</v>
      </c>
      <c r="K1095" s="28" t="str">
        <f>IFERROR(__xludf.DUMMYFUNCTION("IFERROR(
INDEX(
FILTER(
MAP(
reglas!$B$2:$B$240,
reglas!$C$2:$C$240,
reglas!$D$2:$D$240,
reglas!$E$2:$E$240,
LAMBDA(rEmisor,rPatron,rConcepto,rTipo,
IF(
AND(
OR(
UPPER(TRIM(rEmisor))=UPPER(TRIM(C1095)),
UPPER(TRIM(rEmisor))=""CUALQUIERA""
),
OR(
UPPER(TRI"&amp;"M(rTipo))=""SOLO EMISOR"",
AND(
UPPER(TRIM(rTipo))=""EXACTA"",
UPPER(TRIM(AG1095))=UPPER(TRIM(rPatron))
),
AND(
OR(
UPPER(TRIM(rTipo))=""CONTIENE"",
UPPER(TRIM(rTipo))=""COINCIDENCIA""
),
ISNUMBER(SEARCH(UPPER(TRIM(rPatron)),UPPER(TRIM(D1095))))
)
)
),
rC"&amp;"oncepto,
""""
)
)
),
MAP(
reglas!$B$2:$B$240,
reglas!$C$2:$C$240,
reglas!$D$2:$D$240,
reglas!$E$2:$E$240,
LAMBDA(rEmisor,rPatron,rConcepto,rTipo,
IF(
AND(
OR(
UPPER(TRIM(rEmisor))=UPPER(TRIM(C1095)),
UPPER(TRIM(rEmisor))=""CUALQUIERA""
),
OR(
UPPER(TRIM(r"&amp;"Tipo))=""SOLO EMISOR"",
AND(
UPPER(TRIM(rTipo))=""EXACTA"",
UPPER(TRIM(D1095))=UPPER(TRIM(rPatron))
),
AND(
OR(
UPPER(TRIM(rTipo))=""CONTIENE"",
UPPER(TRIM(rTipo))=""COINCIDENCIA""
),
ISNUMBER(SEARCH(UPPER(TRIM(rPatron)),UPPER(TRIM(D1095))))
)
)
),
rConce"&amp;"pto,
""""
)
)
)&lt;&gt;""""
),
1
),
""""
)"),"MANIOBRAS")</f>
        <v>MANIOBRAS</v>
      </c>
      <c r="L1095" s="27"/>
      <c r="M1095" s="27"/>
      <c r="N1095" s="27"/>
      <c r="O1095" s="27"/>
      <c r="P1095" s="27"/>
      <c r="Q1095" s="27"/>
      <c r="R1095" s="27"/>
      <c r="S1095" s="27"/>
      <c r="T1095" s="27"/>
      <c r="U1095" s="27"/>
      <c r="V1095" s="27"/>
      <c r="W1095" s="27"/>
      <c r="X1095" s="27"/>
      <c r="Y1095" s="27"/>
    </row>
    <row r="1096">
      <c r="A1096" s="32"/>
      <c r="B1096" s="32"/>
      <c r="C1096" s="29" t="s">
        <v>271</v>
      </c>
      <c r="D1096" s="29" t="s">
        <v>586</v>
      </c>
      <c r="E1096" s="28">
        <v>622.76</v>
      </c>
      <c r="F1096" s="28">
        <v>0.0</v>
      </c>
      <c r="G1096" s="28" t="s">
        <v>84</v>
      </c>
      <c r="H1096" s="28">
        <f t="array" ref="H1096">INDEX(CC!C:C,MATCH(1,(CC!A:A=G1096)*(CC!B:B=I1096),0))</f>
        <v>1002</v>
      </c>
      <c r="I1096" s="28" t="s">
        <v>25</v>
      </c>
      <c r="J1096" s="31">
        <v>622.76</v>
      </c>
      <c r="K1096" s="28" t="str">
        <f>IFERROR(__xludf.DUMMYFUNCTION("IFERROR(
INDEX(
FILTER(
MAP(
reglas!$B$2:$B$240,
reglas!$C$2:$C$240,
reglas!$D$2:$D$240,
reglas!$E$2:$E$240,
LAMBDA(rEmisor,rPatron,rConcepto,rTipo,
IF(
AND(
OR(
UPPER(TRIM(rEmisor))=UPPER(TRIM(C1096)),
UPPER(TRIM(rEmisor))=""CUALQUIERA""
),
OR(
UPPER(TRI"&amp;"M(rTipo))=""SOLO EMISOR"",
AND(
UPPER(TRIM(rTipo))=""EXACTA"",
UPPER(TRIM(AG1096))=UPPER(TRIM(rPatron))
),
AND(
OR(
UPPER(TRIM(rTipo))=""CONTIENE"",
UPPER(TRIM(rTipo))=""COINCIDENCIA""
),
ISNUMBER(SEARCH(UPPER(TRIM(rPatron)),UPPER(TRIM(D1096))))
)
)
),
rC"&amp;"oncepto,
""""
)
)
),
MAP(
reglas!$B$2:$B$240,
reglas!$C$2:$C$240,
reglas!$D$2:$D$240,
reglas!$E$2:$E$240,
LAMBDA(rEmisor,rPatron,rConcepto,rTipo,
IF(
AND(
OR(
UPPER(TRIM(rEmisor))=UPPER(TRIM(C1096)),
UPPER(TRIM(rEmisor))=""CUALQUIERA""
),
OR(
UPPER(TRIM(r"&amp;"Tipo))=""SOLO EMISOR"",
AND(
UPPER(TRIM(rTipo))=""EXACTA"",
UPPER(TRIM(D1096))=UPPER(TRIM(rPatron))
),
AND(
OR(
UPPER(TRIM(rTipo))=""CONTIENE"",
UPPER(TRIM(rTipo))=""COINCIDENCIA""
),
ISNUMBER(SEARCH(UPPER(TRIM(rPatron)),UPPER(TRIM(D1096))))
)
)
),
rConce"&amp;"pto,
""""
)
)
)&lt;&gt;""""
),
1
),
""""
)"),"MANIOBRAS")</f>
        <v>MANIOBRAS</v>
      </c>
      <c r="L1096" s="27"/>
      <c r="M1096" s="27"/>
      <c r="N1096" s="27"/>
      <c r="O1096" s="27"/>
      <c r="P1096" s="27"/>
      <c r="Q1096" s="27"/>
      <c r="R1096" s="27"/>
      <c r="S1096" s="27"/>
      <c r="T1096" s="27"/>
      <c r="U1096" s="27"/>
      <c r="V1096" s="27"/>
      <c r="W1096" s="27"/>
      <c r="X1096" s="27"/>
      <c r="Y1096" s="27"/>
    </row>
    <row r="1097">
      <c r="A1097" s="32"/>
      <c r="B1097" s="32"/>
      <c r="C1097" s="29" t="s">
        <v>271</v>
      </c>
      <c r="D1097" s="29" t="s">
        <v>589</v>
      </c>
      <c r="E1097" s="28">
        <v>763.55</v>
      </c>
      <c r="F1097" s="28">
        <v>0.0</v>
      </c>
      <c r="G1097" s="28" t="s">
        <v>84</v>
      </c>
      <c r="H1097" s="28">
        <f t="array" ref="H1097">INDEX(CC!C:C,MATCH(1,(CC!A:A=G1097)*(CC!B:B=I1097),0))</f>
        <v>1002</v>
      </c>
      <c r="I1097" s="28" t="s">
        <v>25</v>
      </c>
      <c r="J1097" s="31">
        <v>763.55</v>
      </c>
      <c r="K1097" s="28" t="str">
        <f>IFERROR(__xludf.DUMMYFUNCTION("IFERROR(
INDEX(
FILTER(
MAP(
reglas!$B$2:$B$240,
reglas!$C$2:$C$240,
reglas!$D$2:$D$240,
reglas!$E$2:$E$240,
LAMBDA(rEmisor,rPatron,rConcepto,rTipo,
IF(
AND(
OR(
UPPER(TRIM(rEmisor))=UPPER(TRIM(C1097)),
UPPER(TRIM(rEmisor))=""CUALQUIERA""
),
OR(
UPPER(TRI"&amp;"M(rTipo))=""SOLO EMISOR"",
AND(
UPPER(TRIM(rTipo))=""EXACTA"",
UPPER(TRIM(AG1097))=UPPER(TRIM(rPatron))
),
AND(
OR(
UPPER(TRIM(rTipo))=""CONTIENE"",
UPPER(TRIM(rTipo))=""COINCIDENCIA""
),
ISNUMBER(SEARCH(UPPER(TRIM(rPatron)),UPPER(TRIM(D1097))))
)
)
),
rC"&amp;"oncepto,
""""
)
)
),
MAP(
reglas!$B$2:$B$240,
reglas!$C$2:$C$240,
reglas!$D$2:$D$240,
reglas!$E$2:$E$240,
LAMBDA(rEmisor,rPatron,rConcepto,rTipo,
IF(
AND(
OR(
UPPER(TRIM(rEmisor))=UPPER(TRIM(C1097)),
UPPER(TRIM(rEmisor))=""CUALQUIERA""
),
OR(
UPPER(TRIM(r"&amp;"Tipo))=""SOLO EMISOR"",
AND(
UPPER(TRIM(rTipo))=""EXACTA"",
UPPER(TRIM(D1097))=UPPER(TRIM(rPatron))
),
AND(
OR(
UPPER(TRIM(rTipo))=""CONTIENE"",
UPPER(TRIM(rTipo))=""COINCIDENCIA""
),
ISNUMBER(SEARCH(UPPER(TRIM(rPatron)),UPPER(TRIM(D1097))))
)
)
),
rConce"&amp;"pto,
""""
)
)
)&lt;&gt;""""
),
1
),
""""
)"),"MANIOBRAS")</f>
        <v>MANIOBRAS</v>
      </c>
      <c r="L1097" s="27"/>
      <c r="M1097" s="27"/>
      <c r="N1097" s="27"/>
      <c r="O1097" s="27"/>
      <c r="P1097" s="27"/>
      <c r="Q1097" s="27"/>
      <c r="R1097" s="27"/>
      <c r="S1097" s="27"/>
      <c r="T1097" s="27"/>
      <c r="U1097" s="27"/>
      <c r="V1097" s="27"/>
      <c r="W1097" s="27"/>
      <c r="X1097" s="27"/>
      <c r="Y1097" s="27"/>
    </row>
    <row r="1098">
      <c r="A1098" s="32"/>
      <c r="B1098" s="32"/>
      <c r="C1098" s="29" t="s">
        <v>271</v>
      </c>
      <c r="D1098" s="29" t="s">
        <v>593</v>
      </c>
      <c r="E1098" s="28">
        <v>875.06</v>
      </c>
      <c r="F1098" s="28">
        <v>0.0</v>
      </c>
      <c r="G1098" s="28" t="s">
        <v>84</v>
      </c>
      <c r="H1098" s="28">
        <f t="array" ref="H1098">INDEX(CC!C:C,MATCH(1,(CC!A:A=G1098)*(CC!B:B=I1098),0))</f>
        <v>1002</v>
      </c>
      <c r="I1098" s="28" t="s">
        <v>25</v>
      </c>
      <c r="J1098" s="31">
        <v>875.06</v>
      </c>
      <c r="K1098" s="28" t="str">
        <f>IFERROR(__xludf.DUMMYFUNCTION("IFERROR(
INDEX(
FILTER(
MAP(
reglas!$B$2:$B$240,
reglas!$C$2:$C$240,
reglas!$D$2:$D$240,
reglas!$E$2:$E$240,
LAMBDA(rEmisor,rPatron,rConcepto,rTipo,
IF(
AND(
OR(
UPPER(TRIM(rEmisor))=UPPER(TRIM(C1098)),
UPPER(TRIM(rEmisor))=""CUALQUIERA""
),
OR(
UPPER(TRI"&amp;"M(rTipo))=""SOLO EMISOR"",
AND(
UPPER(TRIM(rTipo))=""EXACTA"",
UPPER(TRIM(AG1098))=UPPER(TRIM(rPatron))
),
AND(
OR(
UPPER(TRIM(rTipo))=""CONTIENE"",
UPPER(TRIM(rTipo))=""COINCIDENCIA""
),
ISNUMBER(SEARCH(UPPER(TRIM(rPatron)),UPPER(TRIM(D1098))))
)
)
),
rC"&amp;"oncepto,
""""
)
)
),
MAP(
reglas!$B$2:$B$240,
reglas!$C$2:$C$240,
reglas!$D$2:$D$240,
reglas!$E$2:$E$240,
LAMBDA(rEmisor,rPatron,rConcepto,rTipo,
IF(
AND(
OR(
UPPER(TRIM(rEmisor))=UPPER(TRIM(C1098)),
UPPER(TRIM(rEmisor))=""CUALQUIERA""
),
OR(
UPPER(TRIM(r"&amp;"Tipo))=""SOLO EMISOR"",
AND(
UPPER(TRIM(rTipo))=""EXACTA"",
UPPER(TRIM(D1098))=UPPER(TRIM(rPatron))
),
AND(
OR(
UPPER(TRIM(rTipo))=""CONTIENE"",
UPPER(TRIM(rTipo))=""COINCIDENCIA""
),
ISNUMBER(SEARCH(UPPER(TRIM(rPatron)),UPPER(TRIM(D1098))))
)
)
),
rConce"&amp;"pto,
""""
)
)
)&lt;&gt;""""
),
1
),
""""
)"),"MANIOBRAS")</f>
        <v>MANIOBRAS</v>
      </c>
      <c r="L1098" s="27"/>
      <c r="M1098" s="27"/>
      <c r="N1098" s="27"/>
      <c r="O1098" s="27"/>
      <c r="P1098" s="27"/>
      <c r="Q1098" s="27"/>
      <c r="R1098" s="27"/>
      <c r="S1098" s="27"/>
      <c r="T1098" s="27"/>
      <c r="U1098" s="27"/>
      <c r="V1098" s="27"/>
      <c r="W1098" s="27"/>
      <c r="X1098" s="27"/>
      <c r="Y1098" s="27"/>
    </row>
    <row r="1099">
      <c r="A1099" s="32"/>
      <c r="B1099" s="32"/>
      <c r="C1099" s="29" t="s">
        <v>271</v>
      </c>
      <c r="D1099" s="29" t="s">
        <v>596</v>
      </c>
      <c r="E1099" s="28">
        <v>653.4</v>
      </c>
      <c r="F1099" s="28">
        <v>0.0</v>
      </c>
      <c r="G1099" s="28" t="s">
        <v>84</v>
      </c>
      <c r="H1099" s="28">
        <f t="array" ref="H1099">INDEX(CC!C:C,MATCH(1,(CC!A:A=G1099)*(CC!B:B=I1099),0))</f>
        <v>1002</v>
      </c>
      <c r="I1099" s="28" t="s">
        <v>25</v>
      </c>
      <c r="J1099" s="31">
        <v>653.4</v>
      </c>
      <c r="K1099" s="28" t="str">
        <f>IFERROR(__xludf.DUMMYFUNCTION("IFERROR(
INDEX(
FILTER(
MAP(
reglas!$B$2:$B$240,
reglas!$C$2:$C$240,
reglas!$D$2:$D$240,
reglas!$E$2:$E$240,
LAMBDA(rEmisor,rPatron,rConcepto,rTipo,
IF(
AND(
OR(
UPPER(TRIM(rEmisor))=UPPER(TRIM(C1099)),
UPPER(TRIM(rEmisor))=""CUALQUIERA""
),
OR(
UPPER(TRI"&amp;"M(rTipo))=""SOLO EMISOR"",
AND(
UPPER(TRIM(rTipo))=""EXACTA"",
UPPER(TRIM(AG1099))=UPPER(TRIM(rPatron))
),
AND(
OR(
UPPER(TRIM(rTipo))=""CONTIENE"",
UPPER(TRIM(rTipo))=""COINCIDENCIA""
),
ISNUMBER(SEARCH(UPPER(TRIM(rPatron)),UPPER(TRIM(D1099))))
)
)
),
rC"&amp;"oncepto,
""""
)
)
),
MAP(
reglas!$B$2:$B$240,
reglas!$C$2:$C$240,
reglas!$D$2:$D$240,
reglas!$E$2:$E$240,
LAMBDA(rEmisor,rPatron,rConcepto,rTipo,
IF(
AND(
OR(
UPPER(TRIM(rEmisor))=UPPER(TRIM(C1099)),
UPPER(TRIM(rEmisor))=""CUALQUIERA""
),
OR(
UPPER(TRIM(r"&amp;"Tipo))=""SOLO EMISOR"",
AND(
UPPER(TRIM(rTipo))=""EXACTA"",
UPPER(TRIM(D1099))=UPPER(TRIM(rPatron))
),
AND(
OR(
UPPER(TRIM(rTipo))=""CONTIENE"",
UPPER(TRIM(rTipo))=""COINCIDENCIA""
),
ISNUMBER(SEARCH(UPPER(TRIM(rPatron)),UPPER(TRIM(D1099))))
)
)
),
rConce"&amp;"pto,
""""
)
)
)&lt;&gt;""""
),
1
),
""""
)"),"MANIOBRAS")</f>
        <v>MANIOBRAS</v>
      </c>
      <c r="L1099" s="27"/>
      <c r="M1099" s="27"/>
      <c r="N1099" s="27"/>
      <c r="O1099" s="27"/>
      <c r="P1099" s="27"/>
      <c r="Q1099" s="27"/>
      <c r="R1099" s="27"/>
      <c r="S1099" s="27"/>
      <c r="T1099" s="27"/>
      <c r="U1099" s="27"/>
      <c r="V1099" s="27"/>
      <c r="W1099" s="27"/>
      <c r="X1099" s="27"/>
      <c r="Y1099" s="27"/>
    </row>
    <row r="1100">
      <c r="A1100" s="28">
        <v>1.0</v>
      </c>
      <c r="B1100" s="28" t="s">
        <v>29</v>
      </c>
      <c r="C1100" s="29" t="s">
        <v>271</v>
      </c>
      <c r="D1100" s="29" t="s">
        <v>585</v>
      </c>
      <c r="E1100" s="28">
        <v>622.42</v>
      </c>
      <c r="F1100" s="28">
        <v>0.0</v>
      </c>
      <c r="G1100" s="28" t="s">
        <v>84</v>
      </c>
      <c r="H1100" s="28">
        <f t="array" ref="H1100">INDEX(CC!C:C,MATCH(1,(CC!A:A=G1100)*(CC!B:B=I1100),0))</f>
        <v>1002</v>
      </c>
      <c r="I1100" s="28" t="s">
        <v>25</v>
      </c>
      <c r="J1100" s="31">
        <v>622.42</v>
      </c>
      <c r="K1100" s="28" t="str">
        <f>IFERROR(__xludf.DUMMYFUNCTION("IFERROR(
INDEX(
FILTER(
MAP(
reglas!$B$2:$B$240,
reglas!$C$2:$C$240,
reglas!$D$2:$D$240,
reglas!$E$2:$E$240,
LAMBDA(rEmisor,rPatron,rConcepto,rTipo,
IF(
AND(
OR(
UPPER(TRIM(rEmisor))=UPPER(TRIM(C1100)),
UPPER(TRIM(rEmisor))=""CUALQUIERA""
),
OR(
UPPER(TRI"&amp;"M(rTipo))=""SOLO EMISOR"",
AND(
UPPER(TRIM(rTipo))=""EXACTA"",
UPPER(TRIM(AG1100))=UPPER(TRIM(rPatron))
),
AND(
OR(
UPPER(TRIM(rTipo))=""CONTIENE"",
UPPER(TRIM(rTipo))=""COINCIDENCIA""
),
ISNUMBER(SEARCH(UPPER(TRIM(rPatron)),UPPER(TRIM(D1100))))
)
)
),
rC"&amp;"oncepto,
""""
)
)
),
MAP(
reglas!$B$2:$B$240,
reglas!$C$2:$C$240,
reglas!$D$2:$D$240,
reglas!$E$2:$E$240,
LAMBDA(rEmisor,rPatron,rConcepto,rTipo,
IF(
AND(
OR(
UPPER(TRIM(rEmisor))=UPPER(TRIM(C1100)),
UPPER(TRIM(rEmisor))=""CUALQUIERA""
),
OR(
UPPER(TRIM(r"&amp;"Tipo))=""SOLO EMISOR"",
AND(
UPPER(TRIM(rTipo))=""EXACTA"",
UPPER(TRIM(D1100))=UPPER(TRIM(rPatron))
),
AND(
OR(
UPPER(TRIM(rTipo))=""CONTIENE"",
UPPER(TRIM(rTipo))=""COINCIDENCIA""
),
ISNUMBER(SEARCH(UPPER(TRIM(rPatron)),UPPER(TRIM(D1100))))
)
)
),
rConce"&amp;"pto,
""""
)
)
)&lt;&gt;""""
),
1
),
""""
)"),"MANIOBRAS")</f>
        <v>MANIOBRAS</v>
      </c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</row>
    <row r="1101">
      <c r="A1101" s="32"/>
      <c r="B1101" s="32"/>
      <c r="C1101" s="29" t="s">
        <v>271</v>
      </c>
      <c r="D1101" s="29" t="s">
        <v>587</v>
      </c>
      <c r="E1101" s="28">
        <v>569.47</v>
      </c>
      <c r="F1101" s="28">
        <v>0.0</v>
      </c>
      <c r="G1101" s="28" t="s">
        <v>84</v>
      </c>
      <c r="H1101" s="28">
        <f t="array" ref="H1101">INDEX(CC!C:C,MATCH(1,(CC!A:A=G1101)*(CC!B:B=I1101),0))</f>
        <v>1002</v>
      </c>
      <c r="I1101" s="28" t="s">
        <v>25</v>
      </c>
      <c r="J1101" s="31">
        <v>569.47</v>
      </c>
      <c r="K1101" s="28" t="str">
        <f>IFERROR(__xludf.DUMMYFUNCTION("IFERROR(
INDEX(
FILTER(
MAP(
reglas!$B$2:$B$240,
reglas!$C$2:$C$240,
reglas!$D$2:$D$240,
reglas!$E$2:$E$240,
LAMBDA(rEmisor,rPatron,rConcepto,rTipo,
IF(
AND(
OR(
UPPER(TRIM(rEmisor))=UPPER(TRIM(C1101)),
UPPER(TRIM(rEmisor))=""CUALQUIERA""
),
OR(
UPPER(TRI"&amp;"M(rTipo))=""SOLO EMISOR"",
AND(
UPPER(TRIM(rTipo))=""EXACTA"",
UPPER(TRIM(AG1101))=UPPER(TRIM(rPatron))
),
AND(
OR(
UPPER(TRIM(rTipo))=""CONTIENE"",
UPPER(TRIM(rTipo))=""COINCIDENCIA""
),
ISNUMBER(SEARCH(UPPER(TRIM(rPatron)),UPPER(TRIM(D1101))))
)
)
),
rC"&amp;"oncepto,
""""
)
)
),
MAP(
reglas!$B$2:$B$240,
reglas!$C$2:$C$240,
reglas!$D$2:$D$240,
reglas!$E$2:$E$240,
LAMBDA(rEmisor,rPatron,rConcepto,rTipo,
IF(
AND(
OR(
UPPER(TRIM(rEmisor))=UPPER(TRIM(C1101)),
UPPER(TRIM(rEmisor))=""CUALQUIERA""
),
OR(
UPPER(TRIM(r"&amp;"Tipo))=""SOLO EMISOR"",
AND(
UPPER(TRIM(rTipo))=""EXACTA"",
UPPER(TRIM(D1101))=UPPER(TRIM(rPatron))
),
AND(
OR(
UPPER(TRIM(rTipo))=""CONTIENE"",
UPPER(TRIM(rTipo))=""COINCIDENCIA""
),
ISNUMBER(SEARCH(UPPER(TRIM(rPatron)),UPPER(TRIM(D1101))))
)
)
),
rConce"&amp;"pto,
""""
)
)
)&lt;&gt;""""
),
1
),
""""
)"),"MANIOBRAS")</f>
        <v>MANIOBRAS</v>
      </c>
      <c r="L1101" s="27"/>
      <c r="M1101" s="27"/>
      <c r="N1101" s="27"/>
      <c r="O1101" s="27"/>
      <c r="P1101" s="27"/>
      <c r="Q1101" s="27"/>
      <c r="R1101" s="27"/>
      <c r="S1101" s="27"/>
      <c r="T1101" s="27"/>
      <c r="U1101" s="27"/>
      <c r="V1101" s="27"/>
      <c r="W1101" s="27"/>
      <c r="X1101" s="27"/>
      <c r="Y1101" s="27"/>
    </row>
    <row r="1102">
      <c r="A1102" s="32"/>
      <c r="B1102" s="32"/>
      <c r="C1102" s="29" t="s">
        <v>271</v>
      </c>
      <c r="D1102" s="29" t="s">
        <v>589</v>
      </c>
      <c r="E1102" s="28">
        <v>622.76</v>
      </c>
      <c r="F1102" s="28">
        <v>0.0</v>
      </c>
      <c r="G1102" s="28" t="s">
        <v>84</v>
      </c>
      <c r="H1102" s="28">
        <f t="array" ref="H1102">INDEX(CC!C:C,MATCH(1,(CC!A:A=G1102)*(CC!B:B=I1102),0))</f>
        <v>1002</v>
      </c>
      <c r="I1102" s="28" t="s">
        <v>25</v>
      </c>
      <c r="J1102" s="31">
        <v>622.76</v>
      </c>
      <c r="K1102" s="28" t="str">
        <f>IFERROR(__xludf.DUMMYFUNCTION("IFERROR(
INDEX(
FILTER(
MAP(
reglas!$B$2:$B$240,
reglas!$C$2:$C$240,
reglas!$D$2:$D$240,
reglas!$E$2:$E$240,
LAMBDA(rEmisor,rPatron,rConcepto,rTipo,
IF(
AND(
OR(
UPPER(TRIM(rEmisor))=UPPER(TRIM(C1102)),
UPPER(TRIM(rEmisor))=""CUALQUIERA""
),
OR(
UPPER(TRI"&amp;"M(rTipo))=""SOLO EMISOR"",
AND(
UPPER(TRIM(rTipo))=""EXACTA"",
UPPER(TRIM(AG1102))=UPPER(TRIM(rPatron))
),
AND(
OR(
UPPER(TRIM(rTipo))=""CONTIENE"",
UPPER(TRIM(rTipo))=""COINCIDENCIA""
),
ISNUMBER(SEARCH(UPPER(TRIM(rPatron)),UPPER(TRIM(D1102))))
)
)
),
rC"&amp;"oncepto,
""""
)
)
),
MAP(
reglas!$B$2:$B$240,
reglas!$C$2:$C$240,
reglas!$D$2:$D$240,
reglas!$E$2:$E$240,
LAMBDA(rEmisor,rPatron,rConcepto,rTipo,
IF(
AND(
OR(
UPPER(TRIM(rEmisor))=UPPER(TRIM(C1102)),
UPPER(TRIM(rEmisor))=""CUALQUIERA""
),
OR(
UPPER(TRIM(r"&amp;"Tipo))=""SOLO EMISOR"",
AND(
UPPER(TRIM(rTipo))=""EXACTA"",
UPPER(TRIM(D1102))=UPPER(TRIM(rPatron))
),
AND(
OR(
UPPER(TRIM(rTipo))=""CONTIENE"",
UPPER(TRIM(rTipo))=""COINCIDENCIA""
),
ISNUMBER(SEARCH(UPPER(TRIM(rPatron)),UPPER(TRIM(D1102))))
)
)
),
rConce"&amp;"pto,
""""
)
)
)&lt;&gt;""""
),
1
),
""""
)"),"MANIOBRAS")</f>
        <v>MANIOBRAS</v>
      </c>
      <c r="L1102" s="27"/>
      <c r="M1102" s="27"/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</row>
    <row r="1103">
      <c r="A1103" s="32"/>
      <c r="B1103" s="32"/>
      <c r="C1103" s="29" t="s">
        <v>271</v>
      </c>
      <c r="D1103" s="29" t="s">
        <v>596</v>
      </c>
      <c r="E1103" s="28">
        <v>653.4</v>
      </c>
      <c r="F1103" s="28">
        <v>0.0</v>
      </c>
      <c r="G1103" s="28" t="s">
        <v>84</v>
      </c>
      <c r="H1103" s="28">
        <f t="array" ref="H1103">INDEX(CC!C:C,MATCH(1,(CC!A:A=G1103)*(CC!B:B=I1103),0))</f>
        <v>1002</v>
      </c>
      <c r="I1103" s="28" t="s">
        <v>25</v>
      </c>
      <c r="J1103" s="31">
        <v>653.4</v>
      </c>
      <c r="K1103" s="28" t="str">
        <f>IFERROR(__xludf.DUMMYFUNCTION("IFERROR(
INDEX(
FILTER(
MAP(
reglas!$B$2:$B$240,
reglas!$C$2:$C$240,
reglas!$D$2:$D$240,
reglas!$E$2:$E$240,
LAMBDA(rEmisor,rPatron,rConcepto,rTipo,
IF(
AND(
OR(
UPPER(TRIM(rEmisor))=UPPER(TRIM(C1103)),
UPPER(TRIM(rEmisor))=""CUALQUIERA""
),
OR(
UPPER(TRI"&amp;"M(rTipo))=""SOLO EMISOR"",
AND(
UPPER(TRIM(rTipo))=""EXACTA"",
UPPER(TRIM(AG1103))=UPPER(TRIM(rPatron))
),
AND(
OR(
UPPER(TRIM(rTipo))=""CONTIENE"",
UPPER(TRIM(rTipo))=""COINCIDENCIA""
),
ISNUMBER(SEARCH(UPPER(TRIM(rPatron)),UPPER(TRIM(D1103))))
)
)
),
rC"&amp;"oncepto,
""""
)
)
),
MAP(
reglas!$B$2:$B$240,
reglas!$C$2:$C$240,
reglas!$D$2:$D$240,
reglas!$E$2:$E$240,
LAMBDA(rEmisor,rPatron,rConcepto,rTipo,
IF(
AND(
OR(
UPPER(TRIM(rEmisor))=UPPER(TRIM(C1103)),
UPPER(TRIM(rEmisor))=""CUALQUIERA""
),
OR(
UPPER(TRIM(r"&amp;"Tipo))=""SOLO EMISOR"",
AND(
UPPER(TRIM(rTipo))=""EXACTA"",
UPPER(TRIM(D1103))=UPPER(TRIM(rPatron))
),
AND(
OR(
UPPER(TRIM(rTipo))=""CONTIENE"",
UPPER(TRIM(rTipo))=""COINCIDENCIA""
),
ISNUMBER(SEARCH(UPPER(TRIM(rPatron)),UPPER(TRIM(D1103))))
)
)
),
rConce"&amp;"pto,
""""
)
)
)&lt;&gt;""""
),
1
),
""""
)"),"MANIOBRAS")</f>
        <v>MANIOBRAS</v>
      </c>
      <c r="L1103" s="27"/>
      <c r="M1103" s="27"/>
      <c r="N1103" s="27"/>
      <c r="O1103" s="27"/>
      <c r="P1103" s="27"/>
      <c r="Q1103" s="27"/>
      <c r="R1103" s="27"/>
      <c r="S1103" s="27"/>
      <c r="T1103" s="27"/>
      <c r="U1103" s="27"/>
      <c r="V1103" s="27"/>
      <c r="W1103" s="27"/>
      <c r="X1103" s="27"/>
      <c r="Y1103" s="27"/>
    </row>
    <row r="1104">
      <c r="A1104" s="28">
        <v>1.0</v>
      </c>
      <c r="B1104" s="28" t="s">
        <v>29</v>
      </c>
      <c r="C1104" s="29" t="s">
        <v>89</v>
      </c>
      <c r="D1104" s="29" t="s">
        <v>91</v>
      </c>
      <c r="E1104" s="30">
        <v>1283.04</v>
      </c>
      <c r="F1104" s="28">
        <v>0.0</v>
      </c>
      <c r="G1104" s="28" t="s">
        <v>601</v>
      </c>
      <c r="H1104" s="28">
        <f t="array" ref="H1104">INDEX(CC!C:C,MATCH(1,(CC!A:A=G1104)*(CC!B:B=I1104),0))</f>
        <v>402</v>
      </c>
      <c r="I1104" s="28" t="s">
        <v>25</v>
      </c>
      <c r="J1104" s="31">
        <v>1283.04</v>
      </c>
      <c r="K1104" s="28" t="str">
        <f>IFERROR(__xludf.DUMMYFUNCTION("IFERROR(
INDEX(
FILTER(
MAP(
reglas!$B$2:$B$240,
reglas!$C$2:$C$240,
reglas!$D$2:$D$240,
reglas!$E$2:$E$240,
LAMBDA(rEmisor,rPatron,rConcepto,rTipo,
IF(
AND(
OR(
UPPER(TRIM(rEmisor))=UPPER(TRIM(C1104)),
UPPER(TRIM(rEmisor))=""CUALQUIERA""
),
OR(
UPPER(TRI"&amp;"M(rTipo))=""SOLO EMISOR"",
AND(
UPPER(TRIM(rTipo))=""EXACTA"",
UPPER(TRIM(AG1104))=UPPER(TRIM(rPatron))
),
AND(
OR(
UPPER(TRIM(rTipo))=""CONTIENE"",
UPPER(TRIM(rTipo))=""COINCIDENCIA""
),
ISNUMBER(SEARCH(UPPER(TRIM(rPatron)),UPPER(TRIM(D1104))))
)
)
),
rC"&amp;"oncepto,
""""
)
)
),
MAP(
reglas!$B$2:$B$240,
reglas!$C$2:$C$240,
reglas!$D$2:$D$240,
reglas!$E$2:$E$240,
LAMBDA(rEmisor,rPatron,rConcepto,rTipo,
IF(
AND(
OR(
UPPER(TRIM(rEmisor))=UPPER(TRIM(C1104)),
UPPER(TRIM(rEmisor))=""CUALQUIERA""
),
OR(
UPPER(TRIM(r"&amp;"Tipo))=""SOLO EMISOR"",
AND(
UPPER(TRIM(rTipo))=""EXACTA"",
UPPER(TRIM(D1104))=UPPER(TRIM(rPatron))
),
AND(
OR(
UPPER(TRIM(rTipo))=""CONTIENE"",
UPPER(TRIM(rTipo))=""COINCIDENCIA""
),
ISNUMBER(SEARCH(UPPER(TRIM(rPatron)),UPPER(TRIM(D1104))))
)
)
),
rConce"&amp;"pto,
""""
)
)
)&lt;&gt;""""
),
1
),
""""
)"),"MANIOBRAS")</f>
        <v>MANIOBRAS</v>
      </c>
      <c r="L1104" s="27"/>
      <c r="M1104" s="27"/>
      <c r="N1104" s="27"/>
      <c r="O1104" s="27"/>
      <c r="P1104" s="27"/>
      <c r="Q1104" s="27"/>
      <c r="R1104" s="27"/>
      <c r="S1104" s="27"/>
      <c r="T1104" s="27"/>
      <c r="U1104" s="27"/>
      <c r="V1104" s="27"/>
      <c r="W1104" s="27"/>
      <c r="X1104" s="27"/>
      <c r="Y1104" s="27"/>
    </row>
    <row r="1105">
      <c r="A1105" s="32"/>
      <c r="B1105" s="28" t="s">
        <v>29</v>
      </c>
      <c r="C1105" s="29" t="s">
        <v>414</v>
      </c>
      <c r="D1105" s="29" t="s">
        <v>415</v>
      </c>
      <c r="E1105" s="30">
        <v>40412.78</v>
      </c>
      <c r="F1105" s="28">
        <v>0.0</v>
      </c>
      <c r="G1105" s="28" t="s">
        <v>225</v>
      </c>
      <c r="H1105" s="28">
        <f t="array" ref="H1105">INDEX(CC!C:C,MATCH(1,(CC!A:A=G1105)*(CC!B:B=I1105),0))</f>
        <v>102</v>
      </c>
      <c r="I1105" s="28" t="s">
        <v>25</v>
      </c>
      <c r="J1105" s="33"/>
      <c r="K1105" s="28" t="str">
        <f>IFERROR(__xludf.DUMMYFUNCTION("IFERROR(
INDEX(
FILTER(
MAP(
reglas!$B$2:$B$240,
reglas!$C$2:$C$240,
reglas!$D$2:$D$240,
reglas!$E$2:$E$240,
LAMBDA(rEmisor,rPatron,rConcepto,rTipo,
IF(
AND(
OR(
UPPER(TRIM(rEmisor))=UPPER(TRIM(C1105)),
UPPER(TRIM(rEmisor))=""CUALQUIERA""
),
OR(
UPPER(TRI"&amp;"M(rTipo))=""SOLO EMISOR"",
AND(
UPPER(TRIM(rTipo))=""EXACTA"",
UPPER(TRIM(AG1105))=UPPER(TRIM(rPatron))
),
AND(
OR(
UPPER(TRIM(rTipo))=""CONTIENE"",
UPPER(TRIM(rTipo))=""COINCIDENCIA""
),
ISNUMBER(SEARCH(UPPER(TRIM(rPatron)),UPPER(TRIM(D1105))))
)
)
),
rC"&amp;"oncepto,
""""
)
)
),
MAP(
reglas!$B$2:$B$240,
reglas!$C$2:$C$240,
reglas!$D$2:$D$240,
reglas!$E$2:$E$240,
LAMBDA(rEmisor,rPatron,rConcepto,rTipo,
IF(
AND(
OR(
UPPER(TRIM(rEmisor))=UPPER(TRIM(C1105)),
UPPER(TRIM(rEmisor))=""CUALQUIERA""
),
OR(
UPPER(TRIM(r"&amp;"Tipo))=""SOLO EMISOR"",
AND(
UPPER(TRIM(rTipo))=""EXACTA"",
UPPER(TRIM(D1105))=UPPER(TRIM(rPatron))
),
AND(
OR(
UPPER(TRIM(rTipo))=""CONTIENE"",
UPPER(TRIM(rTipo))=""COINCIDENCIA""
),
ISNUMBER(SEARCH(UPPER(TRIM(rPatron)),UPPER(TRIM(D1105))))
)
)
),
rConce"&amp;"pto,
""""
)
)
)&lt;&gt;""""
),
1
),
""""
)"),"N/A")</f>
        <v>N/A</v>
      </c>
      <c r="L1105" s="27"/>
      <c r="M1105" s="27"/>
      <c r="N1105" s="27"/>
      <c r="O1105" s="27"/>
      <c r="P1105" s="27"/>
      <c r="Q1105" s="27"/>
      <c r="R1105" s="27"/>
      <c r="S1105" s="27"/>
      <c r="T1105" s="27"/>
      <c r="U1105" s="27"/>
      <c r="V1105" s="27"/>
      <c r="W1105" s="27"/>
      <c r="X1105" s="27"/>
      <c r="Y1105" s="27"/>
    </row>
    <row r="1106">
      <c r="A1106" s="32"/>
      <c r="B1106" s="32"/>
      <c r="C1106" s="29" t="s">
        <v>414</v>
      </c>
      <c r="D1106" s="29" t="s">
        <v>416</v>
      </c>
      <c r="E1106" s="30">
        <v>2028.19</v>
      </c>
      <c r="F1106" s="28">
        <v>0.0</v>
      </c>
      <c r="G1106" s="28" t="s">
        <v>225</v>
      </c>
      <c r="H1106" s="28">
        <f t="array" ref="H1106">INDEX(CC!C:C,MATCH(1,(CC!A:A=G1106)*(CC!B:B=I1106),0))</f>
        <v>102</v>
      </c>
      <c r="I1106" s="28" t="s">
        <v>25</v>
      </c>
      <c r="J1106" s="33"/>
      <c r="K1106" s="28" t="str">
        <f>IFERROR(__xludf.DUMMYFUNCTION("IFERROR(
INDEX(
FILTER(
MAP(
reglas!$B$2:$B$240,
reglas!$C$2:$C$240,
reglas!$D$2:$D$240,
reglas!$E$2:$E$240,
LAMBDA(rEmisor,rPatron,rConcepto,rTipo,
IF(
AND(
OR(
UPPER(TRIM(rEmisor))=UPPER(TRIM(C1106)),
UPPER(TRIM(rEmisor))=""CUALQUIERA""
),
OR(
UPPER(TRI"&amp;"M(rTipo))=""SOLO EMISOR"",
AND(
UPPER(TRIM(rTipo))=""EXACTA"",
UPPER(TRIM(AG1106))=UPPER(TRIM(rPatron))
),
AND(
OR(
UPPER(TRIM(rTipo))=""CONTIENE"",
UPPER(TRIM(rTipo))=""COINCIDENCIA""
),
ISNUMBER(SEARCH(UPPER(TRIM(rPatron)),UPPER(TRIM(D1106))))
)
)
),
rC"&amp;"oncepto,
""""
)
)
),
MAP(
reglas!$B$2:$B$240,
reglas!$C$2:$C$240,
reglas!$D$2:$D$240,
reglas!$E$2:$E$240,
LAMBDA(rEmisor,rPatron,rConcepto,rTipo,
IF(
AND(
OR(
UPPER(TRIM(rEmisor))=UPPER(TRIM(C1106)),
UPPER(TRIM(rEmisor))=""CUALQUIERA""
),
OR(
UPPER(TRIM(r"&amp;"Tipo))=""SOLO EMISOR"",
AND(
UPPER(TRIM(rTipo))=""EXACTA"",
UPPER(TRIM(D1106))=UPPER(TRIM(rPatron))
),
AND(
OR(
UPPER(TRIM(rTipo))=""CONTIENE"",
UPPER(TRIM(rTipo))=""COINCIDENCIA""
),
ISNUMBER(SEARCH(UPPER(TRIM(rPatron)),UPPER(TRIM(D1106))))
)
)
),
rConce"&amp;"pto,
""""
)
)
)&lt;&gt;""""
),
1
),
""""
)"),"N/A")</f>
        <v>N/A</v>
      </c>
      <c r="L1106" s="27"/>
      <c r="M1106" s="27"/>
      <c r="N1106" s="27"/>
      <c r="O1106" s="27"/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</row>
    <row r="1107">
      <c r="A1107" s="32"/>
      <c r="B1107" s="32"/>
      <c r="C1107" s="29" t="s">
        <v>414</v>
      </c>
      <c r="D1107" s="29" t="s">
        <v>417</v>
      </c>
      <c r="E1107" s="30">
        <v>3797.32</v>
      </c>
      <c r="F1107" s="28">
        <v>0.0</v>
      </c>
      <c r="G1107" s="28" t="s">
        <v>225</v>
      </c>
      <c r="H1107" s="28">
        <f t="array" ref="H1107">INDEX(CC!C:C,MATCH(1,(CC!A:A=G1107)*(CC!B:B=I1107),0))</f>
        <v>102</v>
      </c>
      <c r="I1107" s="28" t="s">
        <v>25</v>
      </c>
      <c r="J1107" s="33"/>
      <c r="K1107" s="28" t="str">
        <f>IFERROR(__xludf.DUMMYFUNCTION("IFERROR(
INDEX(
FILTER(
MAP(
reglas!$B$2:$B$240,
reglas!$C$2:$C$240,
reglas!$D$2:$D$240,
reglas!$E$2:$E$240,
LAMBDA(rEmisor,rPatron,rConcepto,rTipo,
IF(
AND(
OR(
UPPER(TRIM(rEmisor))=UPPER(TRIM(C1107)),
UPPER(TRIM(rEmisor))=""CUALQUIERA""
),
OR(
UPPER(TRI"&amp;"M(rTipo))=""SOLO EMISOR"",
AND(
UPPER(TRIM(rTipo))=""EXACTA"",
UPPER(TRIM(AG1107))=UPPER(TRIM(rPatron))
),
AND(
OR(
UPPER(TRIM(rTipo))=""CONTIENE"",
UPPER(TRIM(rTipo))=""COINCIDENCIA""
),
ISNUMBER(SEARCH(UPPER(TRIM(rPatron)),UPPER(TRIM(D1107))))
)
)
),
rC"&amp;"oncepto,
""""
)
)
),
MAP(
reglas!$B$2:$B$240,
reglas!$C$2:$C$240,
reglas!$D$2:$D$240,
reglas!$E$2:$E$240,
LAMBDA(rEmisor,rPatron,rConcepto,rTipo,
IF(
AND(
OR(
UPPER(TRIM(rEmisor))=UPPER(TRIM(C1107)),
UPPER(TRIM(rEmisor))=""CUALQUIERA""
),
OR(
UPPER(TRIM(r"&amp;"Tipo))=""SOLO EMISOR"",
AND(
UPPER(TRIM(rTipo))=""EXACTA"",
UPPER(TRIM(D1107))=UPPER(TRIM(rPatron))
),
AND(
OR(
UPPER(TRIM(rTipo))=""CONTIENE"",
UPPER(TRIM(rTipo))=""COINCIDENCIA""
),
ISNUMBER(SEARCH(UPPER(TRIM(rPatron)),UPPER(TRIM(D1107))))
)
)
),
rConce"&amp;"pto,
""""
)
)
)&lt;&gt;""""
),
1
),
""""
)"),"N/A")</f>
        <v>N/A</v>
      </c>
      <c r="L1107" s="27"/>
      <c r="M1107" s="27"/>
      <c r="N1107" s="27"/>
      <c r="O1107" s="27"/>
      <c r="P1107" s="27"/>
      <c r="Q1107" s="27"/>
      <c r="R1107" s="27"/>
      <c r="S1107" s="27"/>
      <c r="T1107" s="27"/>
      <c r="U1107" s="27"/>
      <c r="V1107" s="27"/>
      <c r="W1107" s="27"/>
      <c r="X1107" s="27"/>
      <c r="Y1107" s="27"/>
    </row>
    <row r="1108">
      <c r="A1108" s="28">
        <v>1.0</v>
      </c>
      <c r="B1108" s="28" t="s">
        <v>29</v>
      </c>
      <c r="C1108" s="29" t="s">
        <v>271</v>
      </c>
      <c r="D1108" s="29" t="s">
        <v>585</v>
      </c>
      <c r="E1108" s="28">
        <v>622.42</v>
      </c>
      <c r="F1108" s="28">
        <v>0.0</v>
      </c>
      <c r="G1108" s="28" t="s">
        <v>84</v>
      </c>
      <c r="H1108" s="28">
        <f t="array" ref="H1108">INDEX(CC!C:C,MATCH(1,(CC!A:A=G1108)*(CC!B:B=I1108),0))</f>
        <v>1002</v>
      </c>
      <c r="I1108" s="28" t="s">
        <v>25</v>
      </c>
      <c r="J1108" s="31">
        <v>622.42</v>
      </c>
      <c r="K1108" s="28" t="str">
        <f>IFERROR(__xludf.DUMMYFUNCTION("IFERROR(
INDEX(
FILTER(
MAP(
reglas!$B$2:$B$240,
reglas!$C$2:$C$240,
reglas!$D$2:$D$240,
reglas!$E$2:$E$240,
LAMBDA(rEmisor,rPatron,rConcepto,rTipo,
IF(
AND(
OR(
UPPER(TRIM(rEmisor))=UPPER(TRIM(C1108)),
UPPER(TRIM(rEmisor))=""CUALQUIERA""
),
OR(
UPPER(TRI"&amp;"M(rTipo))=""SOLO EMISOR"",
AND(
UPPER(TRIM(rTipo))=""EXACTA"",
UPPER(TRIM(AG1108))=UPPER(TRIM(rPatron))
),
AND(
OR(
UPPER(TRIM(rTipo))=""CONTIENE"",
UPPER(TRIM(rTipo))=""COINCIDENCIA""
),
ISNUMBER(SEARCH(UPPER(TRIM(rPatron)),UPPER(TRIM(D1108))))
)
)
),
rC"&amp;"oncepto,
""""
)
)
),
MAP(
reglas!$B$2:$B$240,
reglas!$C$2:$C$240,
reglas!$D$2:$D$240,
reglas!$E$2:$E$240,
LAMBDA(rEmisor,rPatron,rConcepto,rTipo,
IF(
AND(
OR(
UPPER(TRIM(rEmisor))=UPPER(TRIM(C1108)),
UPPER(TRIM(rEmisor))=""CUALQUIERA""
),
OR(
UPPER(TRIM(r"&amp;"Tipo))=""SOLO EMISOR"",
AND(
UPPER(TRIM(rTipo))=""EXACTA"",
UPPER(TRIM(D1108))=UPPER(TRIM(rPatron))
),
AND(
OR(
UPPER(TRIM(rTipo))=""CONTIENE"",
UPPER(TRIM(rTipo))=""COINCIDENCIA""
),
ISNUMBER(SEARCH(UPPER(TRIM(rPatron)),UPPER(TRIM(D1108))))
)
)
),
rConce"&amp;"pto,
""""
)
)
)&lt;&gt;""""
),
1
),
""""
)"),"MANIOBRAS")</f>
        <v>MANIOBRAS</v>
      </c>
      <c r="L1108" s="27"/>
      <c r="M1108" s="27"/>
      <c r="N1108" s="27"/>
      <c r="O1108" s="27"/>
      <c r="P1108" s="27"/>
      <c r="Q1108" s="27"/>
      <c r="R1108" s="27"/>
      <c r="S1108" s="27"/>
      <c r="T1108" s="27"/>
      <c r="U1108" s="27"/>
      <c r="V1108" s="27"/>
      <c r="W1108" s="27"/>
      <c r="X1108" s="27"/>
      <c r="Y1108" s="27"/>
    </row>
    <row r="1109">
      <c r="A1109" s="32"/>
      <c r="B1109" s="32"/>
      <c r="C1109" s="29" t="s">
        <v>271</v>
      </c>
      <c r="D1109" s="29" t="s">
        <v>587</v>
      </c>
      <c r="E1109" s="28">
        <v>569.47</v>
      </c>
      <c r="F1109" s="28">
        <v>0.0</v>
      </c>
      <c r="G1109" s="28" t="s">
        <v>84</v>
      </c>
      <c r="H1109" s="28">
        <f t="array" ref="H1109">INDEX(CC!C:C,MATCH(1,(CC!A:A=G1109)*(CC!B:B=I1109),0))</f>
        <v>1002</v>
      </c>
      <c r="I1109" s="28" t="s">
        <v>25</v>
      </c>
      <c r="J1109" s="31">
        <v>569.47</v>
      </c>
      <c r="K1109" s="28" t="str">
        <f>IFERROR(__xludf.DUMMYFUNCTION("IFERROR(
INDEX(
FILTER(
MAP(
reglas!$B$2:$B$240,
reglas!$C$2:$C$240,
reglas!$D$2:$D$240,
reglas!$E$2:$E$240,
LAMBDA(rEmisor,rPatron,rConcepto,rTipo,
IF(
AND(
OR(
UPPER(TRIM(rEmisor))=UPPER(TRIM(C1109)),
UPPER(TRIM(rEmisor))=""CUALQUIERA""
),
OR(
UPPER(TRI"&amp;"M(rTipo))=""SOLO EMISOR"",
AND(
UPPER(TRIM(rTipo))=""EXACTA"",
UPPER(TRIM(AG1109))=UPPER(TRIM(rPatron))
),
AND(
OR(
UPPER(TRIM(rTipo))=""CONTIENE"",
UPPER(TRIM(rTipo))=""COINCIDENCIA""
),
ISNUMBER(SEARCH(UPPER(TRIM(rPatron)),UPPER(TRIM(D1109))))
)
)
),
rC"&amp;"oncepto,
""""
)
)
),
MAP(
reglas!$B$2:$B$240,
reglas!$C$2:$C$240,
reglas!$D$2:$D$240,
reglas!$E$2:$E$240,
LAMBDA(rEmisor,rPatron,rConcepto,rTipo,
IF(
AND(
OR(
UPPER(TRIM(rEmisor))=UPPER(TRIM(C1109)),
UPPER(TRIM(rEmisor))=""CUALQUIERA""
),
OR(
UPPER(TRIM(r"&amp;"Tipo))=""SOLO EMISOR"",
AND(
UPPER(TRIM(rTipo))=""EXACTA"",
UPPER(TRIM(D1109))=UPPER(TRIM(rPatron))
),
AND(
OR(
UPPER(TRIM(rTipo))=""CONTIENE"",
UPPER(TRIM(rTipo))=""COINCIDENCIA""
),
ISNUMBER(SEARCH(UPPER(TRIM(rPatron)),UPPER(TRIM(D1109))))
)
)
),
rConce"&amp;"pto,
""""
)
)
)&lt;&gt;""""
),
1
),
""""
)"),"MANIOBRAS")</f>
        <v>MANIOBRAS</v>
      </c>
      <c r="L1109" s="27"/>
      <c r="M1109" s="27"/>
      <c r="N1109" s="27"/>
      <c r="O1109" s="27"/>
      <c r="P1109" s="27"/>
      <c r="Q1109" s="27"/>
      <c r="R1109" s="27"/>
      <c r="S1109" s="27"/>
      <c r="T1109" s="27"/>
      <c r="U1109" s="27"/>
      <c r="V1109" s="27"/>
      <c r="W1109" s="27"/>
      <c r="X1109" s="27"/>
      <c r="Y1109" s="27"/>
    </row>
    <row r="1110">
      <c r="A1110" s="32"/>
      <c r="B1110" s="32"/>
      <c r="C1110" s="29" t="s">
        <v>271</v>
      </c>
      <c r="D1110" s="29" t="s">
        <v>589</v>
      </c>
      <c r="E1110" s="28">
        <v>622.76</v>
      </c>
      <c r="F1110" s="28">
        <v>0.0</v>
      </c>
      <c r="G1110" s="28" t="s">
        <v>84</v>
      </c>
      <c r="H1110" s="28">
        <f t="array" ref="H1110">INDEX(CC!C:C,MATCH(1,(CC!A:A=G1110)*(CC!B:B=I1110),0))</f>
        <v>1002</v>
      </c>
      <c r="I1110" s="28" t="s">
        <v>25</v>
      </c>
      <c r="J1110" s="31">
        <v>622.76</v>
      </c>
      <c r="K1110" s="28" t="str">
        <f>IFERROR(__xludf.DUMMYFUNCTION("IFERROR(
INDEX(
FILTER(
MAP(
reglas!$B$2:$B$240,
reglas!$C$2:$C$240,
reglas!$D$2:$D$240,
reglas!$E$2:$E$240,
LAMBDA(rEmisor,rPatron,rConcepto,rTipo,
IF(
AND(
OR(
UPPER(TRIM(rEmisor))=UPPER(TRIM(C1110)),
UPPER(TRIM(rEmisor))=""CUALQUIERA""
),
OR(
UPPER(TRI"&amp;"M(rTipo))=""SOLO EMISOR"",
AND(
UPPER(TRIM(rTipo))=""EXACTA"",
UPPER(TRIM(AG1110))=UPPER(TRIM(rPatron))
),
AND(
OR(
UPPER(TRIM(rTipo))=""CONTIENE"",
UPPER(TRIM(rTipo))=""COINCIDENCIA""
),
ISNUMBER(SEARCH(UPPER(TRIM(rPatron)),UPPER(TRIM(D1110))))
)
)
),
rC"&amp;"oncepto,
""""
)
)
),
MAP(
reglas!$B$2:$B$240,
reglas!$C$2:$C$240,
reglas!$D$2:$D$240,
reglas!$E$2:$E$240,
LAMBDA(rEmisor,rPatron,rConcepto,rTipo,
IF(
AND(
OR(
UPPER(TRIM(rEmisor))=UPPER(TRIM(C1110)),
UPPER(TRIM(rEmisor))=""CUALQUIERA""
),
OR(
UPPER(TRIM(r"&amp;"Tipo))=""SOLO EMISOR"",
AND(
UPPER(TRIM(rTipo))=""EXACTA"",
UPPER(TRIM(D1110))=UPPER(TRIM(rPatron))
),
AND(
OR(
UPPER(TRIM(rTipo))=""CONTIENE"",
UPPER(TRIM(rTipo))=""COINCIDENCIA""
),
ISNUMBER(SEARCH(UPPER(TRIM(rPatron)),UPPER(TRIM(D1110))))
)
)
),
rConce"&amp;"pto,
""""
)
)
)&lt;&gt;""""
),
1
),
""""
)"),"MANIOBRAS")</f>
        <v>MANIOBRAS</v>
      </c>
      <c r="L1110" s="27"/>
      <c r="M1110" s="27"/>
      <c r="N1110" s="27"/>
      <c r="O1110" s="27"/>
      <c r="P1110" s="27"/>
      <c r="Q1110" s="27"/>
      <c r="R1110" s="27"/>
      <c r="S1110" s="27"/>
      <c r="T1110" s="27"/>
      <c r="U1110" s="27"/>
      <c r="V1110" s="27"/>
      <c r="W1110" s="27"/>
      <c r="X1110" s="27"/>
      <c r="Y1110" s="27"/>
    </row>
    <row r="1111">
      <c r="A1111" s="32"/>
      <c r="B1111" s="32"/>
      <c r="C1111" s="29" t="s">
        <v>271</v>
      </c>
      <c r="D1111" s="29" t="s">
        <v>596</v>
      </c>
      <c r="E1111" s="28">
        <v>653.4</v>
      </c>
      <c r="F1111" s="28">
        <v>0.0</v>
      </c>
      <c r="G1111" s="28" t="s">
        <v>84</v>
      </c>
      <c r="H1111" s="28">
        <f t="array" ref="H1111">INDEX(CC!C:C,MATCH(1,(CC!A:A=G1111)*(CC!B:B=I1111),0))</f>
        <v>1002</v>
      </c>
      <c r="I1111" s="28" t="s">
        <v>25</v>
      </c>
      <c r="J1111" s="31">
        <v>653.4</v>
      </c>
      <c r="K1111" s="28" t="str">
        <f>IFERROR(__xludf.DUMMYFUNCTION("IFERROR(
INDEX(
FILTER(
MAP(
reglas!$B$2:$B$240,
reglas!$C$2:$C$240,
reglas!$D$2:$D$240,
reglas!$E$2:$E$240,
LAMBDA(rEmisor,rPatron,rConcepto,rTipo,
IF(
AND(
OR(
UPPER(TRIM(rEmisor))=UPPER(TRIM(C1111)),
UPPER(TRIM(rEmisor))=""CUALQUIERA""
),
OR(
UPPER(TRI"&amp;"M(rTipo))=""SOLO EMISOR"",
AND(
UPPER(TRIM(rTipo))=""EXACTA"",
UPPER(TRIM(AG1111))=UPPER(TRIM(rPatron))
),
AND(
OR(
UPPER(TRIM(rTipo))=""CONTIENE"",
UPPER(TRIM(rTipo))=""COINCIDENCIA""
),
ISNUMBER(SEARCH(UPPER(TRIM(rPatron)),UPPER(TRIM(D1111))))
)
)
),
rC"&amp;"oncepto,
""""
)
)
),
MAP(
reglas!$B$2:$B$240,
reglas!$C$2:$C$240,
reglas!$D$2:$D$240,
reglas!$E$2:$E$240,
LAMBDA(rEmisor,rPatron,rConcepto,rTipo,
IF(
AND(
OR(
UPPER(TRIM(rEmisor))=UPPER(TRIM(C1111)),
UPPER(TRIM(rEmisor))=""CUALQUIERA""
),
OR(
UPPER(TRIM(r"&amp;"Tipo))=""SOLO EMISOR"",
AND(
UPPER(TRIM(rTipo))=""EXACTA"",
UPPER(TRIM(D1111))=UPPER(TRIM(rPatron))
),
AND(
OR(
UPPER(TRIM(rTipo))=""CONTIENE"",
UPPER(TRIM(rTipo))=""COINCIDENCIA""
),
ISNUMBER(SEARCH(UPPER(TRIM(rPatron)),UPPER(TRIM(D1111))))
)
)
),
rConce"&amp;"pto,
""""
)
)
)&lt;&gt;""""
),
1
),
""""
)"),"MANIOBRAS")</f>
        <v>MANIOBRAS</v>
      </c>
      <c r="L1111" s="27"/>
      <c r="M1111" s="27"/>
      <c r="N1111" s="27"/>
      <c r="O1111" s="27"/>
      <c r="P1111" s="27"/>
      <c r="Q1111" s="27"/>
      <c r="R1111" s="27"/>
      <c r="S1111" s="27"/>
      <c r="T1111" s="27"/>
      <c r="U1111" s="27"/>
      <c r="V1111" s="27"/>
      <c r="W1111" s="27"/>
      <c r="X1111" s="27"/>
      <c r="Y1111" s="27"/>
    </row>
    <row r="1112">
      <c r="A1112" s="32"/>
      <c r="B1112" s="28" t="s">
        <v>29</v>
      </c>
      <c r="C1112" s="29" t="s">
        <v>172</v>
      </c>
      <c r="D1112" s="29" t="s">
        <v>1841</v>
      </c>
      <c r="E1112" s="30">
        <v>11500.0</v>
      </c>
      <c r="F1112" s="28">
        <v>0.0</v>
      </c>
      <c r="G1112" s="28" t="s">
        <v>250</v>
      </c>
      <c r="H1112" s="28">
        <f t="array" ref="H1112">INDEX(CC!C:C,MATCH(1,(CC!A:A=G1112)*(CC!B:B=I1112),0))</f>
        <v>1402</v>
      </c>
      <c r="I1112" s="28" t="s">
        <v>25</v>
      </c>
      <c r="J1112" s="31">
        <v>11500.0</v>
      </c>
      <c r="K1112" s="28" t="str">
        <f>IFERROR(__xludf.DUMMYFUNCTION("IFERROR(
INDEX(
FILTER(
MAP(
reglas!$B$2:$B$240,
reglas!$C$2:$C$240,
reglas!$D$2:$D$240,
reglas!$E$2:$E$240,
LAMBDA(rEmisor,rPatron,rConcepto,rTipo,
IF(
AND(
OR(
UPPER(TRIM(rEmisor))=UPPER(TRIM(C1112)),
UPPER(TRIM(rEmisor))=""CUALQUIERA""
),
OR(
UPPER(TRI"&amp;"M(rTipo))=""SOLO EMISOR"",
AND(
UPPER(TRIM(rTipo))=""EXACTA"",
UPPER(TRIM(AG1112))=UPPER(TRIM(rPatron))
),
AND(
OR(
UPPER(TRIM(rTipo))=""CONTIENE"",
UPPER(TRIM(rTipo))=""COINCIDENCIA""
),
ISNUMBER(SEARCH(UPPER(TRIM(rPatron)),UPPER(TRIM(D1112))))
)
)
),
rC"&amp;"oncepto,
""""
)
)
),
MAP(
reglas!$B$2:$B$240,
reglas!$C$2:$C$240,
reglas!$D$2:$D$240,
reglas!$E$2:$E$240,
LAMBDA(rEmisor,rPatron,rConcepto,rTipo,
IF(
AND(
OR(
UPPER(TRIM(rEmisor))=UPPER(TRIM(C1112)),
UPPER(TRIM(rEmisor))=""CUALQUIERA""
),
OR(
UPPER(TRIM(r"&amp;"Tipo))=""SOLO EMISOR"",
AND(
UPPER(TRIM(rTipo))=""EXACTA"",
UPPER(TRIM(D1112))=UPPER(TRIM(rPatron))
),
AND(
OR(
UPPER(TRIM(rTipo))=""CONTIENE"",
UPPER(TRIM(rTipo))=""COINCIDENCIA""
),
ISNUMBER(SEARCH(UPPER(TRIM(rPatron)),UPPER(TRIM(D1112))))
)
)
),
rConce"&amp;"pto,
""""
)
)
)&lt;&gt;""""
),
1
),
""""
)"),"TRANSPORTE")</f>
        <v>TRANSPORTE</v>
      </c>
      <c r="L1112" s="27"/>
      <c r="M1112" s="27"/>
      <c r="N1112" s="27"/>
      <c r="O1112" s="27"/>
      <c r="P1112" s="27"/>
      <c r="Q1112" s="27"/>
      <c r="R1112" s="27"/>
      <c r="S1112" s="27"/>
      <c r="T1112" s="27"/>
      <c r="U1112" s="27"/>
      <c r="V1112" s="27"/>
      <c r="W1112" s="27"/>
      <c r="X1112" s="27"/>
      <c r="Y1112" s="27"/>
    </row>
    <row r="1113">
      <c r="A1113" s="32"/>
      <c r="B1113" s="28" t="s">
        <v>29</v>
      </c>
      <c r="C1113" s="29" t="s">
        <v>172</v>
      </c>
      <c r="D1113" s="29" t="s">
        <v>1773</v>
      </c>
      <c r="E1113" s="30">
        <v>11500.0</v>
      </c>
      <c r="F1113" s="28">
        <v>0.0</v>
      </c>
      <c r="G1113" s="28" t="s">
        <v>250</v>
      </c>
      <c r="H1113" s="28">
        <f t="array" ref="H1113">INDEX(CC!C:C,MATCH(1,(CC!A:A=G1113)*(CC!B:B=I1113),0))</f>
        <v>1402</v>
      </c>
      <c r="I1113" s="28" t="s">
        <v>25</v>
      </c>
      <c r="J1113" s="31">
        <v>11500.0</v>
      </c>
      <c r="K1113" s="28" t="str">
        <f>IFERROR(__xludf.DUMMYFUNCTION("IFERROR(
INDEX(
FILTER(
MAP(
reglas!$B$2:$B$240,
reglas!$C$2:$C$240,
reglas!$D$2:$D$240,
reglas!$E$2:$E$240,
LAMBDA(rEmisor,rPatron,rConcepto,rTipo,
IF(
AND(
OR(
UPPER(TRIM(rEmisor))=UPPER(TRIM(C1113)),
UPPER(TRIM(rEmisor))=""CUALQUIERA""
),
OR(
UPPER(TRI"&amp;"M(rTipo))=""SOLO EMISOR"",
AND(
UPPER(TRIM(rTipo))=""EXACTA"",
UPPER(TRIM(AG1113))=UPPER(TRIM(rPatron))
),
AND(
OR(
UPPER(TRIM(rTipo))=""CONTIENE"",
UPPER(TRIM(rTipo))=""COINCIDENCIA""
),
ISNUMBER(SEARCH(UPPER(TRIM(rPatron)),UPPER(TRIM(D1113))))
)
)
),
rC"&amp;"oncepto,
""""
)
)
),
MAP(
reglas!$B$2:$B$240,
reglas!$C$2:$C$240,
reglas!$D$2:$D$240,
reglas!$E$2:$E$240,
LAMBDA(rEmisor,rPatron,rConcepto,rTipo,
IF(
AND(
OR(
UPPER(TRIM(rEmisor))=UPPER(TRIM(C1113)),
UPPER(TRIM(rEmisor))=""CUALQUIERA""
),
OR(
UPPER(TRIM(r"&amp;"Tipo))=""SOLO EMISOR"",
AND(
UPPER(TRIM(rTipo))=""EXACTA"",
UPPER(TRIM(D1113))=UPPER(TRIM(rPatron))
),
AND(
OR(
UPPER(TRIM(rTipo))=""CONTIENE"",
UPPER(TRIM(rTipo))=""COINCIDENCIA""
),
ISNUMBER(SEARCH(UPPER(TRIM(rPatron)),UPPER(TRIM(D1113))))
)
)
),
rConce"&amp;"pto,
""""
)
)
)&lt;&gt;""""
),
1
),
""""
)"),"TRANSPORTE")</f>
        <v>TRANSPORTE</v>
      </c>
      <c r="L1113" s="27"/>
      <c r="M1113" s="27"/>
      <c r="N1113" s="27"/>
      <c r="O1113" s="27"/>
      <c r="P1113" s="27"/>
      <c r="Q1113" s="27"/>
      <c r="R1113" s="27"/>
      <c r="S1113" s="27"/>
      <c r="T1113" s="27"/>
      <c r="U1113" s="27"/>
      <c r="V1113" s="27"/>
      <c r="W1113" s="27"/>
      <c r="X1113" s="27"/>
      <c r="Y1113" s="27"/>
    </row>
    <row r="1114">
      <c r="A1114" s="28">
        <v>1.0</v>
      </c>
      <c r="B1114" s="28" t="s">
        <v>29</v>
      </c>
      <c r="C1114" s="29" t="s">
        <v>271</v>
      </c>
      <c r="D1114" s="29" t="s">
        <v>585</v>
      </c>
      <c r="E1114" s="28">
        <v>622.42</v>
      </c>
      <c r="F1114" s="28">
        <v>0.0</v>
      </c>
      <c r="G1114" s="28" t="s">
        <v>84</v>
      </c>
      <c r="H1114" s="28">
        <f t="array" ref="H1114">INDEX(CC!C:C,MATCH(1,(CC!A:A=G1114)*(CC!B:B=I1114),0))</f>
        <v>1002</v>
      </c>
      <c r="I1114" s="28" t="s">
        <v>25</v>
      </c>
      <c r="J1114" s="31">
        <v>622.42</v>
      </c>
      <c r="K1114" s="28" t="str">
        <f>IFERROR(__xludf.DUMMYFUNCTION("IFERROR(
INDEX(
FILTER(
MAP(
reglas!$B$2:$B$240,
reglas!$C$2:$C$240,
reglas!$D$2:$D$240,
reglas!$E$2:$E$240,
LAMBDA(rEmisor,rPatron,rConcepto,rTipo,
IF(
AND(
OR(
UPPER(TRIM(rEmisor))=UPPER(TRIM(C1114)),
UPPER(TRIM(rEmisor))=""CUALQUIERA""
),
OR(
UPPER(TRI"&amp;"M(rTipo))=""SOLO EMISOR"",
AND(
UPPER(TRIM(rTipo))=""EXACTA"",
UPPER(TRIM(AG1114))=UPPER(TRIM(rPatron))
),
AND(
OR(
UPPER(TRIM(rTipo))=""CONTIENE"",
UPPER(TRIM(rTipo))=""COINCIDENCIA""
),
ISNUMBER(SEARCH(UPPER(TRIM(rPatron)),UPPER(TRIM(D1114))))
)
)
),
rC"&amp;"oncepto,
""""
)
)
),
MAP(
reglas!$B$2:$B$240,
reglas!$C$2:$C$240,
reglas!$D$2:$D$240,
reglas!$E$2:$E$240,
LAMBDA(rEmisor,rPatron,rConcepto,rTipo,
IF(
AND(
OR(
UPPER(TRIM(rEmisor))=UPPER(TRIM(C1114)),
UPPER(TRIM(rEmisor))=""CUALQUIERA""
),
OR(
UPPER(TRIM(r"&amp;"Tipo))=""SOLO EMISOR"",
AND(
UPPER(TRIM(rTipo))=""EXACTA"",
UPPER(TRIM(D1114))=UPPER(TRIM(rPatron))
),
AND(
OR(
UPPER(TRIM(rTipo))=""CONTIENE"",
UPPER(TRIM(rTipo))=""COINCIDENCIA""
),
ISNUMBER(SEARCH(UPPER(TRIM(rPatron)),UPPER(TRIM(D1114))))
)
)
),
rConce"&amp;"pto,
""""
)
)
)&lt;&gt;""""
),
1
),
""""
)"),"MANIOBRAS")</f>
        <v>MANIOBRAS</v>
      </c>
      <c r="L1114" s="27"/>
      <c r="M1114" s="27"/>
      <c r="N1114" s="27"/>
      <c r="O1114" s="27"/>
      <c r="P1114" s="27"/>
      <c r="Q1114" s="27"/>
      <c r="R1114" s="27"/>
      <c r="S1114" s="27"/>
      <c r="T1114" s="27"/>
      <c r="U1114" s="27"/>
      <c r="V1114" s="27"/>
      <c r="W1114" s="27"/>
      <c r="X1114" s="27"/>
      <c r="Y1114" s="27"/>
    </row>
    <row r="1115">
      <c r="A1115" s="32"/>
      <c r="B1115" s="32"/>
      <c r="C1115" s="29" t="s">
        <v>271</v>
      </c>
      <c r="D1115" s="29" t="s">
        <v>587</v>
      </c>
      <c r="E1115" s="28">
        <v>569.47</v>
      </c>
      <c r="F1115" s="28">
        <v>0.0</v>
      </c>
      <c r="G1115" s="28" t="s">
        <v>84</v>
      </c>
      <c r="H1115" s="28">
        <f t="array" ref="H1115">INDEX(CC!C:C,MATCH(1,(CC!A:A=G1115)*(CC!B:B=I1115),0))</f>
        <v>1002</v>
      </c>
      <c r="I1115" s="28" t="s">
        <v>25</v>
      </c>
      <c r="J1115" s="31">
        <v>569.47</v>
      </c>
      <c r="K1115" s="28" t="str">
        <f>IFERROR(__xludf.DUMMYFUNCTION("IFERROR(
INDEX(
FILTER(
MAP(
reglas!$B$2:$B$240,
reglas!$C$2:$C$240,
reglas!$D$2:$D$240,
reglas!$E$2:$E$240,
LAMBDA(rEmisor,rPatron,rConcepto,rTipo,
IF(
AND(
OR(
UPPER(TRIM(rEmisor))=UPPER(TRIM(C1115)),
UPPER(TRIM(rEmisor))=""CUALQUIERA""
),
OR(
UPPER(TRI"&amp;"M(rTipo))=""SOLO EMISOR"",
AND(
UPPER(TRIM(rTipo))=""EXACTA"",
UPPER(TRIM(AG1115))=UPPER(TRIM(rPatron))
),
AND(
OR(
UPPER(TRIM(rTipo))=""CONTIENE"",
UPPER(TRIM(rTipo))=""COINCIDENCIA""
),
ISNUMBER(SEARCH(UPPER(TRIM(rPatron)),UPPER(TRIM(D1115))))
)
)
),
rC"&amp;"oncepto,
""""
)
)
),
MAP(
reglas!$B$2:$B$240,
reglas!$C$2:$C$240,
reglas!$D$2:$D$240,
reglas!$E$2:$E$240,
LAMBDA(rEmisor,rPatron,rConcepto,rTipo,
IF(
AND(
OR(
UPPER(TRIM(rEmisor))=UPPER(TRIM(C1115)),
UPPER(TRIM(rEmisor))=""CUALQUIERA""
),
OR(
UPPER(TRIM(r"&amp;"Tipo))=""SOLO EMISOR"",
AND(
UPPER(TRIM(rTipo))=""EXACTA"",
UPPER(TRIM(D1115))=UPPER(TRIM(rPatron))
),
AND(
OR(
UPPER(TRIM(rTipo))=""CONTIENE"",
UPPER(TRIM(rTipo))=""COINCIDENCIA""
),
ISNUMBER(SEARCH(UPPER(TRIM(rPatron)),UPPER(TRIM(D1115))))
)
)
),
rConce"&amp;"pto,
""""
)
)
)&lt;&gt;""""
),
1
),
""""
)"),"MANIOBRAS")</f>
        <v>MANIOBRAS</v>
      </c>
      <c r="L1115" s="27"/>
      <c r="M1115" s="27"/>
      <c r="N1115" s="27"/>
      <c r="O1115" s="27"/>
      <c r="P1115" s="27"/>
      <c r="Q1115" s="27"/>
      <c r="R1115" s="27"/>
      <c r="S1115" s="27"/>
      <c r="T1115" s="27"/>
      <c r="U1115" s="27"/>
      <c r="V1115" s="27"/>
      <c r="W1115" s="27"/>
      <c r="X1115" s="27"/>
      <c r="Y1115" s="27"/>
    </row>
    <row r="1116">
      <c r="A1116" s="32"/>
      <c r="B1116" s="32"/>
      <c r="C1116" s="29" t="s">
        <v>271</v>
      </c>
      <c r="D1116" s="29" t="s">
        <v>589</v>
      </c>
      <c r="E1116" s="28">
        <v>622.76</v>
      </c>
      <c r="F1116" s="28">
        <v>0.0</v>
      </c>
      <c r="G1116" s="28" t="s">
        <v>84</v>
      </c>
      <c r="H1116" s="28">
        <f t="array" ref="H1116">INDEX(CC!C:C,MATCH(1,(CC!A:A=G1116)*(CC!B:B=I1116),0))</f>
        <v>1002</v>
      </c>
      <c r="I1116" s="28" t="s">
        <v>25</v>
      </c>
      <c r="J1116" s="31">
        <v>622.76</v>
      </c>
      <c r="K1116" s="28" t="str">
        <f>IFERROR(__xludf.DUMMYFUNCTION("IFERROR(
INDEX(
FILTER(
MAP(
reglas!$B$2:$B$240,
reglas!$C$2:$C$240,
reglas!$D$2:$D$240,
reglas!$E$2:$E$240,
LAMBDA(rEmisor,rPatron,rConcepto,rTipo,
IF(
AND(
OR(
UPPER(TRIM(rEmisor))=UPPER(TRIM(C1116)),
UPPER(TRIM(rEmisor))=""CUALQUIERA""
),
OR(
UPPER(TRI"&amp;"M(rTipo))=""SOLO EMISOR"",
AND(
UPPER(TRIM(rTipo))=""EXACTA"",
UPPER(TRIM(AG1116))=UPPER(TRIM(rPatron))
),
AND(
OR(
UPPER(TRIM(rTipo))=""CONTIENE"",
UPPER(TRIM(rTipo))=""COINCIDENCIA""
),
ISNUMBER(SEARCH(UPPER(TRIM(rPatron)),UPPER(TRIM(D1116))))
)
)
),
rC"&amp;"oncepto,
""""
)
)
),
MAP(
reglas!$B$2:$B$240,
reglas!$C$2:$C$240,
reglas!$D$2:$D$240,
reglas!$E$2:$E$240,
LAMBDA(rEmisor,rPatron,rConcepto,rTipo,
IF(
AND(
OR(
UPPER(TRIM(rEmisor))=UPPER(TRIM(C1116)),
UPPER(TRIM(rEmisor))=""CUALQUIERA""
),
OR(
UPPER(TRIM(r"&amp;"Tipo))=""SOLO EMISOR"",
AND(
UPPER(TRIM(rTipo))=""EXACTA"",
UPPER(TRIM(D1116))=UPPER(TRIM(rPatron))
),
AND(
OR(
UPPER(TRIM(rTipo))=""CONTIENE"",
UPPER(TRIM(rTipo))=""COINCIDENCIA""
),
ISNUMBER(SEARCH(UPPER(TRIM(rPatron)),UPPER(TRIM(D1116))))
)
)
),
rConce"&amp;"pto,
""""
)
)
)&lt;&gt;""""
),
1
),
""""
)"),"MANIOBRAS")</f>
        <v>MANIOBRAS</v>
      </c>
      <c r="L1116" s="27"/>
      <c r="M1116" s="27"/>
      <c r="N1116" s="27"/>
      <c r="O1116" s="27"/>
      <c r="P1116" s="27"/>
      <c r="Q1116" s="27"/>
      <c r="R1116" s="27"/>
      <c r="S1116" s="27"/>
      <c r="T1116" s="27"/>
      <c r="U1116" s="27"/>
      <c r="V1116" s="27"/>
      <c r="W1116" s="27"/>
      <c r="X1116" s="27"/>
      <c r="Y1116" s="27"/>
    </row>
    <row r="1117">
      <c r="A1117" s="32"/>
      <c r="B1117" s="32"/>
      <c r="C1117" s="29" t="s">
        <v>271</v>
      </c>
      <c r="D1117" s="29" t="s">
        <v>596</v>
      </c>
      <c r="E1117" s="28">
        <v>653.4</v>
      </c>
      <c r="F1117" s="28">
        <v>0.0</v>
      </c>
      <c r="G1117" s="28" t="s">
        <v>84</v>
      </c>
      <c r="H1117" s="28">
        <f t="array" ref="H1117">INDEX(CC!C:C,MATCH(1,(CC!A:A=G1117)*(CC!B:B=I1117),0))</f>
        <v>1002</v>
      </c>
      <c r="I1117" s="28" t="s">
        <v>25</v>
      </c>
      <c r="J1117" s="31">
        <v>653.4</v>
      </c>
      <c r="K1117" s="28" t="str">
        <f>IFERROR(__xludf.DUMMYFUNCTION("IFERROR(
INDEX(
FILTER(
MAP(
reglas!$B$2:$B$240,
reglas!$C$2:$C$240,
reglas!$D$2:$D$240,
reglas!$E$2:$E$240,
LAMBDA(rEmisor,rPatron,rConcepto,rTipo,
IF(
AND(
OR(
UPPER(TRIM(rEmisor))=UPPER(TRIM(C1117)),
UPPER(TRIM(rEmisor))=""CUALQUIERA""
),
OR(
UPPER(TRI"&amp;"M(rTipo))=""SOLO EMISOR"",
AND(
UPPER(TRIM(rTipo))=""EXACTA"",
UPPER(TRIM(AG1117))=UPPER(TRIM(rPatron))
),
AND(
OR(
UPPER(TRIM(rTipo))=""CONTIENE"",
UPPER(TRIM(rTipo))=""COINCIDENCIA""
),
ISNUMBER(SEARCH(UPPER(TRIM(rPatron)),UPPER(TRIM(D1117))))
)
)
),
rC"&amp;"oncepto,
""""
)
)
),
MAP(
reglas!$B$2:$B$240,
reglas!$C$2:$C$240,
reglas!$D$2:$D$240,
reglas!$E$2:$E$240,
LAMBDA(rEmisor,rPatron,rConcepto,rTipo,
IF(
AND(
OR(
UPPER(TRIM(rEmisor))=UPPER(TRIM(C1117)),
UPPER(TRIM(rEmisor))=""CUALQUIERA""
),
OR(
UPPER(TRIM(r"&amp;"Tipo))=""SOLO EMISOR"",
AND(
UPPER(TRIM(rTipo))=""EXACTA"",
UPPER(TRIM(D1117))=UPPER(TRIM(rPatron))
),
AND(
OR(
UPPER(TRIM(rTipo))=""CONTIENE"",
UPPER(TRIM(rTipo))=""COINCIDENCIA""
),
ISNUMBER(SEARCH(UPPER(TRIM(rPatron)),UPPER(TRIM(D1117))))
)
)
),
rConce"&amp;"pto,
""""
)
)
)&lt;&gt;""""
),
1
),
""""
)"),"MANIOBRAS")</f>
        <v>MANIOBRAS</v>
      </c>
      <c r="L1117" s="27"/>
      <c r="M1117" s="27"/>
      <c r="N1117" s="27"/>
      <c r="O1117" s="27"/>
      <c r="P1117" s="27"/>
      <c r="Q1117" s="27"/>
      <c r="R1117" s="27"/>
      <c r="S1117" s="27"/>
      <c r="T1117" s="27"/>
      <c r="U1117" s="27"/>
      <c r="V1117" s="27"/>
      <c r="W1117" s="27"/>
      <c r="X1117" s="27"/>
      <c r="Y1117" s="27"/>
    </row>
    <row r="1118">
      <c r="A1118" s="28">
        <v>1.0</v>
      </c>
      <c r="B1118" s="28" t="s">
        <v>29</v>
      </c>
      <c r="C1118" s="29" t="s">
        <v>271</v>
      </c>
      <c r="D1118" s="29" t="s">
        <v>585</v>
      </c>
      <c r="E1118" s="28">
        <v>623.85</v>
      </c>
      <c r="F1118" s="28">
        <v>0.0</v>
      </c>
      <c r="G1118" s="28" t="s">
        <v>84</v>
      </c>
      <c r="H1118" s="28">
        <f t="array" ref="H1118">INDEX(CC!C:C,MATCH(1,(CC!A:A=G1118)*(CC!B:B=I1118),0))</f>
        <v>1002</v>
      </c>
      <c r="I1118" s="28" t="s">
        <v>25</v>
      </c>
      <c r="J1118" s="31">
        <v>623.85</v>
      </c>
      <c r="K1118" s="28" t="str">
        <f>IFERROR(__xludf.DUMMYFUNCTION("IFERROR(
INDEX(
FILTER(
MAP(
reglas!$B$2:$B$240,
reglas!$C$2:$C$240,
reglas!$D$2:$D$240,
reglas!$E$2:$E$240,
LAMBDA(rEmisor,rPatron,rConcepto,rTipo,
IF(
AND(
OR(
UPPER(TRIM(rEmisor))=UPPER(TRIM(C1118)),
UPPER(TRIM(rEmisor))=""CUALQUIERA""
),
OR(
UPPER(TRI"&amp;"M(rTipo))=""SOLO EMISOR"",
AND(
UPPER(TRIM(rTipo))=""EXACTA"",
UPPER(TRIM(AG1118))=UPPER(TRIM(rPatron))
),
AND(
OR(
UPPER(TRIM(rTipo))=""CONTIENE"",
UPPER(TRIM(rTipo))=""COINCIDENCIA""
),
ISNUMBER(SEARCH(UPPER(TRIM(rPatron)),UPPER(TRIM(D1118))))
)
)
),
rC"&amp;"oncepto,
""""
)
)
),
MAP(
reglas!$B$2:$B$240,
reglas!$C$2:$C$240,
reglas!$D$2:$D$240,
reglas!$E$2:$E$240,
LAMBDA(rEmisor,rPatron,rConcepto,rTipo,
IF(
AND(
OR(
UPPER(TRIM(rEmisor))=UPPER(TRIM(C1118)),
UPPER(TRIM(rEmisor))=""CUALQUIERA""
),
OR(
UPPER(TRIM(r"&amp;"Tipo))=""SOLO EMISOR"",
AND(
UPPER(TRIM(rTipo))=""EXACTA"",
UPPER(TRIM(D1118))=UPPER(TRIM(rPatron))
),
AND(
OR(
UPPER(TRIM(rTipo))=""CONTIENE"",
UPPER(TRIM(rTipo))=""COINCIDENCIA""
),
ISNUMBER(SEARCH(UPPER(TRIM(rPatron)),UPPER(TRIM(D1118))))
)
)
),
rConce"&amp;"pto,
""""
)
)
)&lt;&gt;""""
),
1
),
""""
)"),"MANIOBRAS")</f>
        <v>MANIOBRAS</v>
      </c>
      <c r="L1118" s="27"/>
      <c r="M1118" s="27"/>
      <c r="N1118" s="27"/>
      <c r="O1118" s="27"/>
      <c r="P1118" s="27"/>
      <c r="Q1118" s="27"/>
      <c r="R1118" s="27"/>
      <c r="S1118" s="27"/>
      <c r="T1118" s="27"/>
      <c r="U1118" s="27"/>
      <c r="V1118" s="27"/>
      <c r="W1118" s="27"/>
      <c r="X1118" s="27"/>
      <c r="Y1118" s="27"/>
    </row>
    <row r="1119">
      <c r="A1119" s="32"/>
      <c r="B1119" s="32"/>
      <c r="C1119" s="29" t="s">
        <v>271</v>
      </c>
      <c r="D1119" s="29" t="s">
        <v>587</v>
      </c>
      <c r="E1119" s="28">
        <v>570.78</v>
      </c>
      <c r="F1119" s="28">
        <v>0.0</v>
      </c>
      <c r="G1119" s="28" t="s">
        <v>84</v>
      </c>
      <c r="H1119" s="28">
        <f t="array" ref="H1119">INDEX(CC!C:C,MATCH(1,(CC!A:A=G1119)*(CC!B:B=I1119),0))</f>
        <v>1002</v>
      </c>
      <c r="I1119" s="28" t="s">
        <v>25</v>
      </c>
      <c r="J1119" s="31">
        <v>570.78</v>
      </c>
      <c r="K1119" s="28" t="str">
        <f>IFERROR(__xludf.DUMMYFUNCTION("IFERROR(
INDEX(
FILTER(
MAP(
reglas!$B$2:$B$240,
reglas!$C$2:$C$240,
reglas!$D$2:$D$240,
reglas!$E$2:$E$240,
LAMBDA(rEmisor,rPatron,rConcepto,rTipo,
IF(
AND(
OR(
UPPER(TRIM(rEmisor))=UPPER(TRIM(C1119)),
UPPER(TRIM(rEmisor))=""CUALQUIERA""
),
OR(
UPPER(TRI"&amp;"M(rTipo))=""SOLO EMISOR"",
AND(
UPPER(TRIM(rTipo))=""EXACTA"",
UPPER(TRIM(AG1119))=UPPER(TRIM(rPatron))
),
AND(
OR(
UPPER(TRIM(rTipo))=""CONTIENE"",
UPPER(TRIM(rTipo))=""COINCIDENCIA""
),
ISNUMBER(SEARCH(UPPER(TRIM(rPatron)),UPPER(TRIM(D1119))))
)
)
),
rC"&amp;"oncepto,
""""
)
)
),
MAP(
reglas!$B$2:$B$240,
reglas!$C$2:$C$240,
reglas!$D$2:$D$240,
reglas!$E$2:$E$240,
LAMBDA(rEmisor,rPatron,rConcepto,rTipo,
IF(
AND(
OR(
UPPER(TRIM(rEmisor))=UPPER(TRIM(C1119)),
UPPER(TRIM(rEmisor))=""CUALQUIERA""
),
OR(
UPPER(TRIM(r"&amp;"Tipo))=""SOLO EMISOR"",
AND(
UPPER(TRIM(rTipo))=""EXACTA"",
UPPER(TRIM(D1119))=UPPER(TRIM(rPatron))
),
AND(
OR(
UPPER(TRIM(rTipo))=""CONTIENE"",
UPPER(TRIM(rTipo))=""COINCIDENCIA""
),
ISNUMBER(SEARCH(UPPER(TRIM(rPatron)),UPPER(TRIM(D1119))))
)
)
),
rConce"&amp;"pto,
""""
)
)
)&lt;&gt;""""
),
1
),
""""
)"),"MANIOBRAS")</f>
        <v>MANIOBRAS</v>
      </c>
      <c r="L1119" s="27"/>
      <c r="M1119" s="27"/>
      <c r="N1119" s="27"/>
      <c r="O1119" s="27"/>
      <c r="P1119" s="27"/>
      <c r="Q1119" s="27"/>
      <c r="R1119" s="27"/>
      <c r="S1119" s="27"/>
      <c r="T1119" s="27"/>
      <c r="U1119" s="27"/>
      <c r="V1119" s="27"/>
      <c r="W1119" s="27"/>
      <c r="X1119" s="27"/>
      <c r="Y1119" s="27"/>
    </row>
    <row r="1120">
      <c r="A1120" s="32"/>
      <c r="B1120" s="32"/>
      <c r="C1120" s="29" t="s">
        <v>271</v>
      </c>
      <c r="D1120" s="29" t="s">
        <v>589</v>
      </c>
      <c r="E1120" s="28">
        <v>624.19</v>
      </c>
      <c r="F1120" s="28">
        <v>0.0</v>
      </c>
      <c r="G1120" s="28" t="s">
        <v>84</v>
      </c>
      <c r="H1120" s="28">
        <f t="array" ref="H1120">INDEX(CC!C:C,MATCH(1,(CC!A:A=G1120)*(CC!B:B=I1120),0))</f>
        <v>1002</v>
      </c>
      <c r="I1120" s="28" t="s">
        <v>25</v>
      </c>
      <c r="J1120" s="31">
        <v>624.19</v>
      </c>
      <c r="K1120" s="28" t="str">
        <f>IFERROR(__xludf.DUMMYFUNCTION("IFERROR(
INDEX(
FILTER(
MAP(
reglas!$B$2:$B$240,
reglas!$C$2:$C$240,
reglas!$D$2:$D$240,
reglas!$E$2:$E$240,
LAMBDA(rEmisor,rPatron,rConcepto,rTipo,
IF(
AND(
OR(
UPPER(TRIM(rEmisor))=UPPER(TRIM(C1120)),
UPPER(TRIM(rEmisor))=""CUALQUIERA""
),
OR(
UPPER(TRI"&amp;"M(rTipo))=""SOLO EMISOR"",
AND(
UPPER(TRIM(rTipo))=""EXACTA"",
UPPER(TRIM(AG1120))=UPPER(TRIM(rPatron))
),
AND(
OR(
UPPER(TRIM(rTipo))=""CONTIENE"",
UPPER(TRIM(rTipo))=""COINCIDENCIA""
),
ISNUMBER(SEARCH(UPPER(TRIM(rPatron)),UPPER(TRIM(D1120))))
)
)
),
rC"&amp;"oncepto,
""""
)
)
),
MAP(
reglas!$B$2:$B$240,
reglas!$C$2:$C$240,
reglas!$D$2:$D$240,
reglas!$E$2:$E$240,
LAMBDA(rEmisor,rPatron,rConcepto,rTipo,
IF(
AND(
OR(
UPPER(TRIM(rEmisor))=UPPER(TRIM(C1120)),
UPPER(TRIM(rEmisor))=""CUALQUIERA""
),
OR(
UPPER(TRIM(r"&amp;"Tipo))=""SOLO EMISOR"",
AND(
UPPER(TRIM(rTipo))=""EXACTA"",
UPPER(TRIM(D1120))=UPPER(TRIM(rPatron))
),
AND(
OR(
UPPER(TRIM(rTipo))=""CONTIENE"",
UPPER(TRIM(rTipo))=""COINCIDENCIA""
),
ISNUMBER(SEARCH(UPPER(TRIM(rPatron)),UPPER(TRIM(D1120))))
)
)
),
rConce"&amp;"pto,
""""
)
)
)&lt;&gt;""""
),
1
),
""""
)"),"MANIOBRAS")</f>
        <v>MANIOBRAS</v>
      </c>
      <c r="L1120" s="27"/>
      <c r="M1120" s="27"/>
      <c r="N1120" s="27"/>
      <c r="O1120" s="27"/>
      <c r="P1120" s="27"/>
      <c r="Q1120" s="27"/>
      <c r="R1120" s="27"/>
      <c r="S1120" s="27"/>
      <c r="T1120" s="27"/>
      <c r="U1120" s="27"/>
      <c r="V1120" s="27"/>
      <c r="W1120" s="27"/>
      <c r="X1120" s="27"/>
      <c r="Y1120" s="27"/>
    </row>
    <row r="1121">
      <c r="A1121" s="32"/>
      <c r="B1121" s="32"/>
      <c r="C1121" s="29" t="s">
        <v>271</v>
      </c>
      <c r="D1121" s="29" t="s">
        <v>596</v>
      </c>
      <c r="E1121" s="28">
        <v>654.91</v>
      </c>
      <c r="F1121" s="28">
        <v>0.0</v>
      </c>
      <c r="G1121" s="28" t="s">
        <v>84</v>
      </c>
      <c r="H1121" s="28">
        <f t="array" ref="H1121">INDEX(CC!C:C,MATCH(1,(CC!A:A=G1121)*(CC!B:B=I1121),0))</f>
        <v>1002</v>
      </c>
      <c r="I1121" s="28" t="s">
        <v>25</v>
      </c>
      <c r="J1121" s="31">
        <v>654.91</v>
      </c>
      <c r="K1121" s="28" t="str">
        <f>IFERROR(__xludf.DUMMYFUNCTION("IFERROR(
INDEX(
FILTER(
MAP(
reglas!$B$2:$B$240,
reglas!$C$2:$C$240,
reglas!$D$2:$D$240,
reglas!$E$2:$E$240,
LAMBDA(rEmisor,rPatron,rConcepto,rTipo,
IF(
AND(
OR(
UPPER(TRIM(rEmisor))=UPPER(TRIM(C1121)),
UPPER(TRIM(rEmisor))=""CUALQUIERA""
),
OR(
UPPER(TRI"&amp;"M(rTipo))=""SOLO EMISOR"",
AND(
UPPER(TRIM(rTipo))=""EXACTA"",
UPPER(TRIM(AG1121))=UPPER(TRIM(rPatron))
),
AND(
OR(
UPPER(TRIM(rTipo))=""CONTIENE"",
UPPER(TRIM(rTipo))=""COINCIDENCIA""
),
ISNUMBER(SEARCH(UPPER(TRIM(rPatron)),UPPER(TRIM(D1121))))
)
)
),
rC"&amp;"oncepto,
""""
)
)
),
MAP(
reglas!$B$2:$B$240,
reglas!$C$2:$C$240,
reglas!$D$2:$D$240,
reglas!$E$2:$E$240,
LAMBDA(rEmisor,rPatron,rConcepto,rTipo,
IF(
AND(
OR(
UPPER(TRIM(rEmisor))=UPPER(TRIM(C1121)),
UPPER(TRIM(rEmisor))=""CUALQUIERA""
),
OR(
UPPER(TRIM(r"&amp;"Tipo))=""SOLO EMISOR"",
AND(
UPPER(TRIM(rTipo))=""EXACTA"",
UPPER(TRIM(D1121))=UPPER(TRIM(rPatron))
),
AND(
OR(
UPPER(TRIM(rTipo))=""CONTIENE"",
UPPER(TRIM(rTipo))=""COINCIDENCIA""
),
ISNUMBER(SEARCH(UPPER(TRIM(rPatron)),UPPER(TRIM(D1121))))
)
)
),
rConce"&amp;"pto,
""""
)
)
)&lt;&gt;""""
),
1
),
""""
)"),"MANIOBRAS")</f>
        <v>MANIOBRAS</v>
      </c>
      <c r="L1121" s="27"/>
      <c r="M1121" s="27"/>
      <c r="N1121" s="27"/>
      <c r="O1121" s="27"/>
      <c r="P1121" s="27"/>
      <c r="Q1121" s="27"/>
      <c r="R1121" s="27"/>
      <c r="S1121" s="27"/>
      <c r="T1121" s="27"/>
      <c r="U1121" s="27"/>
      <c r="V1121" s="27"/>
      <c r="W1121" s="27"/>
      <c r="X1121" s="27"/>
      <c r="Y1121" s="27"/>
    </row>
    <row r="1122">
      <c r="A1122" s="32"/>
      <c r="B1122" s="28" t="s">
        <v>29</v>
      </c>
      <c r="C1122" s="29" t="s">
        <v>172</v>
      </c>
      <c r="D1122" s="29" t="s">
        <v>1831</v>
      </c>
      <c r="E1122" s="30">
        <v>11500.0</v>
      </c>
      <c r="F1122" s="28">
        <v>0.0</v>
      </c>
      <c r="G1122" s="28" t="s">
        <v>250</v>
      </c>
      <c r="H1122" s="28">
        <f t="array" ref="H1122">INDEX(CC!C:C,MATCH(1,(CC!A:A=G1122)*(CC!B:B=I1122),0))</f>
        <v>1402</v>
      </c>
      <c r="I1122" s="28" t="s">
        <v>25</v>
      </c>
      <c r="J1122" s="31">
        <v>11500.0</v>
      </c>
      <c r="K1122" s="28" t="str">
        <f>IFERROR(__xludf.DUMMYFUNCTION("IFERROR(
INDEX(
FILTER(
MAP(
reglas!$B$2:$B$240,
reglas!$C$2:$C$240,
reglas!$D$2:$D$240,
reglas!$E$2:$E$240,
LAMBDA(rEmisor,rPatron,rConcepto,rTipo,
IF(
AND(
OR(
UPPER(TRIM(rEmisor))=UPPER(TRIM(C1122)),
UPPER(TRIM(rEmisor))=""CUALQUIERA""
),
OR(
UPPER(TRI"&amp;"M(rTipo))=""SOLO EMISOR"",
AND(
UPPER(TRIM(rTipo))=""EXACTA"",
UPPER(TRIM(AG1122))=UPPER(TRIM(rPatron))
),
AND(
OR(
UPPER(TRIM(rTipo))=""CONTIENE"",
UPPER(TRIM(rTipo))=""COINCIDENCIA""
),
ISNUMBER(SEARCH(UPPER(TRIM(rPatron)),UPPER(TRIM(D1122))))
)
)
),
rC"&amp;"oncepto,
""""
)
)
),
MAP(
reglas!$B$2:$B$240,
reglas!$C$2:$C$240,
reglas!$D$2:$D$240,
reglas!$E$2:$E$240,
LAMBDA(rEmisor,rPatron,rConcepto,rTipo,
IF(
AND(
OR(
UPPER(TRIM(rEmisor))=UPPER(TRIM(C1122)),
UPPER(TRIM(rEmisor))=""CUALQUIERA""
),
OR(
UPPER(TRIM(r"&amp;"Tipo))=""SOLO EMISOR"",
AND(
UPPER(TRIM(rTipo))=""EXACTA"",
UPPER(TRIM(D1122))=UPPER(TRIM(rPatron))
),
AND(
OR(
UPPER(TRIM(rTipo))=""CONTIENE"",
UPPER(TRIM(rTipo))=""COINCIDENCIA""
),
ISNUMBER(SEARCH(UPPER(TRIM(rPatron)),UPPER(TRIM(D1122))))
)
)
),
rConce"&amp;"pto,
""""
)
)
)&lt;&gt;""""
),
1
),
""""
)"),"TRANSPORTE")</f>
        <v>TRANSPORTE</v>
      </c>
      <c r="L1122" s="27"/>
      <c r="M1122" s="27"/>
      <c r="N1122" s="27"/>
      <c r="O1122" s="27"/>
      <c r="P1122" s="27"/>
      <c r="Q1122" s="27"/>
      <c r="R1122" s="27"/>
      <c r="S1122" s="27"/>
      <c r="T1122" s="27"/>
      <c r="U1122" s="27"/>
      <c r="V1122" s="27"/>
      <c r="W1122" s="27"/>
      <c r="X1122" s="27"/>
      <c r="Y1122" s="27"/>
    </row>
    <row r="1123">
      <c r="A1123" s="32"/>
      <c r="B1123" s="28" t="s">
        <v>29</v>
      </c>
      <c r="C1123" s="29" t="s">
        <v>172</v>
      </c>
      <c r="D1123" s="29" t="s">
        <v>1829</v>
      </c>
      <c r="E1123" s="30">
        <v>11500.0</v>
      </c>
      <c r="F1123" s="28">
        <v>0.0</v>
      </c>
      <c r="G1123" s="28" t="s">
        <v>250</v>
      </c>
      <c r="H1123" s="28">
        <f t="array" ref="H1123">INDEX(CC!C:C,MATCH(1,(CC!A:A=G1123)*(CC!B:B=I1123),0))</f>
        <v>1402</v>
      </c>
      <c r="I1123" s="28" t="s">
        <v>25</v>
      </c>
      <c r="J1123" s="31">
        <v>11500.0</v>
      </c>
      <c r="K1123" s="28" t="str">
        <f>IFERROR(__xludf.DUMMYFUNCTION("IFERROR(
INDEX(
FILTER(
MAP(
reglas!$B$2:$B$240,
reglas!$C$2:$C$240,
reglas!$D$2:$D$240,
reglas!$E$2:$E$240,
LAMBDA(rEmisor,rPatron,rConcepto,rTipo,
IF(
AND(
OR(
UPPER(TRIM(rEmisor))=UPPER(TRIM(C1123)),
UPPER(TRIM(rEmisor))=""CUALQUIERA""
),
OR(
UPPER(TRI"&amp;"M(rTipo))=""SOLO EMISOR"",
AND(
UPPER(TRIM(rTipo))=""EXACTA"",
UPPER(TRIM(AG1123))=UPPER(TRIM(rPatron))
),
AND(
OR(
UPPER(TRIM(rTipo))=""CONTIENE"",
UPPER(TRIM(rTipo))=""COINCIDENCIA""
),
ISNUMBER(SEARCH(UPPER(TRIM(rPatron)),UPPER(TRIM(D1123))))
)
)
),
rC"&amp;"oncepto,
""""
)
)
),
MAP(
reglas!$B$2:$B$240,
reglas!$C$2:$C$240,
reglas!$D$2:$D$240,
reglas!$E$2:$E$240,
LAMBDA(rEmisor,rPatron,rConcepto,rTipo,
IF(
AND(
OR(
UPPER(TRIM(rEmisor))=UPPER(TRIM(C1123)),
UPPER(TRIM(rEmisor))=""CUALQUIERA""
),
OR(
UPPER(TRIM(r"&amp;"Tipo))=""SOLO EMISOR"",
AND(
UPPER(TRIM(rTipo))=""EXACTA"",
UPPER(TRIM(D1123))=UPPER(TRIM(rPatron))
),
AND(
OR(
UPPER(TRIM(rTipo))=""CONTIENE"",
UPPER(TRIM(rTipo))=""COINCIDENCIA""
),
ISNUMBER(SEARCH(UPPER(TRIM(rPatron)),UPPER(TRIM(D1123))))
)
)
),
rConce"&amp;"pto,
""""
)
)
)&lt;&gt;""""
),
1
),
""""
)"),"TRANSPORTE")</f>
        <v>TRANSPORTE</v>
      </c>
      <c r="L1123" s="27"/>
      <c r="M1123" s="27"/>
      <c r="N1123" s="27"/>
      <c r="O1123" s="27"/>
      <c r="P1123" s="27"/>
      <c r="Q1123" s="27"/>
      <c r="R1123" s="27"/>
      <c r="S1123" s="27"/>
      <c r="T1123" s="27"/>
      <c r="U1123" s="27"/>
      <c r="V1123" s="27"/>
      <c r="W1123" s="27"/>
      <c r="X1123" s="27"/>
      <c r="Y1123" s="27"/>
    </row>
    <row r="1124">
      <c r="A1124" s="32"/>
      <c r="B1124" s="28" t="s">
        <v>29</v>
      </c>
      <c r="C1124" s="29" t="s">
        <v>278</v>
      </c>
      <c r="D1124" s="29" t="s">
        <v>560</v>
      </c>
      <c r="E1124" s="30">
        <v>3500.0</v>
      </c>
      <c r="F1124" s="28">
        <v>0.0</v>
      </c>
      <c r="G1124" s="28" t="s">
        <v>250</v>
      </c>
      <c r="H1124" s="28">
        <f t="array" ref="H1124">INDEX(CC!C:C,MATCH(1,(CC!A:A=G1124)*(CC!B:B=I1124),0))</f>
        <v>1402</v>
      </c>
      <c r="I1124" s="28" t="s">
        <v>25</v>
      </c>
      <c r="J1124" s="31">
        <v>3500.0</v>
      </c>
      <c r="K1124" s="28" t="str">
        <f>IFERROR(__xludf.DUMMYFUNCTION("IFERROR(
INDEX(
FILTER(
MAP(
reglas!$B$2:$B$240,
reglas!$C$2:$C$240,
reglas!$D$2:$D$240,
reglas!$E$2:$E$240,
LAMBDA(rEmisor,rPatron,rConcepto,rTipo,
IF(
AND(
OR(
UPPER(TRIM(rEmisor))=UPPER(TRIM(C1124)),
UPPER(TRIM(rEmisor))=""CUALQUIERA""
),
OR(
UPPER(TRI"&amp;"M(rTipo))=""SOLO EMISOR"",
AND(
UPPER(TRIM(rTipo))=""EXACTA"",
UPPER(TRIM(AG1124))=UPPER(TRIM(rPatron))
),
AND(
OR(
UPPER(TRIM(rTipo))=""CONTIENE"",
UPPER(TRIM(rTipo))=""COINCIDENCIA""
),
ISNUMBER(SEARCH(UPPER(TRIM(rPatron)),UPPER(TRIM(D1124))))
)
)
),
rC"&amp;"oncepto,
""""
)
)
),
MAP(
reglas!$B$2:$B$240,
reglas!$C$2:$C$240,
reglas!$D$2:$D$240,
reglas!$E$2:$E$240,
LAMBDA(rEmisor,rPatron,rConcepto,rTipo,
IF(
AND(
OR(
UPPER(TRIM(rEmisor))=UPPER(TRIM(C1124)),
UPPER(TRIM(rEmisor))=""CUALQUIERA""
),
OR(
UPPER(TRIM(r"&amp;"Tipo))=""SOLO EMISOR"",
AND(
UPPER(TRIM(rTipo))=""EXACTA"",
UPPER(TRIM(D1124))=UPPER(TRIM(rPatron))
),
AND(
OR(
UPPER(TRIM(rTipo))=""CONTIENE"",
UPPER(TRIM(rTipo))=""COINCIDENCIA""
),
ISNUMBER(SEARCH(UPPER(TRIM(rPatron)),UPPER(TRIM(D1124))))
)
)
),
rConce"&amp;"pto,
""""
)
)
)&lt;&gt;""""
),
1
),
""""
)"),"MANIOBRAS")</f>
        <v>MANIOBRAS</v>
      </c>
      <c r="L1124" s="27"/>
      <c r="M1124" s="27"/>
      <c r="N1124" s="27"/>
      <c r="O1124" s="27"/>
      <c r="P1124" s="27"/>
      <c r="Q1124" s="27"/>
      <c r="R1124" s="27"/>
      <c r="S1124" s="27"/>
      <c r="T1124" s="27"/>
      <c r="U1124" s="27"/>
      <c r="V1124" s="27"/>
      <c r="W1124" s="27"/>
      <c r="X1124" s="27"/>
      <c r="Y1124" s="27"/>
    </row>
    <row r="1125">
      <c r="A1125" s="32"/>
      <c r="B1125" s="28" t="s">
        <v>29</v>
      </c>
      <c r="C1125" s="29" t="s">
        <v>163</v>
      </c>
      <c r="D1125" s="29" t="s">
        <v>1842</v>
      </c>
      <c r="E1125" s="28">
        <v>239.52</v>
      </c>
      <c r="F1125" s="28">
        <v>0.0</v>
      </c>
      <c r="G1125" s="28" t="s">
        <v>250</v>
      </c>
      <c r="H1125" s="28">
        <f t="array" ref="H1125">INDEX(CC!C:C,MATCH(1,(CC!A:A=G1125)*(CC!B:B=I1125),0))</f>
        <v>1402</v>
      </c>
      <c r="I1125" s="28" t="s">
        <v>25</v>
      </c>
      <c r="J1125" s="31">
        <v>239.52</v>
      </c>
      <c r="K1125" s="28" t="str">
        <f>IFERROR(__xludf.DUMMYFUNCTION("IFERROR(
INDEX(
FILTER(
MAP(
reglas!$B$2:$B$240,
reglas!$C$2:$C$240,
reglas!$D$2:$D$240,
reglas!$E$2:$E$240,
LAMBDA(rEmisor,rPatron,rConcepto,rTipo,
IF(
AND(
OR(
UPPER(TRIM(rEmisor))=UPPER(TRIM(C1125)),
UPPER(TRIM(rEmisor))=""CUALQUIERA""
),
OR(
UPPER(TRI"&amp;"M(rTipo))=""SOLO EMISOR"",
AND(
UPPER(TRIM(rTipo))=""EXACTA"",
UPPER(TRIM(AG1125))=UPPER(TRIM(rPatron))
),
AND(
OR(
UPPER(TRIM(rTipo))=""CONTIENE"",
UPPER(TRIM(rTipo))=""COINCIDENCIA""
),
ISNUMBER(SEARCH(UPPER(TRIM(rPatron)),UPPER(TRIM(D1125))))
)
)
),
rC"&amp;"oncepto,
""""
)
)
),
MAP(
reglas!$B$2:$B$240,
reglas!$C$2:$C$240,
reglas!$D$2:$D$240,
reglas!$E$2:$E$240,
LAMBDA(rEmisor,rPatron,rConcepto,rTipo,
IF(
AND(
OR(
UPPER(TRIM(rEmisor))=UPPER(TRIM(C1125)),
UPPER(TRIM(rEmisor))=""CUALQUIERA""
),
OR(
UPPER(TRIM(r"&amp;"Tipo))=""SOLO EMISOR"",
AND(
UPPER(TRIM(rTipo))=""EXACTA"",
UPPER(TRIM(D1125))=UPPER(TRIM(rPatron))
),
AND(
OR(
UPPER(TRIM(rTipo))=""CONTIENE"",
UPPER(TRIM(rTipo))=""COINCIDENCIA""
),
ISNUMBER(SEARCH(UPPER(TRIM(rPatron)),UPPER(TRIM(D1125))))
)
)
),
rConce"&amp;"pto,
""""
)
)
)&lt;&gt;""""
),
1
),
""""
)"),"ARRENDAMIENTO")</f>
        <v>ARRENDAMIENTO</v>
      </c>
      <c r="L1125" s="27"/>
      <c r="M1125" s="27"/>
      <c r="N1125" s="27"/>
      <c r="O1125" s="27"/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</row>
    <row r="1126">
      <c r="A1126" s="32"/>
      <c r="B1126" s="32"/>
      <c r="C1126" s="29" t="s">
        <v>163</v>
      </c>
      <c r="D1126" s="29" t="s">
        <v>1843</v>
      </c>
      <c r="E1126" s="28">
        <v>11.97</v>
      </c>
      <c r="F1126" s="28">
        <v>0.0</v>
      </c>
      <c r="G1126" s="28" t="s">
        <v>250</v>
      </c>
      <c r="H1126" s="28">
        <f t="array" ref="H1126">INDEX(CC!C:C,MATCH(1,(CC!A:A=G1126)*(CC!B:B=I1126),0))</f>
        <v>1402</v>
      </c>
      <c r="I1126" s="28" t="s">
        <v>25</v>
      </c>
      <c r="J1126" s="31">
        <v>11.97</v>
      </c>
      <c r="K1126" s="28" t="str">
        <f>IFERROR(__xludf.DUMMYFUNCTION("IFERROR(
INDEX(
FILTER(
MAP(
reglas!$B$2:$B$240,
reglas!$C$2:$C$240,
reglas!$D$2:$D$240,
reglas!$E$2:$E$240,
LAMBDA(rEmisor,rPatron,rConcepto,rTipo,
IF(
AND(
OR(
UPPER(TRIM(rEmisor))=UPPER(TRIM(C1126)),
UPPER(TRIM(rEmisor))=""CUALQUIERA""
),
OR(
UPPER(TRI"&amp;"M(rTipo))=""SOLO EMISOR"",
AND(
UPPER(TRIM(rTipo))=""EXACTA"",
UPPER(TRIM(AG1126))=UPPER(TRIM(rPatron))
),
AND(
OR(
UPPER(TRIM(rTipo))=""CONTIENE"",
UPPER(TRIM(rTipo))=""COINCIDENCIA""
),
ISNUMBER(SEARCH(UPPER(TRIM(rPatron)),UPPER(TRIM(D1126))))
)
)
),
rC"&amp;"oncepto,
""""
)
)
),
MAP(
reglas!$B$2:$B$240,
reglas!$C$2:$C$240,
reglas!$D$2:$D$240,
reglas!$E$2:$E$240,
LAMBDA(rEmisor,rPatron,rConcepto,rTipo,
IF(
AND(
OR(
UPPER(TRIM(rEmisor))=UPPER(TRIM(C1126)),
UPPER(TRIM(rEmisor))=""CUALQUIERA""
),
OR(
UPPER(TRIM(r"&amp;"Tipo))=""SOLO EMISOR"",
AND(
UPPER(TRIM(rTipo))=""EXACTA"",
UPPER(TRIM(D1126))=UPPER(TRIM(rPatron))
),
AND(
OR(
UPPER(TRIM(rTipo))=""CONTIENE"",
UPPER(TRIM(rTipo))=""COINCIDENCIA""
),
ISNUMBER(SEARCH(UPPER(TRIM(rPatron)),UPPER(TRIM(D1126))))
)
)
),
rConce"&amp;"pto,
""""
)
)
)&lt;&gt;""""
),
1
),
""""
)"),"ARRENDAMIENTO")</f>
        <v>ARRENDAMIENTO</v>
      </c>
      <c r="L1126" s="27"/>
      <c r="M1126" s="27"/>
      <c r="N1126" s="27"/>
      <c r="O1126" s="27"/>
      <c r="P1126" s="27"/>
      <c r="Q1126" s="27"/>
      <c r="R1126" s="27"/>
      <c r="S1126" s="27"/>
      <c r="T1126" s="27"/>
      <c r="U1126" s="27"/>
      <c r="V1126" s="27"/>
      <c r="W1126" s="27"/>
      <c r="X1126" s="27"/>
      <c r="Y1126" s="27"/>
    </row>
    <row r="1127">
      <c r="A1127" s="32"/>
      <c r="B1127" s="32"/>
      <c r="C1127" s="29" t="s">
        <v>163</v>
      </c>
      <c r="D1127" s="29" t="s">
        <v>1844</v>
      </c>
      <c r="E1127" s="28">
        <v>2.5</v>
      </c>
      <c r="F1127" s="28">
        <v>0.0</v>
      </c>
      <c r="G1127" s="28" t="s">
        <v>250</v>
      </c>
      <c r="H1127" s="28">
        <f t="array" ref="H1127">INDEX(CC!C:C,MATCH(1,(CC!A:A=G1127)*(CC!B:B=I1127),0))</f>
        <v>1402</v>
      </c>
      <c r="I1127" s="28" t="s">
        <v>25</v>
      </c>
      <c r="J1127" s="31">
        <v>2.5</v>
      </c>
      <c r="K1127" s="28" t="str">
        <f>IFERROR(__xludf.DUMMYFUNCTION("IFERROR(
INDEX(
FILTER(
MAP(
reglas!$B$2:$B$240,
reglas!$C$2:$C$240,
reglas!$D$2:$D$240,
reglas!$E$2:$E$240,
LAMBDA(rEmisor,rPatron,rConcepto,rTipo,
IF(
AND(
OR(
UPPER(TRIM(rEmisor))=UPPER(TRIM(C1127)),
UPPER(TRIM(rEmisor))=""CUALQUIERA""
),
OR(
UPPER(TRI"&amp;"M(rTipo))=""SOLO EMISOR"",
AND(
UPPER(TRIM(rTipo))=""EXACTA"",
UPPER(TRIM(AG1127))=UPPER(TRIM(rPatron))
),
AND(
OR(
UPPER(TRIM(rTipo))=""CONTIENE"",
UPPER(TRIM(rTipo))=""COINCIDENCIA""
),
ISNUMBER(SEARCH(UPPER(TRIM(rPatron)),UPPER(TRIM(D1127))))
)
)
),
rC"&amp;"oncepto,
""""
)
)
),
MAP(
reglas!$B$2:$B$240,
reglas!$C$2:$C$240,
reglas!$D$2:$D$240,
reglas!$E$2:$E$240,
LAMBDA(rEmisor,rPatron,rConcepto,rTipo,
IF(
AND(
OR(
UPPER(TRIM(rEmisor))=UPPER(TRIM(C1127)),
UPPER(TRIM(rEmisor))=""CUALQUIERA""
),
OR(
UPPER(TRIM(r"&amp;"Tipo))=""SOLO EMISOR"",
AND(
UPPER(TRIM(rTipo))=""EXACTA"",
UPPER(TRIM(D1127))=UPPER(TRIM(rPatron))
),
AND(
OR(
UPPER(TRIM(rTipo))=""CONTIENE"",
UPPER(TRIM(rTipo))=""COINCIDENCIA""
),
ISNUMBER(SEARCH(UPPER(TRIM(rPatron)),UPPER(TRIM(D1127))))
)
)
),
rConce"&amp;"pto,
""""
)
)
)&lt;&gt;""""
),
1
),
""""
)"),"ARRENDAMIENTO")</f>
        <v>ARRENDAMIENTO</v>
      </c>
      <c r="L1127" s="27"/>
      <c r="M1127" s="27"/>
      <c r="N1127" s="27"/>
      <c r="O1127" s="27"/>
      <c r="P1127" s="27"/>
      <c r="Q1127" s="27"/>
      <c r="R1127" s="27"/>
      <c r="S1127" s="27"/>
      <c r="T1127" s="27"/>
      <c r="U1127" s="27"/>
      <c r="V1127" s="27"/>
      <c r="W1127" s="27"/>
      <c r="X1127" s="27"/>
      <c r="Y1127" s="27"/>
    </row>
    <row r="1128">
      <c r="A1128" s="32"/>
      <c r="B1128" s="28" t="s">
        <v>29</v>
      </c>
      <c r="C1128" s="29" t="s">
        <v>331</v>
      </c>
      <c r="D1128" s="29" t="s">
        <v>33</v>
      </c>
      <c r="E1128" s="28">
        <v>0.01</v>
      </c>
      <c r="F1128" s="28">
        <v>0.0</v>
      </c>
      <c r="G1128" s="28" t="s">
        <v>385</v>
      </c>
      <c r="H1128" s="28">
        <f t="array" ref="H1128">INDEX(CC!C:C,MATCH(1,(CC!A:A=G1128)*(CC!B:B=I1128),0))</f>
        <v>502</v>
      </c>
      <c r="I1128" s="28" t="s">
        <v>25</v>
      </c>
      <c r="J1128" s="31">
        <v>0.01</v>
      </c>
      <c r="K1128" s="28" t="str">
        <f>IFERROR(__xludf.DUMMYFUNCTION("IFERROR(
INDEX(
FILTER(
MAP(
reglas!$B$2:$B$240,
reglas!$C$2:$C$240,
reglas!$D$2:$D$240,
reglas!$E$2:$E$240,
LAMBDA(rEmisor,rPatron,rConcepto,rTipo,
IF(
AND(
OR(
UPPER(TRIM(rEmisor))=UPPER(TRIM(C1128)),
UPPER(TRIM(rEmisor))=""CUALQUIERA""
),
OR(
UPPER(TRI"&amp;"M(rTipo))=""SOLO EMISOR"",
AND(
UPPER(TRIM(rTipo))=""EXACTA"",
UPPER(TRIM(AG1128))=UPPER(TRIM(rPatron))
),
AND(
OR(
UPPER(TRIM(rTipo))=""CONTIENE"",
UPPER(TRIM(rTipo))=""COINCIDENCIA""
),
ISNUMBER(SEARCH(UPPER(TRIM(rPatron)),UPPER(TRIM(D1128))))
)
)
),
rC"&amp;"oncepto,
""""
)
)
),
MAP(
reglas!$B$2:$B$240,
reglas!$C$2:$C$240,
reglas!$D$2:$D$240,
reglas!$E$2:$E$240,
LAMBDA(rEmisor,rPatron,rConcepto,rTipo,
IF(
AND(
OR(
UPPER(TRIM(rEmisor))=UPPER(TRIM(C1128)),
UPPER(TRIM(rEmisor))=""CUALQUIERA""
),
OR(
UPPER(TRIM(r"&amp;"Tipo))=""SOLO EMISOR"",
AND(
UPPER(TRIM(rTipo))=""EXACTA"",
UPPER(TRIM(D1128))=UPPER(TRIM(rPatron))
),
AND(
OR(
UPPER(TRIM(rTipo))=""CONTIENE"",
UPPER(TRIM(rTipo))=""COINCIDENCIA""
),
ISNUMBER(SEARCH(UPPER(TRIM(rPatron)),UPPER(TRIM(D1128))))
)
)
),
rConce"&amp;"pto,
""""
)
)
)&lt;&gt;""""
),
1
),
""""
)"),"N/A")</f>
        <v>N/A</v>
      </c>
      <c r="L1128" s="27"/>
      <c r="M1128" s="27"/>
      <c r="N1128" s="27"/>
      <c r="O1128" s="27"/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</row>
    <row r="1129">
      <c r="A1129" s="32"/>
      <c r="B1129" s="28" t="s">
        <v>29</v>
      </c>
      <c r="C1129" s="29" t="s">
        <v>276</v>
      </c>
      <c r="D1129" s="29" t="s">
        <v>73</v>
      </c>
      <c r="E1129" s="30">
        <v>5349.5</v>
      </c>
      <c r="F1129" s="28">
        <v>0.0</v>
      </c>
      <c r="G1129" s="28" t="s">
        <v>74</v>
      </c>
      <c r="H1129" s="28">
        <f t="array" ref="H1129">INDEX(CC!C:C,MATCH(1,(CC!A:A=G1129)*(CC!B:B=I1129),0))</f>
        <v>1503</v>
      </c>
      <c r="I1129" s="28" t="s">
        <v>44</v>
      </c>
      <c r="J1129" s="31">
        <v>5349.5</v>
      </c>
      <c r="K1129" s="28" t="str">
        <f>IFERROR(__xludf.DUMMYFUNCTION("IFERROR(
INDEX(
FILTER(
MAP(
reglas!$B$2:$B$240,
reglas!$C$2:$C$240,
reglas!$D$2:$D$240,
reglas!$E$2:$E$240,
LAMBDA(rEmisor,rPatron,rConcepto,rTipo,
IF(
AND(
OR(
UPPER(TRIM(rEmisor))=UPPER(TRIM(C1129)),
UPPER(TRIM(rEmisor))=""CUALQUIERA""
),
OR(
UPPER(TRI"&amp;"M(rTipo))=""SOLO EMISOR"",
AND(
UPPER(TRIM(rTipo))=""EXACTA"",
UPPER(TRIM(AG1129))=UPPER(TRIM(rPatron))
),
AND(
OR(
UPPER(TRIM(rTipo))=""CONTIENE"",
UPPER(TRIM(rTipo))=""COINCIDENCIA""
),
ISNUMBER(SEARCH(UPPER(TRIM(rPatron)),UPPER(TRIM(D1129))))
)
)
),
rC"&amp;"oncepto,
""""
)
)
),
MAP(
reglas!$B$2:$B$240,
reglas!$C$2:$C$240,
reglas!$D$2:$D$240,
reglas!$E$2:$E$240,
LAMBDA(rEmisor,rPatron,rConcepto,rTipo,
IF(
AND(
OR(
UPPER(TRIM(rEmisor))=UPPER(TRIM(C1129)),
UPPER(TRIM(rEmisor))=""CUALQUIERA""
),
OR(
UPPER(TRIM(r"&amp;"Tipo))=""SOLO EMISOR"",
AND(
UPPER(TRIM(rTipo))=""EXACTA"",
UPPER(TRIM(D1129))=UPPER(TRIM(rPatron))
),
AND(
OR(
UPPER(TRIM(rTipo))=""CONTIENE"",
UPPER(TRIM(rTipo))=""COINCIDENCIA""
),
ISNUMBER(SEARCH(UPPER(TRIM(rPatron)),UPPER(TRIM(D1129))))
)
)
),
rConce"&amp;"pto,
""""
)
)
)&lt;&gt;""""
),
1
),
""""
)"),"MANIOBRAS")</f>
        <v>MANIOBRAS</v>
      </c>
      <c r="L1129" s="27"/>
      <c r="M1129" s="27"/>
      <c r="N1129" s="27"/>
      <c r="O1129" s="27"/>
      <c r="P1129" s="27"/>
      <c r="Q1129" s="27"/>
      <c r="R1129" s="27"/>
      <c r="S1129" s="27"/>
      <c r="T1129" s="27"/>
      <c r="U1129" s="27"/>
      <c r="V1129" s="27"/>
      <c r="W1129" s="27"/>
      <c r="X1129" s="27"/>
      <c r="Y1129" s="27"/>
    </row>
    <row r="1130">
      <c r="A1130" s="32"/>
      <c r="B1130" s="32"/>
      <c r="C1130" s="29" t="s">
        <v>276</v>
      </c>
      <c r="D1130" s="29" t="s">
        <v>1038</v>
      </c>
      <c r="E1130" s="30">
        <v>4565.08</v>
      </c>
      <c r="F1130" s="28">
        <v>0.0</v>
      </c>
      <c r="G1130" s="28" t="s">
        <v>74</v>
      </c>
      <c r="H1130" s="28">
        <f t="array" ref="H1130">INDEX(CC!C:C,MATCH(1,(CC!A:A=G1130)*(CC!B:B=I1130),0))</f>
        <v>1503</v>
      </c>
      <c r="I1130" s="28" t="s">
        <v>44</v>
      </c>
      <c r="J1130" s="31">
        <v>4565.08</v>
      </c>
      <c r="K1130" s="28" t="str">
        <f>IFERROR(__xludf.DUMMYFUNCTION("IFERROR(
INDEX(
FILTER(
MAP(
reglas!$B$2:$B$240,
reglas!$C$2:$C$240,
reglas!$D$2:$D$240,
reglas!$E$2:$E$240,
LAMBDA(rEmisor,rPatron,rConcepto,rTipo,
IF(
AND(
OR(
UPPER(TRIM(rEmisor))=UPPER(TRIM(C1130)),
UPPER(TRIM(rEmisor))=""CUALQUIERA""
),
OR(
UPPER(TRI"&amp;"M(rTipo))=""SOLO EMISOR"",
AND(
UPPER(TRIM(rTipo))=""EXACTA"",
UPPER(TRIM(AG1130))=UPPER(TRIM(rPatron))
),
AND(
OR(
UPPER(TRIM(rTipo))=""CONTIENE"",
UPPER(TRIM(rTipo))=""COINCIDENCIA""
),
ISNUMBER(SEARCH(UPPER(TRIM(rPatron)),UPPER(TRIM(D1130))))
)
)
),
rC"&amp;"oncepto,
""""
)
)
),
MAP(
reglas!$B$2:$B$240,
reglas!$C$2:$C$240,
reglas!$D$2:$D$240,
reglas!$E$2:$E$240,
LAMBDA(rEmisor,rPatron,rConcepto,rTipo,
IF(
AND(
OR(
UPPER(TRIM(rEmisor))=UPPER(TRIM(C1130)),
UPPER(TRIM(rEmisor))=""CUALQUIERA""
),
OR(
UPPER(TRIM(r"&amp;"Tipo))=""SOLO EMISOR"",
AND(
UPPER(TRIM(rTipo))=""EXACTA"",
UPPER(TRIM(D1130))=UPPER(TRIM(rPatron))
),
AND(
OR(
UPPER(TRIM(rTipo))=""CONTIENE"",
UPPER(TRIM(rTipo))=""COINCIDENCIA""
),
ISNUMBER(SEARCH(UPPER(TRIM(rPatron)),UPPER(TRIM(D1130))))
)
)
),
rConce"&amp;"pto,
""""
)
)
)&lt;&gt;""""
),
1
),
""""
)"),"MANIOBRAS")</f>
        <v>MANIOBRAS</v>
      </c>
      <c r="L1130" s="27"/>
      <c r="M1130" s="27"/>
      <c r="N1130" s="27"/>
      <c r="O1130" s="27"/>
      <c r="P1130" s="27"/>
      <c r="Q1130" s="27"/>
      <c r="R1130" s="27"/>
      <c r="S1130" s="27"/>
      <c r="T1130" s="27"/>
      <c r="U1130" s="27"/>
      <c r="V1130" s="27"/>
      <c r="W1130" s="27"/>
      <c r="X1130" s="27"/>
      <c r="Y1130" s="27"/>
    </row>
    <row r="1131">
      <c r="A1131" s="32"/>
      <c r="B1131" s="32"/>
      <c r="C1131" s="29" t="s">
        <v>276</v>
      </c>
      <c r="D1131" s="29" t="s">
        <v>77</v>
      </c>
      <c r="E1131" s="28">
        <v>964.27</v>
      </c>
      <c r="F1131" s="28">
        <v>0.0</v>
      </c>
      <c r="G1131" s="28" t="s">
        <v>74</v>
      </c>
      <c r="H1131" s="28">
        <f t="array" ref="H1131">INDEX(CC!C:C,MATCH(1,(CC!A:A=G1131)*(CC!B:B=I1131),0))</f>
        <v>1503</v>
      </c>
      <c r="I1131" s="28" t="s">
        <v>44</v>
      </c>
      <c r="J1131" s="31">
        <v>964.27</v>
      </c>
      <c r="K1131" s="28" t="str">
        <f>IFERROR(__xludf.DUMMYFUNCTION("IFERROR(
INDEX(
FILTER(
MAP(
reglas!$B$2:$B$240,
reglas!$C$2:$C$240,
reglas!$D$2:$D$240,
reglas!$E$2:$E$240,
LAMBDA(rEmisor,rPatron,rConcepto,rTipo,
IF(
AND(
OR(
UPPER(TRIM(rEmisor))=UPPER(TRIM(C1131)),
UPPER(TRIM(rEmisor))=""CUALQUIERA""
),
OR(
UPPER(TRI"&amp;"M(rTipo))=""SOLO EMISOR"",
AND(
UPPER(TRIM(rTipo))=""EXACTA"",
UPPER(TRIM(AG1131))=UPPER(TRIM(rPatron))
),
AND(
OR(
UPPER(TRIM(rTipo))=""CONTIENE"",
UPPER(TRIM(rTipo))=""COINCIDENCIA""
),
ISNUMBER(SEARCH(UPPER(TRIM(rPatron)),UPPER(TRIM(D1131))))
)
)
),
rC"&amp;"oncepto,
""""
)
)
),
MAP(
reglas!$B$2:$B$240,
reglas!$C$2:$C$240,
reglas!$D$2:$D$240,
reglas!$E$2:$E$240,
LAMBDA(rEmisor,rPatron,rConcepto,rTipo,
IF(
AND(
OR(
UPPER(TRIM(rEmisor))=UPPER(TRIM(C1131)),
UPPER(TRIM(rEmisor))=""CUALQUIERA""
),
OR(
UPPER(TRIM(r"&amp;"Tipo))=""SOLO EMISOR"",
AND(
UPPER(TRIM(rTipo))=""EXACTA"",
UPPER(TRIM(D1131))=UPPER(TRIM(rPatron))
),
AND(
OR(
UPPER(TRIM(rTipo))=""CONTIENE"",
UPPER(TRIM(rTipo))=""COINCIDENCIA""
),
ISNUMBER(SEARCH(UPPER(TRIM(rPatron)),UPPER(TRIM(D1131))))
)
)
),
rConce"&amp;"pto,
""""
)
)
)&lt;&gt;""""
),
1
),
""""
)"),"MANIOBRAS")</f>
        <v>MANIOBRAS</v>
      </c>
      <c r="L1131" s="27"/>
      <c r="M1131" s="27"/>
      <c r="N1131" s="27"/>
      <c r="O1131" s="27"/>
      <c r="P1131" s="27"/>
      <c r="Q1131" s="27"/>
      <c r="R1131" s="27"/>
      <c r="S1131" s="27"/>
      <c r="T1131" s="27"/>
      <c r="U1131" s="27"/>
      <c r="V1131" s="27"/>
      <c r="W1131" s="27"/>
      <c r="X1131" s="27"/>
      <c r="Y1131" s="27"/>
    </row>
    <row r="1132">
      <c r="A1132" s="32"/>
      <c r="B1132" s="32"/>
      <c r="C1132" s="29" t="s">
        <v>276</v>
      </c>
      <c r="D1132" s="29" t="s">
        <v>1039</v>
      </c>
      <c r="E1132" s="30">
        <v>1717.46</v>
      </c>
      <c r="F1132" s="28">
        <v>0.0</v>
      </c>
      <c r="G1132" s="28" t="s">
        <v>74</v>
      </c>
      <c r="H1132" s="28">
        <f t="array" ref="H1132">INDEX(CC!C:C,MATCH(1,(CC!A:A=G1132)*(CC!B:B=I1132),0))</f>
        <v>1503</v>
      </c>
      <c r="I1132" s="28" t="s">
        <v>44</v>
      </c>
      <c r="J1132" s="31">
        <v>1717.46</v>
      </c>
      <c r="K1132" s="28" t="str">
        <f>IFERROR(__xludf.DUMMYFUNCTION("IFERROR(
INDEX(
FILTER(
MAP(
reglas!$B$2:$B$240,
reglas!$C$2:$C$240,
reglas!$D$2:$D$240,
reglas!$E$2:$E$240,
LAMBDA(rEmisor,rPatron,rConcepto,rTipo,
IF(
AND(
OR(
UPPER(TRIM(rEmisor))=UPPER(TRIM(C1132)),
UPPER(TRIM(rEmisor))=""CUALQUIERA""
),
OR(
UPPER(TRI"&amp;"M(rTipo))=""SOLO EMISOR"",
AND(
UPPER(TRIM(rTipo))=""EXACTA"",
UPPER(TRIM(AG1132))=UPPER(TRIM(rPatron))
),
AND(
OR(
UPPER(TRIM(rTipo))=""CONTIENE"",
UPPER(TRIM(rTipo))=""COINCIDENCIA""
),
ISNUMBER(SEARCH(UPPER(TRIM(rPatron)),UPPER(TRIM(D1132))))
)
)
),
rC"&amp;"oncepto,
""""
)
)
),
MAP(
reglas!$B$2:$B$240,
reglas!$C$2:$C$240,
reglas!$D$2:$D$240,
reglas!$E$2:$E$240,
LAMBDA(rEmisor,rPatron,rConcepto,rTipo,
IF(
AND(
OR(
UPPER(TRIM(rEmisor))=UPPER(TRIM(C1132)),
UPPER(TRIM(rEmisor))=""CUALQUIERA""
),
OR(
UPPER(TRIM(r"&amp;"Tipo))=""SOLO EMISOR"",
AND(
UPPER(TRIM(rTipo))=""EXACTA"",
UPPER(TRIM(D1132))=UPPER(TRIM(rPatron))
),
AND(
OR(
UPPER(TRIM(rTipo))=""CONTIENE"",
UPPER(TRIM(rTipo))=""COINCIDENCIA""
),
ISNUMBER(SEARCH(UPPER(TRIM(rPatron)),UPPER(TRIM(D1132))))
)
)
),
rConce"&amp;"pto,
""""
)
)
)&lt;&gt;""""
),
1
),
""""
)"),"MANIOBRAS")</f>
        <v>MANIOBRAS</v>
      </c>
      <c r="L1132" s="27"/>
      <c r="M1132" s="27"/>
      <c r="N1132" s="27"/>
      <c r="O1132" s="27"/>
      <c r="P1132" s="27"/>
      <c r="Q1132" s="27"/>
      <c r="R1132" s="27"/>
      <c r="S1132" s="27"/>
      <c r="T1132" s="27"/>
      <c r="U1132" s="27"/>
      <c r="V1132" s="27"/>
      <c r="W1132" s="27"/>
      <c r="X1132" s="27"/>
      <c r="Y1132" s="27"/>
    </row>
    <row r="1133">
      <c r="A1133" s="32"/>
      <c r="B1133" s="28" t="s">
        <v>29</v>
      </c>
      <c r="C1133" s="29" t="s">
        <v>278</v>
      </c>
      <c r="D1133" s="29" t="s">
        <v>560</v>
      </c>
      <c r="E1133" s="30">
        <v>3500.0</v>
      </c>
      <c r="F1133" s="28">
        <v>0.0</v>
      </c>
      <c r="G1133" s="28" t="s">
        <v>250</v>
      </c>
      <c r="H1133" s="28">
        <f t="array" ref="H1133">INDEX(CC!C:C,MATCH(1,(CC!A:A=G1133)*(CC!B:B=I1133),0))</f>
        <v>1402</v>
      </c>
      <c r="I1133" s="28" t="s">
        <v>25</v>
      </c>
      <c r="J1133" s="31">
        <v>3500.0</v>
      </c>
      <c r="K1133" s="28" t="str">
        <f>IFERROR(__xludf.DUMMYFUNCTION("IFERROR(
INDEX(
FILTER(
MAP(
reglas!$B$2:$B$240,
reglas!$C$2:$C$240,
reglas!$D$2:$D$240,
reglas!$E$2:$E$240,
LAMBDA(rEmisor,rPatron,rConcepto,rTipo,
IF(
AND(
OR(
UPPER(TRIM(rEmisor))=UPPER(TRIM(C1133)),
UPPER(TRIM(rEmisor))=""CUALQUIERA""
),
OR(
UPPER(TRI"&amp;"M(rTipo))=""SOLO EMISOR"",
AND(
UPPER(TRIM(rTipo))=""EXACTA"",
UPPER(TRIM(AG1133))=UPPER(TRIM(rPatron))
),
AND(
OR(
UPPER(TRIM(rTipo))=""CONTIENE"",
UPPER(TRIM(rTipo))=""COINCIDENCIA""
),
ISNUMBER(SEARCH(UPPER(TRIM(rPatron)),UPPER(TRIM(D1133))))
)
)
),
rC"&amp;"oncepto,
""""
)
)
),
MAP(
reglas!$B$2:$B$240,
reglas!$C$2:$C$240,
reglas!$D$2:$D$240,
reglas!$E$2:$E$240,
LAMBDA(rEmisor,rPatron,rConcepto,rTipo,
IF(
AND(
OR(
UPPER(TRIM(rEmisor))=UPPER(TRIM(C1133)),
UPPER(TRIM(rEmisor))=""CUALQUIERA""
),
OR(
UPPER(TRIM(r"&amp;"Tipo))=""SOLO EMISOR"",
AND(
UPPER(TRIM(rTipo))=""EXACTA"",
UPPER(TRIM(D1133))=UPPER(TRIM(rPatron))
),
AND(
OR(
UPPER(TRIM(rTipo))=""CONTIENE"",
UPPER(TRIM(rTipo))=""COINCIDENCIA""
),
ISNUMBER(SEARCH(UPPER(TRIM(rPatron)),UPPER(TRIM(D1133))))
)
)
),
rConce"&amp;"pto,
""""
)
)
)&lt;&gt;""""
),
1
),
""""
)"),"MANIOBRAS")</f>
        <v>MANIOBRAS</v>
      </c>
      <c r="L1133" s="27"/>
      <c r="M1133" s="27"/>
      <c r="N1133" s="27"/>
      <c r="O1133" s="27"/>
      <c r="P1133" s="27"/>
      <c r="Q1133" s="27"/>
      <c r="R1133" s="27"/>
      <c r="S1133" s="27"/>
      <c r="T1133" s="27"/>
      <c r="U1133" s="27"/>
      <c r="V1133" s="27"/>
      <c r="W1133" s="27"/>
      <c r="X1133" s="27"/>
      <c r="Y1133" s="27"/>
    </row>
    <row r="1134">
      <c r="A1134" s="32"/>
      <c r="B1134" s="28" t="s">
        <v>29</v>
      </c>
      <c r="C1134" s="29" t="s">
        <v>172</v>
      </c>
      <c r="D1134" s="29" t="s">
        <v>1773</v>
      </c>
      <c r="E1134" s="30">
        <v>11500.0</v>
      </c>
      <c r="F1134" s="28">
        <v>0.0</v>
      </c>
      <c r="G1134" s="28" t="s">
        <v>250</v>
      </c>
      <c r="H1134" s="28">
        <f t="array" ref="H1134">INDEX(CC!C:C,MATCH(1,(CC!A:A=G1134)*(CC!B:B=I1134),0))</f>
        <v>1402</v>
      </c>
      <c r="I1134" s="28" t="s">
        <v>25</v>
      </c>
      <c r="J1134" s="31">
        <v>11500.0</v>
      </c>
      <c r="K1134" s="28" t="str">
        <f>IFERROR(__xludf.DUMMYFUNCTION("IFERROR(
INDEX(
FILTER(
MAP(
reglas!$B$2:$B$240,
reglas!$C$2:$C$240,
reglas!$D$2:$D$240,
reglas!$E$2:$E$240,
LAMBDA(rEmisor,rPatron,rConcepto,rTipo,
IF(
AND(
OR(
UPPER(TRIM(rEmisor))=UPPER(TRIM(C1134)),
UPPER(TRIM(rEmisor))=""CUALQUIERA""
),
OR(
UPPER(TRI"&amp;"M(rTipo))=""SOLO EMISOR"",
AND(
UPPER(TRIM(rTipo))=""EXACTA"",
UPPER(TRIM(AG1134))=UPPER(TRIM(rPatron))
),
AND(
OR(
UPPER(TRIM(rTipo))=""CONTIENE"",
UPPER(TRIM(rTipo))=""COINCIDENCIA""
),
ISNUMBER(SEARCH(UPPER(TRIM(rPatron)),UPPER(TRIM(D1134))))
)
)
),
rC"&amp;"oncepto,
""""
)
)
),
MAP(
reglas!$B$2:$B$240,
reglas!$C$2:$C$240,
reglas!$D$2:$D$240,
reglas!$E$2:$E$240,
LAMBDA(rEmisor,rPatron,rConcepto,rTipo,
IF(
AND(
OR(
UPPER(TRIM(rEmisor))=UPPER(TRIM(C1134)),
UPPER(TRIM(rEmisor))=""CUALQUIERA""
),
OR(
UPPER(TRIM(r"&amp;"Tipo))=""SOLO EMISOR"",
AND(
UPPER(TRIM(rTipo))=""EXACTA"",
UPPER(TRIM(D1134))=UPPER(TRIM(rPatron))
),
AND(
OR(
UPPER(TRIM(rTipo))=""CONTIENE"",
UPPER(TRIM(rTipo))=""COINCIDENCIA""
),
ISNUMBER(SEARCH(UPPER(TRIM(rPatron)),UPPER(TRIM(D1134))))
)
)
),
rConce"&amp;"pto,
""""
)
)
)&lt;&gt;""""
),
1
),
""""
)"),"TRANSPORTE")</f>
        <v>TRANSPORTE</v>
      </c>
      <c r="L1134" s="27"/>
      <c r="M1134" s="27"/>
      <c r="N1134" s="27"/>
      <c r="O1134" s="27"/>
      <c r="P1134" s="27"/>
      <c r="Q1134" s="27"/>
      <c r="R1134" s="27"/>
      <c r="S1134" s="27"/>
      <c r="T1134" s="27"/>
      <c r="U1134" s="27"/>
      <c r="V1134" s="27"/>
      <c r="W1134" s="27"/>
      <c r="X1134" s="27"/>
      <c r="Y1134" s="27"/>
    </row>
    <row r="1135">
      <c r="A1135" s="28">
        <v>1.0</v>
      </c>
      <c r="B1135" s="28" t="s">
        <v>29</v>
      </c>
      <c r="C1135" s="29" t="s">
        <v>271</v>
      </c>
      <c r="D1135" s="29" t="s">
        <v>585</v>
      </c>
      <c r="E1135" s="28">
        <v>622.42</v>
      </c>
      <c r="F1135" s="28">
        <v>0.0</v>
      </c>
      <c r="G1135" s="28" t="s">
        <v>84</v>
      </c>
      <c r="H1135" s="28">
        <f t="array" ref="H1135">INDEX(CC!C:C,MATCH(1,(CC!A:A=G1135)*(CC!B:B=I1135),0))</f>
        <v>1002</v>
      </c>
      <c r="I1135" s="28" t="s">
        <v>25</v>
      </c>
      <c r="J1135" s="31">
        <v>622.42</v>
      </c>
      <c r="K1135" s="28" t="str">
        <f>IFERROR(__xludf.DUMMYFUNCTION("IFERROR(
INDEX(
FILTER(
MAP(
reglas!$B$2:$B$240,
reglas!$C$2:$C$240,
reglas!$D$2:$D$240,
reglas!$E$2:$E$240,
LAMBDA(rEmisor,rPatron,rConcepto,rTipo,
IF(
AND(
OR(
UPPER(TRIM(rEmisor))=UPPER(TRIM(C1135)),
UPPER(TRIM(rEmisor))=""CUALQUIERA""
),
OR(
UPPER(TRI"&amp;"M(rTipo))=""SOLO EMISOR"",
AND(
UPPER(TRIM(rTipo))=""EXACTA"",
UPPER(TRIM(AG1135))=UPPER(TRIM(rPatron))
),
AND(
OR(
UPPER(TRIM(rTipo))=""CONTIENE"",
UPPER(TRIM(rTipo))=""COINCIDENCIA""
),
ISNUMBER(SEARCH(UPPER(TRIM(rPatron)),UPPER(TRIM(D1135))))
)
)
),
rC"&amp;"oncepto,
""""
)
)
),
MAP(
reglas!$B$2:$B$240,
reglas!$C$2:$C$240,
reglas!$D$2:$D$240,
reglas!$E$2:$E$240,
LAMBDA(rEmisor,rPatron,rConcepto,rTipo,
IF(
AND(
OR(
UPPER(TRIM(rEmisor))=UPPER(TRIM(C1135)),
UPPER(TRIM(rEmisor))=""CUALQUIERA""
),
OR(
UPPER(TRIM(r"&amp;"Tipo))=""SOLO EMISOR"",
AND(
UPPER(TRIM(rTipo))=""EXACTA"",
UPPER(TRIM(D1135))=UPPER(TRIM(rPatron))
),
AND(
OR(
UPPER(TRIM(rTipo))=""CONTIENE"",
UPPER(TRIM(rTipo))=""COINCIDENCIA""
),
ISNUMBER(SEARCH(UPPER(TRIM(rPatron)),UPPER(TRIM(D1135))))
)
)
),
rConce"&amp;"pto,
""""
)
)
)&lt;&gt;""""
),
1
),
""""
)"),"MANIOBRAS")</f>
        <v>MANIOBRAS</v>
      </c>
      <c r="L1135" s="27"/>
      <c r="M1135" s="27"/>
      <c r="N1135" s="27"/>
      <c r="O1135" s="27"/>
      <c r="P1135" s="27"/>
      <c r="Q1135" s="27"/>
      <c r="R1135" s="27"/>
      <c r="S1135" s="27"/>
      <c r="T1135" s="27"/>
      <c r="U1135" s="27"/>
      <c r="V1135" s="27"/>
      <c r="W1135" s="27"/>
      <c r="X1135" s="27"/>
      <c r="Y1135" s="27"/>
    </row>
    <row r="1136">
      <c r="A1136" s="32"/>
      <c r="B1136" s="32"/>
      <c r="C1136" s="29" t="s">
        <v>271</v>
      </c>
      <c r="D1136" s="29" t="s">
        <v>587</v>
      </c>
      <c r="E1136" s="28">
        <v>569.47</v>
      </c>
      <c r="F1136" s="28">
        <v>0.0</v>
      </c>
      <c r="G1136" s="28" t="s">
        <v>84</v>
      </c>
      <c r="H1136" s="28">
        <f t="array" ref="H1136">INDEX(CC!C:C,MATCH(1,(CC!A:A=G1136)*(CC!B:B=I1136),0))</f>
        <v>1002</v>
      </c>
      <c r="I1136" s="28" t="s">
        <v>25</v>
      </c>
      <c r="J1136" s="31">
        <v>569.47</v>
      </c>
      <c r="K1136" s="28" t="str">
        <f>IFERROR(__xludf.DUMMYFUNCTION("IFERROR(
INDEX(
FILTER(
MAP(
reglas!$B$2:$B$240,
reglas!$C$2:$C$240,
reglas!$D$2:$D$240,
reglas!$E$2:$E$240,
LAMBDA(rEmisor,rPatron,rConcepto,rTipo,
IF(
AND(
OR(
UPPER(TRIM(rEmisor))=UPPER(TRIM(C1136)),
UPPER(TRIM(rEmisor))=""CUALQUIERA""
),
OR(
UPPER(TRI"&amp;"M(rTipo))=""SOLO EMISOR"",
AND(
UPPER(TRIM(rTipo))=""EXACTA"",
UPPER(TRIM(AG1136))=UPPER(TRIM(rPatron))
),
AND(
OR(
UPPER(TRIM(rTipo))=""CONTIENE"",
UPPER(TRIM(rTipo))=""COINCIDENCIA""
),
ISNUMBER(SEARCH(UPPER(TRIM(rPatron)),UPPER(TRIM(D1136))))
)
)
),
rC"&amp;"oncepto,
""""
)
)
),
MAP(
reglas!$B$2:$B$240,
reglas!$C$2:$C$240,
reglas!$D$2:$D$240,
reglas!$E$2:$E$240,
LAMBDA(rEmisor,rPatron,rConcepto,rTipo,
IF(
AND(
OR(
UPPER(TRIM(rEmisor))=UPPER(TRIM(C1136)),
UPPER(TRIM(rEmisor))=""CUALQUIERA""
),
OR(
UPPER(TRIM(r"&amp;"Tipo))=""SOLO EMISOR"",
AND(
UPPER(TRIM(rTipo))=""EXACTA"",
UPPER(TRIM(D1136))=UPPER(TRIM(rPatron))
),
AND(
OR(
UPPER(TRIM(rTipo))=""CONTIENE"",
UPPER(TRIM(rTipo))=""COINCIDENCIA""
),
ISNUMBER(SEARCH(UPPER(TRIM(rPatron)),UPPER(TRIM(D1136))))
)
)
),
rConce"&amp;"pto,
""""
)
)
)&lt;&gt;""""
),
1
),
""""
)"),"MANIOBRAS")</f>
        <v>MANIOBRAS</v>
      </c>
      <c r="L1136" s="27"/>
      <c r="M1136" s="27"/>
      <c r="N1136" s="27"/>
      <c r="O1136" s="27"/>
      <c r="P1136" s="27"/>
      <c r="Q1136" s="27"/>
      <c r="R1136" s="27"/>
      <c r="S1136" s="27"/>
      <c r="T1136" s="27"/>
      <c r="U1136" s="27"/>
      <c r="V1136" s="27"/>
      <c r="W1136" s="27"/>
      <c r="X1136" s="27"/>
      <c r="Y1136" s="27"/>
    </row>
    <row r="1137">
      <c r="A1137" s="32"/>
      <c r="B1137" s="32"/>
      <c r="C1137" s="29" t="s">
        <v>271</v>
      </c>
      <c r="D1137" s="29" t="s">
        <v>589</v>
      </c>
      <c r="E1137" s="28">
        <v>622.76</v>
      </c>
      <c r="F1137" s="28">
        <v>0.0</v>
      </c>
      <c r="G1137" s="28" t="s">
        <v>84</v>
      </c>
      <c r="H1137" s="28">
        <f t="array" ref="H1137">INDEX(CC!C:C,MATCH(1,(CC!A:A=G1137)*(CC!B:B=I1137),0))</f>
        <v>1002</v>
      </c>
      <c r="I1137" s="28" t="s">
        <v>25</v>
      </c>
      <c r="J1137" s="31">
        <v>622.76</v>
      </c>
      <c r="K1137" s="28" t="str">
        <f>IFERROR(__xludf.DUMMYFUNCTION("IFERROR(
INDEX(
FILTER(
MAP(
reglas!$B$2:$B$240,
reglas!$C$2:$C$240,
reglas!$D$2:$D$240,
reglas!$E$2:$E$240,
LAMBDA(rEmisor,rPatron,rConcepto,rTipo,
IF(
AND(
OR(
UPPER(TRIM(rEmisor))=UPPER(TRIM(C1137)),
UPPER(TRIM(rEmisor))=""CUALQUIERA""
),
OR(
UPPER(TRI"&amp;"M(rTipo))=""SOLO EMISOR"",
AND(
UPPER(TRIM(rTipo))=""EXACTA"",
UPPER(TRIM(AG1137))=UPPER(TRIM(rPatron))
),
AND(
OR(
UPPER(TRIM(rTipo))=""CONTIENE"",
UPPER(TRIM(rTipo))=""COINCIDENCIA""
),
ISNUMBER(SEARCH(UPPER(TRIM(rPatron)),UPPER(TRIM(D1137))))
)
)
),
rC"&amp;"oncepto,
""""
)
)
),
MAP(
reglas!$B$2:$B$240,
reglas!$C$2:$C$240,
reglas!$D$2:$D$240,
reglas!$E$2:$E$240,
LAMBDA(rEmisor,rPatron,rConcepto,rTipo,
IF(
AND(
OR(
UPPER(TRIM(rEmisor))=UPPER(TRIM(C1137)),
UPPER(TRIM(rEmisor))=""CUALQUIERA""
),
OR(
UPPER(TRIM(r"&amp;"Tipo))=""SOLO EMISOR"",
AND(
UPPER(TRIM(rTipo))=""EXACTA"",
UPPER(TRIM(D1137))=UPPER(TRIM(rPatron))
),
AND(
OR(
UPPER(TRIM(rTipo))=""CONTIENE"",
UPPER(TRIM(rTipo))=""COINCIDENCIA""
),
ISNUMBER(SEARCH(UPPER(TRIM(rPatron)),UPPER(TRIM(D1137))))
)
)
),
rConce"&amp;"pto,
""""
)
)
)&lt;&gt;""""
),
1
),
""""
)"),"MANIOBRAS")</f>
        <v>MANIOBRAS</v>
      </c>
      <c r="L1137" s="27"/>
      <c r="M1137" s="27"/>
      <c r="N1137" s="27"/>
      <c r="O1137" s="27"/>
      <c r="P1137" s="27"/>
      <c r="Q1137" s="27"/>
      <c r="R1137" s="27"/>
      <c r="S1137" s="27"/>
      <c r="T1137" s="27"/>
      <c r="U1137" s="27"/>
      <c r="V1137" s="27"/>
      <c r="W1137" s="27"/>
      <c r="X1137" s="27"/>
      <c r="Y1137" s="27"/>
    </row>
    <row r="1138">
      <c r="A1138" s="32"/>
      <c r="B1138" s="32"/>
      <c r="C1138" s="29" t="s">
        <v>271</v>
      </c>
      <c r="D1138" s="29" t="s">
        <v>596</v>
      </c>
      <c r="E1138" s="28">
        <v>653.4</v>
      </c>
      <c r="F1138" s="28">
        <v>0.0</v>
      </c>
      <c r="G1138" s="28" t="s">
        <v>84</v>
      </c>
      <c r="H1138" s="28">
        <f t="array" ref="H1138">INDEX(CC!C:C,MATCH(1,(CC!A:A=G1138)*(CC!B:B=I1138),0))</f>
        <v>1002</v>
      </c>
      <c r="I1138" s="28" t="s">
        <v>25</v>
      </c>
      <c r="J1138" s="31">
        <v>653.4</v>
      </c>
      <c r="K1138" s="28" t="str">
        <f>IFERROR(__xludf.DUMMYFUNCTION("IFERROR(
INDEX(
FILTER(
MAP(
reglas!$B$2:$B$240,
reglas!$C$2:$C$240,
reglas!$D$2:$D$240,
reglas!$E$2:$E$240,
LAMBDA(rEmisor,rPatron,rConcepto,rTipo,
IF(
AND(
OR(
UPPER(TRIM(rEmisor))=UPPER(TRIM(C1138)),
UPPER(TRIM(rEmisor))=""CUALQUIERA""
),
OR(
UPPER(TRI"&amp;"M(rTipo))=""SOLO EMISOR"",
AND(
UPPER(TRIM(rTipo))=""EXACTA"",
UPPER(TRIM(AG1138))=UPPER(TRIM(rPatron))
),
AND(
OR(
UPPER(TRIM(rTipo))=""CONTIENE"",
UPPER(TRIM(rTipo))=""COINCIDENCIA""
),
ISNUMBER(SEARCH(UPPER(TRIM(rPatron)),UPPER(TRIM(D1138))))
)
)
),
rC"&amp;"oncepto,
""""
)
)
),
MAP(
reglas!$B$2:$B$240,
reglas!$C$2:$C$240,
reglas!$D$2:$D$240,
reglas!$E$2:$E$240,
LAMBDA(rEmisor,rPatron,rConcepto,rTipo,
IF(
AND(
OR(
UPPER(TRIM(rEmisor))=UPPER(TRIM(C1138)),
UPPER(TRIM(rEmisor))=""CUALQUIERA""
),
OR(
UPPER(TRIM(r"&amp;"Tipo))=""SOLO EMISOR"",
AND(
UPPER(TRIM(rTipo))=""EXACTA"",
UPPER(TRIM(D1138))=UPPER(TRIM(rPatron))
),
AND(
OR(
UPPER(TRIM(rTipo))=""CONTIENE"",
UPPER(TRIM(rTipo))=""COINCIDENCIA""
),
ISNUMBER(SEARCH(UPPER(TRIM(rPatron)),UPPER(TRIM(D1138))))
)
)
),
rConce"&amp;"pto,
""""
)
)
)&lt;&gt;""""
),
1
),
""""
)"),"MANIOBRAS")</f>
        <v>MANIOBRAS</v>
      </c>
      <c r="L1138" s="27"/>
      <c r="M1138" s="27"/>
      <c r="N1138" s="27"/>
      <c r="O1138" s="27"/>
      <c r="P1138" s="27"/>
      <c r="Q1138" s="27"/>
      <c r="R1138" s="27"/>
      <c r="S1138" s="27"/>
      <c r="T1138" s="27"/>
      <c r="U1138" s="27"/>
      <c r="V1138" s="27"/>
      <c r="W1138" s="27"/>
      <c r="X1138" s="27"/>
      <c r="Y1138" s="27"/>
    </row>
    <row r="1139">
      <c r="A1139" s="32"/>
      <c r="B1139" s="28" t="s">
        <v>29</v>
      </c>
      <c r="C1139" s="29" t="s">
        <v>172</v>
      </c>
      <c r="D1139" s="29" t="s">
        <v>1829</v>
      </c>
      <c r="E1139" s="30">
        <v>11500.0</v>
      </c>
      <c r="F1139" s="28">
        <v>0.0</v>
      </c>
      <c r="G1139" s="28" t="s">
        <v>250</v>
      </c>
      <c r="H1139" s="28">
        <f t="array" ref="H1139">INDEX(CC!C:C,MATCH(1,(CC!A:A=G1139)*(CC!B:B=I1139),0))</f>
        <v>1402</v>
      </c>
      <c r="I1139" s="28" t="s">
        <v>25</v>
      </c>
      <c r="J1139" s="31">
        <v>11500.0</v>
      </c>
      <c r="K1139" s="28" t="str">
        <f>IFERROR(__xludf.DUMMYFUNCTION("IFERROR(
INDEX(
FILTER(
MAP(
reglas!$B$2:$B$240,
reglas!$C$2:$C$240,
reglas!$D$2:$D$240,
reglas!$E$2:$E$240,
LAMBDA(rEmisor,rPatron,rConcepto,rTipo,
IF(
AND(
OR(
UPPER(TRIM(rEmisor))=UPPER(TRIM(C1139)),
UPPER(TRIM(rEmisor))=""CUALQUIERA""
),
OR(
UPPER(TRI"&amp;"M(rTipo))=""SOLO EMISOR"",
AND(
UPPER(TRIM(rTipo))=""EXACTA"",
UPPER(TRIM(AG1139))=UPPER(TRIM(rPatron))
),
AND(
OR(
UPPER(TRIM(rTipo))=""CONTIENE"",
UPPER(TRIM(rTipo))=""COINCIDENCIA""
),
ISNUMBER(SEARCH(UPPER(TRIM(rPatron)),UPPER(TRIM(D1139))))
)
)
),
rC"&amp;"oncepto,
""""
)
)
),
MAP(
reglas!$B$2:$B$240,
reglas!$C$2:$C$240,
reglas!$D$2:$D$240,
reglas!$E$2:$E$240,
LAMBDA(rEmisor,rPatron,rConcepto,rTipo,
IF(
AND(
OR(
UPPER(TRIM(rEmisor))=UPPER(TRIM(C1139)),
UPPER(TRIM(rEmisor))=""CUALQUIERA""
),
OR(
UPPER(TRIM(r"&amp;"Tipo))=""SOLO EMISOR"",
AND(
UPPER(TRIM(rTipo))=""EXACTA"",
UPPER(TRIM(D1139))=UPPER(TRIM(rPatron))
),
AND(
OR(
UPPER(TRIM(rTipo))=""CONTIENE"",
UPPER(TRIM(rTipo))=""COINCIDENCIA""
),
ISNUMBER(SEARCH(UPPER(TRIM(rPatron)),UPPER(TRIM(D1139))))
)
)
),
rConce"&amp;"pto,
""""
)
)
)&lt;&gt;""""
),
1
),
""""
)"),"TRANSPORTE")</f>
        <v>TRANSPORTE</v>
      </c>
      <c r="L1139" s="27"/>
      <c r="M1139" s="27"/>
      <c r="N1139" s="27"/>
      <c r="O1139" s="27"/>
      <c r="P1139" s="27"/>
      <c r="Q1139" s="27"/>
      <c r="R1139" s="27"/>
      <c r="S1139" s="27"/>
      <c r="T1139" s="27"/>
      <c r="U1139" s="27"/>
      <c r="V1139" s="27"/>
      <c r="W1139" s="27"/>
      <c r="X1139" s="27"/>
      <c r="Y1139" s="27"/>
    </row>
    <row r="1140">
      <c r="A1140" s="28">
        <v>1.0</v>
      </c>
      <c r="B1140" s="28" t="s">
        <v>29</v>
      </c>
      <c r="C1140" s="29" t="s">
        <v>271</v>
      </c>
      <c r="D1140" s="29" t="s">
        <v>585</v>
      </c>
      <c r="E1140" s="28">
        <v>622.42</v>
      </c>
      <c r="F1140" s="28">
        <v>0.0</v>
      </c>
      <c r="G1140" s="28" t="s">
        <v>84</v>
      </c>
      <c r="H1140" s="28">
        <f t="array" ref="H1140">INDEX(CC!C:C,MATCH(1,(CC!A:A=G1140)*(CC!B:B=I1140),0))</f>
        <v>1002</v>
      </c>
      <c r="I1140" s="28" t="s">
        <v>25</v>
      </c>
      <c r="J1140" s="31">
        <v>622.42</v>
      </c>
      <c r="K1140" s="28" t="str">
        <f>IFERROR(__xludf.DUMMYFUNCTION("IFERROR(
INDEX(
FILTER(
MAP(
reglas!$B$2:$B$240,
reglas!$C$2:$C$240,
reglas!$D$2:$D$240,
reglas!$E$2:$E$240,
LAMBDA(rEmisor,rPatron,rConcepto,rTipo,
IF(
AND(
OR(
UPPER(TRIM(rEmisor))=UPPER(TRIM(C1140)),
UPPER(TRIM(rEmisor))=""CUALQUIERA""
),
OR(
UPPER(TRI"&amp;"M(rTipo))=""SOLO EMISOR"",
AND(
UPPER(TRIM(rTipo))=""EXACTA"",
UPPER(TRIM(AG1140))=UPPER(TRIM(rPatron))
),
AND(
OR(
UPPER(TRIM(rTipo))=""CONTIENE"",
UPPER(TRIM(rTipo))=""COINCIDENCIA""
),
ISNUMBER(SEARCH(UPPER(TRIM(rPatron)),UPPER(TRIM(D1140))))
)
)
),
rC"&amp;"oncepto,
""""
)
)
),
MAP(
reglas!$B$2:$B$240,
reglas!$C$2:$C$240,
reglas!$D$2:$D$240,
reglas!$E$2:$E$240,
LAMBDA(rEmisor,rPatron,rConcepto,rTipo,
IF(
AND(
OR(
UPPER(TRIM(rEmisor))=UPPER(TRIM(C1140)),
UPPER(TRIM(rEmisor))=""CUALQUIERA""
),
OR(
UPPER(TRIM(r"&amp;"Tipo))=""SOLO EMISOR"",
AND(
UPPER(TRIM(rTipo))=""EXACTA"",
UPPER(TRIM(D1140))=UPPER(TRIM(rPatron))
),
AND(
OR(
UPPER(TRIM(rTipo))=""CONTIENE"",
UPPER(TRIM(rTipo))=""COINCIDENCIA""
),
ISNUMBER(SEARCH(UPPER(TRIM(rPatron)),UPPER(TRIM(D1140))))
)
)
),
rConce"&amp;"pto,
""""
)
)
)&lt;&gt;""""
),
1
),
""""
)"),"MANIOBRAS")</f>
        <v>MANIOBRAS</v>
      </c>
      <c r="L1140" s="27"/>
      <c r="M1140" s="27"/>
      <c r="N1140" s="27"/>
      <c r="O1140" s="27"/>
      <c r="P1140" s="27"/>
      <c r="Q1140" s="27"/>
      <c r="R1140" s="27"/>
      <c r="S1140" s="27"/>
      <c r="T1140" s="27"/>
      <c r="U1140" s="27"/>
      <c r="V1140" s="27"/>
      <c r="W1140" s="27"/>
      <c r="X1140" s="27"/>
      <c r="Y1140" s="27"/>
    </row>
    <row r="1141">
      <c r="A1141" s="32"/>
      <c r="B1141" s="32"/>
      <c r="C1141" s="29" t="s">
        <v>271</v>
      </c>
      <c r="D1141" s="29" t="s">
        <v>587</v>
      </c>
      <c r="E1141" s="28">
        <v>569.47</v>
      </c>
      <c r="F1141" s="28">
        <v>0.0</v>
      </c>
      <c r="G1141" s="28" t="s">
        <v>84</v>
      </c>
      <c r="H1141" s="28">
        <f t="array" ref="H1141">INDEX(CC!C:C,MATCH(1,(CC!A:A=G1141)*(CC!B:B=I1141),0))</f>
        <v>1002</v>
      </c>
      <c r="I1141" s="28" t="s">
        <v>25</v>
      </c>
      <c r="J1141" s="31">
        <v>569.47</v>
      </c>
      <c r="K1141" s="28" t="str">
        <f>IFERROR(__xludf.DUMMYFUNCTION("IFERROR(
INDEX(
FILTER(
MAP(
reglas!$B$2:$B$240,
reglas!$C$2:$C$240,
reglas!$D$2:$D$240,
reglas!$E$2:$E$240,
LAMBDA(rEmisor,rPatron,rConcepto,rTipo,
IF(
AND(
OR(
UPPER(TRIM(rEmisor))=UPPER(TRIM(C1141)),
UPPER(TRIM(rEmisor))=""CUALQUIERA""
),
OR(
UPPER(TRI"&amp;"M(rTipo))=""SOLO EMISOR"",
AND(
UPPER(TRIM(rTipo))=""EXACTA"",
UPPER(TRIM(AG1141))=UPPER(TRIM(rPatron))
),
AND(
OR(
UPPER(TRIM(rTipo))=""CONTIENE"",
UPPER(TRIM(rTipo))=""COINCIDENCIA""
),
ISNUMBER(SEARCH(UPPER(TRIM(rPatron)),UPPER(TRIM(D1141))))
)
)
),
rC"&amp;"oncepto,
""""
)
)
),
MAP(
reglas!$B$2:$B$240,
reglas!$C$2:$C$240,
reglas!$D$2:$D$240,
reglas!$E$2:$E$240,
LAMBDA(rEmisor,rPatron,rConcepto,rTipo,
IF(
AND(
OR(
UPPER(TRIM(rEmisor))=UPPER(TRIM(C1141)),
UPPER(TRIM(rEmisor))=""CUALQUIERA""
),
OR(
UPPER(TRIM(r"&amp;"Tipo))=""SOLO EMISOR"",
AND(
UPPER(TRIM(rTipo))=""EXACTA"",
UPPER(TRIM(D1141))=UPPER(TRIM(rPatron))
),
AND(
OR(
UPPER(TRIM(rTipo))=""CONTIENE"",
UPPER(TRIM(rTipo))=""COINCIDENCIA""
),
ISNUMBER(SEARCH(UPPER(TRIM(rPatron)),UPPER(TRIM(D1141))))
)
)
),
rConce"&amp;"pto,
""""
)
)
)&lt;&gt;""""
),
1
),
""""
)"),"MANIOBRAS")</f>
        <v>MANIOBRAS</v>
      </c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  <c r="V1141" s="27"/>
      <c r="W1141" s="27"/>
      <c r="X1141" s="27"/>
      <c r="Y1141" s="27"/>
    </row>
    <row r="1142">
      <c r="A1142" s="32"/>
      <c r="B1142" s="32"/>
      <c r="C1142" s="29" t="s">
        <v>271</v>
      </c>
      <c r="D1142" s="29" t="s">
        <v>589</v>
      </c>
      <c r="E1142" s="28">
        <v>622.76</v>
      </c>
      <c r="F1142" s="28">
        <v>0.0</v>
      </c>
      <c r="G1142" s="28" t="s">
        <v>84</v>
      </c>
      <c r="H1142" s="28">
        <f t="array" ref="H1142">INDEX(CC!C:C,MATCH(1,(CC!A:A=G1142)*(CC!B:B=I1142),0))</f>
        <v>1002</v>
      </c>
      <c r="I1142" s="28" t="s">
        <v>25</v>
      </c>
      <c r="J1142" s="31">
        <v>622.76</v>
      </c>
      <c r="K1142" s="28" t="str">
        <f>IFERROR(__xludf.DUMMYFUNCTION("IFERROR(
INDEX(
FILTER(
MAP(
reglas!$B$2:$B$240,
reglas!$C$2:$C$240,
reglas!$D$2:$D$240,
reglas!$E$2:$E$240,
LAMBDA(rEmisor,rPatron,rConcepto,rTipo,
IF(
AND(
OR(
UPPER(TRIM(rEmisor))=UPPER(TRIM(C1142)),
UPPER(TRIM(rEmisor))=""CUALQUIERA""
),
OR(
UPPER(TRI"&amp;"M(rTipo))=""SOLO EMISOR"",
AND(
UPPER(TRIM(rTipo))=""EXACTA"",
UPPER(TRIM(AG1142))=UPPER(TRIM(rPatron))
),
AND(
OR(
UPPER(TRIM(rTipo))=""CONTIENE"",
UPPER(TRIM(rTipo))=""COINCIDENCIA""
),
ISNUMBER(SEARCH(UPPER(TRIM(rPatron)),UPPER(TRIM(D1142))))
)
)
),
rC"&amp;"oncepto,
""""
)
)
),
MAP(
reglas!$B$2:$B$240,
reglas!$C$2:$C$240,
reglas!$D$2:$D$240,
reglas!$E$2:$E$240,
LAMBDA(rEmisor,rPatron,rConcepto,rTipo,
IF(
AND(
OR(
UPPER(TRIM(rEmisor))=UPPER(TRIM(C1142)),
UPPER(TRIM(rEmisor))=""CUALQUIERA""
),
OR(
UPPER(TRIM(r"&amp;"Tipo))=""SOLO EMISOR"",
AND(
UPPER(TRIM(rTipo))=""EXACTA"",
UPPER(TRIM(D1142))=UPPER(TRIM(rPatron))
),
AND(
OR(
UPPER(TRIM(rTipo))=""CONTIENE"",
UPPER(TRIM(rTipo))=""COINCIDENCIA""
),
ISNUMBER(SEARCH(UPPER(TRIM(rPatron)),UPPER(TRIM(D1142))))
)
)
),
rConce"&amp;"pto,
""""
)
)
)&lt;&gt;""""
),
1
),
""""
)"),"MANIOBRAS")</f>
        <v>MANIOBRAS</v>
      </c>
      <c r="L1142" s="27"/>
      <c r="M1142" s="27"/>
      <c r="N1142" s="27"/>
      <c r="O1142" s="27"/>
      <c r="P1142" s="27"/>
      <c r="Q1142" s="27"/>
      <c r="R1142" s="27"/>
      <c r="S1142" s="27"/>
      <c r="T1142" s="27"/>
      <c r="U1142" s="27"/>
      <c r="V1142" s="27"/>
      <c r="W1142" s="27"/>
      <c r="X1142" s="27"/>
      <c r="Y1142" s="27"/>
    </row>
    <row r="1143">
      <c r="A1143" s="32"/>
      <c r="B1143" s="32"/>
      <c r="C1143" s="29" t="s">
        <v>271</v>
      </c>
      <c r="D1143" s="29" t="s">
        <v>596</v>
      </c>
      <c r="E1143" s="28">
        <v>653.4</v>
      </c>
      <c r="F1143" s="28">
        <v>0.0</v>
      </c>
      <c r="G1143" s="28" t="s">
        <v>84</v>
      </c>
      <c r="H1143" s="28">
        <f t="array" ref="H1143">INDEX(CC!C:C,MATCH(1,(CC!A:A=G1143)*(CC!B:B=I1143),0))</f>
        <v>1002</v>
      </c>
      <c r="I1143" s="28" t="s">
        <v>25</v>
      </c>
      <c r="J1143" s="31">
        <v>653.4</v>
      </c>
      <c r="K1143" s="28" t="str">
        <f>IFERROR(__xludf.DUMMYFUNCTION("IFERROR(
INDEX(
FILTER(
MAP(
reglas!$B$2:$B$240,
reglas!$C$2:$C$240,
reglas!$D$2:$D$240,
reglas!$E$2:$E$240,
LAMBDA(rEmisor,rPatron,rConcepto,rTipo,
IF(
AND(
OR(
UPPER(TRIM(rEmisor))=UPPER(TRIM(C1143)),
UPPER(TRIM(rEmisor))=""CUALQUIERA""
),
OR(
UPPER(TRI"&amp;"M(rTipo))=""SOLO EMISOR"",
AND(
UPPER(TRIM(rTipo))=""EXACTA"",
UPPER(TRIM(AG1143))=UPPER(TRIM(rPatron))
),
AND(
OR(
UPPER(TRIM(rTipo))=""CONTIENE"",
UPPER(TRIM(rTipo))=""COINCIDENCIA""
),
ISNUMBER(SEARCH(UPPER(TRIM(rPatron)),UPPER(TRIM(D1143))))
)
)
),
rC"&amp;"oncepto,
""""
)
)
),
MAP(
reglas!$B$2:$B$240,
reglas!$C$2:$C$240,
reglas!$D$2:$D$240,
reglas!$E$2:$E$240,
LAMBDA(rEmisor,rPatron,rConcepto,rTipo,
IF(
AND(
OR(
UPPER(TRIM(rEmisor))=UPPER(TRIM(C1143)),
UPPER(TRIM(rEmisor))=""CUALQUIERA""
),
OR(
UPPER(TRIM(r"&amp;"Tipo))=""SOLO EMISOR"",
AND(
UPPER(TRIM(rTipo))=""EXACTA"",
UPPER(TRIM(D1143))=UPPER(TRIM(rPatron))
),
AND(
OR(
UPPER(TRIM(rTipo))=""CONTIENE"",
UPPER(TRIM(rTipo))=""COINCIDENCIA""
),
ISNUMBER(SEARCH(UPPER(TRIM(rPatron)),UPPER(TRIM(D1143))))
)
)
),
rConce"&amp;"pto,
""""
)
)
)&lt;&gt;""""
),
1
),
""""
)"),"MANIOBRAS")</f>
        <v>MANIOBRAS</v>
      </c>
      <c r="L1143" s="27"/>
      <c r="M1143" s="27"/>
      <c r="N1143" s="27"/>
      <c r="O1143" s="27"/>
      <c r="P1143" s="27"/>
      <c r="Q1143" s="27"/>
      <c r="R1143" s="27"/>
      <c r="S1143" s="27"/>
      <c r="T1143" s="27"/>
      <c r="U1143" s="27"/>
      <c r="V1143" s="27"/>
      <c r="W1143" s="27"/>
      <c r="X1143" s="27"/>
      <c r="Y1143" s="27"/>
    </row>
    <row r="1144">
      <c r="A1144" s="32"/>
      <c r="B1144" s="28" t="s">
        <v>29</v>
      </c>
      <c r="C1144" s="29" t="s">
        <v>272</v>
      </c>
      <c r="D1144" s="29" t="s">
        <v>1845</v>
      </c>
      <c r="E1144" s="28">
        <v>650.34</v>
      </c>
      <c r="F1144" s="28">
        <v>0.0</v>
      </c>
      <c r="G1144" s="28" t="s">
        <v>55</v>
      </c>
      <c r="H1144" s="28">
        <f t="array" ref="H1144">INDEX(CC!C:C,MATCH(1,(CC!A:A=G1144)*(CC!B:B=I1144),0))</f>
        <v>903</v>
      </c>
      <c r="I1144" s="28" t="s">
        <v>44</v>
      </c>
      <c r="J1144" s="31">
        <v>650.34</v>
      </c>
      <c r="K1144" s="28" t="str">
        <f>IFERROR(__xludf.DUMMYFUNCTION("IFERROR(
INDEX(
FILTER(
MAP(
reglas!$B$2:$B$240,
reglas!$C$2:$C$240,
reglas!$D$2:$D$240,
reglas!$E$2:$E$240,
LAMBDA(rEmisor,rPatron,rConcepto,rTipo,
IF(
AND(
OR(
UPPER(TRIM(rEmisor))=UPPER(TRIM(C1144)),
UPPER(TRIM(rEmisor))=""CUALQUIERA""
),
OR(
UPPER(TRI"&amp;"M(rTipo))=""SOLO EMISOR"",
AND(
UPPER(TRIM(rTipo))=""EXACTA"",
UPPER(TRIM(AG1144))=UPPER(TRIM(rPatron))
),
AND(
OR(
UPPER(TRIM(rTipo))=""CONTIENE"",
UPPER(TRIM(rTipo))=""COINCIDENCIA""
),
ISNUMBER(SEARCH(UPPER(TRIM(rPatron)),UPPER(TRIM(D1144))))
)
)
),
rC"&amp;"oncepto,
""""
)
)
),
MAP(
reglas!$B$2:$B$240,
reglas!$C$2:$C$240,
reglas!$D$2:$D$240,
reglas!$E$2:$E$240,
LAMBDA(rEmisor,rPatron,rConcepto,rTipo,
IF(
AND(
OR(
UPPER(TRIM(rEmisor))=UPPER(TRIM(C1144)),
UPPER(TRIM(rEmisor))=""CUALQUIERA""
),
OR(
UPPER(TRIM(r"&amp;"Tipo))=""SOLO EMISOR"",
AND(
UPPER(TRIM(rTipo))=""EXACTA"",
UPPER(TRIM(D1144))=UPPER(TRIM(rPatron))
),
AND(
OR(
UPPER(TRIM(rTipo))=""CONTIENE"",
UPPER(TRIM(rTipo))=""COINCIDENCIA""
),
ISNUMBER(SEARCH(UPPER(TRIM(rPatron)),UPPER(TRIM(D1144))))
)
)
),
rConce"&amp;"pto,
""""
)
)
)&lt;&gt;""""
),
1
),
""""
)"),"MANIOBRAS")</f>
        <v>MANIOBRAS</v>
      </c>
      <c r="L1144" s="27"/>
      <c r="M1144" s="27"/>
      <c r="N1144" s="27"/>
      <c r="O1144" s="27"/>
      <c r="P1144" s="27"/>
      <c r="Q1144" s="27"/>
      <c r="R1144" s="27"/>
      <c r="S1144" s="27"/>
      <c r="T1144" s="27"/>
      <c r="U1144" s="27"/>
      <c r="V1144" s="27"/>
      <c r="W1144" s="27"/>
      <c r="X1144" s="27"/>
      <c r="Y1144" s="27"/>
    </row>
    <row r="1145">
      <c r="A1145" s="28">
        <v>1.0</v>
      </c>
      <c r="B1145" s="28" t="s">
        <v>29</v>
      </c>
      <c r="C1145" s="29" t="s">
        <v>271</v>
      </c>
      <c r="D1145" s="29" t="s">
        <v>585</v>
      </c>
      <c r="E1145" s="28">
        <v>623.85</v>
      </c>
      <c r="F1145" s="28">
        <v>0.0</v>
      </c>
      <c r="G1145" s="28" t="s">
        <v>84</v>
      </c>
      <c r="H1145" s="28">
        <f t="array" ref="H1145">INDEX(CC!C:C,MATCH(1,(CC!A:A=G1145)*(CC!B:B=I1145),0))</f>
        <v>1002</v>
      </c>
      <c r="I1145" s="28" t="s">
        <v>25</v>
      </c>
      <c r="J1145" s="31">
        <v>623.85</v>
      </c>
      <c r="K1145" s="28" t="str">
        <f>IFERROR(__xludf.DUMMYFUNCTION("IFERROR(
INDEX(
FILTER(
MAP(
reglas!$B$2:$B$240,
reglas!$C$2:$C$240,
reglas!$D$2:$D$240,
reglas!$E$2:$E$240,
LAMBDA(rEmisor,rPatron,rConcepto,rTipo,
IF(
AND(
OR(
UPPER(TRIM(rEmisor))=UPPER(TRIM(C1145)),
UPPER(TRIM(rEmisor))=""CUALQUIERA""
),
OR(
UPPER(TRI"&amp;"M(rTipo))=""SOLO EMISOR"",
AND(
UPPER(TRIM(rTipo))=""EXACTA"",
UPPER(TRIM(AG1145))=UPPER(TRIM(rPatron))
),
AND(
OR(
UPPER(TRIM(rTipo))=""CONTIENE"",
UPPER(TRIM(rTipo))=""COINCIDENCIA""
),
ISNUMBER(SEARCH(UPPER(TRIM(rPatron)),UPPER(TRIM(D1145))))
)
)
),
rC"&amp;"oncepto,
""""
)
)
),
MAP(
reglas!$B$2:$B$240,
reglas!$C$2:$C$240,
reglas!$D$2:$D$240,
reglas!$E$2:$E$240,
LAMBDA(rEmisor,rPatron,rConcepto,rTipo,
IF(
AND(
OR(
UPPER(TRIM(rEmisor))=UPPER(TRIM(C1145)),
UPPER(TRIM(rEmisor))=""CUALQUIERA""
),
OR(
UPPER(TRIM(r"&amp;"Tipo))=""SOLO EMISOR"",
AND(
UPPER(TRIM(rTipo))=""EXACTA"",
UPPER(TRIM(D1145))=UPPER(TRIM(rPatron))
),
AND(
OR(
UPPER(TRIM(rTipo))=""CONTIENE"",
UPPER(TRIM(rTipo))=""COINCIDENCIA""
),
ISNUMBER(SEARCH(UPPER(TRIM(rPatron)),UPPER(TRIM(D1145))))
)
)
),
rConce"&amp;"pto,
""""
)
)
)&lt;&gt;""""
),
1
),
""""
)"),"MANIOBRAS")</f>
        <v>MANIOBRAS</v>
      </c>
      <c r="L1145" s="27"/>
      <c r="M1145" s="27"/>
      <c r="N1145" s="27"/>
      <c r="O1145" s="27"/>
      <c r="P1145" s="27"/>
      <c r="Q1145" s="27"/>
      <c r="R1145" s="27"/>
      <c r="S1145" s="27"/>
      <c r="T1145" s="27"/>
      <c r="U1145" s="27"/>
      <c r="V1145" s="27"/>
      <c r="W1145" s="27"/>
      <c r="X1145" s="27"/>
      <c r="Y1145" s="27"/>
    </row>
    <row r="1146">
      <c r="A1146" s="32"/>
      <c r="B1146" s="32"/>
      <c r="C1146" s="29" t="s">
        <v>271</v>
      </c>
      <c r="D1146" s="29" t="s">
        <v>587</v>
      </c>
      <c r="E1146" s="28">
        <v>570.78</v>
      </c>
      <c r="F1146" s="28">
        <v>0.0</v>
      </c>
      <c r="G1146" s="28" t="s">
        <v>84</v>
      </c>
      <c r="H1146" s="28">
        <f t="array" ref="H1146">INDEX(CC!C:C,MATCH(1,(CC!A:A=G1146)*(CC!B:B=I1146),0))</f>
        <v>1002</v>
      </c>
      <c r="I1146" s="28" t="s">
        <v>25</v>
      </c>
      <c r="J1146" s="31">
        <v>570.78</v>
      </c>
      <c r="K1146" s="28" t="str">
        <f>IFERROR(__xludf.DUMMYFUNCTION("IFERROR(
INDEX(
FILTER(
MAP(
reglas!$B$2:$B$240,
reglas!$C$2:$C$240,
reglas!$D$2:$D$240,
reglas!$E$2:$E$240,
LAMBDA(rEmisor,rPatron,rConcepto,rTipo,
IF(
AND(
OR(
UPPER(TRIM(rEmisor))=UPPER(TRIM(C1146)),
UPPER(TRIM(rEmisor))=""CUALQUIERA""
),
OR(
UPPER(TRI"&amp;"M(rTipo))=""SOLO EMISOR"",
AND(
UPPER(TRIM(rTipo))=""EXACTA"",
UPPER(TRIM(AG1146))=UPPER(TRIM(rPatron))
),
AND(
OR(
UPPER(TRIM(rTipo))=""CONTIENE"",
UPPER(TRIM(rTipo))=""COINCIDENCIA""
),
ISNUMBER(SEARCH(UPPER(TRIM(rPatron)),UPPER(TRIM(D1146))))
)
)
),
rC"&amp;"oncepto,
""""
)
)
),
MAP(
reglas!$B$2:$B$240,
reglas!$C$2:$C$240,
reglas!$D$2:$D$240,
reglas!$E$2:$E$240,
LAMBDA(rEmisor,rPatron,rConcepto,rTipo,
IF(
AND(
OR(
UPPER(TRIM(rEmisor))=UPPER(TRIM(C1146)),
UPPER(TRIM(rEmisor))=""CUALQUIERA""
),
OR(
UPPER(TRIM(r"&amp;"Tipo))=""SOLO EMISOR"",
AND(
UPPER(TRIM(rTipo))=""EXACTA"",
UPPER(TRIM(D1146))=UPPER(TRIM(rPatron))
),
AND(
OR(
UPPER(TRIM(rTipo))=""CONTIENE"",
UPPER(TRIM(rTipo))=""COINCIDENCIA""
),
ISNUMBER(SEARCH(UPPER(TRIM(rPatron)),UPPER(TRIM(D1146))))
)
)
),
rConce"&amp;"pto,
""""
)
)
)&lt;&gt;""""
),
1
),
""""
)"),"MANIOBRAS")</f>
        <v>MANIOBRAS</v>
      </c>
      <c r="L1146" s="27"/>
      <c r="M1146" s="27"/>
      <c r="N1146" s="27"/>
      <c r="O1146" s="27"/>
      <c r="P1146" s="27"/>
      <c r="Q1146" s="27"/>
      <c r="R1146" s="27"/>
      <c r="S1146" s="27"/>
      <c r="T1146" s="27"/>
      <c r="U1146" s="27"/>
      <c r="V1146" s="27"/>
      <c r="W1146" s="27"/>
      <c r="X1146" s="27"/>
      <c r="Y1146" s="27"/>
    </row>
    <row r="1147">
      <c r="A1147" s="32"/>
      <c r="B1147" s="32"/>
      <c r="C1147" s="29" t="s">
        <v>271</v>
      </c>
      <c r="D1147" s="29" t="s">
        <v>589</v>
      </c>
      <c r="E1147" s="28">
        <v>765.31</v>
      </c>
      <c r="F1147" s="28">
        <v>0.0</v>
      </c>
      <c r="G1147" s="28" t="s">
        <v>84</v>
      </c>
      <c r="H1147" s="28">
        <f t="array" ref="H1147">INDEX(CC!C:C,MATCH(1,(CC!A:A=G1147)*(CC!B:B=I1147),0))</f>
        <v>1002</v>
      </c>
      <c r="I1147" s="28" t="s">
        <v>25</v>
      </c>
      <c r="J1147" s="31">
        <v>765.31</v>
      </c>
      <c r="K1147" s="28" t="str">
        <f>IFERROR(__xludf.DUMMYFUNCTION("IFERROR(
INDEX(
FILTER(
MAP(
reglas!$B$2:$B$240,
reglas!$C$2:$C$240,
reglas!$D$2:$D$240,
reglas!$E$2:$E$240,
LAMBDA(rEmisor,rPatron,rConcepto,rTipo,
IF(
AND(
OR(
UPPER(TRIM(rEmisor))=UPPER(TRIM(C1147)),
UPPER(TRIM(rEmisor))=""CUALQUIERA""
),
OR(
UPPER(TRI"&amp;"M(rTipo))=""SOLO EMISOR"",
AND(
UPPER(TRIM(rTipo))=""EXACTA"",
UPPER(TRIM(AG1147))=UPPER(TRIM(rPatron))
),
AND(
OR(
UPPER(TRIM(rTipo))=""CONTIENE"",
UPPER(TRIM(rTipo))=""COINCIDENCIA""
),
ISNUMBER(SEARCH(UPPER(TRIM(rPatron)),UPPER(TRIM(D1147))))
)
)
),
rC"&amp;"oncepto,
""""
)
)
),
MAP(
reglas!$B$2:$B$240,
reglas!$C$2:$C$240,
reglas!$D$2:$D$240,
reglas!$E$2:$E$240,
LAMBDA(rEmisor,rPatron,rConcepto,rTipo,
IF(
AND(
OR(
UPPER(TRIM(rEmisor))=UPPER(TRIM(C1147)),
UPPER(TRIM(rEmisor))=""CUALQUIERA""
),
OR(
UPPER(TRIM(r"&amp;"Tipo))=""SOLO EMISOR"",
AND(
UPPER(TRIM(rTipo))=""EXACTA"",
UPPER(TRIM(D1147))=UPPER(TRIM(rPatron))
),
AND(
OR(
UPPER(TRIM(rTipo))=""CONTIENE"",
UPPER(TRIM(rTipo))=""COINCIDENCIA""
),
ISNUMBER(SEARCH(UPPER(TRIM(rPatron)),UPPER(TRIM(D1147))))
)
)
),
rConce"&amp;"pto,
""""
)
)
)&lt;&gt;""""
),
1
),
""""
)"),"MANIOBRAS")</f>
        <v>MANIOBRAS</v>
      </c>
      <c r="L1147" s="27"/>
      <c r="M1147" s="27"/>
      <c r="N1147" s="27"/>
      <c r="O1147" s="27"/>
      <c r="P1147" s="27"/>
      <c r="Q1147" s="27"/>
      <c r="R1147" s="27"/>
      <c r="S1147" s="27"/>
      <c r="T1147" s="27"/>
      <c r="U1147" s="27"/>
      <c r="V1147" s="27"/>
      <c r="W1147" s="27"/>
      <c r="X1147" s="27"/>
      <c r="Y1147" s="27"/>
    </row>
    <row r="1148">
      <c r="A1148" s="32"/>
      <c r="B1148" s="32"/>
      <c r="C1148" s="29" t="s">
        <v>271</v>
      </c>
      <c r="D1148" s="29" t="s">
        <v>596</v>
      </c>
      <c r="E1148" s="28">
        <v>654.91</v>
      </c>
      <c r="F1148" s="28">
        <v>0.0</v>
      </c>
      <c r="G1148" s="28" t="s">
        <v>84</v>
      </c>
      <c r="H1148" s="28">
        <f t="array" ref="H1148">INDEX(CC!C:C,MATCH(1,(CC!A:A=G1148)*(CC!B:B=I1148),0))</f>
        <v>1002</v>
      </c>
      <c r="I1148" s="28" t="s">
        <v>25</v>
      </c>
      <c r="J1148" s="31">
        <v>654.91</v>
      </c>
      <c r="K1148" s="28" t="str">
        <f>IFERROR(__xludf.DUMMYFUNCTION("IFERROR(
INDEX(
FILTER(
MAP(
reglas!$B$2:$B$240,
reglas!$C$2:$C$240,
reglas!$D$2:$D$240,
reglas!$E$2:$E$240,
LAMBDA(rEmisor,rPatron,rConcepto,rTipo,
IF(
AND(
OR(
UPPER(TRIM(rEmisor))=UPPER(TRIM(C1148)),
UPPER(TRIM(rEmisor))=""CUALQUIERA""
),
OR(
UPPER(TRI"&amp;"M(rTipo))=""SOLO EMISOR"",
AND(
UPPER(TRIM(rTipo))=""EXACTA"",
UPPER(TRIM(AG1148))=UPPER(TRIM(rPatron))
),
AND(
OR(
UPPER(TRIM(rTipo))=""CONTIENE"",
UPPER(TRIM(rTipo))=""COINCIDENCIA""
),
ISNUMBER(SEARCH(UPPER(TRIM(rPatron)),UPPER(TRIM(D1148))))
)
)
),
rC"&amp;"oncepto,
""""
)
)
),
MAP(
reglas!$B$2:$B$240,
reglas!$C$2:$C$240,
reglas!$D$2:$D$240,
reglas!$E$2:$E$240,
LAMBDA(rEmisor,rPatron,rConcepto,rTipo,
IF(
AND(
OR(
UPPER(TRIM(rEmisor))=UPPER(TRIM(C1148)),
UPPER(TRIM(rEmisor))=""CUALQUIERA""
),
OR(
UPPER(TRIM(r"&amp;"Tipo))=""SOLO EMISOR"",
AND(
UPPER(TRIM(rTipo))=""EXACTA"",
UPPER(TRIM(D1148))=UPPER(TRIM(rPatron))
),
AND(
OR(
UPPER(TRIM(rTipo))=""CONTIENE"",
UPPER(TRIM(rTipo))=""COINCIDENCIA""
),
ISNUMBER(SEARCH(UPPER(TRIM(rPatron)),UPPER(TRIM(D1148))))
)
)
),
rConce"&amp;"pto,
""""
)
)
)&lt;&gt;""""
),
1
),
""""
)"),"MANIOBRAS")</f>
        <v>MANIOBRAS</v>
      </c>
      <c r="L1148" s="27"/>
      <c r="M1148" s="27"/>
      <c r="N1148" s="27"/>
      <c r="O1148" s="27"/>
      <c r="P1148" s="27"/>
      <c r="Q1148" s="27"/>
      <c r="R1148" s="27"/>
      <c r="S1148" s="27"/>
      <c r="T1148" s="27"/>
      <c r="U1148" s="27"/>
      <c r="V1148" s="27"/>
      <c r="W1148" s="27"/>
      <c r="X1148" s="27"/>
      <c r="Y1148" s="27"/>
    </row>
    <row r="1149">
      <c r="A1149" s="32"/>
      <c r="B1149" s="28" t="s">
        <v>29</v>
      </c>
      <c r="C1149" s="29" t="s">
        <v>278</v>
      </c>
      <c r="D1149" s="29" t="s">
        <v>560</v>
      </c>
      <c r="E1149" s="30">
        <v>3500.0</v>
      </c>
      <c r="F1149" s="28">
        <v>0.0</v>
      </c>
      <c r="G1149" s="28" t="s">
        <v>250</v>
      </c>
      <c r="H1149" s="28">
        <f t="array" ref="H1149">INDEX(CC!C:C,MATCH(1,(CC!A:A=G1149)*(CC!B:B=I1149),0))</f>
        <v>1402</v>
      </c>
      <c r="I1149" s="28" t="s">
        <v>25</v>
      </c>
      <c r="J1149" s="31">
        <v>3500.0</v>
      </c>
      <c r="K1149" s="28" t="str">
        <f>IFERROR(__xludf.DUMMYFUNCTION("IFERROR(
INDEX(
FILTER(
MAP(
reglas!$B$2:$B$240,
reglas!$C$2:$C$240,
reglas!$D$2:$D$240,
reglas!$E$2:$E$240,
LAMBDA(rEmisor,rPatron,rConcepto,rTipo,
IF(
AND(
OR(
UPPER(TRIM(rEmisor))=UPPER(TRIM(C1149)),
UPPER(TRIM(rEmisor))=""CUALQUIERA""
),
OR(
UPPER(TRI"&amp;"M(rTipo))=""SOLO EMISOR"",
AND(
UPPER(TRIM(rTipo))=""EXACTA"",
UPPER(TRIM(AG1149))=UPPER(TRIM(rPatron))
),
AND(
OR(
UPPER(TRIM(rTipo))=""CONTIENE"",
UPPER(TRIM(rTipo))=""COINCIDENCIA""
),
ISNUMBER(SEARCH(UPPER(TRIM(rPatron)),UPPER(TRIM(D1149))))
)
)
),
rC"&amp;"oncepto,
""""
)
)
),
MAP(
reglas!$B$2:$B$240,
reglas!$C$2:$C$240,
reglas!$D$2:$D$240,
reglas!$E$2:$E$240,
LAMBDA(rEmisor,rPatron,rConcepto,rTipo,
IF(
AND(
OR(
UPPER(TRIM(rEmisor))=UPPER(TRIM(C1149)),
UPPER(TRIM(rEmisor))=""CUALQUIERA""
),
OR(
UPPER(TRIM(r"&amp;"Tipo))=""SOLO EMISOR"",
AND(
UPPER(TRIM(rTipo))=""EXACTA"",
UPPER(TRIM(D1149))=UPPER(TRIM(rPatron))
),
AND(
OR(
UPPER(TRIM(rTipo))=""CONTIENE"",
UPPER(TRIM(rTipo))=""COINCIDENCIA""
),
ISNUMBER(SEARCH(UPPER(TRIM(rPatron)),UPPER(TRIM(D1149))))
)
)
),
rConce"&amp;"pto,
""""
)
)
)&lt;&gt;""""
),
1
),
""""
)"),"MANIOBRAS")</f>
        <v>MANIOBRAS</v>
      </c>
      <c r="L1149" s="27"/>
      <c r="M1149" s="27"/>
      <c r="N1149" s="27"/>
      <c r="O1149" s="27"/>
      <c r="P1149" s="27"/>
      <c r="Q1149" s="27"/>
      <c r="R1149" s="27"/>
      <c r="S1149" s="27"/>
      <c r="T1149" s="27"/>
      <c r="U1149" s="27"/>
      <c r="V1149" s="27"/>
      <c r="W1149" s="27"/>
      <c r="X1149" s="27"/>
      <c r="Y1149" s="27"/>
    </row>
    <row r="1150">
      <c r="A1150" s="32"/>
      <c r="B1150" s="28" t="s">
        <v>29</v>
      </c>
      <c r="C1150" s="29" t="s">
        <v>172</v>
      </c>
      <c r="D1150" s="29" t="s">
        <v>1830</v>
      </c>
      <c r="E1150" s="30">
        <v>11500.0</v>
      </c>
      <c r="F1150" s="28">
        <v>0.0</v>
      </c>
      <c r="G1150" s="28" t="s">
        <v>250</v>
      </c>
      <c r="H1150" s="28">
        <f t="array" ref="H1150">INDEX(CC!C:C,MATCH(1,(CC!A:A=G1150)*(CC!B:B=I1150),0))</f>
        <v>1402</v>
      </c>
      <c r="I1150" s="28" t="s">
        <v>25</v>
      </c>
      <c r="J1150" s="31">
        <v>11500.0</v>
      </c>
      <c r="K1150" s="28" t="str">
        <f>IFERROR(__xludf.DUMMYFUNCTION("IFERROR(
INDEX(
FILTER(
MAP(
reglas!$B$2:$B$240,
reglas!$C$2:$C$240,
reglas!$D$2:$D$240,
reglas!$E$2:$E$240,
LAMBDA(rEmisor,rPatron,rConcepto,rTipo,
IF(
AND(
OR(
UPPER(TRIM(rEmisor))=UPPER(TRIM(C1150)),
UPPER(TRIM(rEmisor))=""CUALQUIERA""
),
OR(
UPPER(TRI"&amp;"M(rTipo))=""SOLO EMISOR"",
AND(
UPPER(TRIM(rTipo))=""EXACTA"",
UPPER(TRIM(AG1150))=UPPER(TRIM(rPatron))
),
AND(
OR(
UPPER(TRIM(rTipo))=""CONTIENE"",
UPPER(TRIM(rTipo))=""COINCIDENCIA""
),
ISNUMBER(SEARCH(UPPER(TRIM(rPatron)),UPPER(TRIM(D1150))))
)
)
),
rC"&amp;"oncepto,
""""
)
)
),
MAP(
reglas!$B$2:$B$240,
reglas!$C$2:$C$240,
reglas!$D$2:$D$240,
reglas!$E$2:$E$240,
LAMBDA(rEmisor,rPatron,rConcepto,rTipo,
IF(
AND(
OR(
UPPER(TRIM(rEmisor))=UPPER(TRIM(C1150)),
UPPER(TRIM(rEmisor))=""CUALQUIERA""
),
OR(
UPPER(TRIM(r"&amp;"Tipo))=""SOLO EMISOR"",
AND(
UPPER(TRIM(rTipo))=""EXACTA"",
UPPER(TRIM(D1150))=UPPER(TRIM(rPatron))
),
AND(
OR(
UPPER(TRIM(rTipo))=""CONTIENE"",
UPPER(TRIM(rTipo))=""COINCIDENCIA""
),
ISNUMBER(SEARCH(UPPER(TRIM(rPatron)),UPPER(TRIM(D1150))))
)
)
),
rConce"&amp;"pto,
""""
)
)
)&lt;&gt;""""
),
1
),
""""
)"),"TRANSPORTE")</f>
        <v>TRANSPORTE</v>
      </c>
      <c r="L1150" s="27"/>
      <c r="M1150" s="27"/>
      <c r="N1150" s="27"/>
      <c r="O1150" s="27"/>
      <c r="P1150" s="27"/>
      <c r="Q1150" s="27"/>
      <c r="R1150" s="27"/>
      <c r="S1150" s="27"/>
      <c r="T1150" s="27"/>
      <c r="U1150" s="27"/>
      <c r="V1150" s="27"/>
      <c r="W1150" s="27"/>
      <c r="X1150" s="27"/>
      <c r="Y1150" s="27"/>
    </row>
    <row r="1151">
      <c r="A1151" s="32"/>
      <c r="B1151" s="28" t="s">
        <v>29</v>
      </c>
      <c r="C1151" s="29" t="s">
        <v>172</v>
      </c>
      <c r="D1151" s="29" t="s">
        <v>1830</v>
      </c>
      <c r="E1151" s="30">
        <v>11500.0</v>
      </c>
      <c r="F1151" s="28">
        <v>0.0</v>
      </c>
      <c r="G1151" s="28" t="s">
        <v>250</v>
      </c>
      <c r="H1151" s="28">
        <f t="array" ref="H1151">INDEX(CC!C:C,MATCH(1,(CC!A:A=G1151)*(CC!B:B=I1151),0))</f>
        <v>1402</v>
      </c>
      <c r="I1151" s="28" t="s">
        <v>25</v>
      </c>
      <c r="J1151" s="31">
        <v>11500.0</v>
      </c>
      <c r="K1151" s="28" t="str">
        <f>IFERROR(__xludf.DUMMYFUNCTION("IFERROR(
INDEX(
FILTER(
MAP(
reglas!$B$2:$B$240,
reglas!$C$2:$C$240,
reglas!$D$2:$D$240,
reglas!$E$2:$E$240,
LAMBDA(rEmisor,rPatron,rConcepto,rTipo,
IF(
AND(
OR(
UPPER(TRIM(rEmisor))=UPPER(TRIM(C1151)),
UPPER(TRIM(rEmisor))=""CUALQUIERA""
),
OR(
UPPER(TRI"&amp;"M(rTipo))=""SOLO EMISOR"",
AND(
UPPER(TRIM(rTipo))=""EXACTA"",
UPPER(TRIM(AG1151))=UPPER(TRIM(rPatron))
),
AND(
OR(
UPPER(TRIM(rTipo))=""CONTIENE"",
UPPER(TRIM(rTipo))=""COINCIDENCIA""
),
ISNUMBER(SEARCH(UPPER(TRIM(rPatron)),UPPER(TRIM(D1151))))
)
)
),
rC"&amp;"oncepto,
""""
)
)
),
MAP(
reglas!$B$2:$B$240,
reglas!$C$2:$C$240,
reglas!$D$2:$D$240,
reglas!$E$2:$E$240,
LAMBDA(rEmisor,rPatron,rConcepto,rTipo,
IF(
AND(
OR(
UPPER(TRIM(rEmisor))=UPPER(TRIM(C1151)),
UPPER(TRIM(rEmisor))=""CUALQUIERA""
),
OR(
UPPER(TRIM(r"&amp;"Tipo))=""SOLO EMISOR"",
AND(
UPPER(TRIM(rTipo))=""EXACTA"",
UPPER(TRIM(D1151))=UPPER(TRIM(rPatron))
),
AND(
OR(
UPPER(TRIM(rTipo))=""CONTIENE"",
UPPER(TRIM(rTipo))=""COINCIDENCIA""
),
ISNUMBER(SEARCH(UPPER(TRIM(rPatron)),UPPER(TRIM(D1151))))
)
)
),
rConce"&amp;"pto,
""""
)
)
)&lt;&gt;""""
),
1
),
""""
)"),"TRANSPORTE")</f>
        <v>TRANSPORTE</v>
      </c>
      <c r="L1151" s="27"/>
      <c r="M1151" s="27"/>
      <c r="N1151" s="27"/>
      <c r="O1151" s="27"/>
      <c r="P1151" s="27"/>
      <c r="Q1151" s="27"/>
      <c r="R1151" s="27"/>
      <c r="S1151" s="27"/>
      <c r="T1151" s="27"/>
      <c r="U1151" s="27"/>
      <c r="V1151" s="27"/>
      <c r="W1151" s="27"/>
      <c r="X1151" s="27"/>
      <c r="Y1151" s="27"/>
    </row>
    <row r="1152">
      <c r="A1152" s="32"/>
      <c r="B1152" s="28" t="s">
        <v>29</v>
      </c>
      <c r="C1152" s="29" t="s">
        <v>278</v>
      </c>
      <c r="D1152" s="29" t="s">
        <v>560</v>
      </c>
      <c r="E1152" s="30">
        <v>3500.0</v>
      </c>
      <c r="F1152" s="28">
        <v>0.0</v>
      </c>
      <c r="G1152" s="28" t="s">
        <v>250</v>
      </c>
      <c r="H1152" s="28">
        <f t="array" ref="H1152">INDEX(CC!C:C,MATCH(1,(CC!A:A=G1152)*(CC!B:B=I1152),0))</f>
        <v>1402</v>
      </c>
      <c r="I1152" s="28" t="s">
        <v>25</v>
      </c>
      <c r="J1152" s="31">
        <v>3500.0</v>
      </c>
      <c r="K1152" s="28" t="str">
        <f>IFERROR(__xludf.DUMMYFUNCTION("IFERROR(
INDEX(
FILTER(
MAP(
reglas!$B$2:$B$240,
reglas!$C$2:$C$240,
reglas!$D$2:$D$240,
reglas!$E$2:$E$240,
LAMBDA(rEmisor,rPatron,rConcepto,rTipo,
IF(
AND(
OR(
UPPER(TRIM(rEmisor))=UPPER(TRIM(C1152)),
UPPER(TRIM(rEmisor))=""CUALQUIERA""
),
OR(
UPPER(TRI"&amp;"M(rTipo))=""SOLO EMISOR"",
AND(
UPPER(TRIM(rTipo))=""EXACTA"",
UPPER(TRIM(AG1152))=UPPER(TRIM(rPatron))
),
AND(
OR(
UPPER(TRIM(rTipo))=""CONTIENE"",
UPPER(TRIM(rTipo))=""COINCIDENCIA""
),
ISNUMBER(SEARCH(UPPER(TRIM(rPatron)),UPPER(TRIM(D1152))))
)
)
),
rC"&amp;"oncepto,
""""
)
)
),
MAP(
reglas!$B$2:$B$240,
reglas!$C$2:$C$240,
reglas!$D$2:$D$240,
reglas!$E$2:$E$240,
LAMBDA(rEmisor,rPatron,rConcepto,rTipo,
IF(
AND(
OR(
UPPER(TRIM(rEmisor))=UPPER(TRIM(C1152)),
UPPER(TRIM(rEmisor))=""CUALQUIERA""
),
OR(
UPPER(TRIM(r"&amp;"Tipo))=""SOLO EMISOR"",
AND(
UPPER(TRIM(rTipo))=""EXACTA"",
UPPER(TRIM(D1152))=UPPER(TRIM(rPatron))
),
AND(
OR(
UPPER(TRIM(rTipo))=""CONTIENE"",
UPPER(TRIM(rTipo))=""COINCIDENCIA""
),
ISNUMBER(SEARCH(UPPER(TRIM(rPatron)),UPPER(TRIM(D1152))))
)
)
),
rConce"&amp;"pto,
""""
)
)
)&lt;&gt;""""
),
1
),
""""
)"),"MANIOBRAS")</f>
        <v>MANIOBRAS</v>
      </c>
      <c r="L1152" s="27"/>
      <c r="M1152" s="27"/>
      <c r="N1152" s="27"/>
      <c r="O1152" s="27"/>
      <c r="P1152" s="27"/>
      <c r="Q1152" s="27"/>
      <c r="R1152" s="27"/>
      <c r="S1152" s="27"/>
      <c r="T1152" s="27"/>
      <c r="U1152" s="27"/>
      <c r="V1152" s="27"/>
      <c r="W1152" s="27"/>
      <c r="X1152" s="27"/>
      <c r="Y1152" s="27"/>
    </row>
    <row r="1153">
      <c r="A1153" s="28">
        <v>1.0</v>
      </c>
      <c r="B1153" s="28" t="s">
        <v>29</v>
      </c>
      <c r="C1153" s="29" t="s">
        <v>271</v>
      </c>
      <c r="D1153" s="29" t="s">
        <v>589</v>
      </c>
      <c r="E1153" s="28">
        <v>622.76</v>
      </c>
      <c r="F1153" s="28">
        <v>0.0</v>
      </c>
      <c r="G1153" s="28" t="s">
        <v>84</v>
      </c>
      <c r="H1153" s="28">
        <f t="array" ref="H1153">INDEX(CC!C:C,MATCH(1,(CC!A:A=G1153)*(CC!B:B=I1153),0))</f>
        <v>1002</v>
      </c>
      <c r="I1153" s="28" t="s">
        <v>25</v>
      </c>
      <c r="J1153" s="31">
        <v>622.76</v>
      </c>
      <c r="K1153" s="28" t="str">
        <f>IFERROR(__xludf.DUMMYFUNCTION("IFERROR(
INDEX(
FILTER(
MAP(
reglas!$B$2:$B$240,
reglas!$C$2:$C$240,
reglas!$D$2:$D$240,
reglas!$E$2:$E$240,
LAMBDA(rEmisor,rPatron,rConcepto,rTipo,
IF(
AND(
OR(
UPPER(TRIM(rEmisor))=UPPER(TRIM(C1153)),
UPPER(TRIM(rEmisor))=""CUALQUIERA""
),
OR(
UPPER(TRI"&amp;"M(rTipo))=""SOLO EMISOR"",
AND(
UPPER(TRIM(rTipo))=""EXACTA"",
UPPER(TRIM(AG1153))=UPPER(TRIM(rPatron))
),
AND(
OR(
UPPER(TRIM(rTipo))=""CONTIENE"",
UPPER(TRIM(rTipo))=""COINCIDENCIA""
),
ISNUMBER(SEARCH(UPPER(TRIM(rPatron)),UPPER(TRIM(D1153))))
)
)
),
rC"&amp;"oncepto,
""""
)
)
),
MAP(
reglas!$B$2:$B$240,
reglas!$C$2:$C$240,
reglas!$D$2:$D$240,
reglas!$E$2:$E$240,
LAMBDA(rEmisor,rPatron,rConcepto,rTipo,
IF(
AND(
OR(
UPPER(TRIM(rEmisor))=UPPER(TRIM(C1153)),
UPPER(TRIM(rEmisor))=""CUALQUIERA""
),
OR(
UPPER(TRIM(r"&amp;"Tipo))=""SOLO EMISOR"",
AND(
UPPER(TRIM(rTipo))=""EXACTA"",
UPPER(TRIM(D1153))=UPPER(TRIM(rPatron))
),
AND(
OR(
UPPER(TRIM(rTipo))=""CONTIENE"",
UPPER(TRIM(rTipo))=""COINCIDENCIA""
),
ISNUMBER(SEARCH(UPPER(TRIM(rPatron)),UPPER(TRIM(D1153))))
)
)
),
rConce"&amp;"pto,
""""
)
)
)&lt;&gt;""""
),
1
),
""""
)"),"MANIOBRAS")</f>
        <v>MANIOBRAS</v>
      </c>
      <c r="L1153" s="27"/>
      <c r="M1153" s="27"/>
      <c r="N1153" s="27"/>
      <c r="O1153" s="27"/>
      <c r="P1153" s="27"/>
      <c r="Q1153" s="27"/>
      <c r="R1153" s="27"/>
      <c r="S1153" s="27"/>
      <c r="T1153" s="27"/>
      <c r="U1153" s="27"/>
      <c r="V1153" s="27"/>
      <c r="W1153" s="27"/>
      <c r="X1153" s="27"/>
      <c r="Y1153" s="27"/>
    </row>
    <row r="1154">
      <c r="A1154" s="32"/>
      <c r="B1154" s="28" t="s">
        <v>29</v>
      </c>
      <c r="C1154" s="29" t="s">
        <v>278</v>
      </c>
      <c r="D1154" s="29" t="s">
        <v>560</v>
      </c>
      <c r="E1154" s="30">
        <v>3500.0</v>
      </c>
      <c r="F1154" s="28">
        <v>0.0</v>
      </c>
      <c r="G1154" s="28" t="s">
        <v>250</v>
      </c>
      <c r="H1154" s="28">
        <f t="array" ref="H1154">INDEX(CC!C:C,MATCH(1,(CC!A:A=G1154)*(CC!B:B=I1154),0))</f>
        <v>1402</v>
      </c>
      <c r="I1154" s="28" t="s">
        <v>25</v>
      </c>
      <c r="J1154" s="31">
        <v>3500.0</v>
      </c>
      <c r="K1154" s="28" t="str">
        <f>IFERROR(__xludf.DUMMYFUNCTION("IFERROR(
INDEX(
FILTER(
MAP(
reglas!$B$2:$B$240,
reglas!$C$2:$C$240,
reglas!$D$2:$D$240,
reglas!$E$2:$E$240,
LAMBDA(rEmisor,rPatron,rConcepto,rTipo,
IF(
AND(
OR(
UPPER(TRIM(rEmisor))=UPPER(TRIM(C1154)),
UPPER(TRIM(rEmisor))=""CUALQUIERA""
),
OR(
UPPER(TRI"&amp;"M(rTipo))=""SOLO EMISOR"",
AND(
UPPER(TRIM(rTipo))=""EXACTA"",
UPPER(TRIM(AG1154))=UPPER(TRIM(rPatron))
),
AND(
OR(
UPPER(TRIM(rTipo))=""CONTIENE"",
UPPER(TRIM(rTipo))=""COINCIDENCIA""
),
ISNUMBER(SEARCH(UPPER(TRIM(rPatron)),UPPER(TRIM(D1154))))
)
)
),
rC"&amp;"oncepto,
""""
)
)
),
MAP(
reglas!$B$2:$B$240,
reglas!$C$2:$C$240,
reglas!$D$2:$D$240,
reglas!$E$2:$E$240,
LAMBDA(rEmisor,rPatron,rConcepto,rTipo,
IF(
AND(
OR(
UPPER(TRIM(rEmisor))=UPPER(TRIM(C1154)),
UPPER(TRIM(rEmisor))=""CUALQUIERA""
),
OR(
UPPER(TRIM(r"&amp;"Tipo))=""SOLO EMISOR"",
AND(
UPPER(TRIM(rTipo))=""EXACTA"",
UPPER(TRIM(D1154))=UPPER(TRIM(rPatron))
),
AND(
OR(
UPPER(TRIM(rTipo))=""CONTIENE"",
UPPER(TRIM(rTipo))=""COINCIDENCIA""
),
ISNUMBER(SEARCH(UPPER(TRIM(rPatron)),UPPER(TRIM(D1154))))
)
)
),
rConce"&amp;"pto,
""""
)
)
)&lt;&gt;""""
),
1
),
""""
)"),"MANIOBRAS")</f>
        <v>MANIOBRAS</v>
      </c>
      <c r="L1154" s="27"/>
      <c r="M1154" s="27"/>
      <c r="N1154" s="27"/>
      <c r="O1154" s="27"/>
      <c r="P1154" s="27"/>
      <c r="Q1154" s="27"/>
      <c r="R1154" s="27"/>
      <c r="S1154" s="27"/>
      <c r="T1154" s="27"/>
      <c r="U1154" s="27"/>
      <c r="V1154" s="27"/>
      <c r="W1154" s="27"/>
      <c r="X1154" s="27"/>
      <c r="Y1154" s="27"/>
    </row>
    <row r="1155">
      <c r="A1155" s="32"/>
      <c r="B1155" s="28" t="s">
        <v>29</v>
      </c>
      <c r="C1155" s="29" t="s">
        <v>513</v>
      </c>
      <c r="D1155" s="29" t="s">
        <v>1846</v>
      </c>
      <c r="E1155" s="28">
        <v>257.76</v>
      </c>
      <c r="F1155" s="28">
        <v>0.0</v>
      </c>
      <c r="G1155" s="28" t="s">
        <v>225</v>
      </c>
      <c r="H1155" s="28">
        <f t="array" ref="H1155">INDEX(CC!C:C,MATCH(1,(CC!A:A=G1155)*(CC!B:B=I1155),0))</f>
        <v>102</v>
      </c>
      <c r="I1155" s="28" t="s">
        <v>25</v>
      </c>
      <c r="J1155" s="31">
        <v>257.76</v>
      </c>
      <c r="K1155" s="28" t="str">
        <f>IFERROR(__xludf.DUMMYFUNCTION("IFERROR(
INDEX(
FILTER(
MAP(
reglas!$B$2:$B$240,
reglas!$C$2:$C$240,
reglas!$D$2:$D$240,
reglas!$E$2:$E$240,
LAMBDA(rEmisor,rPatron,rConcepto,rTipo,
IF(
AND(
OR(
UPPER(TRIM(rEmisor))=UPPER(TRIM(C1155)),
UPPER(TRIM(rEmisor))=""CUALQUIERA""
),
OR(
UPPER(TRI"&amp;"M(rTipo))=""SOLO EMISOR"",
AND(
UPPER(TRIM(rTipo))=""EXACTA"",
UPPER(TRIM(AG1155))=UPPER(TRIM(rPatron))
),
AND(
OR(
UPPER(TRIM(rTipo))=""CONTIENE"",
UPPER(TRIM(rTipo))=""COINCIDENCIA""
),
ISNUMBER(SEARCH(UPPER(TRIM(rPatron)),UPPER(TRIM(D1155))))
)
)
),
rC"&amp;"oncepto,
""""
)
)
),
MAP(
reglas!$B$2:$B$240,
reglas!$C$2:$C$240,
reglas!$D$2:$D$240,
reglas!$E$2:$E$240,
LAMBDA(rEmisor,rPatron,rConcepto,rTipo,
IF(
AND(
OR(
UPPER(TRIM(rEmisor))=UPPER(TRIM(C1155)),
UPPER(TRIM(rEmisor))=""CUALQUIERA""
),
OR(
UPPER(TRIM(r"&amp;"Tipo))=""SOLO EMISOR"",
AND(
UPPER(TRIM(rTipo))=""EXACTA"",
UPPER(TRIM(D1155))=UPPER(TRIM(rPatron))
),
AND(
OR(
UPPER(TRIM(rTipo))=""CONTIENE"",
UPPER(TRIM(rTipo))=""COINCIDENCIA""
),
ISNUMBER(SEARCH(UPPER(TRIM(rPatron)),UPPER(TRIM(D1155))))
)
)
),
rConce"&amp;"pto,
""""
)
)
)&lt;&gt;""""
),
1
),
""""
)"),"PERIFERICOS")</f>
        <v>PERIFERICOS</v>
      </c>
      <c r="L1155" s="27"/>
      <c r="M1155" s="27"/>
      <c r="N1155" s="27"/>
      <c r="O1155" s="27"/>
      <c r="P1155" s="27"/>
      <c r="Q1155" s="27"/>
      <c r="R1155" s="27"/>
      <c r="S1155" s="27"/>
      <c r="T1155" s="27"/>
      <c r="U1155" s="27"/>
      <c r="V1155" s="27"/>
      <c r="W1155" s="27"/>
      <c r="X1155" s="27"/>
      <c r="Y1155" s="27"/>
    </row>
    <row r="1156">
      <c r="A1156" s="28">
        <v>1.0</v>
      </c>
      <c r="B1156" s="28" t="s">
        <v>29</v>
      </c>
      <c r="C1156" s="29" t="s">
        <v>271</v>
      </c>
      <c r="D1156" s="29" t="s">
        <v>585</v>
      </c>
      <c r="E1156" s="28">
        <v>622.42</v>
      </c>
      <c r="F1156" s="28">
        <v>0.0</v>
      </c>
      <c r="G1156" s="28" t="s">
        <v>84</v>
      </c>
      <c r="H1156" s="28">
        <f t="array" ref="H1156">INDEX(CC!C:C,MATCH(1,(CC!A:A=G1156)*(CC!B:B=I1156),0))</f>
        <v>1002</v>
      </c>
      <c r="I1156" s="28" t="s">
        <v>25</v>
      </c>
      <c r="J1156" s="31">
        <v>622.42</v>
      </c>
      <c r="K1156" s="28" t="str">
        <f>IFERROR(__xludf.DUMMYFUNCTION("IFERROR(
INDEX(
FILTER(
MAP(
reglas!$B$2:$B$240,
reglas!$C$2:$C$240,
reglas!$D$2:$D$240,
reglas!$E$2:$E$240,
LAMBDA(rEmisor,rPatron,rConcepto,rTipo,
IF(
AND(
OR(
UPPER(TRIM(rEmisor))=UPPER(TRIM(C1156)),
UPPER(TRIM(rEmisor))=""CUALQUIERA""
),
OR(
UPPER(TRI"&amp;"M(rTipo))=""SOLO EMISOR"",
AND(
UPPER(TRIM(rTipo))=""EXACTA"",
UPPER(TRIM(AG1156))=UPPER(TRIM(rPatron))
),
AND(
OR(
UPPER(TRIM(rTipo))=""CONTIENE"",
UPPER(TRIM(rTipo))=""COINCIDENCIA""
),
ISNUMBER(SEARCH(UPPER(TRIM(rPatron)),UPPER(TRIM(D1156))))
)
)
),
rC"&amp;"oncepto,
""""
)
)
),
MAP(
reglas!$B$2:$B$240,
reglas!$C$2:$C$240,
reglas!$D$2:$D$240,
reglas!$E$2:$E$240,
LAMBDA(rEmisor,rPatron,rConcepto,rTipo,
IF(
AND(
OR(
UPPER(TRIM(rEmisor))=UPPER(TRIM(C1156)),
UPPER(TRIM(rEmisor))=""CUALQUIERA""
),
OR(
UPPER(TRIM(r"&amp;"Tipo))=""SOLO EMISOR"",
AND(
UPPER(TRIM(rTipo))=""EXACTA"",
UPPER(TRIM(D1156))=UPPER(TRIM(rPatron))
),
AND(
OR(
UPPER(TRIM(rTipo))=""CONTIENE"",
UPPER(TRIM(rTipo))=""COINCIDENCIA""
),
ISNUMBER(SEARCH(UPPER(TRIM(rPatron)),UPPER(TRIM(D1156))))
)
)
),
rConce"&amp;"pto,
""""
)
)
)&lt;&gt;""""
),
1
),
""""
)"),"MANIOBRAS")</f>
        <v>MANIOBRAS</v>
      </c>
      <c r="L1156" s="27"/>
      <c r="M1156" s="27"/>
      <c r="N1156" s="27"/>
      <c r="O1156" s="27"/>
      <c r="P1156" s="27"/>
      <c r="Q1156" s="27"/>
      <c r="R1156" s="27"/>
      <c r="S1156" s="27"/>
      <c r="T1156" s="27"/>
      <c r="U1156" s="27"/>
      <c r="V1156" s="27"/>
      <c r="W1156" s="27"/>
      <c r="X1156" s="27"/>
      <c r="Y1156" s="27"/>
    </row>
    <row r="1157">
      <c r="A1157" s="32"/>
      <c r="B1157" s="32"/>
      <c r="C1157" s="29" t="s">
        <v>271</v>
      </c>
      <c r="D1157" s="29" t="s">
        <v>587</v>
      </c>
      <c r="E1157" s="28">
        <v>569.47</v>
      </c>
      <c r="F1157" s="28">
        <v>0.0</v>
      </c>
      <c r="G1157" s="28" t="s">
        <v>84</v>
      </c>
      <c r="H1157" s="28">
        <f t="array" ref="H1157">INDEX(CC!C:C,MATCH(1,(CC!A:A=G1157)*(CC!B:B=I1157),0))</f>
        <v>1002</v>
      </c>
      <c r="I1157" s="28" t="s">
        <v>25</v>
      </c>
      <c r="J1157" s="31">
        <v>569.47</v>
      </c>
      <c r="K1157" s="28" t="str">
        <f>IFERROR(__xludf.DUMMYFUNCTION("IFERROR(
INDEX(
FILTER(
MAP(
reglas!$B$2:$B$240,
reglas!$C$2:$C$240,
reglas!$D$2:$D$240,
reglas!$E$2:$E$240,
LAMBDA(rEmisor,rPatron,rConcepto,rTipo,
IF(
AND(
OR(
UPPER(TRIM(rEmisor))=UPPER(TRIM(C1157)),
UPPER(TRIM(rEmisor))=""CUALQUIERA""
),
OR(
UPPER(TRI"&amp;"M(rTipo))=""SOLO EMISOR"",
AND(
UPPER(TRIM(rTipo))=""EXACTA"",
UPPER(TRIM(AG1157))=UPPER(TRIM(rPatron))
),
AND(
OR(
UPPER(TRIM(rTipo))=""CONTIENE"",
UPPER(TRIM(rTipo))=""COINCIDENCIA""
),
ISNUMBER(SEARCH(UPPER(TRIM(rPatron)),UPPER(TRIM(D1157))))
)
)
),
rC"&amp;"oncepto,
""""
)
)
),
MAP(
reglas!$B$2:$B$240,
reglas!$C$2:$C$240,
reglas!$D$2:$D$240,
reglas!$E$2:$E$240,
LAMBDA(rEmisor,rPatron,rConcepto,rTipo,
IF(
AND(
OR(
UPPER(TRIM(rEmisor))=UPPER(TRIM(C1157)),
UPPER(TRIM(rEmisor))=""CUALQUIERA""
),
OR(
UPPER(TRIM(r"&amp;"Tipo))=""SOLO EMISOR"",
AND(
UPPER(TRIM(rTipo))=""EXACTA"",
UPPER(TRIM(D1157))=UPPER(TRIM(rPatron))
),
AND(
OR(
UPPER(TRIM(rTipo))=""CONTIENE"",
UPPER(TRIM(rTipo))=""COINCIDENCIA""
),
ISNUMBER(SEARCH(UPPER(TRIM(rPatron)),UPPER(TRIM(D1157))))
)
)
),
rConce"&amp;"pto,
""""
)
)
)&lt;&gt;""""
),
1
),
""""
)"),"MANIOBRAS")</f>
        <v>MANIOBRAS</v>
      </c>
      <c r="L1157" s="27"/>
      <c r="M1157" s="27"/>
      <c r="N1157" s="27"/>
      <c r="O1157" s="27"/>
      <c r="P1157" s="27"/>
      <c r="Q1157" s="27"/>
      <c r="R1157" s="27"/>
      <c r="S1157" s="27"/>
      <c r="T1157" s="27"/>
      <c r="U1157" s="27"/>
      <c r="V1157" s="27"/>
      <c r="W1157" s="27"/>
      <c r="X1157" s="27"/>
      <c r="Y1157" s="27"/>
    </row>
    <row r="1158">
      <c r="A1158" s="32"/>
      <c r="B1158" s="32"/>
      <c r="C1158" s="29" t="s">
        <v>271</v>
      </c>
      <c r="D1158" s="29" t="s">
        <v>586</v>
      </c>
      <c r="E1158" s="28">
        <v>622.76</v>
      </c>
      <c r="F1158" s="28">
        <v>0.0</v>
      </c>
      <c r="G1158" s="28" t="s">
        <v>84</v>
      </c>
      <c r="H1158" s="28">
        <f t="array" ref="H1158">INDEX(CC!C:C,MATCH(1,(CC!A:A=G1158)*(CC!B:B=I1158),0))</f>
        <v>1002</v>
      </c>
      <c r="I1158" s="28" t="s">
        <v>25</v>
      </c>
      <c r="J1158" s="31">
        <v>622.76</v>
      </c>
      <c r="K1158" s="28" t="str">
        <f>IFERROR(__xludf.DUMMYFUNCTION("IFERROR(
INDEX(
FILTER(
MAP(
reglas!$B$2:$B$240,
reglas!$C$2:$C$240,
reglas!$D$2:$D$240,
reglas!$E$2:$E$240,
LAMBDA(rEmisor,rPatron,rConcepto,rTipo,
IF(
AND(
OR(
UPPER(TRIM(rEmisor))=UPPER(TRIM(C1158)),
UPPER(TRIM(rEmisor))=""CUALQUIERA""
),
OR(
UPPER(TRI"&amp;"M(rTipo))=""SOLO EMISOR"",
AND(
UPPER(TRIM(rTipo))=""EXACTA"",
UPPER(TRIM(AG1158))=UPPER(TRIM(rPatron))
),
AND(
OR(
UPPER(TRIM(rTipo))=""CONTIENE"",
UPPER(TRIM(rTipo))=""COINCIDENCIA""
),
ISNUMBER(SEARCH(UPPER(TRIM(rPatron)),UPPER(TRIM(D1158))))
)
)
),
rC"&amp;"oncepto,
""""
)
)
),
MAP(
reglas!$B$2:$B$240,
reglas!$C$2:$C$240,
reglas!$D$2:$D$240,
reglas!$E$2:$E$240,
LAMBDA(rEmisor,rPatron,rConcepto,rTipo,
IF(
AND(
OR(
UPPER(TRIM(rEmisor))=UPPER(TRIM(C1158)),
UPPER(TRIM(rEmisor))=""CUALQUIERA""
),
OR(
UPPER(TRIM(r"&amp;"Tipo))=""SOLO EMISOR"",
AND(
UPPER(TRIM(rTipo))=""EXACTA"",
UPPER(TRIM(D1158))=UPPER(TRIM(rPatron))
),
AND(
OR(
UPPER(TRIM(rTipo))=""CONTIENE"",
UPPER(TRIM(rTipo))=""COINCIDENCIA""
),
ISNUMBER(SEARCH(UPPER(TRIM(rPatron)),UPPER(TRIM(D1158))))
)
)
),
rConce"&amp;"pto,
""""
)
)
)&lt;&gt;""""
),
1
),
""""
)"),"MANIOBRAS")</f>
        <v>MANIOBRAS</v>
      </c>
      <c r="L1158" s="27"/>
      <c r="M1158" s="27"/>
      <c r="N1158" s="27"/>
      <c r="O1158" s="27"/>
      <c r="P1158" s="27"/>
      <c r="Q1158" s="27"/>
      <c r="R1158" s="27"/>
      <c r="S1158" s="27"/>
      <c r="T1158" s="27"/>
      <c r="U1158" s="27"/>
      <c r="V1158" s="27"/>
      <c r="W1158" s="27"/>
      <c r="X1158" s="27"/>
      <c r="Y1158" s="27"/>
    </row>
    <row r="1159">
      <c r="A1159" s="32"/>
      <c r="B1159" s="32"/>
      <c r="C1159" s="29" t="s">
        <v>271</v>
      </c>
      <c r="D1159" s="29" t="s">
        <v>589</v>
      </c>
      <c r="E1159" s="28">
        <v>622.76</v>
      </c>
      <c r="F1159" s="28">
        <v>0.0</v>
      </c>
      <c r="G1159" s="28" t="s">
        <v>84</v>
      </c>
      <c r="H1159" s="28">
        <f t="array" ref="H1159">INDEX(CC!C:C,MATCH(1,(CC!A:A=G1159)*(CC!B:B=I1159),0))</f>
        <v>1002</v>
      </c>
      <c r="I1159" s="28" t="s">
        <v>25</v>
      </c>
      <c r="J1159" s="31">
        <v>622.76</v>
      </c>
      <c r="K1159" s="28" t="str">
        <f>IFERROR(__xludf.DUMMYFUNCTION("IFERROR(
INDEX(
FILTER(
MAP(
reglas!$B$2:$B$240,
reglas!$C$2:$C$240,
reglas!$D$2:$D$240,
reglas!$E$2:$E$240,
LAMBDA(rEmisor,rPatron,rConcepto,rTipo,
IF(
AND(
OR(
UPPER(TRIM(rEmisor))=UPPER(TRIM(C1159)),
UPPER(TRIM(rEmisor))=""CUALQUIERA""
),
OR(
UPPER(TRI"&amp;"M(rTipo))=""SOLO EMISOR"",
AND(
UPPER(TRIM(rTipo))=""EXACTA"",
UPPER(TRIM(AG1159))=UPPER(TRIM(rPatron))
),
AND(
OR(
UPPER(TRIM(rTipo))=""CONTIENE"",
UPPER(TRIM(rTipo))=""COINCIDENCIA""
),
ISNUMBER(SEARCH(UPPER(TRIM(rPatron)),UPPER(TRIM(D1159))))
)
)
),
rC"&amp;"oncepto,
""""
)
)
),
MAP(
reglas!$B$2:$B$240,
reglas!$C$2:$C$240,
reglas!$D$2:$D$240,
reglas!$E$2:$E$240,
LAMBDA(rEmisor,rPatron,rConcepto,rTipo,
IF(
AND(
OR(
UPPER(TRIM(rEmisor))=UPPER(TRIM(C1159)),
UPPER(TRIM(rEmisor))=""CUALQUIERA""
),
OR(
UPPER(TRIM(r"&amp;"Tipo))=""SOLO EMISOR"",
AND(
UPPER(TRIM(rTipo))=""EXACTA"",
UPPER(TRIM(D1159))=UPPER(TRIM(rPatron))
),
AND(
OR(
UPPER(TRIM(rTipo))=""CONTIENE"",
UPPER(TRIM(rTipo))=""COINCIDENCIA""
),
ISNUMBER(SEARCH(UPPER(TRIM(rPatron)),UPPER(TRIM(D1159))))
)
)
),
rConce"&amp;"pto,
""""
)
)
)&lt;&gt;""""
),
1
),
""""
)"),"MANIOBRAS")</f>
        <v>MANIOBRAS</v>
      </c>
      <c r="L1159" s="27"/>
      <c r="M1159" s="27"/>
      <c r="N1159" s="27"/>
      <c r="O1159" s="27"/>
      <c r="P1159" s="27"/>
      <c r="Q1159" s="27"/>
      <c r="R1159" s="27"/>
      <c r="S1159" s="27"/>
      <c r="T1159" s="27"/>
      <c r="U1159" s="27"/>
      <c r="V1159" s="27"/>
      <c r="W1159" s="27"/>
      <c r="X1159" s="27"/>
      <c r="Y1159" s="27"/>
    </row>
    <row r="1160">
      <c r="A1160" s="32"/>
      <c r="B1160" s="32"/>
      <c r="C1160" s="29" t="s">
        <v>271</v>
      </c>
      <c r="D1160" s="29" t="s">
        <v>593</v>
      </c>
      <c r="E1160" s="28">
        <v>353.6</v>
      </c>
      <c r="F1160" s="28">
        <v>0.0</v>
      </c>
      <c r="G1160" s="28" t="s">
        <v>84</v>
      </c>
      <c r="H1160" s="28">
        <f t="array" ref="H1160">INDEX(CC!C:C,MATCH(1,(CC!A:A=G1160)*(CC!B:B=I1160),0))</f>
        <v>1002</v>
      </c>
      <c r="I1160" s="28" t="s">
        <v>25</v>
      </c>
      <c r="J1160" s="31">
        <v>353.6</v>
      </c>
      <c r="K1160" s="28" t="str">
        <f>IFERROR(__xludf.DUMMYFUNCTION("IFERROR(
INDEX(
FILTER(
MAP(
reglas!$B$2:$B$240,
reglas!$C$2:$C$240,
reglas!$D$2:$D$240,
reglas!$E$2:$E$240,
LAMBDA(rEmisor,rPatron,rConcepto,rTipo,
IF(
AND(
OR(
UPPER(TRIM(rEmisor))=UPPER(TRIM(C1160)),
UPPER(TRIM(rEmisor))=""CUALQUIERA""
),
OR(
UPPER(TRI"&amp;"M(rTipo))=""SOLO EMISOR"",
AND(
UPPER(TRIM(rTipo))=""EXACTA"",
UPPER(TRIM(AG1160))=UPPER(TRIM(rPatron))
),
AND(
OR(
UPPER(TRIM(rTipo))=""CONTIENE"",
UPPER(TRIM(rTipo))=""COINCIDENCIA""
),
ISNUMBER(SEARCH(UPPER(TRIM(rPatron)),UPPER(TRIM(D1160))))
)
)
),
rC"&amp;"oncepto,
""""
)
)
),
MAP(
reglas!$B$2:$B$240,
reglas!$C$2:$C$240,
reglas!$D$2:$D$240,
reglas!$E$2:$E$240,
LAMBDA(rEmisor,rPatron,rConcepto,rTipo,
IF(
AND(
OR(
UPPER(TRIM(rEmisor))=UPPER(TRIM(C1160)),
UPPER(TRIM(rEmisor))=""CUALQUIERA""
),
OR(
UPPER(TRIM(r"&amp;"Tipo))=""SOLO EMISOR"",
AND(
UPPER(TRIM(rTipo))=""EXACTA"",
UPPER(TRIM(D1160))=UPPER(TRIM(rPatron))
),
AND(
OR(
UPPER(TRIM(rTipo))=""CONTIENE"",
UPPER(TRIM(rTipo))=""COINCIDENCIA""
),
ISNUMBER(SEARCH(UPPER(TRIM(rPatron)),UPPER(TRIM(D1160))))
)
)
),
rConce"&amp;"pto,
""""
)
)
)&lt;&gt;""""
),
1
),
""""
)"),"MANIOBRAS")</f>
        <v>MANIOBRAS</v>
      </c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  <c r="V1160" s="27"/>
      <c r="W1160" s="27"/>
      <c r="X1160" s="27"/>
      <c r="Y1160" s="27"/>
    </row>
    <row r="1161">
      <c r="A1161" s="32"/>
      <c r="B1161" s="32"/>
      <c r="C1161" s="29" t="s">
        <v>271</v>
      </c>
      <c r="D1161" s="29" t="s">
        <v>596</v>
      </c>
      <c r="E1161" s="28">
        <v>653.4</v>
      </c>
      <c r="F1161" s="28">
        <v>0.0</v>
      </c>
      <c r="G1161" s="28" t="s">
        <v>84</v>
      </c>
      <c r="H1161" s="28">
        <f t="array" ref="H1161">INDEX(CC!C:C,MATCH(1,(CC!A:A=G1161)*(CC!B:B=I1161),0))</f>
        <v>1002</v>
      </c>
      <c r="I1161" s="28" t="s">
        <v>25</v>
      </c>
      <c r="J1161" s="31">
        <v>653.4</v>
      </c>
      <c r="K1161" s="28" t="str">
        <f>IFERROR(__xludf.DUMMYFUNCTION("IFERROR(
INDEX(
FILTER(
MAP(
reglas!$B$2:$B$240,
reglas!$C$2:$C$240,
reglas!$D$2:$D$240,
reglas!$E$2:$E$240,
LAMBDA(rEmisor,rPatron,rConcepto,rTipo,
IF(
AND(
OR(
UPPER(TRIM(rEmisor))=UPPER(TRIM(C1161)),
UPPER(TRIM(rEmisor))=""CUALQUIERA""
),
OR(
UPPER(TRI"&amp;"M(rTipo))=""SOLO EMISOR"",
AND(
UPPER(TRIM(rTipo))=""EXACTA"",
UPPER(TRIM(AG1161))=UPPER(TRIM(rPatron))
),
AND(
OR(
UPPER(TRIM(rTipo))=""CONTIENE"",
UPPER(TRIM(rTipo))=""COINCIDENCIA""
),
ISNUMBER(SEARCH(UPPER(TRIM(rPatron)),UPPER(TRIM(D1161))))
)
)
),
rC"&amp;"oncepto,
""""
)
)
),
MAP(
reglas!$B$2:$B$240,
reglas!$C$2:$C$240,
reglas!$D$2:$D$240,
reglas!$E$2:$E$240,
LAMBDA(rEmisor,rPatron,rConcepto,rTipo,
IF(
AND(
OR(
UPPER(TRIM(rEmisor))=UPPER(TRIM(C1161)),
UPPER(TRIM(rEmisor))=""CUALQUIERA""
),
OR(
UPPER(TRIM(r"&amp;"Tipo))=""SOLO EMISOR"",
AND(
UPPER(TRIM(rTipo))=""EXACTA"",
UPPER(TRIM(D1161))=UPPER(TRIM(rPatron))
),
AND(
OR(
UPPER(TRIM(rTipo))=""CONTIENE"",
UPPER(TRIM(rTipo))=""COINCIDENCIA""
),
ISNUMBER(SEARCH(UPPER(TRIM(rPatron)),UPPER(TRIM(D1161))))
)
)
),
rConce"&amp;"pto,
""""
)
)
)&lt;&gt;""""
),
1
),
""""
)"),"MANIOBRAS")</f>
        <v>MANIOBRAS</v>
      </c>
      <c r="L1161" s="27"/>
      <c r="M1161" s="27"/>
      <c r="N1161" s="27"/>
      <c r="O1161" s="27"/>
      <c r="P1161" s="27"/>
      <c r="Q1161" s="27"/>
      <c r="R1161" s="27"/>
      <c r="S1161" s="27"/>
      <c r="T1161" s="27"/>
      <c r="U1161" s="27"/>
      <c r="V1161" s="27"/>
      <c r="W1161" s="27"/>
      <c r="X1161" s="27"/>
      <c r="Y1161" s="27"/>
    </row>
    <row r="1162">
      <c r="A1162" s="32"/>
      <c r="B1162" s="28" t="s">
        <v>29</v>
      </c>
      <c r="C1162" s="29" t="s">
        <v>239</v>
      </c>
      <c r="D1162" s="29" t="s">
        <v>1847</v>
      </c>
      <c r="E1162" s="28">
        <v>480.0</v>
      </c>
      <c r="F1162" s="28">
        <v>0.0</v>
      </c>
      <c r="G1162" s="28" t="s">
        <v>84</v>
      </c>
      <c r="H1162" s="28">
        <f t="array" ref="H1162">INDEX(CC!C:C,MATCH(1,(CC!A:A=G1162)*(CC!B:B=I1162),0))</f>
        <v>1002</v>
      </c>
      <c r="I1162" s="28" t="s">
        <v>25</v>
      </c>
      <c r="J1162" s="31">
        <v>480.0</v>
      </c>
      <c r="K1162" s="28" t="str">
        <f>IFERROR(__xludf.DUMMYFUNCTION("IFERROR(
INDEX(
FILTER(
MAP(
reglas!$B$2:$B$240,
reglas!$C$2:$C$240,
reglas!$D$2:$D$240,
reglas!$E$2:$E$240,
LAMBDA(rEmisor,rPatron,rConcepto,rTipo,
IF(
AND(
OR(
UPPER(TRIM(rEmisor))=UPPER(TRIM(C1162)),
UPPER(TRIM(rEmisor))=""CUALQUIERA""
),
OR(
UPPER(TRI"&amp;"M(rTipo))=""SOLO EMISOR"",
AND(
UPPER(TRIM(rTipo))=""EXACTA"",
UPPER(TRIM(AG1162))=UPPER(TRIM(rPatron))
),
AND(
OR(
UPPER(TRIM(rTipo))=""CONTIENE"",
UPPER(TRIM(rTipo))=""COINCIDENCIA""
),
ISNUMBER(SEARCH(UPPER(TRIM(rPatron)),UPPER(TRIM(D1162))))
)
)
),
rC"&amp;"oncepto,
""""
)
)
),
MAP(
reglas!$B$2:$B$240,
reglas!$C$2:$C$240,
reglas!$D$2:$D$240,
reglas!$E$2:$E$240,
LAMBDA(rEmisor,rPatron,rConcepto,rTipo,
IF(
AND(
OR(
UPPER(TRIM(rEmisor))=UPPER(TRIM(C1162)),
UPPER(TRIM(rEmisor))=""CUALQUIERA""
),
OR(
UPPER(TRIM(r"&amp;"Tipo))=""SOLO EMISOR"",
AND(
UPPER(TRIM(rTipo))=""EXACTA"",
UPPER(TRIM(D1162))=UPPER(TRIM(rPatron))
),
AND(
OR(
UPPER(TRIM(rTipo))=""CONTIENE"",
UPPER(TRIM(rTipo))=""COINCIDENCIA""
),
ISNUMBER(SEARCH(UPPER(TRIM(rPatron)),UPPER(TRIM(D1162))))
)
)
),
rConce"&amp;"pto,
""""
)
)
)&lt;&gt;""""
),
1
),
""""
)"),"INSUMOS DE OFICINA")</f>
        <v>INSUMOS DE OFICINA</v>
      </c>
      <c r="L1162" s="27"/>
      <c r="M1162" s="27"/>
      <c r="N1162" s="27"/>
      <c r="O1162" s="27"/>
      <c r="P1162" s="27"/>
      <c r="Q1162" s="27"/>
      <c r="R1162" s="27"/>
      <c r="S1162" s="27"/>
      <c r="T1162" s="27"/>
      <c r="U1162" s="27"/>
      <c r="V1162" s="27"/>
      <c r="W1162" s="27"/>
      <c r="X1162" s="27"/>
      <c r="Y1162" s="27"/>
    </row>
    <row r="1163">
      <c r="A1163" s="32"/>
      <c r="B1163" s="28" t="s">
        <v>29</v>
      </c>
      <c r="C1163" s="29" t="s">
        <v>172</v>
      </c>
      <c r="D1163" s="29" t="s">
        <v>1773</v>
      </c>
      <c r="E1163" s="30">
        <v>11500.0</v>
      </c>
      <c r="F1163" s="28">
        <v>0.0</v>
      </c>
      <c r="G1163" s="28" t="s">
        <v>250</v>
      </c>
      <c r="H1163" s="28">
        <f t="array" ref="H1163">INDEX(CC!C:C,MATCH(1,(CC!A:A=G1163)*(CC!B:B=I1163),0))</f>
        <v>1402</v>
      </c>
      <c r="I1163" s="28" t="s">
        <v>25</v>
      </c>
      <c r="J1163" s="31">
        <v>11500.0</v>
      </c>
      <c r="K1163" s="28" t="str">
        <f>IFERROR(__xludf.DUMMYFUNCTION("IFERROR(
INDEX(
FILTER(
MAP(
reglas!$B$2:$B$240,
reglas!$C$2:$C$240,
reglas!$D$2:$D$240,
reglas!$E$2:$E$240,
LAMBDA(rEmisor,rPatron,rConcepto,rTipo,
IF(
AND(
OR(
UPPER(TRIM(rEmisor))=UPPER(TRIM(C1163)),
UPPER(TRIM(rEmisor))=""CUALQUIERA""
),
OR(
UPPER(TRI"&amp;"M(rTipo))=""SOLO EMISOR"",
AND(
UPPER(TRIM(rTipo))=""EXACTA"",
UPPER(TRIM(AG1163))=UPPER(TRIM(rPatron))
),
AND(
OR(
UPPER(TRIM(rTipo))=""CONTIENE"",
UPPER(TRIM(rTipo))=""COINCIDENCIA""
),
ISNUMBER(SEARCH(UPPER(TRIM(rPatron)),UPPER(TRIM(D1163))))
)
)
),
rC"&amp;"oncepto,
""""
)
)
),
MAP(
reglas!$B$2:$B$240,
reglas!$C$2:$C$240,
reglas!$D$2:$D$240,
reglas!$E$2:$E$240,
LAMBDA(rEmisor,rPatron,rConcepto,rTipo,
IF(
AND(
OR(
UPPER(TRIM(rEmisor))=UPPER(TRIM(C1163)),
UPPER(TRIM(rEmisor))=""CUALQUIERA""
),
OR(
UPPER(TRIM(r"&amp;"Tipo))=""SOLO EMISOR"",
AND(
UPPER(TRIM(rTipo))=""EXACTA"",
UPPER(TRIM(D1163))=UPPER(TRIM(rPatron))
),
AND(
OR(
UPPER(TRIM(rTipo))=""CONTIENE"",
UPPER(TRIM(rTipo))=""COINCIDENCIA""
),
ISNUMBER(SEARCH(UPPER(TRIM(rPatron)),UPPER(TRIM(D1163))))
)
)
),
rConce"&amp;"pto,
""""
)
)
)&lt;&gt;""""
),
1
),
""""
)"),"TRANSPORTE")</f>
        <v>TRANSPORTE</v>
      </c>
      <c r="L1163" s="27"/>
      <c r="M1163" s="27"/>
      <c r="N1163" s="27"/>
      <c r="O1163" s="27"/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</row>
    <row r="1164">
      <c r="A1164" s="32"/>
      <c r="B1164" s="28" t="s">
        <v>29</v>
      </c>
      <c r="C1164" s="29" t="s">
        <v>278</v>
      </c>
      <c r="D1164" s="29" t="s">
        <v>560</v>
      </c>
      <c r="E1164" s="30">
        <v>3500.0</v>
      </c>
      <c r="F1164" s="28">
        <v>0.0</v>
      </c>
      <c r="G1164" s="28" t="s">
        <v>250</v>
      </c>
      <c r="H1164" s="28">
        <f t="array" ref="H1164">INDEX(CC!C:C,MATCH(1,(CC!A:A=G1164)*(CC!B:B=I1164),0))</f>
        <v>1402</v>
      </c>
      <c r="I1164" s="28" t="s">
        <v>25</v>
      </c>
      <c r="J1164" s="31">
        <v>3500.0</v>
      </c>
      <c r="K1164" s="28" t="str">
        <f>IFERROR(__xludf.DUMMYFUNCTION("IFERROR(
INDEX(
FILTER(
MAP(
reglas!$B$2:$B$240,
reglas!$C$2:$C$240,
reglas!$D$2:$D$240,
reglas!$E$2:$E$240,
LAMBDA(rEmisor,rPatron,rConcepto,rTipo,
IF(
AND(
OR(
UPPER(TRIM(rEmisor))=UPPER(TRIM(C1164)),
UPPER(TRIM(rEmisor))=""CUALQUIERA""
),
OR(
UPPER(TRI"&amp;"M(rTipo))=""SOLO EMISOR"",
AND(
UPPER(TRIM(rTipo))=""EXACTA"",
UPPER(TRIM(AG1164))=UPPER(TRIM(rPatron))
),
AND(
OR(
UPPER(TRIM(rTipo))=""CONTIENE"",
UPPER(TRIM(rTipo))=""COINCIDENCIA""
),
ISNUMBER(SEARCH(UPPER(TRIM(rPatron)),UPPER(TRIM(D1164))))
)
)
),
rC"&amp;"oncepto,
""""
)
)
),
MAP(
reglas!$B$2:$B$240,
reglas!$C$2:$C$240,
reglas!$D$2:$D$240,
reglas!$E$2:$E$240,
LAMBDA(rEmisor,rPatron,rConcepto,rTipo,
IF(
AND(
OR(
UPPER(TRIM(rEmisor))=UPPER(TRIM(C1164)),
UPPER(TRIM(rEmisor))=""CUALQUIERA""
),
OR(
UPPER(TRIM(r"&amp;"Tipo))=""SOLO EMISOR"",
AND(
UPPER(TRIM(rTipo))=""EXACTA"",
UPPER(TRIM(D1164))=UPPER(TRIM(rPatron))
),
AND(
OR(
UPPER(TRIM(rTipo))=""CONTIENE"",
UPPER(TRIM(rTipo))=""COINCIDENCIA""
),
ISNUMBER(SEARCH(UPPER(TRIM(rPatron)),UPPER(TRIM(D1164))))
)
)
),
rConce"&amp;"pto,
""""
)
)
)&lt;&gt;""""
),
1
),
""""
)"),"MANIOBRAS")</f>
        <v>MANIOBRAS</v>
      </c>
      <c r="L1164" s="27"/>
      <c r="M1164" s="27"/>
      <c r="N1164" s="27"/>
      <c r="O1164" s="27"/>
      <c r="P1164" s="27"/>
      <c r="Q1164" s="27"/>
      <c r="R1164" s="27"/>
      <c r="S1164" s="27"/>
      <c r="T1164" s="27"/>
      <c r="U1164" s="27"/>
      <c r="V1164" s="27"/>
      <c r="W1164" s="27"/>
      <c r="X1164" s="27"/>
      <c r="Y1164" s="27"/>
    </row>
    <row r="1165">
      <c r="A1165" s="32"/>
      <c r="B1165" s="28" t="s">
        <v>29</v>
      </c>
      <c r="C1165" s="29" t="s">
        <v>278</v>
      </c>
      <c r="D1165" s="29" t="s">
        <v>560</v>
      </c>
      <c r="E1165" s="30">
        <v>3500.0</v>
      </c>
      <c r="F1165" s="28">
        <v>0.0</v>
      </c>
      <c r="G1165" s="28" t="s">
        <v>250</v>
      </c>
      <c r="H1165" s="28">
        <f t="array" ref="H1165">INDEX(CC!C:C,MATCH(1,(CC!A:A=G1165)*(CC!B:B=I1165),0))</f>
        <v>1402</v>
      </c>
      <c r="I1165" s="28" t="s">
        <v>25</v>
      </c>
      <c r="J1165" s="31">
        <v>3500.0</v>
      </c>
      <c r="K1165" s="28" t="str">
        <f>IFERROR(__xludf.DUMMYFUNCTION("IFERROR(
INDEX(
FILTER(
MAP(
reglas!$B$2:$B$240,
reglas!$C$2:$C$240,
reglas!$D$2:$D$240,
reglas!$E$2:$E$240,
LAMBDA(rEmisor,rPatron,rConcepto,rTipo,
IF(
AND(
OR(
UPPER(TRIM(rEmisor))=UPPER(TRIM(C1165)),
UPPER(TRIM(rEmisor))=""CUALQUIERA""
),
OR(
UPPER(TRI"&amp;"M(rTipo))=""SOLO EMISOR"",
AND(
UPPER(TRIM(rTipo))=""EXACTA"",
UPPER(TRIM(AG1165))=UPPER(TRIM(rPatron))
),
AND(
OR(
UPPER(TRIM(rTipo))=""CONTIENE"",
UPPER(TRIM(rTipo))=""COINCIDENCIA""
),
ISNUMBER(SEARCH(UPPER(TRIM(rPatron)),UPPER(TRIM(D1165))))
)
)
),
rC"&amp;"oncepto,
""""
)
)
),
MAP(
reglas!$B$2:$B$240,
reglas!$C$2:$C$240,
reglas!$D$2:$D$240,
reglas!$E$2:$E$240,
LAMBDA(rEmisor,rPatron,rConcepto,rTipo,
IF(
AND(
OR(
UPPER(TRIM(rEmisor))=UPPER(TRIM(C1165)),
UPPER(TRIM(rEmisor))=""CUALQUIERA""
),
OR(
UPPER(TRIM(r"&amp;"Tipo))=""SOLO EMISOR"",
AND(
UPPER(TRIM(rTipo))=""EXACTA"",
UPPER(TRIM(D1165))=UPPER(TRIM(rPatron))
),
AND(
OR(
UPPER(TRIM(rTipo))=""CONTIENE"",
UPPER(TRIM(rTipo))=""COINCIDENCIA""
),
ISNUMBER(SEARCH(UPPER(TRIM(rPatron)),UPPER(TRIM(D1165))))
)
)
),
rConce"&amp;"pto,
""""
)
)
)&lt;&gt;""""
),
1
),
""""
)"),"MANIOBRAS")</f>
        <v>MANIOBRAS</v>
      </c>
      <c r="L1165" s="27"/>
      <c r="M1165" s="27"/>
      <c r="N1165" s="27"/>
      <c r="O1165" s="27"/>
      <c r="P1165" s="27"/>
      <c r="Q1165" s="27"/>
      <c r="R1165" s="27"/>
      <c r="S1165" s="27"/>
      <c r="T1165" s="27"/>
      <c r="U1165" s="27"/>
      <c r="V1165" s="27"/>
      <c r="W1165" s="27"/>
      <c r="X1165" s="27"/>
      <c r="Y1165" s="27"/>
    </row>
    <row r="1166">
      <c r="A1166" s="32"/>
      <c r="B1166" s="28" t="s">
        <v>29</v>
      </c>
      <c r="C1166" s="29" t="s">
        <v>174</v>
      </c>
      <c r="D1166" s="29" t="s">
        <v>1848</v>
      </c>
      <c r="E1166" s="30">
        <v>10000.0</v>
      </c>
      <c r="F1166" s="28">
        <v>0.0</v>
      </c>
      <c r="G1166" s="28" t="s">
        <v>74</v>
      </c>
      <c r="H1166" s="28">
        <f t="array" ref="H1166">INDEX(CC!C:C,MATCH(1,(CC!A:A=G1166)*(CC!B:B=I1166),0))</f>
        <v>1503</v>
      </c>
      <c r="I1166" s="28" t="s">
        <v>44</v>
      </c>
      <c r="J1166" s="31">
        <v>10000.0</v>
      </c>
      <c r="K1166" s="28" t="str">
        <f>IFERROR(__xludf.DUMMYFUNCTION("IFERROR(
INDEX(
FILTER(
MAP(
reglas!$B$2:$B$240,
reglas!$C$2:$C$240,
reglas!$D$2:$D$240,
reglas!$E$2:$E$240,
LAMBDA(rEmisor,rPatron,rConcepto,rTipo,
IF(
AND(
OR(
UPPER(TRIM(rEmisor))=UPPER(TRIM(C1166)),
UPPER(TRIM(rEmisor))=""CUALQUIERA""
),
OR(
UPPER(TRI"&amp;"M(rTipo))=""SOLO EMISOR"",
AND(
UPPER(TRIM(rTipo))=""EXACTA"",
UPPER(TRIM(AG1166))=UPPER(TRIM(rPatron))
),
AND(
OR(
UPPER(TRIM(rTipo))=""CONTIENE"",
UPPER(TRIM(rTipo))=""COINCIDENCIA""
),
ISNUMBER(SEARCH(UPPER(TRIM(rPatron)),UPPER(TRIM(D1166))))
)
)
),
rC"&amp;"oncepto,
""""
)
)
),
MAP(
reglas!$B$2:$B$240,
reglas!$C$2:$C$240,
reglas!$D$2:$D$240,
reglas!$E$2:$E$240,
LAMBDA(rEmisor,rPatron,rConcepto,rTipo,
IF(
AND(
OR(
UPPER(TRIM(rEmisor))=UPPER(TRIM(C1166)),
UPPER(TRIM(rEmisor))=""CUALQUIERA""
),
OR(
UPPER(TRIM(r"&amp;"Tipo))=""SOLO EMISOR"",
AND(
UPPER(TRIM(rTipo))=""EXACTA"",
UPPER(TRIM(D1166))=UPPER(TRIM(rPatron))
),
AND(
OR(
UPPER(TRIM(rTipo))=""CONTIENE"",
UPPER(TRIM(rTipo))=""COINCIDENCIA""
),
ISNUMBER(SEARCH(UPPER(TRIM(rPatron)),UPPER(TRIM(D1166))))
)
)
),
rConce"&amp;"pto,
""""
)
)
)&lt;&gt;""""
),
1
),
""""
)"),"TRANSPORTE")</f>
        <v>TRANSPORTE</v>
      </c>
      <c r="L1166" s="27"/>
      <c r="M1166" s="27"/>
      <c r="N1166" s="27"/>
      <c r="O1166" s="27"/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</row>
    <row r="1167">
      <c r="A1167" s="28">
        <v>1.0</v>
      </c>
      <c r="B1167" s="28" t="s">
        <v>29</v>
      </c>
      <c r="C1167" s="29" t="s">
        <v>271</v>
      </c>
      <c r="D1167" s="29" t="s">
        <v>585</v>
      </c>
      <c r="E1167" s="28">
        <v>622.42</v>
      </c>
      <c r="F1167" s="28">
        <v>0.0</v>
      </c>
      <c r="G1167" s="28" t="s">
        <v>84</v>
      </c>
      <c r="H1167" s="28">
        <f t="array" ref="H1167">INDEX(CC!C:C,MATCH(1,(CC!A:A=G1167)*(CC!B:B=I1167),0))</f>
        <v>1002</v>
      </c>
      <c r="I1167" s="28" t="s">
        <v>25</v>
      </c>
      <c r="J1167" s="31">
        <v>622.42</v>
      </c>
      <c r="K1167" s="28" t="str">
        <f>IFERROR(__xludf.DUMMYFUNCTION("IFERROR(
INDEX(
FILTER(
MAP(
reglas!$B$2:$B$240,
reglas!$C$2:$C$240,
reglas!$D$2:$D$240,
reglas!$E$2:$E$240,
LAMBDA(rEmisor,rPatron,rConcepto,rTipo,
IF(
AND(
OR(
UPPER(TRIM(rEmisor))=UPPER(TRIM(C1167)),
UPPER(TRIM(rEmisor))=""CUALQUIERA""
),
OR(
UPPER(TRI"&amp;"M(rTipo))=""SOLO EMISOR"",
AND(
UPPER(TRIM(rTipo))=""EXACTA"",
UPPER(TRIM(AG1167))=UPPER(TRIM(rPatron))
),
AND(
OR(
UPPER(TRIM(rTipo))=""CONTIENE"",
UPPER(TRIM(rTipo))=""COINCIDENCIA""
),
ISNUMBER(SEARCH(UPPER(TRIM(rPatron)),UPPER(TRIM(D1167))))
)
)
),
rC"&amp;"oncepto,
""""
)
)
),
MAP(
reglas!$B$2:$B$240,
reglas!$C$2:$C$240,
reglas!$D$2:$D$240,
reglas!$E$2:$E$240,
LAMBDA(rEmisor,rPatron,rConcepto,rTipo,
IF(
AND(
OR(
UPPER(TRIM(rEmisor))=UPPER(TRIM(C1167)),
UPPER(TRIM(rEmisor))=""CUALQUIERA""
),
OR(
UPPER(TRIM(r"&amp;"Tipo))=""SOLO EMISOR"",
AND(
UPPER(TRIM(rTipo))=""EXACTA"",
UPPER(TRIM(D1167))=UPPER(TRIM(rPatron))
),
AND(
OR(
UPPER(TRIM(rTipo))=""CONTIENE"",
UPPER(TRIM(rTipo))=""COINCIDENCIA""
),
ISNUMBER(SEARCH(UPPER(TRIM(rPatron)),UPPER(TRIM(D1167))))
)
)
),
rConce"&amp;"pto,
""""
)
)
)&lt;&gt;""""
),
1
),
""""
)"),"MANIOBRAS")</f>
        <v>MANIOBRAS</v>
      </c>
      <c r="L1167" s="27"/>
      <c r="M1167" s="27"/>
      <c r="N1167" s="27"/>
      <c r="O1167" s="27"/>
      <c r="P1167" s="27"/>
      <c r="Q1167" s="27"/>
      <c r="R1167" s="27"/>
      <c r="S1167" s="27"/>
      <c r="T1167" s="27"/>
      <c r="U1167" s="27"/>
      <c r="V1167" s="27"/>
      <c r="W1167" s="27"/>
      <c r="X1167" s="27"/>
      <c r="Y1167" s="27"/>
    </row>
    <row r="1168">
      <c r="A1168" s="32"/>
      <c r="B1168" s="32"/>
      <c r="C1168" s="29" t="s">
        <v>271</v>
      </c>
      <c r="D1168" s="29" t="s">
        <v>587</v>
      </c>
      <c r="E1168" s="28">
        <v>569.47</v>
      </c>
      <c r="F1168" s="28">
        <v>0.0</v>
      </c>
      <c r="G1168" s="28" t="s">
        <v>84</v>
      </c>
      <c r="H1168" s="28">
        <f t="array" ref="H1168">INDEX(CC!C:C,MATCH(1,(CC!A:A=G1168)*(CC!B:B=I1168),0))</f>
        <v>1002</v>
      </c>
      <c r="I1168" s="28" t="s">
        <v>25</v>
      </c>
      <c r="J1168" s="31">
        <v>569.47</v>
      </c>
      <c r="K1168" s="28" t="str">
        <f>IFERROR(__xludf.DUMMYFUNCTION("IFERROR(
INDEX(
FILTER(
MAP(
reglas!$B$2:$B$240,
reglas!$C$2:$C$240,
reglas!$D$2:$D$240,
reglas!$E$2:$E$240,
LAMBDA(rEmisor,rPatron,rConcepto,rTipo,
IF(
AND(
OR(
UPPER(TRIM(rEmisor))=UPPER(TRIM(C1168)),
UPPER(TRIM(rEmisor))=""CUALQUIERA""
),
OR(
UPPER(TRI"&amp;"M(rTipo))=""SOLO EMISOR"",
AND(
UPPER(TRIM(rTipo))=""EXACTA"",
UPPER(TRIM(AG1168))=UPPER(TRIM(rPatron))
),
AND(
OR(
UPPER(TRIM(rTipo))=""CONTIENE"",
UPPER(TRIM(rTipo))=""COINCIDENCIA""
),
ISNUMBER(SEARCH(UPPER(TRIM(rPatron)),UPPER(TRIM(D1168))))
)
)
),
rC"&amp;"oncepto,
""""
)
)
),
MAP(
reglas!$B$2:$B$240,
reglas!$C$2:$C$240,
reglas!$D$2:$D$240,
reglas!$E$2:$E$240,
LAMBDA(rEmisor,rPatron,rConcepto,rTipo,
IF(
AND(
OR(
UPPER(TRIM(rEmisor))=UPPER(TRIM(C1168)),
UPPER(TRIM(rEmisor))=""CUALQUIERA""
),
OR(
UPPER(TRIM(r"&amp;"Tipo))=""SOLO EMISOR"",
AND(
UPPER(TRIM(rTipo))=""EXACTA"",
UPPER(TRIM(D1168))=UPPER(TRIM(rPatron))
),
AND(
OR(
UPPER(TRIM(rTipo))=""CONTIENE"",
UPPER(TRIM(rTipo))=""COINCIDENCIA""
),
ISNUMBER(SEARCH(UPPER(TRIM(rPatron)),UPPER(TRIM(D1168))))
)
)
),
rConce"&amp;"pto,
""""
)
)
)&lt;&gt;""""
),
1
),
""""
)"),"MANIOBRAS")</f>
        <v>MANIOBRAS</v>
      </c>
      <c r="L1168" s="27"/>
      <c r="M1168" s="27"/>
      <c r="N1168" s="27"/>
      <c r="O1168" s="27"/>
      <c r="P1168" s="27"/>
      <c r="Q1168" s="27"/>
      <c r="R1168" s="27"/>
      <c r="S1168" s="27"/>
      <c r="T1168" s="27"/>
      <c r="U1168" s="27"/>
      <c r="V1168" s="27"/>
      <c r="W1168" s="27"/>
      <c r="X1168" s="27"/>
      <c r="Y1168" s="27"/>
    </row>
    <row r="1169">
      <c r="A1169" s="32"/>
      <c r="B1169" s="32"/>
      <c r="C1169" s="29" t="s">
        <v>271</v>
      </c>
      <c r="D1169" s="29" t="s">
        <v>589</v>
      </c>
      <c r="E1169" s="28">
        <v>844.07</v>
      </c>
      <c r="F1169" s="28">
        <v>0.0</v>
      </c>
      <c r="G1169" s="28" t="s">
        <v>84</v>
      </c>
      <c r="H1169" s="28">
        <f t="array" ref="H1169">INDEX(CC!C:C,MATCH(1,(CC!A:A=G1169)*(CC!B:B=I1169),0))</f>
        <v>1002</v>
      </c>
      <c r="I1169" s="28" t="s">
        <v>25</v>
      </c>
      <c r="J1169" s="31">
        <v>844.07</v>
      </c>
      <c r="K1169" s="28" t="str">
        <f>IFERROR(__xludf.DUMMYFUNCTION("IFERROR(
INDEX(
FILTER(
MAP(
reglas!$B$2:$B$240,
reglas!$C$2:$C$240,
reglas!$D$2:$D$240,
reglas!$E$2:$E$240,
LAMBDA(rEmisor,rPatron,rConcepto,rTipo,
IF(
AND(
OR(
UPPER(TRIM(rEmisor))=UPPER(TRIM(C1169)),
UPPER(TRIM(rEmisor))=""CUALQUIERA""
),
OR(
UPPER(TRI"&amp;"M(rTipo))=""SOLO EMISOR"",
AND(
UPPER(TRIM(rTipo))=""EXACTA"",
UPPER(TRIM(AG1169))=UPPER(TRIM(rPatron))
),
AND(
OR(
UPPER(TRIM(rTipo))=""CONTIENE"",
UPPER(TRIM(rTipo))=""COINCIDENCIA""
),
ISNUMBER(SEARCH(UPPER(TRIM(rPatron)),UPPER(TRIM(D1169))))
)
)
),
rC"&amp;"oncepto,
""""
)
)
),
MAP(
reglas!$B$2:$B$240,
reglas!$C$2:$C$240,
reglas!$D$2:$D$240,
reglas!$E$2:$E$240,
LAMBDA(rEmisor,rPatron,rConcepto,rTipo,
IF(
AND(
OR(
UPPER(TRIM(rEmisor))=UPPER(TRIM(C1169)),
UPPER(TRIM(rEmisor))=""CUALQUIERA""
),
OR(
UPPER(TRIM(r"&amp;"Tipo))=""SOLO EMISOR"",
AND(
UPPER(TRIM(rTipo))=""EXACTA"",
UPPER(TRIM(D1169))=UPPER(TRIM(rPatron))
),
AND(
OR(
UPPER(TRIM(rTipo))=""CONTIENE"",
UPPER(TRIM(rTipo))=""COINCIDENCIA""
),
ISNUMBER(SEARCH(UPPER(TRIM(rPatron)),UPPER(TRIM(D1169))))
)
)
),
rConce"&amp;"pto,
""""
)
)
)&lt;&gt;""""
),
1
),
""""
)"),"MANIOBRAS")</f>
        <v>MANIOBRAS</v>
      </c>
      <c r="L1169" s="27"/>
      <c r="M1169" s="27"/>
      <c r="N1169" s="27"/>
      <c r="O1169" s="27"/>
      <c r="P1169" s="27"/>
      <c r="Q1169" s="27"/>
      <c r="R1169" s="27"/>
      <c r="S1169" s="27"/>
      <c r="T1169" s="27"/>
      <c r="U1169" s="27"/>
      <c r="V1169" s="27"/>
      <c r="W1169" s="27"/>
      <c r="X1169" s="27"/>
      <c r="Y1169" s="27"/>
    </row>
    <row r="1170">
      <c r="A1170" s="32"/>
      <c r="B1170" s="32"/>
      <c r="C1170" s="29" t="s">
        <v>271</v>
      </c>
      <c r="D1170" s="29" t="s">
        <v>596</v>
      </c>
      <c r="E1170" s="28">
        <v>653.4</v>
      </c>
      <c r="F1170" s="28">
        <v>0.0</v>
      </c>
      <c r="G1170" s="28" t="s">
        <v>84</v>
      </c>
      <c r="H1170" s="28">
        <f t="array" ref="H1170">INDEX(CC!C:C,MATCH(1,(CC!A:A=G1170)*(CC!B:B=I1170),0))</f>
        <v>1002</v>
      </c>
      <c r="I1170" s="28" t="s">
        <v>25</v>
      </c>
      <c r="J1170" s="31">
        <v>653.4</v>
      </c>
      <c r="K1170" s="28" t="str">
        <f>IFERROR(__xludf.DUMMYFUNCTION("IFERROR(
INDEX(
FILTER(
MAP(
reglas!$B$2:$B$240,
reglas!$C$2:$C$240,
reglas!$D$2:$D$240,
reglas!$E$2:$E$240,
LAMBDA(rEmisor,rPatron,rConcepto,rTipo,
IF(
AND(
OR(
UPPER(TRIM(rEmisor))=UPPER(TRIM(C1170)),
UPPER(TRIM(rEmisor))=""CUALQUIERA""
),
OR(
UPPER(TRI"&amp;"M(rTipo))=""SOLO EMISOR"",
AND(
UPPER(TRIM(rTipo))=""EXACTA"",
UPPER(TRIM(AG1170))=UPPER(TRIM(rPatron))
),
AND(
OR(
UPPER(TRIM(rTipo))=""CONTIENE"",
UPPER(TRIM(rTipo))=""COINCIDENCIA""
),
ISNUMBER(SEARCH(UPPER(TRIM(rPatron)),UPPER(TRIM(D1170))))
)
)
),
rC"&amp;"oncepto,
""""
)
)
),
MAP(
reglas!$B$2:$B$240,
reglas!$C$2:$C$240,
reglas!$D$2:$D$240,
reglas!$E$2:$E$240,
LAMBDA(rEmisor,rPatron,rConcepto,rTipo,
IF(
AND(
OR(
UPPER(TRIM(rEmisor))=UPPER(TRIM(C1170)),
UPPER(TRIM(rEmisor))=""CUALQUIERA""
),
OR(
UPPER(TRIM(r"&amp;"Tipo))=""SOLO EMISOR"",
AND(
UPPER(TRIM(rTipo))=""EXACTA"",
UPPER(TRIM(D1170))=UPPER(TRIM(rPatron))
),
AND(
OR(
UPPER(TRIM(rTipo))=""CONTIENE"",
UPPER(TRIM(rTipo))=""COINCIDENCIA""
),
ISNUMBER(SEARCH(UPPER(TRIM(rPatron)),UPPER(TRIM(D1170))))
)
)
),
rConce"&amp;"pto,
""""
)
)
)&lt;&gt;""""
),
1
),
""""
)"),"MANIOBRAS")</f>
        <v>MANIOBRAS</v>
      </c>
      <c r="L1170" s="27"/>
      <c r="M1170" s="27"/>
      <c r="N1170" s="27"/>
      <c r="O1170" s="27"/>
      <c r="P1170" s="27"/>
      <c r="Q1170" s="27"/>
      <c r="R1170" s="27"/>
      <c r="S1170" s="27"/>
      <c r="T1170" s="27"/>
      <c r="U1170" s="27"/>
      <c r="V1170" s="27"/>
      <c r="W1170" s="27"/>
      <c r="X1170" s="27"/>
      <c r="Y1170" s="27"/>
    </row>
    <row r="1171">
      <c r="A1171" s="32"/>
      <c r="B1171" s="28" t="s">
        <v>29</v>
      </c>
      <c r="C1171" s="29" t="s">
        <v>278</v>
      </c>
      <c r="D1171" s="29" t="s">
        <v>560</v>
      </c>
      <c r="E1171" s="30">
        <v>3500.0</v>
      </c>
      <c r="F1171" s="28">
        <v>0.0</v>
      </c>
      <c r="G1171" s="28" t="s">
        <v>250</v>
      </c>
      <c r="H1171" s="28">
        <f t="array" ref="H1171">INDEX(CC!C:C,MATCH(1,(CC!A:A=G1171)*(CC!B:B=I1171),0))</f>
        <v>1402</v>
      </c>
      <c r="I1171" s="28" t="s">
        <v>25</v>
      </c>
      <c r="J1171" s="31">
        <v>3500.0</v>
      </c>
      <c r="K1171" s="28" t="str">
        <f>IFERROR(__xludf.DUMMYFUNCTION("IFERROR(
INDEX(
FILTER(
MAP(
reglas!$B$2:$B$240,
reglas!$C$2:$C$240,
reglas!$D$2:$D$240,
reglas!$E$2:$E$240,
LAMBDA(rEmisor,rPatron,rConcepto,rTipo,
IF(
AND(
OR(
UPPER(TRIM(rEmisor))=UPPER(TRIM(C1171)),
UPPER(TRIM(rEmisor))=""CUALQUIERA""
),
OR(
UPPER(TRI"&amp;"M(rTipo))=""SOLO EMISOR"",
AND(
UPPER(TRIM(rTipo))=""EXACTA"",
UPPER(TRIM(AG1171))=UPPER(TRIM(rPatron))
),
AND(
OR(
UPPER(TRIM(rTipo))=""CONTIENE"",
UPPER(TRIM(rTipo))=""COINCIDENCIA""
),
ISNUMBER(SEARCH(UPPER(TRIM(rPatron)),UPPER(TRIM(D1171))))
)
)
),
rC"&amp;"oncepto,
""""
)
)
),
MAP(
reglas!$B$2:$B$240,
reglas!$C$2:$C$240,
reglas!$D$2:$D$240,
reglas!$E$2:$E$240,
LAMBDA(rEmisor,rPatron,rConcepto,rTipo,
IF(
AND(
OR(
UPPER(TRIM(rEmisor))=UPPER(TRIM(C1171)),
UPPER(TRIM(rEmisor))=""CUALQUIERA""
),
OR(
UPPER(TRIM(r"&amp;"Tipo))=""SOLO EMISOR"",
AND(
UPPER(TRIM(rTipo))=""EXACTA"",
UPPER(TRIM(D1171))=UPPER(TRIM(rPatron))
),
AND(
OR(
UPPER(TRIM(rTipo))=""CONTIENE"",
UPPER(TRIM(rTipo))=""COINCIDENCIA""
),
ISNUMBER(SEARCH(UPPER(TRIM(rPatron)),UPPER(TRIM(D1171))))
)
)
),
rConce"&amp;"pto,
""""
)
)
)&lt;&gt;""""
),
1
),
""""
)"),"MANIOBRAS")</f>
        <v>MANIOBRAS</v>
      </c>
      <c r="L1171" s="27"/>
      <c r="M1171" s="27"/>
      <c r="N1171" s="27"/>
      <c r="O1171" s="27"/>
      <c r="P1171" s="27"/>
      <c r="Q1171" s="27"/>
      <c r="R1171" s="27"/>
      <c r="S1171" s="27"/>
      <c r="T1171" s="27"/>
      <c r="U1171" s="27"/>
      <c r="V1171" s="27"/>
      <c r="W1171" s="27"/>
      <c r="X1171" s="27"/>
      <c r="Y1171" s="27"/>
    </row>
    <row r="1172">
      <c r="A1172" s="32"/>
      <c r="B1172" s="28" t="s">
        <v>29</v>
      </c>
      <c r="C1172" s="29" t="s">
        <v>172</v>
      </c>
      <c r="D1172" s="29" t="s">
        <v>1829</v>
      </c>
      <c r="E1172" s="30">
        <v>11500.0</v>
      </c>
      <c r="F1172" s="28">
        <v>0.0</v>
      </c>
      <c r="G1172" s="28" t="s">
        <v>250</v>
      </c>
      <c r="H1172" s="28">
        <f t="array" ref="H1172">INDEX(CC!C:C,MATCH(1,(CC!A:A=G1172)*(CC!B:B=I1172),0))</f>
        <v>1402</v>
      </c>
      <c r="I1172" s="28" t="s">
        <v>25</v>
      </c>
      <c r="J1172" s="31">
        <v>11500.0</v>
      </c>
      <c r="K1172" s="28" t="str">
        <f>IFERROR(__xludf.DUMMYFUNCTION("IFERROR(
INDEX(
FILTER(
MAP(
reglas!$B$2:$B$240,
reglas!$C$2:$C$240,
reglas!$D$2:$D$240,
reglas!$E$2:$E$240,
LAMBDA(rEmisor,rPatron,rConcepto,rTipo,
IF(
AND(
OR(
UPPER(TRIM(rEmisor))=UPPER(TRIM(C1172)),
UPPER(TRIM(rEmisor))=""CUALQUIERA""
),
OR(
UPPER(TRI"&amp;"M(rTipo))=""SOLO EMISOR"",
AND(
UPPER(TRIM(rTipo))=""EXACTA"",
UPPER(TRIM(AG1172))=UPPER(TRIM(rPatron))
),
AND(
OR(
UPPER(TRIM(rTipo))=""CONTIENE"",
UPPER(TRIM(rTipo))=""COINCIDENCIA""
),
ISNUMBER(SEARCH(UPPER(TRIM(rPatron)),UPPER(TRIM(D1172))))
)
)
),
rC"&amp;"oncepto,
""""
)
)
),
MAP(
reglas!$B$2:$B$240,
reglas!$C$2:$C$240,
reglas!$D$2:$D$240,
reglas!$E$2:$E$240,
LAMBDA(rEmisor,rPatron,rConcepto,rTipo,
IF(
AND(
OR(
UPPER(TRIM(rEmisor))=UPPER(TRIM(C1172)),
UPPER(TRIM(rEmisor))=""CUALQUIERA""
),
OR(
UPPER(TRIM(r"&amp;"Tipo))=""SOLO EMISOR"",
AND(
UPPER(TRIM(rTipo))=""EXACTA"",
UPPER(TRIM(D1172))=UPPER(TRIM(rPatron))
),
AND(
OR(
UPPER(TRIM(rTipo))=""CONTIENE"",
UPPER(TRIM(rTipo))=""COINCIDENCIA""
),
ISNUMBER(SEARCH(UPPER(TRIM(rPatron)),UPPER(TRIM(D1172))))
)
)
),
rConce"&amp;"pto,
""""
)
)
)&lt;&gt;""""
),
1
),
""""
)"),"TRANSPORTE")</f>
        <v>TRANSPORTE</v>
      </c>
      <c r="L1172" s="27"/>
      <c r="M1172" s="27"/>
      <c r="N1172" s="27"/>
      <c r="O1172" s="27"/>
      <c r="P1172" s="27"/>
      <c r="Q1172" s="27"/>
      <c r="R1172" s="27"/>
      <c r="S1172" s="27"/>
      <c r="T1172" s="27"/>
      <c r="U1172" s="27"/>
      <c r="V1172" s="27"/>
      <c r="W1172" s="27"/>
      <c r="X1172" s="27"/>
      <c r="Y1172" s="27"/>
    </row>
    <row r="1173">
      <c r="A1173" s="32"/>
      <c r="B1173" s="28" t="s">
        <v>29</v>
      </c>
      <c r="C1173" s="29" t="s">
        <v>1063</v>
      </c>
      <c r="D1173" s="29" t="s">
        <v>1849</v>
      </c>
      <c r="E1173" s="30">
        <v>3924.0</v>
      </c>
      <c r="F1173" s="28">
        <v>0.0</v>
      </c>
      <c r="G1173" s="28" t="s">
        <v>395</v>
      </c>
      <c r="H1173" s="28">
        <f t="array" ref="H1173">INDEX(CC!C:C,MATCH(1,(CC!A:A=G1173)*(CC!B:B=I1173),0))</f>
        <v>1103</v>
      </c>
      <c r="I1173" s="28" t="s">
        <v>44</v>
      </c>
      <c r="J1173" s="31">
        <v>3924.0</v>
      </c>
      <c r="K1173" s="28" t="str">
        <f>IFERROR(__xludf.DUMMYFUNCTION("IFERROR(
INDEX(
FILTER(
MAP(
reglas!$B$2:$B$240,
reglas!$C$2:$C$240,
reglas!$D$2:$D$240,
reglas!$E$2:$E$240,
LAMBDA(rEmisor,rPatron,rConcepto,rTipo,
IF(
AND(
OR(
UPPER(TRIM(rEmisor))=UPPER(TRIM(C1173)),
UPPER(TRIM(rEmisor))=""CUALQUIERA""
),
OR(
UPPER(TRI"&amp;"M(rTipo))=""SOLO EMISOR"",
AND(
UPPER(TRIM(rTipo))=""EXACTA"",
UPPER(TRIM(AG1173))=UPPER(TRIM(rPatron))
),
AND(
OR(
UPPER(TRIM(rTipo))=""CONTIENE"",
UPPER(TRIM(rTipo))=""COINCIDENCIA""
),
ISNUMBER(SEARCH(UPPER(TRIM(rPatron)),UPPER(TRIM(D1173))))
)
)
),
rC"&amp;"oncepto,
""""
)
)
),
MAP(
reglas!$B$2:$B$240,
reglas!$C$2:$C$240,
reglas!$D$2:$D$240,
reglas!$E$2:$E$240,
LAMBDA(rEmisor,rPatron,rConcepto,rTipo,
IF(
AND(
OR(
UPPER(TRIM(rEmisor))=UPPER(TRIM(C1173)),
UPPER(TRIM(rEmisor))=""CUALQUIERA""
),
OR(
UPPER(TRIM(r"&amp;"Tipo))=""SOLO EMISOR"",
AND(
UPPER(TRIM(rTipo))=""EXACTA"",
UPPER(TRIM(D1173))=UPPER(TRIM(rPatron))
),
AND(
OR(
UPPER(TRIM(rTipo))=""CONTIENE"",
UPPER(TRIM(rTipo))=""COINCIDENCIA""
),
ISNUMBER(SEARCH(UPPER(TRIM(rPatron)),UPPER(TRIM(D1173))))
)
)
),
rConce"&amp;"pto,
""""
)
)
)&lt;&gt;""""
),
1
),
""""
)"),"")</f>
        <v/>
      </c>
      <c r="L1173" s="27"/>
      <c r="M1173" s="27"/>
      <c r="N1173" s="27"/>
      <c r="O1173" s="27"/>
      <c r="P1173" s="27"/>
      <c r="Q1173" s="27"/>
      <c r="R1173" s="27"/>
      <c r="S1173" s="27"/>
      <c r="T1173" s="27"/>
      <c r="U1173" s="27"/>
      <c r="V1173" s="27"/>
      <c r="W1173" s="27"/>
      <c r="X1173" s="27"/>
      <c r="Y1173" s="27"/>
    </row>
    <row r="1174">
      <c r="A1174" s="32"/>
      <c r="B1174" s="32"/>
      <c r="C1174" s="29" t="s">
        <v>1063</v>
      </c>
      <c r="D1174" s="29" t="s">
        <v>1064</v>
      </c>
      <c r="E1174" s="30">
        <v>4617.0</v>
      </c>
      <c r="F1174" s="28">
        <v>0.0</v>
      </c>
      <c r="G1174" s="28" t="s">
        <v>395</v>
      </c>
      <c r="H1174" s="28">
        <f t="array" ref="H1174">INDEX(CC!C:C,MATCH(1,(CC!A:A=G1174)*(CC!B:B=I1174),0))</f>
        <v>1103</v>
      </c>
      <c r="I1174" s="28" t="s">
        <v>44</v>
      </c>
      <c r="J1174" s="31">
        <v>4617.0</v>
      </c>
      <c r="K1174" s="28" t="str">
        <f>IFERROR(__xludf.DUMMYFUNCTION("IFERROR(
INDEX(
FILTER(
MAP(
reglas!$B$2:$B$240,
reglas!$C$2:$C$240,
reglas!$D$2:$D$240,
reglas!$E$2:$E$240,
LAMBDA(rEmisor,rPatron,rConcepto,rTipo,
IF(
AND(
OR(
UPPER(TRIM(rEmisor))=UPPER(TRIM(C1174)),
UPPER(TRIM(rEmisor))=""CUALQUIERA""
),
OR(
UPPER(TRI"&amp;"M(rTipo))=""SOLO EMISOR"",
AND(
UPPER(TRIM(rTipo))=""EXACTA"",
UPPER(TRIM(AG1174))=UPPER(TRIM(rPatron))
),
AND(
OR(
UPPER(TRIM(rTipo))=""CONTIENE"",
UPPER(TRIM(rTipo))=""COINCIDENCIA""
),
ISNUMBER(SEARCH(UPPER(TRIM(rPatron)),UPPER(TRIM(D1174))))
)
)
),
rC"&amp;"oncepto,
""""
)
)
),
MAP(
reglas!$B$2:$B$240,
reglas!$C$2:$C$240,
reglas!$D$2:$D$240,
reglas!$E$2:$E$240,
LAMBDA(rEmisor,rPatron,rConcepto,rTipo,
IF(
AND(
OR(
UPPER(TRIM(rEmisor))=UPPER(TRIM(C1174)),
UPPER(TRIM(rEmisor))=""CUALQUIERA""
),
OR(
UPPER(TRIM(r"&amp;"Tipo))=""SOLO EMISOR"",
AND(
UPPER(TRIM(rTipo))=""EXACTA"",
UPPER(TRIM(D1174))=UPPER(TRIM(rPatron))
),
AND(
OR(
UPPER(TRIM(rTipo))=""CONTIENE"",
UPPER(TRIM(rTipo))=""COINCIDENCIA""
),
ISNUMBER(SEARCH(UPPER(TRIM(rPatron)),UPPER(TRIM(D1174))))
)
)
),
rConce"&amp;"pto,
""""
)
)
)&lt;&gt;""""
),
1
),
""""
)"),"")</f>
        <v/>
      </c>
      <c r="L1174" s="27"/>
      <c r="M1174" s="27"/>
      <c r="N1174" s="27"/>
      <c r="O1174" s="27"/>
      <c r="P1174" s="27"/>
      <c r="Q1174" s="27"/>
      <c r="R1174" s="27"/>
      <c r="S1174" s="27"/>
      <c r="T1174" s="27"/>
      <c r="U1174" s="27"/>
      <c r="V1174" s="27"/>
      <c r="W1174" s="27"/>
      <c r="X1174" s="27"/>
      <c r="Y1174" s="27"/>
    </row>
    <row r="1175">
      <c r="A1175" s="32"/>
      <c r="B1175" s="28" t="s">
        <v>29</v>
      </c>
      <c r="C1175" s="29" t="s">
        <v>331</v>
      </c>
      <c r="D1175" s="29" t="s">
        <v>33</v>
      </c>
      <c r="E1175" s="28">
        <v>0.01</v>
      </c>
      <c r="F1175" s="28">
        <v>0.0</v>
      </c>
      <c r="G1175" s="28" t="s">
        <v>385</v>
      </c>
      <c r="H1175" s="28">
        <f t="array" ref="H1175">INDEX(CC!C:C,MATCH(1,(CC!A:A=G1175)*(CC!B:B=I1175),0))</f>
        <v>502</v>
      </c>
      <c r="I1175" s="28" t="s">
        <v>25</v>
      </c>
      <c r="J1175" s="31">
        <v>0.01</v>
      </c>
      <c r="K1175" s="28" t="str">
        <f>IFERROR(__xludf.DUMMYFUNCTION("IFERROR(
INDEX(
FILTER(
MAP(
reglas!$B$2:$B$240,
reglas!$C$2:$C$240,
reglas!$D$2:$D$240,
reglas!$E$2:$E$240,
LAMBDA(rEmisor,rPatron,rConcepto,rTipo,
IF(
AND(
OR(
UPPER(TRIM(rEmisor))=UPPER(TRIM(C1175)),
UPPER(TRIM(rEmisor))=""CUALQUIERA""
),
OR(
UPPER(TRI"&amp;"M(rTipo))=""SOLO EMISOR"",
AND(
UPPER(TRIM(rTipo))=""EXACTA"",
UPPER(TRIM(AG1175))=UPPER(TRIM(rPatron))
),
AND(
OR(
UPPER(TRIM(rTipo))=""CONTIENE"",
UPPER(TRIM(rTipo))=""COINCIDENCIA""
),
ISNUMBER(SEARCH(UPPER(TRIM(rPatron)),UPPER(TRIM(D1175))))
)
)
),
rC"&amp;"oncepto,
""""
)
)
),
MAP(
reglas!$B$2:$B$240,
reglas!$C$2:$C$240,
reglas!$D$2:$D$240,
reglas!$E$2:$E$240,
LAMBDA(rEmisor,rPatron,rConcepto,rTipo,
IF(
AND(
OR(
UPPER(TRIM(rEmisor))=UPPER(TRIM(C1175)),
UPPER(TRIM(rEmisor))=""CUALQUIERA""
),
OR(
UPPER(TRIM(r"&amp;"Tipo))=""SOLO EMISOR"",
AND(
UPPER(TRIM(rTipo))=""EXACTA"",
UPPER(TRIM(D1175))=UPPER(TRIM(rPatron))
),
AND(
OR(
UPPER(TRIM(rTipo))=""CONTIENE"",
UPPER(TRIM(rTipo))=""COINCIDENCIA""
),
ISNUMBER(SEARCH(UPPER(TRIM(rPatron)),UPPER(TRIM(D1175))))
)
)
),
rConce"&amp;"pto,
""""
)
)
)&lt;&gt;""""
),
1
),
""""
)"),"N/A")</f>
        <v>N/A</v>
      </c>
      <c r="L1175" s="27"/>
      <c r="M1175" s="27"/>
      <c r="N1175" s="27"/>
      <c r="O1175" s="27"/>
      <c r="P1175" s="27"/>
      <c r="Q1175" s="27"/>
      <c r="R1175" s="27"/>
      <c r="S1175" s="27"/>
      <c r="T1175" s="27"/>
      <c r="U1175" s="27"/>
      <c r="V1175" s="27"/>
      <c r="W1175" s="27"/>
      <c r="X1175" s="27"/>
      <c r="Y1175" s="27"/>
    </row>
    <row r="1176">
      <c r="A1176" s="28">
        <v>1.0</v>
      </c>
      <c r="B1176" s="28" t="s">
        <v>29</v>
      </c>
      <c r="C1176" s="29" t="s">
        <v>89</v>
      </c>
      <c r="D1176" s="29" t="s">
        <v>91</v>
      </c>
      <c r="E1176" s="30">
        <v>1283.04</v>
      </c>
      <c r="F1176" s="28">
        <v>0.0</v>
      </c>
      <c r="G1176" s="28" t="s">
        <v>601</v>
      </c>
      <c r="H1176" s="28">
        <f t="array" ref="H1176">INDEX(CC!C:C,MATCH(1,(CC!A:A=G1176)*(CC!B:B=I1176),0))</f>
        <v>402</v>
      </c>
      <c r="I1176" s="28" t="s">
        <v>25</v>
      </c>
      <c r="J1176" s="31">
        <v>1283.04</v>
      </c>
      <c r="K1176" s="28" t="str">
        <f>IFERROR(__xludf.DUMMYFUNCTION("IFERROR(
INDEX(
FILTER(
MAP(
reglas!$B$2:$B$240,
reglas!$C$2:$C$240,
reglas!$D$2:$D$240,
reglas!$E$2:$E$240,
LAMBDA(rEmisor,rPatron,rConcepto,rTipo,
IF(
AND(
OR(
UPPER(TRIM(rEmisor))=UPPER(TRIM(C1176)),
UPPER(TRIM(rEmisor))=""CUALQUIERA""
),
OR(
UPPER(TRI"&amp;"M(rTipo))=""SOLO EMISOR"",
AND(
UPPER(TRIM(rTipo))=""EXACTA"",
UPPER(TRIM(AG1176))=UPPER(TRIM(rPatron))
),
AND(
OR(
UPPER(TRIM(rTipo))=""CONTIENE"",
UPPER(TRIM(rTipo))=""COINCIDENCIA""
),
ISNUMBER(SEARCH(UPPER(TRIM(rPatron)),UPPER(TRIM(D1176))))
)
)
),
rC"&amp;"oncepto,
""""
)
)
),
MAP(
reglas!$B$2:$B$240,
reglas!$C$2:$C$240,
reglas!$D$2:$D$240,
reglas!$E$2:$E$240,
LAMBDA(rEmisor,rPatron,rConcepto,rTipo,
IF(
AND(
OR(
UPPER(TRIM(rEmisor))=UPPER(TRIM(C1176)),
UPPER(TRIM(rEmisor))=""CUALQUIERA""
),
OR(
UPPER(TRIM(r"&amp;"Tipo))=""SOLO EMISOR"",
AND(
UPPER(TRIM(rTipo))=""EXACTA"",
UPPER(TRIM(D1176))=UPPER(TRIM(rPatron))
),
AND(
OR(
UPPER(TRIM(rTipo))=""CONTIENE"",
UPPER(TRIM(rTipo))=""COINCIDENCIA""
),
ISNUMBER(SEARCH(UPPER(TRIM(rPatron)),UPPER(TRIM(D1176))))
)
)
),
rConce"&amp;"pto,
""""
)
)
)&lt;&gt;""""
),
1
),
""""
)"),"MANIOBRAS")</f>
        <v>MANIOBRAS</v>
      </c>
      <c r="L1176" s="27"/>
      <c r="M1176" s="27"/>
      <c r="N1176" s="27"/>
      <c r="O1176" s="27"/>
      <c r="P1176" s="27"/>
      <c r="Q1176" s="27"/>
      <c r="R1176" s="27"/>
      <c r="S1176" s="27"/>
      <c r="T1176" s="27"/>
      <c r="U1176" s="27"/>
      <c r="V1176" s="27"/>
      <c r="W1176" s="27"/>
      <c r="X1176" s="27"/>
      <c r="Y1176" s="27"/>
    </row>
    <row r="1177">
      <c r="A1177" s="28">
        <v>1.0</v>
      </c>
      <c r="B1177" s="28" t="s">
        <v>29</v>
      </c>
      <c r="C1177" s="29" t="s">
        <v>89</v>
      </c>
      <c r="D1177" s="29" t="s">
        <v>91</v>
      </c>
      <c r="E1177" s="30">
        <v>1283.04</v>
      </c>
      <c r="F1177" s="28">
        <v>0.0</v>
      </c>
      <c r="G1177" s="28" t="s">
        <v>601</v>
      </c>
      <c r="H1177" s="28">
        <f t="array" ref="H1177">INDEX(CC!C:C,MATCH(1,(CC!A:A=G1177)*(CC!B:B=I1177),0))</f>
        <v>402</v>
      </c>
      <c r="I1177" s="28" t="s">
        <v>25</v>
      </c>
      <c r="J1177" s="31">
        <v>1283.04</v>
      </c>
      <c r="K1177" s="28" t="str">
        <f>IFERROR(__xludf.DUMMYFUNCTION("IFERROR(
INDEX(
FILTER(
MAP(
reglas!$B$2:$B$240,
reglas!$C$2:$C$240,
reglas!$D$2:$D$240,
reglas!$E$2:$E$240,
LAMBDA(rEmisor,rPatron,rConcepto,rTipo,
IF(
AND(
OR(
UPPER(TRIM(rEmisor))=UPPER(TRIM(C1177)),
UPPER(TRIM(rEmisor))=""CUALQUIERA""
),
OR(
UPPER(TRI"&amp;"M(rTipo))=""SOLO EMISOR"",
AND(
UPPER(TRIM(rTipo))=""EXACTA"",
UPPER(TRIM(AG1177))=UPPER(TRIM(rPatron))
),
AND(
OR(
UPPER(TRIM(rTipo))=""CONTIENE"",
UPPER(TRIM(rTipo))=""COINCIDENCIA""
),
ISNUMBER(SEARCH(UPPER(TRIM(rPatron)),UPPER(TRIM(D1177))))
)
)
),
rC"&amp;"oncepto,
""""
)
)
),
MAP(
reglas!$B$2:$B$240,
reglas!$C$2:$C$240,
reglas!$D$2:$D$240,
reglas!$E$2:$E$240,
LAMBDA(rEmisor,rPatron,rConcepto,rTipo,
IF(
AND(
OR(
UPPER(TRIM(rEmisor))=UPPER(TRIM(C1177)),
UPPER(TRIM(rEmisor))=""CUALQUIERA""
),
OR(
UPPER(TRIM(r"&amp;"Tipo))=""SOLO EMISOR"",
AND(
UPPER(TRIM(rTipo))=""EXACTA"",
UPPER(TRIM(D1177))=UPPER(TRIM(rPatron))
),
AND(
OR(
UPPER(TRIM(rTipo))=""CONTIENE"",
UPPER(TRIM(rTipo))=""COINCIDENCIA""
),
ISNUMBER(SEARCH(UPPER(TRIM(rPatron)),UPPER(TRIM(D1177))))
)
)
),
rConce"&amp;"pto,
""""
)
)
)&lt;&gt;""""
),
1
),
""""
)"),"MANIOBRAS")</f>
        <v>MANIOBRAS</v>
      </c>
      <c r="L1177" s="27"/>
      <c r="M1177" s="27"/>
      <c r="N1177" s="27"/>
      <c r="O1177" s="27"/>
      <c r="P1177" s="27"/>
      <c r="Q1177" s="27"/>
      <c r="R1177" s="27"/>
      <c r="S1177" s="27"/>
      <c r="T1177" s="27"/>
      <c r="U1177" s="27"/>
      <c r="V1177" s="27"/>
      <c r="W1177" s="27"/>
      <c r="X1177" s="27"/>
      <c r="Y1177" s="27"/>
    </row>
    <row r="1178">
      <c r="A1178" s="32"/>
      <c r="B1178" s="28" t="s">
        <v>29</v>
      </c>
      <c r="C1178" s="29" t="s">
        <v>278</v>
      </c>
      <c r="D1178" s="29" t="s">
        <v>560</v>
      </c>
      <c r="E1178" s="30">
        <v>3500.0</v>
      </c>
      <c r="F1178" s="28">
        <v>0.0</v>
      </c>
      <c r="G1178" s="28" t="s">
        <v>250</v>
      </c>
      <c r="H1178" s="28">
        <f t="array" ref="H1178">INDEX(CC!C:C,MATCH(1,(CC!A:A=G1178)*(CC!B:B=I1178),0))</f>
        <v>1402</v>
      </c>
      <c r="I1178" s="28" t="s">
        <v>25</v>
      </c>
      <c r="J1178" s="31">
        <v>3500.0</v>
      </c>
      <c r="K1178" s="28" t="str">
        <f>IFERROR(__xludf.DUMMYFUNCTION("IFERROR(
INDEX(
FILTER(
MAP(
reglas!$B$2:$B$240,
reglas!$C$2:$C$240,
reglas!$D$2:$D$240,
reglas!$E$2:$E$240,
LAMBDA(rEmisor,rPatron,rConcepto,rTipo,
IF(
AND(
OR(
UPPER(TRIM(rEmisor))=UPPER(TRIM(C1178)),
UPPER(TRIM(rEmisor))=""CUALQUIERA""
),
OR(
UPPER(TRI"&amp;"M(rTipo))=""SOLO EMISOR"",
AND(
UPPER(TRIM(rTipo))=""EXACTA"",
UPPER(TRIM(AG1178))=UPPER(TRIM(rPatron))
),
AND(
OR(
UPPER(TRIM(rTipo))=""CONTIENE"",
UPPER(TRIM(rTipo))=""COINCIDENCIA""
),
ISNUMBER(SEARCH(UPPER(TRIM(rPatron)),UPPER(TRIM(D1178))))
)
)
),
rC"&amp;"oncepto,
""""
)
)
),
MAP(
reglas!$B$2:$B$240,
reglas!$C$2:$C$240,
reglas!$D$2:$D$240,
reglas!$E$2:$E$240,
LAMBDA(rEmisor,rPatron,rConcepto,rTipo,
IF(
AND(
OR(
UPPER(TRIM(rEmisor))=UPPER(TRIM(C1178)),
UPPER(TRIM(rEmisor))=""CUALQUIERA""
),
OR(
UPPER(TRIM(r"&amp;"Tipo))=""SOLO EMISOR"",
AND(
UPPER(TRIM(rTipo))=""EXACTA"",
UPPER(TRIM(D1178))=UPPER(TRIM(rPatron))
),
AND(
OR(
UPPER(TRIM(rTipo))=""CONTIENE"",
UPPER(TRIM(rTipo))=""COINCIDENCIA""
),
ISNUMBER(SEARCH(UPPER(TRIM(rPatron)),UPPER(TRIM(D1178))))
)
)
),
rConce"&amp;"pto,
""""
)
)
)&lt;&gt;""""
),
1
),
""""
)"),"MANIOBRAS")</f>
        <v>MANIOBRAS</v>
      </c>
      <c r="L1178" s="27"/>
      <c r="M1178" s="27"/>
      <c r="N1178" s="27"/>
      <c r="O1178" s="27"/>
      <c r="P1178" s="27"/>
      <c r="Q1178" s="27"/>
      <c r="R1178" s="27"/>
      <c r="S1178" s="27"/>
      <c r="T1178" s="27"/>
      <c r="U1178" s="27"/>
      <c r="V1178" s="27"/>
      <c r="W1178" s="27"/>
      <c r="X1178" s="27"/>
      <c r="Y1178" s="27"/>
    </row>
    <row r="1179">
      <c r="A1179" s="32"/>
      <c r="B1179" s="28" t="s">
        <v>29</v>
      </c>
      <c r="C1179" s="29" t="s">
        <v>278</v>
      </c>
      <c r="D1179" s="29" t="s">
        <v>560</v>
      </c>
      <c r="E1179" s="30">
        <v>3500.0</v>
      </c>
      <c r="F1179" s="28">
        <v>0.0</v>
      </c>
      <c r="G1179" s="28" t="s">
        <v>250</v>
      </c>
      <c r="H1179" s="28">
        <f t="array" ref="H1179">INDEX(CC!C:C,MATCH(1,(CC!A:A=G1179)*(CC!B:B=I1179),0))</f>
        <v>1402</v>
      </c>
      <c r="I1179" s="28" t="s">
        <v>25</v>
      </c>
      <c r="J1179" s="31">
        <v>3500.0</v>
      </c>
      <c r="K1179" s="28" t="str">
        <f>IFERROR(__xludf.DUMMYFUNCTION("IFERROR(
INDEX(
FILTER(
MAP(
reglas!$B$2:$B$240,
reglas!$C$2:$C$240,
reglas!$D$2:$D$240,
reglas!$E$2:$E$240,
LAMBDA(rEmisor,rPatron,rConcepto,rTipo,
IF(
AND(
OR(
UPPER(TRIM(rEmisor))=UPPER(TRIM(C1179)),
UPPER(TRIM(rEmisor))=""CUALQUIERA""
),
OR(
UPPER(TRI"&amp;"M(rTipo))=""SOLO EMISOR"",
AND(
UPPER(TRIM(rTipo))=""EXACTA"",
UPPER(TRIM(AG1179))=UPPER(TRIM(rPatron))
),
AND(
OR(
UPPER(TRIM(rTipo))=""CONTIENE"",
UPPER(TRIM(rTipo))=""COINCIDENCIA""
),
ISNUMBER(SEARCH(UPPER(TRIM(rPatron)),UPPER(TRIM(D1179))))
)
)
),
rC"&amp;"oncepto,
""""
)
)
),
MAP(
reglas!$B$2:$B$240,
reglas!$C$2:$C$240,
reglas!$D$2:$D$240,
reglas!$E$2:$E$240,
LAMBDA(rEmisor,rPatron,rConcepto,rTipo,
IF(
AND(
OR(
UPPER(TRIM(rEmisor))=UPPER(TRIM(C1179)),
UPPER(TRIM(rEmisor))=""CUALQUIERA""
),
OR(
UPPER(TRIM(r"&amp;"Tipo))=""SOLO EMISOR"",
AND(
UPPER(TRIM(rTipo))=""EXACTA"",
UPPER(TRIM(D1179))=UPPER(TRIM(rPatron))
),
AND(
OR(
UPPER(TRIM(rTipo))=""CONTIENE"",
UPPER(TRIM(rTipo))=""COINCIDENCIA""
),
ISNUMBER(SEARCH(UPPER(TRIM(rPatron)),UPPER(TRIM(D1179))))
)
)
),
rConce"&amp;"pto,
""""
)
)
)&lt;&gt;""""
),
1
),
""""
)"),"MANIOBRAS")</f>
        <v>MANIOBRAS</v>
      </c>
      <c r="L1179" s="27"/>
      <c r="M1179" s="27"/>
      <c r="N1179" s="27"/>
      <c r="O1179" s="27"/>
      <c r="P1179" s="27"/>
      <c r="Q1179" s="27"/>
      <c r="R1179" s="27"/>
      <c r="S1179" s="27"/>
      <c r="T1179" s="27"/>
      <c r="U1179" s="27"/>
      <c r="V1179" s="27"/>
      <c r="W1179" s="27"/>
      <c r="X1179" s="27"/>
      <c r="Y1179" s="27"/>
    </row>
    <row r="1180">
      <c r="A1180" s="32"/>
      <c r="B1180" s="28" t="s">
        <v>29</v>
      </c>
      <c r="C1180" s="29" t="s">
        <v>515</v>
      </c>
      <c r="D1180" s="42" t="s">
        <v>1850</v>
      </c>
      <c r="E1180" s="30">
        <v>43875.0</v>
      </c>
      <c r="F1180" s="28">
        <v>0.0</v>
      </c>
      <c r="G1180" s="28" t="s">
        <v>225</v>
      </c>
      <c r="H1180" s="28">
        <f t="array" ref="H1180">INDEX(CC!C:C,MATCH(1,(CC!A:A=G1180)*(CC!B:B=I1180),0))</f>
        <v>102</v>
      </c>
      <c r="I1180" s="28" t="s">
        <v>25</v>
      </c>
      <c r="J1180" s="31">
        <v>43875.0</v>
      </c>
      <c r="K1180" s="28" t="str">
        <f>IFERROR(__xludf.DUMMYFUNCTION("IFERROR(
INDEX(
FILTER(
MAP(
reglas!$B$2:$B$240,
reglas!$C$2:$C$240,
reglas!$D$2:$D$240,
reglas!$E$2:$E$240,
LAMBDA(rEmisor,rPatron,rConcepto,rTipo,
IF(
AND(
OR(
UPPER(TRIM(rEmisor))=UPPER(TRIM(C1180)),
UPPER(TRIM(rEmisor))=""CUALQUIERA""
),
OR(
UPPER(TRI"&amp;"M(rTipo))=""SOLO EMISOR"",
AND(
UPPER(TRIM(rTipo))=""EXACTA"",
UPPER(TRIM(AG1180))=UPPER(TRIM(rPatron))
),
AND(
OR(
UPPER(TRIM(rTipo))=""CONTIENE"",
UPPER(TRIM(rTipo))=""COINCIDENCIA""
),
ISNUMBER(SEARCH(UPPER(TRIM(rPatron)),UPPER(TRIM(D1180))))
)
)
),
rC"&amp;"oncepto,
""""
)
)
),
MAP(
reglas!$B$2:$B$240,
reglas!$C$2:$C$240,
reglas!$D$2:$D$240,
reglas!$E$2:$E$240,
LAMBDA(rEmisor,rPatron,rConcepto,rTipo,
IF(
AND(
OR(
UPPER(TRIM(rEmisor))=UPPER(TRIM(C1180)),
UPPER(TRIM(rEmisor))=""CUALQUIERA""
),
OR(
UPPER(TRIM(r"&amp;"Tipo))=""SOLO EMISOR"",
AND(
UPPER(TRIM(rTipo))=""EXACTA"",
UPPER(TRIM(D1180))=UPPER(TRIM(rPatron))
),
AND(
OR(
UPPER(TRIM(rTipo))=""CONTIENE"",
UPPER(TRIM(rTipo))=""COINCIDENCIA""
),
ISNUMBER(SEARCH(UPPER(TRIM(rPatron)),UPPER(TRIM(D1180))))
)
)
),
rConce"&amp;"pto,
""""
)
)
)&lt;&gt;""""
),
1
),
""""
)"),"OTRAS ASESORIAS")</f>
        <v>OTRAS ASESORIAS</v>
      </c>
      <c r="L1180" s="27"/>
      <c r="M1180" s="27"/>
      <c r="N1180" s="27"/>
      <c r="O1180" s="27"/>
      <c r="P1180" s="27"/>
      <c r="Q1180" s="27"/>
      <c r="R1180" s="27"/>
      <c r="S1180" s="27"/>
      <c r="T1180" s="27"/>
      <c r="U1180" s="27"/>
      <c r="V1180" s="27"/>
      <c r="W1180" s="27"/>
      <c r="X1180" s="27"/>
      <c r="Y1180" s="27"/>
    </row>
    <row r="1181">
      <c r="A1181" s="28">
        <v>1.0</v>
      </c>
      <c r="B1181" s="28" t="s">
        <v>29</v>
      </c>
      <c r="C1181" s="29" t="s">
        <v>437</v>
      </c>
      <c r="D1181" s="29" t="s">
        <v>1851</v>
      </c>
      <c r="E1181" s="30">
        <v>3412.76</v>
      </c>
      <c r="F1181" s="28">
        <v>0.0</v>
      </c>
      <c r="G1181" s="99" t="s">
        <v>250</v>
      </c>
      <c r="H1181" s="28">
        <f t="array" ref="H1181">INDEX(CC!C:C,MATCH(1,(CC!A:A=G1181)*(CC!B:B=I1181),0))</f>
        <v>1402</v>
      </c>
      <c r="I1181" s="28" t="s">
        <v>25</v>
      </c>
      <c r="J1181" s="31">
        <v>3412.76</v>
      </c>
      <c r="K1181" s="28" t="str">
        <f>IFERROR(__xludf.DUMMYFUNCTION("IFERROR(
INDEX(
FILTER(
MAP(
reglas!$B$2:$B$240,
reglas!$C$2:$C$240,
reglas!$D$2:$D$240,
reglas!$E$2:$E$240,
LAMBDA(rEmisor,rPatron,rConcepto,rTipo,
IF(
AND(
OR(
UPPER(TRIM(rEmisor))=UPPER(TRIM(C1181)),
UPPER(TRIM(rEmisor))=""CUALQUIERA""
),
OR(
UPPER(TRI"&amp;"M(rTipo))=""SOLO EMISOR"",
AND(
UPPER(TRIM(rTipo))=""EXACTA"",
UPPER(TRIM(AG1181))=UPPER(TRIM(rPatron))
),
AND(
OR(
UPPER(TRIM(rTipo))=""CONTIENE"",
UPPER(TRIM(rTipo))=""COINCIDENCIA""
),
ISNUMBER(SEARCH(UPPER(TRIM(rPatron)),UPPER(TRIM(D1181))))
)
)
),
rC"&amp;"oncepto,
""""
)
)
),
MAP(
reglas!$B$2:$B$240,
reglas!$C$2:$C$240,
reglas!$D$2:$D$240,
reglas!$E$2:$E$240,
LAMBDA(rEmisor,rPatron,rConcepto,rTipo,
IF(
AND(
OR(
UPPER(TRIM(rEmisor))=UPPER(TRIM(C1181)),
UPPER(TRIM(rEmisor))=""CUALQUIERA""
),
OR(
UPPER(TRIM(r"&amp;"Tipo))=""SOLO EMISOR"",
AND(
UPPER(TRIM(rTipo))=""EXACTA"",
UPPER(TRIM(D1181))=UPPER(TRIM(rPatron))
),
AND(
OR(
UPPER(TRIM(rTipo))=""CONTIENE"",
UPPER(TRIM(rTipo))=""COINCIDENCIA""
),
ISNUMBER(SEARCH(UPPER(TRIM(rPatron)),UPPER(TRIM(D1181))))
)
)
),
rConce"&amp;"pto,
""""
)
)
)&lt;&gt;""""
),
1
),
""""
)"),"MANIOBRAS")</f>
        <v>MANIOBRAS</v>
      </c>
      <c r="L1181" s="27"/>
      <c r="M1181" s="27"/>
      <c r="N1181" s="27"/>
      <c r="O1181" s="27"/>
      <c r="P1181" s="27"/>
      <c r="Q1181" s="27"/>
      <c r="R1181" s="27"/>
      <c r="S1181" s="27"/>
      <c r="T1181" s="27"/>
      <c r="U1181" s="27"/>
      <c r="V1181" s="27"/>
      <c r="W1181" s="27"/>
      <c r="X1181" s="27"/>
      <c r="Y1181" s="27"/>
    </row>
    <row r="1182">
      <c r="A1182" s="28">
        <v>1.0</v>
      </c>
      <c r="B1182" s="28" t="s">
        <v>29</v>
      </c>
      <c r="C1182" s="29" t="s">
        <v>271</v>
      </c>
      <c r="D1182" s="29" t="s">
        <v>585</v>
      </c>
      <c r="E1182" s="28">
        <v>623.85</v>
      </c>
      <c r="F1182" s="28">
        <v>0.0</v>
      </c>
      <c r="G1182" s="28" t="s">
        <v>84</v>
      </c>
      <c r="H1182" s="28">
        <f t="array" ref="H1182">INDEX(CC!C:C,MATCH(1,(CC!A:A=G1182)*(CC!B:B=I1182),0))</f>
        <v>1002</v>
      </c>
      <c r="I1182" s="28" t="s">
        <v>25</v>
      </c>
      <c r="J1182" s="31">
        <v>623.85</v>
      </c>
      <c r="K1182" s="28" t="str">
        <f>IFERROR(__xludf.DUMMYFUNCTION("IFERROR(
INDEX(
FILTER(
MAP(
reglas!$B$2:$B$240,
reglas!$C$2:$C$240,
reglas!$D$2:$D$240,
reglas!$E$2:$E$240,
LAMBDA(rEmisor,rPatron,rConcepto,rTipo,
IF(
AND(
OR(
UPPER(TRIM(rEmisor))=UPPER(TRIM(C1182)),
UPPER(TRIM(rEmisor))=""CUALQUIERA""
),
OR(
UPPER(TRI"&amp;"M(rTipo))=""SOLO EMISOR"",
AND(
UPPER(TRIM(rTipo))=""EXACTA"",
UPPER(TRIM(AG1182))=UPPER(TRIM(rPatron))
),
AND(
OR(
UPPER(TRIM(rTipo))=""CONTIENE"",
UPPER(TRIM(rTipo))=""COINCIDENCIA""
),
ISNUMBER(SEARCH(UPPER(TRIM(rPatron)),UPPER(TRIM(D1182))))
)
)
),
rC"&amp;"oncepto,
""""
)
)
),
MAP(
reglas!$B$2:$B$240,
reglas!$C$2:$C$240,
reglas!$D$2:$D$240,
reglas!$E$2:$E$240,
LAMBDA(rEmisor,rPatron,rConcepto,rTipo,
IF(
AND(
OR(
UPPER(TRIM(rEmisor))=UPPER(TRIM(C1182)),
UPPER(TRIM(rEmisor))=""CUALQUIERA""
),
OR(
UPPER(TRIM(r"&amp;"Tipo))=""SOLO EMISOR"",
AND(
UPPER(TRIM(rTipo))=""EXACTA"",
UPPER(TRIM(D1182))=UPPER(TRIM(rPatron))
),
AND(
OR(
UPPER(TRIM(rTipo))=""CONTIENE"",
UPPER(TRIM(rTipo))=""COINCIDENCIA""
),
ISNUMBER(SEARCH(UPPER(TRIM(rPatron)),UPPER(TRIM(D1182))))
)
)
),
rConce"&amp;"pto,
""""
)
)
)&lt;&gt;""""
),
1
),
""""
)"),"MANIOBRAS")</f>
        <v>MANIOBRAS</v>
      </c>
      <c r="L1182" s="27"/>
      <c r="M1182" s="27"/>
      <c r="N1182" s="27"/>
      <c r="O1182" s="27"/>
      <c r="P1182" s="27"/>
      <c r="Q1182" s="27"/>
      <c r="R1182" s="27"/>
      <c r="S1182" s="27"/>
      <c r="T1182" s="27"/>
      <c r="U1182" s="27"/>
      <c r="V1182" s="27"/>
      <c r="W1182" s="27"/>
      <c r="X1182" s="27"/>
      <c r="Y1182" s="27"/>
    </row>
    <row r="1183">
      <c r="A1183" s="32"/>
      <c r="B1183" s="32"/>
      <c r="C1183" s="29" t="s">
        <v>271</v>
      </c>
      <c r="D1183" s="29" t="s">
        <v>587</v>
      </c>
      <c r="E1183" s="28">
        <v>570.78</v>
      </c>
      <c r="F1183" s="28">
        <v>0.0</v>
      </c>
      <c r="G1183" s="28" t="s">
        <v>84</v>
      </c>
      <c r="H1183" s="28">
        <f t="array" ref="H1183">INDEX(CC!C:C,MATCH(1,(CC!A:A=G1183)*(CC!B:B=I1183),0))</f>
        <v>1002</v>
      </c>
      <c r="I1183" s="28" t="s">
        <v>25</v>
      </c>
      <c r="J1183" s="31">
        <v>570.78</v>
      </c>
      <c r="K1183" s="28" t="str">
        <f>IFERROR(__xludf.DUMMYFUNCTION("IFERROR(
INDEX(
FILTER(
MAP(
reglas!$B$2:$B$240,
reglas!$C$2:$C$240,
reglas!$D$2:$D$240,
reglas!$E$2:$E$240,
LAMBDA(rEmisor,rPatron,rConcepto,rTipo,
IF(
AND(
OR(
UPPER(TRIM(rEmisor))=UPPER(TRIM(C1183)),
UPPER(TRIM(rEmisor))=""CUALQUIERA""
),
OR(
UPPER(TRI"&amp;"M(rTipo))=""SOLO EMISOR"",
AND(
UPPER(TRIM(rTipo))=""EXACTA"",
UPPER(TRIM(AG1183))=UPPER(TRIM(rPatron))
),
AND(
OR(
UPPER(TRIM(rTipo))=""CONTIENE"",
UPPER(TRIM(rTipo))=""COINCIDENCIA""
),
ISNUMBER(SEARCH(UPPER(TRIM(rPatron)),UPPER(TRIM(D1183))))
)
)
),
rC"&amp;"oncepto,
""""
)
)
),
MAP(
reglas!$B$2:$B$240,
reglas!$C$2:$C$240,
reglas!$D$2:$D$240,
reglas!$E$2:$E$240,
LAMBDA(rEmisor,rPatron,rConcepto,rTipo,
IF(
AND(
OR(
UPPER(TRIM(rEmisor))=UPPER(TRIM(C1183)),
UPPER(TRIM(rEmisor))=""CUALQUIERA""
),
OR(
UPPER(TRIM(r"&amp;"Tipo))=""SOLO EMISOR"",
AND(
UPPER(TRIM(rTipo))=""EXACTA"",
UPPER(TRIM(D1183))=UPPER(TRIM(rPatron))
),
AND(
OR(
UPPER(TRIM(rTipo))=""CONTIENE"",
UPPER(TRIM(rTipo))=""COINCIDENCIA""
),
ISNUMBER(SEARCH(UPPER(TRIM(rPatron)),UPPER(TRIM(D1183))))
)
)
),
rConce"&amp;"pto,
""""
)
)
)&lt;&gt;""""
),
1
),
""""
)"),"MANIOBRAS")</f>
        <v>MANIOBRAS</v>
      </c>
      <c r="L1183" s="27"/>
      <c r="M1183" s="27"/>
      <c r="N1183" s="27"/>
      <c r="O1183" s="27"/>
      <c r="P1183" s="27"/>
      <c r="Q1183" s="27"/>
      <c r="R1183" s="27"/>
      <c r="S1183" s="27"/>
      <c r="T1183" s="27"/>
      <c r="U1183" s="27"/>
      <c r="V1183" s="27"/>
      <c r="W1183" s="27"/>
      <c r="X1183" s="27"/>
      <c r="Y1183" s="27"/>
    </row>
    <row r="1184">
      <c r="A1184" s="32"/>
      <c r="B1184" s="32"/>
      <c r="C1184" s="29" t="s">
        <v>271</v>
      </c>
      <c r="D1184" s="29" t="s">
        <v>589</v>
      </c>
      <c r="E1184" s="28">
        <v>624.19</v>
      </c>
      <c r="F1184" s="28">
        <v>0.0</v>
      </c>
      <c r="G1184" s="28" t="s">
        <v>84</v>
      </c>
      <c r="H1184" s="28">
        <f t="array" ref="H1184">INDEX(CC!C:C,MATCH(1,(CC!A:A=G1184)*(CC!B:B=I1184),0))</f>
        <v>1002</v>
      </c>
      <c r="I1184" s="28" t="s">
        <v>25</v>
      </c>
      <c r="J1184" s="31">
        <v>624.19</v>
      </c>
      <c r="K1184" s="28" t="str">
        <f>IFERROR(__xludf.DUMMYFUNCTION("IFERROR(
INDEX(
FILTER(
MAP(
reglas!$B$2:$B$240,
reglas!$C$2:$C$240,
reglas!$D$2:$D$240,
reglas!$E$2:$E$240,
LAMBDA(rEmisor,rPatron,rConcepto,rTipo,
IF(
AND(
OR(
UPPER(TRIM(rEmisor))=UPPER(TRIM(C1184)),
UPPER(TRIM(rEmisor))=""CUALQUIERA""
),
OR(
UPPER(TRI"&amp;"M(rTipo))=""SOLO EMISOR"",
AND(
UPPER(TRIM(rTipo))=""EXACTA"",
UPPER(TRIM(AG1184))=UPPER(TRIM(rPatron))
),
AND(
OR(
UPPER(TRIM(rTipo))=""CONTIENE"",
UPPER(TRIM(rTipo))=""COINCIDENCIA""
),
ISNUMBER(SEARCH(UPPER(TRIM(rPatron)),UPPER(TRIM(D1184))))
)
)
),
rC"&amp;"oncepto,
""""
)
)
),
MAP(
reglas!$B$2:$B$240,
reglas!$C$2:$C$240,
reglas!$D$2:$D$240,
reglas!$E$2:$E$240,
LAMBDA(rEmisor,rPatron,rConcepto,rTipo,
IF(
AND(
OR(
UPPER(TRIM(rEmisor))=UPPER(TRIM(C1184)),
UPPER(TRIM(rEmisor))=""CUALQUIERA""
),
OR(
UPPER(TRIM(r"&amp;"Tipo))=""SOLO EMISOR"",
AND(
UPPER(TRIM(rTipo))=""EXACTA"",
UPPER(TRIM(D1184))=UPPER(TRIM(rPatron))
),
AND(
OR(
UPPER(TRIM(rTipo))=""CONTIENE"",
UPPER(TRIM(rTipo))=""COINCIDENCIA""
),
ISNUMBER(SEARCH(UPPER(TRIM(rPatron)),UPPER(TRIM(D1184))))
)
)
),
rConce"&amp;"pto,
""""
)
)
)&lt;&gt;""""
),
1
),
""""
)"),"MANIOBRAS")</f>
        <v>MANIOBRAS</v>
      </c>
      <c r="L1184" s="27"/>
      <c r="M1184" s="27"/>
      <c r="N1184" s="27"/>
      <c r="O1184" s="27"/>
      <c r="P1184" s="27"/>
      <c r="Q1184" s="27"/>
      <c r="R1184" s="27"/>
      <c r="S1184" s="27"/>
      <c r="T1184" s="27"/>
      <c r="U1184" s="27"/>
      <c r="V1184" s="27"/>
      <c r="W1184" s="27"/>
      <c r="X1184" s="27"/>
      <c r="Y1184" s="27"/>
    </row>
    <row r="1185">
      <c r="A1185" s="32"/>
      <c r="B1185" s="32"/>
      <c r="C1185" s="29" t="s">
        <v>271</v>
      </c>
      <c r="D1185" s="29" t="s">
        <v>596</v>
      </c>
      <c r="E1185" s="28">
        <v>654.91</v>
      </c>
      <c r="F1185" s="28">
        <v>0.0</v>
      </c>
      <c r="G1185" s="28" t="s">
        <v>84</v>
      </c>
      <c r="H1185" s="28">
        <f t="array" ref="H1185">INDEX(CC!C:C,MATCH(1,(CC!A:A=G1185)*(CC!B:B=I1185),0))</f>
        <v>1002</v>
      </c>
      <c r="I1185" s="28" t="s">
        <v>25</v>
      </c>
      <c r="J1185" s="31">
        <v>654.91</v>
      </c>
      <c r="K1185" s="28" t="str">
        <f>IFERROR(__xludf.DUMMYFUNCTION("IFERROR(
INDEX(
FILTER(
MAP(
reglas!$B$2:$B$240,
reglas!$C$2:$C$240,
reglas!$D$2:$D$240,
reglas!$E$2:$E$240,
LAMBDA(rEmisor,rPatron,rConcepto,rTipo,
IF(
AND(
OR(
UPPER(TRIM(rEmisor))=UPPER(TRIM(C1185)),
UPPER(TRIM(rEmisor))=""CUALQUIERA""
),
OR(
UPPER(TRI"&amp;"M(rTipo))=""SOLO EMISOR"",
AND(
UPPER(TRIM(rTipo))=""EXACTA"",
UPPER(TRIM(AG1185))=UPPER(TRIM(rPatron))
),
AND(
OR(
UPPER(TRIM(rTipo))=""CONTIENE"",
UPPER(TRIM(rTipo))=""COINCIDENCIA""
),
ISNUMBER(SEARCH(UPPER(TRIM(rPatron)),UPPER(TRIM(D1185))))
)
)
),
rC"&amp;"oncepto,
""""
)
)
),
MAP(
reglas!$B$2:$B$240,
reglas!$C$2:$C$240,
reglas!$D$2:$D$240,
reglas!$E$2:$E$240,
LAMBDA(rEmisor,rPatron,rConcepto,rTipo,
IF(
AND(
OR(
UPPER(TRIM(rEmisor))=UPPER(TRIM(C1185)),
UPPER(TRIM(rEmisor))=""CUALQUIERA""
),
OR(
UPPER(TRIM(r"&amp;"Tipo))=""SOLO EMISOR"",
AND(
UPPER(TRIM(rTipo))=""EXACTA"",
UPPER(TRIM(D1185))=UPPER(TRIM(rPatron))
),
AND(
OR(
UPPER(TRIM(rTipo))=""CONTIENE"",
UPPER(TRIM(rTipo))=""COINCIDENCIA""
),
ISNUMBER(SEARCH(UPPER(TRIM(rPatron)),UPPER(TRIM(D1185))))
)
)
),
rConce"&amp;"pto,
""""
)
)
)&lt;&gt;""""
),
1
),
""""
)"),"MANIOBRAS")</f>
        <v>MANIOBRAS</v>
      </c>
      <c r="L1185" s="27"/>
      <c r="M1185" s="27"/>
      <c r="N1185" s="27"/>
      <c r="O1185" s="27"/>
      <c r="P1185" s="27"/>
      <c r="Q1185" s="27"/>
      <c r="R1185" s="27"/>
      <c r="S1185" s="27"/>
      <c r="T1185" s="27"/>
      <c r="U1185" s="27"/>
      <c r="V1185" s="27"/>
      <c r="W1185" s="27"/>
      <c r="X1185" s="27"/>
      <c r="Y1185" s="27"/>
    </row>
    <row r="1186">
      <c r="A1186" s="32"/>
      <c r="B1186" s="28" t="s">
        <v>29</v>
      </c>
      <c r="C1186" s="29" t="s">
        <v>278</v>
      </c>
      <c r="D1186" s="29" t="s">
        <v>560</v>
      </c>
      <c r="E1186" s="30">
        <v>3500.0</v>
      </c>
      <c r="F1186" s="28">
        <v>0.0</v>
      </c>
      <c r="G1186" s="28" t="s">
        <v>250</v>
      </c>
      <c r="H1186" s="28">
        <f t="array" ref="H1186">INDEX(CC!C:C,MATCH(1,(CC!A:A=G1186)*(CC!B:B=I1186),0))</f>
        <v>1402</v>
      </c>
      <c r="I1186" s="28" t="s">
        <v>25</v>
      </c>
      <c r="J1186" s="31">
        <v>3500.0</v>
      </c>
      <c r="K1186" s="28" t="str">
        <f>IFERROR(__xludf.DUMMYFUNCTION("IFERROR(
INDEX(
FILTER(
MAP(
reglas!$B$2:$B$240,
reglas!$C$2:$C$240,
reglas!$D$2:$D$240,
reglas!$E$2:$E$240,
LAMBDA(rEmisor,rPatron,rConcepto,rTipo,
IF(
AND(
OR(
UPPER(TRIM(rEmisor))=UPPER(TRIM(C1186)),
UPPER(TRIM(rEmisor))=""CUALQUIERA""
),
OR(
UPPER(TRI"&amp;"M(rTipo))=""SOLO EMISOR"",
AND(
UPPER(TRIM(rTipo))=""EXACTA"",
UPPER(TRIM(AG1186))=UPPER(TRIM(rPatron))
),
AND(
OR(
UPPER(TRIM(rTipo))=""CONTIENE"",
UPPER(TRIM(rTipo))=""COINCIDENCIA""
),
ISNUMBER(SEARCH(UPPER(TRIM(rPatron)),UPPER(TRIM(D1186))))
)
)
),
rC"&amp;"oncepto,
""""
)
)
),
MAP(
reglas!$B$2:$B$240,
reglas!$C$2:$C$240,
reglas!$D$2:$D$240,
reglas!$E$2:$E$240,
LAMBDA(rEmisor,rPatron,rConcepto,rTipo,
IF(
AND(
OR(
UPPER(TRIM(rEmisor))=UPPER(TRIM(C1186)),
UPPER(TRIM(rEmisor))=""CUALQUIERA""
),
OR(
UPPER(TRIM(r"&amp;"Tipo))=""SOLO EMISOR"",
AND(
UPPER(TRIM(rTipo))=""EXACTA"",
UPPER(TRIM(D1186))=UPPER(TRIM(rPatron))
),
AND(
OR(
UPPER(TRIM(rTipo))=""CONTIENE"",
UPPER(TRIM(rTipo))=""COINCIDENCIA""
),
ISNUMBER(SEARCH(UPPER(TRIM(rPatron)),UPPER(TRIM(D1186))))
)
)
),
rConce"&amp;"pto,
""""
)
)
)&lt;&gt;""""
),
1
),
""""
)"),"MANIOBRAS")</f>
        <v>MANIOBRAS</v>
      </c>
      <c r="L1186" s="27"/>
      <c r="M1186" s="27"/>
      <c r="N1186" s="27"/>
      <c r="O1186" s="27"/>
      <c r="P1186" s="27"/>
      <c r="Q1186" s="27"/>
      <c r="R1186" s="27"/>
      <c r="S1186" s="27"/>
      <c r="T1186" s="27"/>
      <c r="U1186" s="27"/>
      <c r="V1186" s="27"/>
      <c r="W1186" s="27"/>
      <c r="X1186" s="27"/>
      <c r="Y1186" s="27"/>
    </row>
    <row r="1187">
      <c r="A1187" s="32"/>
      <c r="B1187" s="28" t="s">
        <v>29</v>
      </c>
      <c r="C1187" s="29" t="s">
        <v>278</v>
      </c>
      <c r="D1187" s="29" t="s">
        <v>560</v>
      </c>
      <c r="E1187" s="30">
        <v>3500.0</v>
      </c>
      <c r="F1187" s="28">
        <v>0.0</v>
      </c>
      <c r="G1187" s="28" t="s">
        <v>250</v>
      </c>
      <c r="H1187" s="28">
        <f t="array" ref="H1187">INDEX(CC!C:C,MATCH(1,(CC!A:A=G1187)*(CC!B:B=I1187),0))</f>
        <v>1402</v>
      </c>
      <c r="I1187" s="28" t="s">
        <v>25</v>
      </c>
      <c r="J1187" s="31">
        <v>3500.0</v>
      </c>
      <c r="K1187" s="28" t="str">
        <f>IFERROR(__xludf.DUMMYFUNCTION("IFERROR(
INDEX(
FILTER(
MAP(
reglas!$B$2:$B$240,
reglas!$C$2:$C$240,
reglas!$D$2:$D$240,
reglas!$E$2:$E$240,
LAMBDA(rEmisor,rPatron,rConcepto,rTipo,
IF(
AND(
OR(
UPPER(TRIM(rEmisor))=UPPER(TRIM(C1187)),
UPPER(TRIM(rEmisor))=""CUALQUIERA""
),
OR(
UPPER(TRI"&amp;"M(rTipo))=""SOLO EMISOR"",
AND(
UPPER(TRIM(rTipo))=""EXACTA"",
UPPER(TRIM(AG1187))=UPPER(TRIM(rPatron))
),
AND(
OR(
UPPER(TRIM(rTipo))=""CONTIENE"",
UPPER(TRIM(rTipo))=""COINCIDENCIA""
),
ISNUMBER(SEARCH(UPPER(TRIM(rPatron)),UPPER(TRIM(D1187))))
)
)
),
rC"&amp;"oncepto,
""""
)
)
),
MAP(
reglas!$B$2:$B$240,
reglas!$C$2:$C$240,
reglas!$D$2:$D$240,
reglas!$E$2:$E$240,
LAMBDA(rEmisor,rPatron,rConcepto,rTipo,
IF(
AND(
OR(
UPPER(TRIM(rEmisor))=UPPER(TRIM(C1187)),
UPPER(TRIM(rEmisor))=""CUALQUIERA""
),
OR(
UPPER(TRIM(r"&amp;"Tipo))=""SOLO EMISOR"",
AND(
UPPER(TRIM(rTipo))=""EXACTA"",
UPPER(TRIM(D1187))=UPPER(TRIM(rPatron))
),
AND(
OR(
UPPER(TRIM(rTipo))=""CONTIENE"",
UPPER(TRIM(rTipo))=""COINCIDENCIA""
),
ISNUMBER(SEARCH(UPPER(TRIM(rPatron)),UPPER(TRIM(D1187))))
)
)
),
rConce"&amp;"pto,
""""
)
)
)&lt;&gt;""""
),
1
),
""""
)"),"MANIOBRAS")</f>
        <v>MANIOBRAS</v>
      </c>
      <c r="L1187" s="27"/>
      <c r="M1187" s="27"/>
      <c r="N1187" s="27"/>
      <c r="O1187" s="27"/>
      <c r="P1187" s="27"/>
      <c r="Q1187" s="27"/>
      <c r="R1187" s="27"/>
      <c r="S1187" s="27"/>
      <c r="T1187" s="27"/>
      <c r="U1187" s="27"/>
      <c r="V1187" s="27"/>
      <c r="W1187" s="27"/>
      <c r="X1187" s="27"/>
      <c r="Y1187" s="27"/>
    </row>
    <row r="1188">
      <c r="A1188" s="28">
        <v>1.0</v>
      </c>
      <c r="B1188" s="28" t="s">
        <v>29</v>
      </c>
      <c r="C1188" s="29" t="s">
        <v>271</v>
      </c>
      <c r="D1188" s="29" t="s">
        <v>585</v>
      </c>
      <c r="E1188" s="28">
        <v>622.42</v>
      </c>
      <c r="F1188" s="28">
        <v>0.0</v>
      </c>
      <c r="G1188" s="28" t="s">
        <v>84</v>
      </c>
      <c r="H1188" s="28">
        <f t="array" ref="H1188">INDEX(CC!C:C,MATCH(1,(CC!A:A=G1188)*(CC!B:B=I1188),0))</f>
        <v>1002</v>
      </c>
      <c r="I1188" s="28" t="s">
        <v>25</v>
      </c>
      <c r="J1188" s="31">
        <v>622.42</v>
      </c>
      <c r="K1188" s="28" t="str">
        <f>IFERROR(__xludf.DUMMYFUNCTION("IFERROR(
INDEX(
FILTER(
MAP(
reglas!$B$2:$B$240,
reglas!$C$2:$C$240,
reglas!$D$2:$D$240,
reglas!$E$2:$E$240,
LAMBDA(rEmisor,rPatron,rConcepto,rTipo,
IF(
AND(
OR(
UPPER(TRIM(rEmisor))=UPPER(TRIM(C1188)),
UPPER(TRIM(rEmisor))=""CUALQUIERA""
),
OR(
UPPER(TRI"&amp;"M(rTipo))=""SOLO EMISOR"",
AND(
UPPER(TRIM(rTipo))=""EXACTA"",
UPPER(TRIM(AG1188))=UPPER(TRIM(rPatron))
),
AND(
OR(
UPPER(TRIM(rTipo))=""CONTIENE"",
UPPER(TRIM(rTipo))=""COINCIDENCIA""
),
ISNUMBER(SEARCH(UPPER(TRIM(rPatron)),UPPER(TRIM(D1188))))
)
)
),
rC"&amp;"oncepto,
""""
)
)
),
MAP(
reglas!$B$2:$B$240,
reglas!$C$2:$C$240,
reglas!$D$2:$D$240,
reglas!$E$2:$E$240,
LAMBDA(rEmisor,rPatron,rConcepto,rTipo,
IF(
AND(
OR(
UPPER(TRIM(rEmisor))=UPPER(TRIM(C1188)),
UPPER(TRIM(rEmisor))=""CUALQUIERA""
),
OR(
UPPER(TRIM(r"&amp;"Tipo))=""SOLO EMISOR"",
AND(
UPPER(TRIM(rTipo))=""EXACTA"",
UPPER(TRIM(D1188))=UPPER(TRIM(rPatron))
),
AND(
OR(
UPPER(TRIM(rTipo))=""CONTIENE"",
UPPER(TRIM(rTipo))=""COINCIDENCIA""
),
ISNUMBER(SEARCH(UPPER(TRIM(rPatron)),UPPER(TRIM(D1188))))
)
)
),
rConce"&amp;"pto,
""""
)
)
)&lt;&gt;""""
),
1
),
""""
)"),"MANIOBRAS")</f>
        <v>MANIOBRAS</v>
      </c>
      <c r="L1188" s="27"/>
      <c r="M1188" s="27"/>
      <c r="N1188" s="27"/>
      <c r="O1188" s="27"/>
      <c r="P1188" s="27"/>
      <c r="Q1188" s="27"/>
      <c r="R1188" s="27"/>
      <c r="S1188" s="27"/>
      <c r="T1188" s="27"/>
      <c r="U1188" s="27"/>
      <c r="V1188" s="27"/>
      <c r="W1188" s="27"/>
      <c r="X1188" s="27"/>
      <c r="Y1188" s="27"/>
    </row>
    <row r="1189">
      <c r="A1189" s="32"/>
      <c r="B1189" s="32"/>
      <c r="C1189" s="29" t="s">
        <v>271</v>
      </c>
      <c r="D1189" s="29" t="s">
        <v>587</v>
      </c>
      <c r="E1189" s="28">
        <v>569.47</v>
      </c>
      <c r="F1189" s="28">
        <v>0.0</v>
      </c>
      <c r="G1189" s="28" t="s">
        <v>84</v>
      </c>
      <c r="H1189" s="28">
        <f t="array" ref="H1189">INDEX(CC!C:C,MATCH(1,(CC!A:A=G1189)*(CC!B:B=I1189),0))</f>
        <v>1002</v>
      </c>
      <c r="I1189" s="28" t="s">
        <v>25</v>
      </c>
      <c r="J1189" s="31">
        <v>569.47</v>
      </c>
      <c r="K1189" s="28" t="str">
        <f>IFERROR(__xludf.DUMMYFUNCTION("IFERROR(
INDEX(
FILTER(
MAP(
reglas!$B$2:$B$240,
reglas!$C$2:$C$240,
reglas!$D$2:$D$240,
reglas!$E$2:$E$240,
LAMBDA(rEmisor,rPatron,rConcepto,rTipo,
IF(
AND(
OR(
UPPER(TRIM(rEmisor))=UPPER(TRIM(C1189)),
UPPER(TRIM(rEmisor))=""CUALQUIERA""
),
OR(
UPPER(TRI"&amp;"M(rTipo))=""SOLO EMISOR"",
AND(
UPPER(TRIM(rTipo))=""EXACTA"",
UPPER(TRIM(AG1189))=UPPER(TRIM(rPatron))
),
AND(
OR(
UPPER(TRIM(rTipo))=""CONTIENE"",
UPPER(TRIM(rTipo))=""COINCIDENCIA""
),
ISNUMBER(SEARCH(UPPER(TRIM(rPatron)),UPPER(TRIM(D1189))))
)
)
),
rC"&amp;"oncepto,
""""
)
)
),
MAP(
reglas!$B$2:$B$240,
reglas!$C$2:$C$240,
reglas!$D$2:$D$240,
reglas!$E$2:$E$240,
LAMBDA(rEmisor,rPatron,rConcepto,rTipo,
IF(
AND(
OR(
UPPER(TRIM(rEmisor))=UPPER(TRIM(C1189)),
UPPER(TRIM(rEmisor))=""CUALQUIERA""
),
OR(
UPPER(TRIM(r"&amp;"Tipo))=""SOLO EMISOR"",
AND(
UPPER(TRIM(rTipo))=""EXACTA"",
UPPER(TRIM(D1189))=UPPER(TRIM(rPatron))
),
AND(
OR(
UPPER(TRIM(rTipo))=""CONTIENE"",
UPPER(TRIM(rTipo))=""COINCIDENCIA""
),
ISNUMBER(SEARCH(UPPER(TRIM(rPatron)),UPPER(TRIM(D1189))))
)
)
),
rConce"&amp;"pto,
""""
)
)
)&lt;&gt;""""
),
1
),
""""
)"),"MANIOBRAS")</f>
        <v>MANIOBRAS</v>
      </c>
      <c r="L1189" s="27"/>
      <c r="M1189" s="27"/>
      <c r="N1189" s="27"/>
      <c r="O1189" s="27"/>
      <c r="P1189" s="27"/>
      <c r="Q1189" s="27"/>
      <c r="R1189" s="27"/>
      <c r="S1189" s="27"/>
      <c r="T1189" s="27"/>
      <c r="U1189" s="27"/>
      <c r="V1189" s="27"/>
      <c r="W1189" s="27"/>
      <c r="X1189" s="27"/>
      <c r="Y1189" s="27"/>
    </row>
    <row r="1190">
      <c r="A1190" s="32"/>
      <c r="B1190" s="32"/>
      <c r="C1190" s="29" t="s">
        <v>271</v>
      </c>
      <c r="D1190" s="29" t="s">
        <v>589</v>
      </c>
      <c r="E1190" s="28">
        <v>622.76</v>
      </c>
      <c r="F1190" s="28">
        <v>0.0</v>
      </c>
      <c r="G1190" s="28" t="s">
        <v>84</v>
      </c>
      <c r="H1190" s="28">
        <f t="array" ref="H1190">INDEX(CC!C:C,MATCH(1,(CC!A:A=G1190)*(CC!B:B=I1190),0))</f>
        <v>1002</v>
      </c>
      <c r="I1190" s="28" t="s">
        <v>25</v>
      </c>
      <c r="J1190" s="31">
        <v>622.76</v>
      </c>
      <c r="K1190" s="28" t="str">
        <f>IFERROR(__xludf.DUMMYFUNCTION("IFERROR(
INDEX(
FILTER(
MAP(
reglas!$B$2:$B$240,
reglas!$C$2:$C$240,
reglas!$D$2:$D$240,
reglas!$E$2:$E$240,
LAMBDA(rEmisor,rPatron,rConcepto,rTipo,
IF(
AND(
OR(
UPPER(TRIM(rEmisor))=UPPER(TRIM(C1190)),
UPPER(TRIM(rEmisor))=""CUALQUIERA""
),
OR(
UPPER(TRI"&amp;"M(rTipo))=""SOLO EMISOR"",
AND(
UPPER(TRIM(rTipo))=""EXACTA"",
UPPER(TRIM(AG1190))=UPPER(TRIM(rPatron))
),
AND(
OR(
UPPER(TRIM(rTipo))=""CONTIENE"",
UPPER(TRIM(rTipo))=""COINCIDENCIA""
),
ISNUMBER(SEARCH(UPPER(TRIM(rPatron)),UPPER(TRIM(D1190))))
)
)
),
rC"&amp;"oncepto,
""""
)
)
),
MAP(
reglas!$B$2:$B$240,
reglas!$C$2:$C$240,
reglas!$D$2:$D$240,
reglas!$E$2:$E$240,
LAMBDA(rEmisor,rPatron,rConcepto,rTipo,
IF(
AND(
OR(
UPPER(TRIM(rEmisor))=UPPER(TRIM(C1190)),
UPPER(TRIM(rEmisor))=""CUALQUIERA""
),
OR(
UPPER(TRIM(r"&amp;"Tipo))=""SOLO EMISOR"",
AND(
UPPER(TRIM(rTipo))=""EXACTA"",
UPPER(TRIM(D1190))=UPPER(TRIM(rPatron))
),
AND(
OR(
UPPER(TRIM(rTipo))=""CONTIENE"",
UPPER(TRIM(rTipo))=""COINCIDENCIA""
),
ISNUMBER(SEARCH(UPPER(TRIM(rPatron)),UPPER(TRIM(D1190))))
)
)
),
rConce"&amp;"pto,
""""
)
)
)&lt;&gt;""""
),
1
),
""""
)"),"MANIOBRAS")</f>
        <v>MANIOBRAS</v>
      </c>
      <c r="L1190" s="27"/>
      <c r="M1190" s="27"/>
      <c r="N1190" s="27"/>
      <c r="O1190" s="27"/>
      <c r="P1190" s="27"/>
      <c r="Q1190" s="27"/>
      <c r="R1190" s="27"/>
      <c r="S1190" s="27"/>
      <c r="T1190" s="27"/>
      <c r="U1190" s="27"/>
      <c r="V1190" s="27"/>
      <c r="W1190" s="27"/>
      <c r="X1190" s="27"/>
      <c r="Y1190" s="27"/>
    </row>
    <row r="1191">
      <c r="A1191" s="32"/>
      <c r="B1191" s="32"/>
      <c r="C1191" s="29" t="s">
        <v>271</v>
      </c>
      <c r="D1191" s="29" t="s">
        <v>596</v>
      </c>
      <c r="E1191" s="28">
        <v>653.4</v>
      </c>
      <c r="F1191" s="28">
        <v>0.0</v>
      </c>
      <c r="G1191" s="28" t="s">
        <v>84</v>
      </c>
      <c r="H1191" s="28">
        <f t="array" ref="H1191">INDEX(CC!C:C,MATCH(1,(CC!A:A=G1191)*(CC!B:B=I1191),0))</f>
        <v>1002</v>
      </c>
      <c r="I1191" s="28" t="s">
        <v>25</v>
      </c>
      <c r="J1191" s="31">
        <v>653.4</v>
      </c>
      <c r="K1191" s="28" t="str">
        <f>IFERROR(__xludf.DUMMYFUNCTION("IFERROR(
INDEX(
FILTER(
MAP(
reglas!$B$2:$B$240,
reglas!$C$2:$C$240,
reglas!$D$2:$D$240,
reglas!$E$2:$E$240,
LAMBDA(rEmisor,rPatron,rConcepto,rTipo,
IF(
AND(
OR(
UPPER(TRIM(rEmisor))=UPPER(TRIM(C1191)),
UPPER(TRIM(rEmisor))=""CUALQUIERA""
),
OR(
UPPER(TRI"&amp;"M(rTipo))=""SOLO EMISOR"",
AND(
UPPER(TRIM(rTipo))=""EXACTA"",
UPPER(TRIM(AG1191))=UPPER(TRIM(rPatron))
),
AND(
OR(
UPPER(TRIM(rTipo))=""CONTIENE"",
UPPER(TRIM(rTipo))=""COINCIDENCIA""
),
ISNUMBER(SEARCH(UPPER(TRIM(rPatron)),UPPER(TRIM(D1191))))
)
)
),
rC"&amp;"oncepto,
""""
)
)
),
MAP(
reglas!$B$2:$B$240,
reglas!$C$2:$C$240,
reglas!$D$2:$D$240,
reglas!$E$2:$E$240,
LAMBDA(rEmisor,rPatron,rConcepto,rTipo,
IF(
AND(
OR(
UPPER(TRIM(rEmisor))=UPPER(TRIM(C1191)),
UPPER(TRIM(rEmisor))=""CUALQUIERA""
),
OR(
UPPER(TRIM(r"&amp;"Tipo))=""SOLO EMISOR"",
AND(
UPPER(TRIM(rTipo))=""EXACTA"",
UPPER(TRIM(D1191))=UPPER(TRIM(rPatron))
),
AND(
OR(
UPPER(TRIM(rTipo))=""CONTIENE"",
UPPER(TRIM(rTipo))=""COINCIDENCIA""
),
ISNUMBER(SEARCH(UPPER(TRIM(rPatron)),UPPER(TRIM(D1191))))
)
)
),
rConce"&amp;"pto,
""""
)
)
)&lt;&gt;""""
),
1
),
""""
)"),"MANIOBRAS")</f>
        <v>MANIOBRAS</v>
      </c>
      <c r="L1191" s="27"/>
      <c r="M1191" s="27"/>
      <c r="N1191" s="27"/>
      <c r="O1191" s="27"/>
      <c r="P1191" s="27"/>
      <c r="Q1191" s="27"/>
      <c r="R1191" s="27"/>
      <c r="S1191" s="27"/>
      <c r="T1191" s="27"/>
      <c r="U1191" s="27"/>
      <c r="V1191" s="27"/>
      <c r="W1191" s="27"/>
      <c r="X1191" s="27"/>
      <c r="Y1191" s="27"/>
    </row>
    <row r="1192">
      <c r="A1192" s="32"/>
      <c r="B1192" s="28" t="s">
        <v>29</v>
      </c>
      <c r="C1192" s="29" t="s">
        <v>278</v>
      </c>
      <c r="D1192" s="29" t="s">
        <v>560</v>
      </c>
      <c r="E1192" s="30">
        <v>3500.0</v>
      </c>
      <c r="F1192" s="28">
        <v>0.0</v>
      </c>
      <c r="G1192" s="28" t="s">
        <v>250</v>
      </c>
      <c r="H1192" s="28">
        <f t="array" ref="H1192">INDEX(CC!C:C,MATCH(1,(CC!A:A=G1192)*(CC!B:B=I1192),0))</f>
        <v>1402</v>
      </c>
      <c r="I1192" s="28" t="s">
        <v>25</v>
      </c>
      <c r="J1192" s="31">
        <v>3500.0</v>
      </c>
      <c r="K1192" s="28" t="str">
        <f>IFERROR(__xludf.DUMMYFUNCTION("IFERROR(
INDEX(
FILTER(
MAP(
reglas!$B$2:$B$240,
reglas!$C$2:$C$240,
reglas!$D$2:$D$240,
reglas!$E$2:$E$240,
LAMBDA(rEmisor,rPatron,rConcepto,rTipo,
IF(
AND(
OR(
UPPER(TRIM(rEmisor))=UPPER(TRIM(C1192)),
UPPER(TRIM(rEmisor))=""CUALQUIERA""
),
OR(
UPPER(TRI"&amp;"M(rTipo))=""SOLO EMISOR"",
AND(
UPPER(TRIM(rTipo))=""EXACTA"",
UPPER(TRIM(AG1192))=UPPER(TRIM(rPatron))
),
AND(
OR(
UPPER(TRIM(rTipo))=""CONTIENE"",
UPPER(TRIM(rTipo))=""COINCIDENCIA""
),
ISNUMBER(SEARCH(UPPER(TRIM(rPatron)),UPPER(TRIM(D1192))))
)
)
),
rC"&amp;"oncepto,
""""
)
)
),
MAP(
reglas!$B$2:$B$240,
reglas!$C$2:$C$240,
reglas!$D$2:$D$240,
reglas!$E$2:$E$240,
LAMBDA(rEmisor,rPatron,rConcepto,rTipo,
IF(
AND(
OR(
UPPER(TRIM(rEmisor))=UPPER(TRIM(C1192)),
UPPER(TRIM(rEmisor))=""CUALQUIERA""
),
OR(
UPPER(TRIM(r"&amp;"Tipo))=""SOLO EMISOR"",
AND(
UPPER(TRIM(rTipo))=""EXACTA"",
UPPER(TRIM(D1192))=UPPER(TRIM(rPatron))
),
AND(
OR(
UPPER(TRIM(rTipo))=""CONTIENE"",
UPPER(TRIM(rTipo))=""COINCIDENCIA""
),
ISNUMBER(SEARCH(UPPER(TRIM(rPatron)),UPPER(TRIM(D1192))))
)
)
),
rConce"&amp;"pto,
""""
)
)
)&lt;&gt;""""
),
1
),
""""
)"),"MANIOBRAS")</f>
        <v>MANIOBRAS</v>
      </c>
      <c r="L1192" s="27"/>
      <c r="M1192" s="27"/>
      <c r="N1192" s="27"/>
      <c r="O1192" s="27"/>
      <c r="P1192" s="27"/>
      <c r="Q1192" s="27"/>
      <c r="R1192" s="27"/>
      <c r="S1192" s="27"/>
      <c r="T1192" s="27"/>
      <c r="U1192" s="27"/>
      <c r="V1192" s="27"/>
      <c r="W1192" s="27"/>
      <c r="X1192" s="27"/>
      <c r="Y1192" s="27"/>
    </row>
    <row r="1193">
      <c r="A1193" s="32"/>
      <c r="B1193" s="28" t="s">
        <v>29</v>
      </c>
      <c r="C1193" s="29" t="s">
        <v>331</v>
      </c>
      <c r="D1193" s="29" t="s">
        <v>33</v>
      </c>
      <c r="E1193" s="28">
        <v>0.01</v>
      </c>
      <c r="F1193" s="28">
        <v>0.0</v>
      </c>
      <c r="G1193" s="28" t="s">
        <v>385</v>
      </c>
      <c r="H1193" s="28">
        <f t="array" ref="H1193">INDEX(CC!C:C,MATCH(1,(CC!A:A=G1193)*(CC!B:B=I1193),0))</f>
        <v>502</v>
      </c>
      <c r="I1193" s="28" t="s">
        <v>25</v>
      </c>
      <c r="J1193" s="31">
        <v>0.01</v>
      </c>
      <c r="K1193" s="28" t="str">
        <f>IFERROR(__xludf.DUMMYFUNCTION("IFERROR(
INDEX(
FILTER(
MAP(
reglas!$B$2:$B$240,
reglas!$C$2:$C$240,
reglas!$D$2:$D$240,
reglas!$E$2:$E$240,
LAMBDA(rEmisor,rPatron,rConcepto,rTipo,
IF(
AND(
OR(
UPPER(TRIM(rEmisor))=UPPER(TRIM(C1193)),
UPPER(TRIM(rEmisor))=""CUALQUIERA""
),
OR(
UPPER(TRI"&amp;"M(rTipo))=""SOLO EMISOR"",
AND(
UPPER(TRIM(rTipo))=""EXACTA"",
UPPER(TRIM(AG1193))=UPPER(TRIM(rPatron))
),
AND(
OR(
UPPER(TRIM(rTipo))=""CONTIENE"",
UPPER(TRIM(rTipo))=""COINCIDENCIA""
),
ISNUMBER(SEARCH(UPPER(TRIM(rPatron)),UPPER(TRIM(D1193))))
)
)
),
rC"&amp;"oncepto,
""""
)
)
),
MAP(
reglas!$B$2:$B$240,
reglas!$C$2:$C$240,
reglas!$D$2:$D$240,
reglas!$E$2:$E$240,
LAMBDA(rEmisor,rPatron,rConcepto,rTipo,
IF(
AND(
OR(
UPPER(TRIM(rEmisor))=UPPER(TRIM(C1193)),
UPPER(TRIM(rEmisor))=""CUALQUIERA""
),
OR(
UPPER(TRIM(r"&amp;"Tipo))=""SOLO EMISOR"",
AND(
UPPER(TRIM(rTipo))=""EXACTA"",
UPPER(TRIM(D1193))=UPPER(TRIM(rPatron))
),
AND(
OR(
UPPER(TRIM(rTipo))=""CONTIENE"",
UPPER(TRIM(rTipo))=""COINCIDENCIA""
),
ISNUMBER(SEARCH(UPPER(TRIM(rPatron)),UPPER(TRIM(D1193))))
)
)
),
rConce"&amp;"pto,
""""
)
)
)&lt;&gt;""""
),
1
),
""""
)"),"N/A")</f>
        <v>N/A</v>
      </c>
      <c r="L1193" s="27"/>
      <c r="M1193" s="27"/>
      <c r="N1193" s="27"/>
      <c r="O1193" s="27"/>
      <c r="P1193" s="27"/>
      <c r="Q1193" s="27"/>
      <c r="R1193" s="27"/>
      <c r="S1193" s="27"/>
      <c r="T1193" s="27"/>
      <c r="U1193" s="27"/>
      <c r="V1193" s="27"/>
      <c r="W1193" s="27"/>
      <c r="X1193" s="27"/>
      <c r="Y1193" s="27"/>
    </row>
    <row r="1194">
      <c r="A1194" s="32"/>
      <c r="B1194" s="28" t="s">
        <v>29</v>
      </c>
      <c r="C1194" s="29" t="s">
        <v>278</v>
      </c>
      <c r="D1194" s="29" t="s">
        <v>560</v>
      </c>
      <c r="E1194" s="30">
        <v>3500.0</v>
      </c>
      <c r="F1194" s="28">
        <v>0.0</v>
      </c>
      <c r="G1194" s="28" t="s">
        <v>250</v>
      </c>
      <c r="H1194" s="28">
        <f t="array" ref="H1194">INDEX(CC!C:C,MATCH(1,(CC!A:A=G1194)*(CC!B:B=I1194),0))</f>
        <v>1402</v>
      </c>
      <c r="I1194" s="28" t="s">
        <v>25</v>
      </c>
      <c r="J1194" s="31">
        <v>3500.0</v>
      </c>
      <c r="K1194" s="28" t="str">
        <f>IFERROR(__xludf.DUMMYFUNCTION("IFERROR(
INDEX(
FILTER(
MAP(
reglas!$B$2:$B$240,
reglas!$C$2:$C$240,
reglas!$D$2:$D$240,
reglas!$E$2:$E$240,
LAMBDA(rEmisor,rPatron,rConcepto,rTipo,
IF(
AND(
OR(
UPPER(TRIM(rEmisor))=UPPER(TRIM(C1194)),
UPPER(TRIM(rEmisor))=""CUALQUIERA""
),
OR(
UPPER(TRI"&amp;"M(rTipo))=""SOLO EMISOR"",
AND(
UPPER(TRIM(rTipo))=""EXACTA"",
UPPER(TRIM(AG1194))=UPPER(TRIM(rPatron))
),
AND(
OR(
UPPER(TRIM(rTipo))=""CONTIENE"",
UPPER(TRIM(rTipo))=""COINCIDENCIA""
),
ISNUMBER(SEARCH(UPPER(TRIM(rPatron)),UPPER(TRIM(D1194))))
)
)
),
rC"&amp;"oncepto,
""""
)
)
),
MAP(
reglas!$B$2:$B$240,
reglas!$C$2:$C$240,
reglas!$D$2:$D$240,
reglas!$E$2:$E$240,
LAMBDA(rEmisor,rPatron,rConcepto,rTipo,
IF(
AND(
OR(
UPPER(TRIM(rEmisor))=UPPER(TRIM(C1194)),
UPPER(TRIM(rEmisor))=""CUALQUIERA""
),
OR(
UPPER(TRIM(r"&amp;"Tipo))=""SOLO EMISOR"",
AND(
UPPER(TRIM(rTipo))=""EXACTA"",
UPPER(TRIM(D1194))=UPPER(TRIM(rPatron))
),
AND(
OR(
UPPER(TRIM(rTipo))=""CONTIENE"",
UPPER(TRIM(rTipo))=""COINCIDENCIA""
),
ISNUMBER(SEARCH(UPPER(TRIM(rPatron)),UPPER(TRIM(D1194))))
)
)
),
rConce"&amp;"pto,
""""
)
)
)&lt;&gt;""""
),
1
),
""""
)"),"MANIOBRAS")</f>
        <v>MANIOBRAS</v>
      </c>
      <c r="L1194" s="27"/>
      <c r="M1194" s="27"/>
      <c r="N1194" s="27"/>
      <c r="O1194" s="27"/>
      <c r="P1194" s="27"/>
      <c r="Q1194" s="27"/>
      <c r="R1194" s="27"/>
      <c r="S1194" s="27"/>
      <c r="T1194" s="27"/>
      <c r="U1194" s="27"/>
      <c r="V1194" s="27"/>
      <c r="W1194" s="27"/>
      <c r="X1194" s="27"/>
      <c r="Y1194" s="27"/>
    </row>
    <row r="1195">
      <c r="A1195" s="28">
        <v>1.0</v>
      </c>
      <c r="B1195" s="28" t="s">
        <v>29</v>
      </c>
      <c r="C1195" s="29" t="s">
        <v>271</v>
      </c>
      <c r="D1195" s="29" t="s">
        <v>585</v>
      </c>
      <c r="E1195" s="28">
        <v>622.42</v>
      </c>
      <c r="F1195" s="28">
        <v>0.0</v>
      </c>
      <c r="G1195" s="28" t="s">
        <v>84</v>
      </c>
      <c r="H1195" s="28">
        <f t="array" ref="H1195">INDEX(CC!C:C,MATCH(1,(CC!A:A=G1195)*(CC!B:B=I1195),0))</f>
        <v>1002</v>
      </c>
      <c r="I1195" s="28" t="s">
        <v>25</v>
      </c>
      <c r="J1195" s="31">
        <v>622.42</v>
      </c>
      <c r="K1195" s="28" t="str">
        <f>IFERROR(__xludf.DUMMYFUNCTION("IFERROR(
INDEX(
FILTER(
MAP(
reglas!$B$2:$B$240,
reglas!$C$2:$C$240,
reglas!$D$2:$D$240,
reglas!$E$2:$E$240,
LAMBDA(rEmisor,rPatron,rConcepto,rTipo,
IF(
AND(
OR(
UPPER(TRIM(rEmisor))=UPPER(TRIM(C1195)),
UPPER(TRIM(rEmisor))=""CUALQUIERA""
),
OR(
UPPER(TRI"&amp;"M(rTipo))=""SOLO EMISOR"",
AND(
UPPER(TRIM(rTipo))=""EXACTA"",
UPPER(TRIM(AG1195))=UPPER(TRIM(rPatron))
),
AND(
OR(
UPPER(TRIM(rTipo))=""CONTIENE"",
UPPER(TRIM(rTipo))=""COINCIDENCIA""
),
ISNUMBER(SEARCH(UPPER(TRIM(rPatron)),UPPER(TRIM(D1195))))
)
)
),
rC"&amp;"oncepto,
""""
)
)
),
MAP(
reglas!$B$2:$B$240,
reglas!$C$2:$C$240,
reglas!$D$2:$D$240,
reglas!$E$2:$E$240,
LAMBDA(rEmisor,rPatron,rConcepto,rTipo,
IF(
AND(
OR(
UPPER(TRIM(rEmisor))=UPPER(TRIM(C1195)),
UPPER(TRIM(rEmisor))=""CUALQUIERA""
),
OR(
UPPER(TRIM(r"&amp;"Tipo))=""SOLO EMISOR"",
AND(
UPPER(TRIM(rTipo))=""EXACTA"",
UPPER(TRIM(D1195))=UPPER(TRIM(rPatron))
),
AND(
OR(
UPPER(TRIM(rTipo))=""CONTIENE"",
UPPER(TRIM(rTipo))=""COINCIDENCIA""
),
ISNUMBER(SEARCH(UPPER(TRIM(rPatron)),UPPER(TRIM(D1195))))
)
)
),
rConce"&amp;"pto,
""""
)
)
)&lt;&gt;""""
),
1
),
""""
)"),"MANIOBRAS")</f>
        <v>MANIOBRAS</v>
      </c>
      <c r="L1195" s="27"/>
      <c r="M1195" s="27"/>
      <c r="N1195" s="27"/>
      <c r="O1195" s="27"/>
      <c r="P1195" s="27"/>
      <c r="Q1195" s="27"/>
      <c r="R1195" s="27"/>
      <c r="S1195" s="27"/>
      <c r="T1195" s="27"/>
      <c r="U1195" s="27"/>
      <c r="V1195" s="27"/>
      <c r="W1195" s="27"/>
      <c r="X1195" s="27"/>
      <c r="Y1195" s="27"/>
    </row>
    <row r="1196">
      <c r="A1196" s="32"/>
      <c r="B1196" s="32"/>
      <c r="C1196" s="29" t="s">
        <v>271</v>
      </c>
      <c r="D1196" s="29" t="s">
        <v>587</v>
      </c>
      <c r="E1196" s="28">
        <v>569.47</v>
      </c>
      <c r="F1196" s="28">
        <v>0.0</v>
      </c>
      <c r="G1196" s="28" t="s">
        <v>84</v>
      </c>
      <c r="H1196" s="28">
        <f t="array" ref="H1196">INDEX(CC!C:C,MATCH(1,(CC!A:A=G1196)*(CC!B:B=I1196),0))</f>
        <v>1002</v>
      </c>
      <c r="I1196" s="28" t="s">
        <v>25</v>
      </c>
      <c r="J1196" s="31">
        <v>569.47</v>
      </c>
      <c r="K1196" s="28" t="str">
        <f>IFERROR(__xludf.DUMMYFUNCTION("IFERROR(
INDEX(
FILTER(
MAP(
reglas!$B$2:$B$240,
reglas!$C$2:$C$240,
reglas!$D$2:$D$240,
reglas!$E$2:$E$240,
LAMBDA(rEmisor,rPatron,rConcepto,rTipo,
IF(
AND(
OR(
UPPER(TRIM(rEmisor))=UPPER(TRIM(C1196)),
UPPER(TRIM(rEmisor))=""CUALQUIERA""
),
OR(
UPPER(TRI"&amp;"M(rTipo))=""SOLO EMISOR"",
AND(
UPPER(TRIM(rTipo))=""EXACTA"",
UPPER(TRIM(AG1196))=UPPER(TRIM(rPatron))
),
AND(
OR(
UPPER(TRIM(rTipo))=""CONTIENE"",
UPPER(TRIM(rTipo))=""COINCIDENCIA""
),
ISNUMBER(SEARCH(UPPER(TRIM(rPatron)),UPPER(TRIM(D1196))))
)
)
),
rC"&amp;"oncepto,
""""
)
)
),
MAP(
reglas!$B$2:$B$240,
reglas!$C$2:$C$240,
reglas!$D$2:$D$240,
reglas!$E$2:$E$240,
LAMBDA(rEmisor,rPatron,rConcepto,rTipo,
IF(
AND(
OR(
UPPER(TRIM(rEmisor))=UPPER(TRIM(C1196)),
UPPER(TRIM(rEmisor))=""CUALQUIERA""
),
OR(
UPPER(TRIM(r"&amp;"Tipo))=""SOLO EMISOR"",
AND(
UPPER(TRIM(rTipo))=""EXACTA"",
UPPER(TRIM(D1196))=UPPER(TRIM(rPatron))
),
AND(
OR(
UPPER(TRIM(rTipo))=""CONTIENE"",
UPPER(TRIM(rTipo))=""COINCIDENCIA""
),
ISNUMBER(SEARCH(UPPER(TRIM(rPatron)),UPPER(TRIM(D1196))))
)
)
),
rConce"&amp;"pto,
""""
)
)
)&lt;&gt;""""
),
1
),
""""
)"),"MANIOBRAS")</f>
        <v>MANIOBRAS</v>
      </c>
      <c r="L1196" s="27"/>
      <c r="M1196" s="27"/>
      <c r="N1196" s="27"/>
      <c r="O1196" s="27"/>
      <c r="P1196" s="27"/>
      <c r="Q1196" s="27"/>
      <c r="R1196" s="27"/>
      <c r="S1196" s="27"/>
      <c r="T1196" s="27"/>
      <c r="U1196" s="27"/>
      <c r="V1196" s="27"/>
      <c r="W1196" s="27"/>
      <c r="X1196" s="27"/>
      <c r="Y1196" s="27"/>
    </row>
    <row r="1197">
      <c r="A1197" s="32"/>
      <c r="B1197" s="32"/>
      <c r="C1197" s="29" t="s">
        <v>271</v>
      </c>
      <c r="D1197" s="29" t="s">
        <v>586</v>
      </c>
      <c r="E1197" s="28">
        <v>622.76</v>
      </c>
      <c r="F1197" s="28">
        <v>0.0</v>
      </c>
      <c r="G1197" s="28" t="s">
        <v>84</v>
      </c>
      <c r="H1197" s="28">
        <f t="array" ref="H1197">INDEX(CC!C:C,MATCH(1,(CC!A:A=G1197)*(CC!B:B=I1197),0))</f>
        <v>1002</v>
      </c>
      <c r="I1197" s="28" t="s">
        <v>25</v>
      </c>
      <c r="J1197" s="31">
        <v>622.76</v>
      </c>
      <c r="K1197" s="28" t="str">
        <f>IFERROR(__xludf.DUMMYFUNCTION("IFERROR(
INDEX(
FILTER(
MAP(
reglas!$B$2:$B$240,
reglas!$C$2:$C$240,
reglas!$D$2:$D$240,
reglas!$E$2:$E$240,
LAMBDA(rEmisor,rPatron,rConcepto,rTipo,
IF(
AND(
OR(
UPPER(TRIM(rEmisor))=UPPER(TRIM(C1197)),
UPPER(TRIM(rEmisor))=""CUALQUIERA""
),
OR(
UPPER(TRI"&amp;"M(rTipo))=""SOLO EMISOR"",
AND(
UPPER(TRIM(rTipo))=""EXACTA"",
UPPER(TRIM(AG1197))=UPPER(TRIM(rPatron))
),
AND(
OR(
UPPER(TRIM(rTipo))=""CONTIENE"",
UPPER(TRIM(rTipo))=""COINCIDENCIA""
),
ISNUMBER(SEARCH(UPPER(TRIM(rPatron)),UPPER(TRIM(D1197))))
)
)
),
rC"&amp;"oncepto,
""""
)
)
),
MAP(
reglas!$B$2:$B$240,
reglas!$C$2:$C$240,
reglas!$D$2:$D$240,
reglas!$E$2:$E$240,
LAMBDA(rEmisor,rPatron,rConcepto,rTipo,
IF(
AND(
OR(
UPPER(TRIM(rEmisor))=UPPER(TRIM(C1197)),
UPPER(TRIM(rEmisor))=""CUALQUIERA""
),
OR(
UPPER(TRIM(r"&amp;"Tipo))=""SOLO EMISOR"",
AND(
UPPER(TRIM(rTipo))=""EXACTA"",
UPPER(TRIM(D1197))=UPPER(TRIM(rPatron))
),
AND(
OR(
UPPER(TRIM(rTipo))=""CONTIENE"",
UPPER(TRIM(rTipo))=""COINCIDENCIA""
),
ISNUMBER(SEARCH(UPPER(TRIM(rPatron)),UPPER(TRIM(D1197))))
)
)
),
rConce"&amp;"pto,
""""
)
)
)&lt;&gt;""""
),
1
),
""""
)"),"MANIOBRAS")</f>
        <v>MANIOBRAS</v>
      </c>
      <c r="L1197" s="27"/>
      <c r="M1197" s="27"/>
      <c r="N1197" s="27"/>
      <c r="O1197" s="27"/>
      <c r="P1197" s="27"/>
      <c r="Q1197" s="27"/>
      <c r="R1197" s="27"/>
      <c r="S1197" s="27"/>
      <c r="T1197" s="27"/>
      <c r="U1197" s="27"/>
      <c r="V1197" s="27"/>
      <c r="W1197" s="27"/>
      <c r="X1197" s="27"/>
      <c r="Y1197" s="27"/>
    </row>
    <row r="1198">
      <c r="A1198" s="32"/>
      <c r="B1198" s="32"/>
      <c r="C1198" s="29" t="s">
        <v>271</v>
      </c>
      <c r="D1198" s="29" t="s">
        <v>589</v>
      </c>
      <c r="E1198" s="28">
        <v>622.76</v>
      </c>
      <c r="F1198" s="28">
        <v>0.0</v>
      </c>
      <c r="G1198" s="28" t="s">
        <v>84</v>
      </c>
      <c r="H1198" s="28">
        <f t="array" ref="H1198">INDEX(CC!C:C,MATCH(1,(CC!A:A=G1198)*(CC!B:B=I1198),0))</f>
        <v>1002</v>
      </c>
      <c r="I1198" s="28" t="s">
        <v>25</v>
      </c>
      <c r="J1198" s="31">
        <v>622.76</v>
      </c>
      <c r="K1198" s="28" t="str">
        <f>IFERROR(__xludf.DUMMYFUNCTION("IFERROR(
INDEX(
FILTER(
MAP(
reglas!$B$2:$B$240,
reglas!$C$2:$C$240,
reglas!$D$2:$D$240,
reglas!$E$2:$E$240,
LAMBDA(rEmisor,rPatron,rConcepto,rTipo,
IF(
AND(
OR(
UPPER(TRIM(rEmisor))=UPPER(TRIM(C1198)),
UPPER(TRIM(rEmisor))=""CUALQUIERA""
),
OR(
UPPER(TRI"&amp;"M(rTipo))=""SOLO EMISOR"",
AND(
UPPER(TRIM(rTipo))=""EXACTA"",
UPPER(TRIM(AG1198))=UPPER(TRIM(rPatron))
),
AND(
OR(
UPPER(TRIM(rTipo))=""CONTIENE"",
UPPER(TRIM(rTipo))=""COINCIDENCIA""
),
ISNUMBER(SEARCH(UPPER(TRIM(rPatron)),UPPER(TRIM(D1198))))
)
)
),
rC"&amp;"oncepto,
""""
)
)
),
MAP(
reglas!$B$2:$B$240,
reglas!$C$2:$C$240,
reglas!$D$2:$D$240,
reglas!$E$2:$E$240,
LAMBDA(rEmisor,rPatron,rConcepto,rTipo,
IF(
AND(
OR(
UPPER(TRIM(rEmisor))=UPPER(TRIM(C1198)),
UPPER(TRIM(rEmisor))=""CUALQUIERA""
),
OR(
UPPER(TRIM(r"&amp;"Tipo))=""SOLO EMISOR"",
AND(
UPPER(TRIM(rTipo))=""EXACTA"",
UPPER(TRIM(D1198))=UPPER(TRIM(rPatron))
),
AND(
OR(
UPPER(TRIM(rTipo))=""CONTIENE"",
UPPER(TRIM(rTipo))=""COINCIDENCIA""
),
ISNUMBER(SEARCH(UPPER(TRIM(rPatron)),UPPER(TRIM(D1198))))
)
)
),
rConce"&amp;"pto,
""""
)
)
)&lt;&gt;""""
),
1
),
""""
)"),"MANIOBRAS")</f>
        <v>MANIOBRAS</v>
      </c>
      <c r="L1198" s="27"/>
      <c r="M1198" s="27"/>
      <c r="N1198" s="27"/>
      <c r="O1198" s="27"/>
      <c r="P1198" s="27"/>
      <c r="Q1198" s="27"/>
      <c r="R1198" s="27"/>
      <c r="S1198" s="27"/>
      <c r="T1198" s="27"/>
      <c r="U1198" s="27"/>
      <c r="V1198" s="27"/>
      <c r="W1198" s="27"/>
      <c r="X1198" s="27"/>
      <c r="Y1198" s="27"/>
    </row>
    <row r="1199">
      <c r="A1199" s="32"/>
      <c r="B1199" s="32"/>
      <c r="C1199" s="29" t="s">
        <v>271</v>
      </c>
      <c r="D1199" s="29" t="s">
        <v>593</v>
      </c>
      <c r="E1199" s="28">
        <v>651.7</v>
      </c>
      <c r="F1199" s="28">
        <v>0.0</v>
      </c>
      <c r="G1199" s="28" t="s">
        <v>84</v>
      </c>
      <c r="H1199" s="28">
        <f t="array" ref="H1199">INDEX(CC!C:C,MATCH(1,(CC!A:A=G1199)*(CC!B:B=I1199),0))</f>
        <v>1002</v>
      </c>
      <c r="I1199" s="28" t="s">
        <v>25</v>
      </c>
      <c r="J1199" s="31">
        <v>651.7</v>
      </c>
      <c r="K1199" s="28" t="str">
        <f>IFERROR(__xludf.DUMMYFUNCTION("IFERROR(
INDEX(
FILTER(
MAP(
reglas!$B$2:$B$240,
reglas!$C$2:$C$240,
reglas!$D$2:$D$240,
reglas!$E$2:$E$240,
LAMBDA(rEmisor,rPatron,rConcepto,rTipo,
IF(
AND(
OR(
UPPER(TRIM(rEmisor))=UPPER(TRIM(C1199)),
UPPER(TRIM(rEmisor))=""CUALQUIERA""
),
OR(
UPPER(TRI"&amp;"M(rTipo))=""SOLO EMISOR"",
AND(
UPPER(TRIM(rTipo))=""EXACTA"",
UPPER(TRIM(AG1199))=UPPER(TRIM(rPatron))
),
AND(
OR(
UPPER(TRIM(rTipo))=""CONTIENE"",
UPPER(TRIM(rTipo))=""COINCIDENCIA""
),
ISNUMBER(SEARCH(UPPER(TRIM(rPatron)),UPPER(TRIM(D1199))))
)
)
),
rC"&amp;"oncepto,
""""
)
)
),
MAP(
reglas!$B$2:$B$240,
reglas!$C$2:$C$240,
reglas!$D$2:$D$240,
reglas!$E$2:$E$240,
LAMBDA(rEmisor,rPatron,rConcepto,rTipo,
IF(
AND(
OR(
UPPER(TRIM(rEmisor))=UPPER(TRIM(C1199)),
UPPER(TRIM(rEmisor))=""CUALQUIERA""
),
OR(
UPPER(TRIM(r"&amp;"Tipo))=""SOLO EMISOR"",
AND(
UPPER(TRIM(rTipo))=""EXACTA"",
UPPER(TRIM(D1199))=UPPER(TRIM(rPatron))
),
AND(
OR(
UPPER(TRIM(rTipo))=""CONTIENE"",
UPPER(TRIM(rTipo))=""COINCIDENCIA""
),
ISNUMBER(SEARCH(UPPER(TRIM(rPatron)),UPPER(TRIM(D1199))))
)
)
),
rConce"&amp;"pto,
""""
)
)
)&lt;&gt;""""
),
1
),
""""
)"),"MANIOBRAS")</f>
        <v>MANIOBRAS</v>
      </c>
      <c r="L1199" s="27"/>
      <c r="M1199" s="27"/>
      <c r="N1199" s="27"/>
      <c r="O1199" s="27"/>
      <c r="P1199" s="27"/>
      <c r="Q1199" s="27"/>
      <c r="R1199" s="27"/>
      <c r="S1199" s="27"/>
      <c r="T1199" s="27"/>
      <c r="U1199" s="27"/>
      <c r="V1199" s="27"/>
      <c r="W1199" s="27"/>
      <c r="X1199" s="27"/>
      <c r="Y1199" s="27"/>
    </row>
    <row r="1200">
      <c r="A1200" s="32"/>
      <c r="B1200" s="32"/>
      <c r="C1200" s="29" t="s">
        <v>271</v>
      </c>
      <c r="D1200" s="29" t="s">
        <v>596</v>
      </c>
      <c r="E1200" s="28">
        <v>653.4</v>
      </c>
      <c r="F1200" s="28">
        <v>0.0</v>
      </c>
      <c r="G1200" s="28" t="s">
        <v>84</v>
      </c>
      <c r="H1200" s="28">
        <f t="array" ref="H1200">INDEX(CC!C:C,MATCH(1,(CC!A:A=G1200)*(CC!B:B=I1200),0))</f>
        <v>1002</v>
      </c>
      <c r="I1200" s="28" t="s">
        <v>25</v>
      </c>
      <c r="J1200" s="31">
        <v>653.4</v>
      </c>
      <c r="K1200" s="28" t="str">
        <f>IFERROR(__xludf.DUMMYFUNCTION("IFERROR(
INDEX(
FILTER(
MAP(
reglas!$B$2:$B$240,
reglas!$C$2:$C$240,
reglas!$D$2:$D$240,
reglas!$E$2:$E$240,
LAMBDA(rEmisor,rPatron,rConcepto,rTipo,
IF(
AND(
OR(
UPPER(TRIM(rEmisor))=UPPER(TRIM(C1200)),
UPPER(TRIM(rEmisor))=""CUALQUIERA""
),
OR(
UPPER(TRI"&amp;"M(rTipo))=""SOLO EMISOR"",
AND(
UPPER(TRIM(rTipo))=""EXACTA"",
UPPER(TRIM(AG1200))=UPPER(TRIM(rPatron))
),
AND(
OR(
UPPER(TRIM(rTipo))=""CONTIENE"",
UPPER(TRIM(rTipo))=""COINCIDENCIA""
),
ISNUMBER(SEARCH(UPPER(TRIM(rPatron)),UPPER(TRIM(D1200))))
)
)
),
rC"&amp;"oncepto,
""""
)
)
),
MAP(
reglas!$B$2:$B$240,
reglas!$C$2:$C$240,
reglas!$D$2:$D$240,
reglas!$E$2:$E$240,
LAMBDA(rEmisor,rPatron,rConcepto,rTipo,
IF(
AND(
OR(
UPPER(TRIM(rEmisor))=UPPER(TRIM(C1200)),
UPPER(TRIM(rEmisor))=""CUALQUIERA""
),
OR(
UPPER(TRIM(r"&amp;"Tipo))=""SOLO EMISOR"",
AND(
UPPER(TRIM(rTipo))=""EXACTA"",
UPPER(TRIM(D1200))=UPPER(TRIM(rPatron))
),
AND(
OR(
UPPER(TRIM(rTipo))=""CONTIENE"",
UPPER(TRIM(rTipo))=""COINCIDENCIA""
),
ISNUMBER(SEARCH(UPPER(TRIM(rPatron)),UPPER(TRIM(D1200))))
)
)
),
rConce"&amp;"pto,
""""
)
)
)&lt;&gt;""""
),
1
),
""""
)"),"MANIOBRAS")</f>
        <v>MANIOBRAS</v>
      </c>
      <c r="L1200" s="27"/>
      <c r="M1200" s="27"/>
      <c r="N1200" s="27"/>
      <c r="O1200" s="27"/>
      <c r="P1200" s="27"/>
      <c r="Q1200" s="27"/>
      <c r="R1200" s="27"/>
      <c r="S1200" s="27"/>
      <c r="T1200" s="27"/>
      <c r="U1200" s="27"/>
      <c r="V1200" s="27"/>
      <c r="W1200" s="27"/>
      <c r="X1200" s="27"/>
      <c r="Y1200" s="27"/>
    </row>
    <row r="1201">
      <c r="A1201" s="32"/>
      <c r="B1201" s="28" t="s">
        <v>29</v>
      </c>
      <c r="C1201" s="29" t="s">
        <v>172</v>
      </c>
      <c r="D1201" s="29" t="s">
        <v>1829</v>
      </c>
      <c r="E1201" s="30">
        <v>11500.0</v>
      </c>
      <c r="F1201" s="28">
        <v>0.0</v>
      </c>
      <c r="G1201" s="28" t="s">
        <v>250</v>
      </c>
      <c r="H1201" s="28">
        <f t="array" ref="H1201">INDEX(CC!C:C,MATCH(1,(CC!A:A=G1201)*(CC!B:B=I1201),0))</f>
        <v>1402</v>
      </c>
      <c r="I1201" s="28" t="s">
        <v>25</v>
      </c>
      <c r="J1201" s="31">
        <v>11500.0</v>
      </c>
      <c r="K1201" s="28" t="str">
        <f>IFERROR(__xludf.DUMMYFUNCTION("IFERROR(
INDEX(
FILTER(
MAP(
reglas!$B$2:$B$240,
reglas!$C$2:$C$240,
reglas!$D$2:$D$240,
reglas!$E$2:$E$240,
LAMBDA(rEmisor,rPatron,rConcepto,rTipo,
IF(
AND(
OR(
UPPER(TRIM(rEmisor))=UPPER(TRIM(C1201)),
UPPER(TRIM(rEmisor))=""CUALQUIERA""
),
OR(
UPPER(TRI"&amp;"M(rTipo))=""SOLO EMISOR"",
AND(
UPPER(TRIM(rTipo))=""EXACTA"",
UPPER(TRIM(AG1201))=UPPER(TRIM(rPatron))
),
AND(
OR(
UPPER(TRIM(rTipo))=""CONTIENE"",
UPPER(TRIM(rTipo))=""COINCIDENCIA""
),
ISNUMBER(SEARCH(UPPER(TRIM(rPatron)),UPPER(TRIM(D1201))))
)
)
),
rC"&amp;"oncepto,
""""
)
)
),
MAP(
reglas!$B$2:$B$240,
reglas!$C$2:$C$240,
reglas!$D$2:$D$240,
reglas!$E$2:$E$240,
LAMBDA(rEmisor,rPatron,rConcepto,rTipo,
IF(
AND(
OR(
UPPER(TRIM(rEmisor))=UPPER(TRIM(C1201)),
UPPER(TRIM(rEmisor))=""CUALQUIERA""
),
OR(
UPPER(TRIM(r"&amp;"Tipo))=""SOLO EMISOR"",
AND(
UPPER(TRIM(rTipo))=""EXACTA"",
UPPER(TRIM(D1201))=UPPER(TRIM(rPatron))
),
AND(
OR(
UPPER(TRIM(rTipo))=""CONTIENE"",
UPPER(TRIM(rTipo))=""COINCIDENCIA""
),
ISNUMBER(SEARCH(UPPER(TRIM(rPatron)),UPPER(TRIM(D1201))))
)
)
),
rConce"&amp;"pto,
""""
)
)
)&lt;&gt;""""
),
1
),
""""
)"),"TRANSPORTE")</f>
        <v>TRANSPORTE</v>
      </c>
      <c r="L1201" s="27"/>
      <c r="M1201" s="27"/>
      <c r="N1201" s="27"/>
      <c r="O1201" s="27"/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</row>
    <row r="1202">
      <c r="A1202" s="32"/>
      <c r="B1202" s="28" t="s">
        <v>29</v>
      </c>
      <c r="C1202" s="29" t="s">
        <v>172</v>
      </c>
      <c r="D1202" s="29" t="s">
        <v>1852</v>
      </c>
      <c r="E1202" s="30">
        <v>11500.0</v>
      </c>
      <c r="F1202" s="28">
        <v>0.0</v>
      </c>
      <c r="G1202" s="28" t="s">
        <v>250</v>
      </c>
      <c r="H1202" s="28">
        <f t="array" ref="H1202">INDEX(CC!C:C,MATCH(1,(CC!A:A=G1202)*(CC!B:B=I1202),0))</f>
        <v>1402</v>
      </c>
      <c r="I1202" s="28" t="s">
        <v>25</v>
      </c>
      <c r="J1202" s="31">
        <v>11500.0</v>
      </c>
      <c r="K1202" s="28" t="str">
        <f>IFERROR(__xludf.DUMMYFUNCTION("IFERROR(
INDEX(
FILTER(
MAP(
reglas!$B$2:$B$240,
reglas!$C$2:$C$240,
reglas!$D$2:$D$240,
reglas!$E$2:$E$240,
LAMBDA(rEmisor,rPatron,rConcepto,rTipo,
IF(
AND(
OR(
UPPER(TRIM(rEmisor))=UPPER(TRIM(C1202)),
UPPER(TRIM(rEmisor))=""CUALQUIERA""
),
OR(
UPPER(TRI"&amp;"M(rTipo))=""SOLO EMISOR"",
AND(
UPPER(TRIM(rTipo))=""EXACTA"",
UPPER(TRIM(AG1202))=UPPER(TRIM(rPatron))
),
AND(
OR(
UPPER(TRIM(rTipo))=""CONTIENE"",
UPPER(TRIM(rTipo))=""COINCIDENCIA""
),
ISNUMBER(SEARCH(UPPER(TRIM(rPatron)),UPPER(TRIM(D1202))))
)
)
),
rC"&amp;"oncepto,
""""
)
)
),
MAP(
reglas!$B$2:$B$240,
reglas!$C$2:$C$240,
reglas!$D$2:$D$240,
reglas!$E$2:$E$240,
LAMBDA(rEmisor,rPatron,rConcepto,rTipo,
IF(
AND(
OR(
UPPER(TRIM(rEmisor))=UPPER(TRIM(C1202)),
UPPER(TRIM(rEmisor))=""CUALQUIERA""
),
OR(
UPPER(TRIM(r"&amp;"Tipo))=""SOLO EMISOR"",
AND(
UPPER(TRIM(rTipo))=""EXACTA"",
UPPER(TRIM(D1202))=UPPER(TRIM(rPatron))
),
AND(
OR(
UPPER(TRIM(rTipo))=""CONTIENE"",
UPPER(TRIM(rTipo))=""COINCIDENCIA""
),
ISNUMBER(SEARCH(UPPER(TRIM(rPatron)),UPPER(TRIM(D1202))))
)
)
),
rConce"&amp;"pto,
""""
)
)
)&lt;&gt;""""
),
1
),
""""
)"),"TRANSPORTE")</f>
        <v>TRANSPORTE</v>
      </c>
      <c r="L1202" s="27"/>
      <c r="M1202" s="27"/>
      <c r="N1202" s="27"/>
      <c r="O1202" s="27"/>
      <c r="P1202" s="27"/>
      <c r="Q1202" s="27"/>
      <c r="R1202" s="27"/>
      <c r="S1202" s="27"/>
      <c r="T1202" s="27"/>
      <c r="U1202" s="27"/>
      <c r="V1202" s="27"/>
      <c r="W1202" s="27"/>
      <c r="X1202" s="27"/>
      <c r="Y1202" s="27"/>
    </row>
    <row r="1203">
      <c r="A1203" s="28">
        <v>1.0</v>
      </c>
      <c r="B1203" s="28" t="s">
        <v>29</v>
      </c>
      <c r="C1203" s="29" t="s">
        <v>271</v>
      </c>
      <c r="D1203" s="29" t="s">
        <v>585</v>
      </c>
      <c r="E1203" s="28">
        <v>620.03</v>
      </c>
      <c r="F1203" s="28">
        <v>0.0</v>
      </c>
      <c r="G1203" s="28" t="s">
        <v>84</v>
      </c>
      <c r="H1203" s="28">
        <f t="array" ref="H1203">INDEX(CC!C:C,MATCH(1,(CC!A:A=G1203)*(CC!B:B=I1203),0))</f>
        <v>1002</v>
      </c>
      <c r="I1203" s="28" t="s">
        <v>25</v>
      </c>
      <c r="J1203" s="31">
        <v>620.03</v>
      </c>
      <c r="K1203" s="28" t="str">
        <f>IFERROR(__xludf.DUMMYFUNCTION("IFERROR(
INDEX(
FILTER(
MAP(
reglas!$B$2:$B$240,
reglas!$C$2:$C$240,
reglas!$D$2:$D$240,
reglas!$E$2:$E$240,
LAMBDA(rEmisor,rPatron,rConcepto,rTipo,
IF(
AND(
OR(
UPPER(TRIM(rEmisor))=UPPER(TRIM(C1203)),
UPPER(TRIM(rEmisor))=""CUALQUIERA""
),
OR(
UPPER(TRI"&amp;"M(rTipo))=""SOLO EMISOR"",
AND(
UPPER(TRIM(rTipo))=""EXACTA"",
UPPER(TRIM(AG1203))=UPPER(TRIM(rPatron))
),
AND(
OR(
UPPER(TRIM(rTipo))=""CONTIENE"",
UPPER(TRIM(rTipo))=""COINCIDENCIA""
),
ISNUMBER(SEARCH(UPPER(TRIM(rPatron)),UPPER(TRIM(D1203))))
)
)
),
rC"&amp;"oncepto,
""""
)
)
),
MAP(
reglas!$B$2:$B$240,
reglas!$C$2:$C$240,
reglas!$D$2:$D$240,
reglas!$E$2:$E$240,
LAMBDA(rEmisor,rPatron,rConcepto,rTipo,
IF(
AND(
OR(
UPPER(TRIM(rEmisor))=UPPER(TRIM(C1203)),
UPPER(TRIM(rEmisor))=""CUALQUIERA""
),
OR(
UPPER(TRIM(r"&amp;"Tipo))=""SOLO EMISOR"",
AND(
UPPER(TRIM(rTipo))=""EXACTA"",
UPPER(TRIM(D1203))=UPPER(TRIM(rPatron))
),
AND(
OR(
UPPER(TRIM(rTipo))=""CONTIENE"",
UPPER(TRIM(rTipo))=""COINCIDENCIA""
),
ISNUMBER(SEARCH(UPPER(TRIM(rPatron)),UPPER(TRIM(D1203))))
)
)
),
rConce"&amp;"pto,
""""
)
)
)&lt;&gt;""""
),
1
),
""""
)"),"MANIOBRAS")</f>
        <v>MANIOBRAS</v>
      </c>
      <c r="L1203" s="27"/>
      <c r="M1203" s="27"/>
      <c r="N1203" s="27"/>
      <c r="O1203" s="27"/>
      <c r="P1203" s="27"/>
      <c r="Q1203" s="27"/>
      <c r="R1203" s="27"/>
      <c r="S1203" s="27"/>
      <c r="T1203" s="27"/>
      <c r="U1203" s="27"/>
      <c r="V1203" s="27"/>
      <c r="W1203" s="27"/>
      <c r="X1203" s="27"/>
      <c r="Y1203" s="27"/>
    </row>
    <row r="1204">
      <c r="A1204" s="32"/>
      <c r="B1204" s="32"/>
      <c r="C1204" s="29" t="s">
        <v>271</v>
      </c>
      <c r="D1204" s="29" t="s">
        <v>587</v>
      </c>
      <c r="E1204" s="28">
        <v>567.29</v>
      </c>
      <c r="F1204" s="28">
        <v>0.0</v>
      </c>
      <c r="G1204" s="28" t="s">
        <v>84</v>
      </c>
      <c r="H1204" s="28">
        <f t="array" ref="H1204">INDEX(CC!C:C,MATCH(1,(CC!A:A=G1204)*(CC!B:B=I1204),0))</f>
        <v>1002</v>
      </c>
      <c r="I1204" s="28" t="s">
        <v>25</v>
      </c>
      <c r="J1204" s="31">
        <v>567.29</v>
      </c>
      <c r="K1204" s="28" t="str">
        <f>IFERROR(__xludf.DUMMYFUNCTION("IFERROR(
INDEX(
FILTER(
MAP(
reglas!$B$2:$B$240,
reglas!$C$2:$C$240,
reglas!$D$2:$D$240,
reglas!$E$2:$E$240,
LAMBDA(rEmisor,rPatron,rConcepto,rTipo,
IF(
AND(
OR(
UPPER(TRIM(rEmisor))=UPPER(TRIM(C1204)),
UPPER(TRIM(rEmisor))=""CUALQUIERA""
),
OR(
UPPER(TRI"&amp;"M(rTipo))=""SOLO EMISOR"",
AND(
UPPER(TRIM(rTipo))=""EXACTA"",
UPPER(TRIM(AG1204))=UPPER(TRIM(rPatron))
),
AND(
OR(
UPPER(TRIM(rTipo))=""CONTIENE"",
UPPER(TRIM(rTipo))=""COINCIDENCIA""
),
ISNUMBER(SEARCH(UPPER(TRIM(rPatron)),UPPER(TRIM(D1204))))
)
)
),
rC"&amp;"oncepto,
""""
)
)
),
MAP(
reglas!$B$2:$B$240,
reglas!$C$2:$C$240,
reglas!$D$2:$D$240,
reglas!$E$2:$E$240,
LAMBDA(rEmisor,rPatron,rConcepto,rTipo,
IF(
AND(
OR(
UPPER(TRIM(rEmisor))=UPPER(TRIM(C1204)),
UPPER(TRIM(rEmisor))=""CUALQUIERA""
),
OR(
UPPER(TRIM(r"&amp;"Tipo))=""SOLO EMISOR"",
AND(
UPPER(TRIM(rTipo))=""EXACTA"",
UPPER(TRIM(D1204))=UPPER(TRIM(rPatron))
),
AND(
OR(
UPPER(TRIM(rTipo))=""CONTIENE"",
UPPER(TRIM(rTipo))=""COINCIDENCIA""
),
ISNUMBER(SEARCH(UPPER(TRIM(rPatron)),UPPER(TRIM(D1204))))
)
)
),
rConce"&amp;"pto,
""""
)
)
)&lt;&gt;""""
),
1
),
""""
)"),"MANIOBRAS")</f>
        <v>MANIOBRAS</v>
      </c>
      <c r="L1204" s="27"/>
      <c r="M1204" s="27"/>
      <c r="N1204" s="27"/>
      <c r="O1204" s="27"/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</row>
    <row r="1205">
      <c r="A1205" s="32"/>
      <c r="B1205" s="32"/>
      <c r="C1205" s="29" t="s">
        <v>271</v>
      </c>
      <c r="D1205" s="29" t="s">
        <v>589</v>
      </c>
      <c r="E1205" s="28">
        <v>620.37</v>
      </c>
      <c r="F1205" s="28">
        <v>0.0</v>
      </c>
      <c r="G1205" s="28" t="s">
        <v>84</v>
      </c>
      <c r="H1205" s="28">
        <f t="array" ref="H1205">INDEX(CC!C:C,MATCH(1,(CC!A:A=G1205)*(CC!B:B=I1205),0))</f>
        <v>1002</v>
      </c>
      <c r="I1205" s="28" t="s">
        <v>25</v>
      </c>
      <c r="J1205" s="31">
        <v>620.37</v>
      </c>
      <c r="K1205" s="28" t="str">
        <f>IFERROR(__xludf.DUMMYFUNCTION("IFERROR(
INDEX(
FILTER(
MAP(
reglas!$B$2:$B$240,
reglas!$C$2:$C$240,
reglas!$D$2:$D$240,
reglas!$E$2:$E$240,
LAMBDA(rEmisor,rPatron,rConcepto,rTipo,
IF(
AND(
OR(
UPPER(TRIM(rEmisor))=UPPER(TRIM(C1205)),
UPPER(TRIM(rEmisor))=""CUALQUIERA""
),
OR(
UPPER(TRI"&amp;"M(rTipo))=""SOLO EMISOR"",
AND(
UPPER(TRIM(rTipo))=""EXACTA"",
UPPER(TRIM(AG1205))=UPPER(TRIM(rPatron))
),
AND(
OR(
UPPER(TRIM(rTipo))=""CONTIENE"",
UPPER(TRIM(rTipo))=""COINCIDENCIA""
),
ISNUMBER(SEARCH(UPPER(TRIM(rPatron)),UPPER(TRIM(D1205))))
)
)
),
rC"&amp;"oncepto,
""""
)
)
),
MAP(
reglas!$B$2:$B$240,
reglas!$C$2:$C$240,
reglas!$D$2:$D$240,
reglas!$E$2:$E$240,
LAMBDA(rEmisor,rPatron,rConcepto,rTipo,
IF(
AND(
OR(
UPPER(TRIM(rEmisor))=UPPER(TRIM(C1205)),
UPPER(TRIM(rEmisor))=""CUALQUIERA""
),
OR(
UPPER(TRIM(r"&amp;"Tipo))=""SOLO EMISOR"",
AND(
UPPER(TRIM(rTipo))=""EXACTA"",
UPPER(TRIM(D1205))=UPPER(TRIM(rPatron))
),
AND(
OR(
UPPER(TRIM(rTipo))=""CONTIENE"",
UPPER(TRIM(rTipo))=""COINCIDENCIA""
),
ISNUMBER(SEARCH(UPPER(TRIM(rPatron)),UPPER(TRIM(D1205))))
)
)
),
rConce"&amp;"pto,
""""
)
)
)&lt;&gt;""""
),
1
),
""""
)"),"MANIOBRAS")</f>
        <v>MANIOBRAS</v>
      </c>
      <c r="L1205" s="27"/>
      <c r="M1205" s="27"/>
      <c r="N1205" s="27"/>
      <c r="O1205" s="27"/>
      <c r="P1205" s="27"/>
      <c r="Q1205" s="27"/>
      <c r="R1205" s="27"/>
      <c r="S1205" s="27"/>
      <c r="T1205" s="27"/>
      <c r="U1205" s="27"/>
      <c r="V1205" s="27"/>
      <c r="W1205" s="27"/>
      <c r="X1205" s="27"/>
      <c r="Y1205" s="27"/>
    </row>
    <row r="1206">
      <c r="A1206" s="32"/>
      <c r="B1206" s="32"/>
      <c r="C1206" s="29" t="s">
        <v>271</v>
      </c>
      <c r="D1206" s="29" t="s">
        <v>596</v>
      </c>
      <c r="E1206" s="28">
        <v>650.9</v>
      </c>
      <c r="F1206" s="28">
        <v>0.0</v>
      </c>
      <c r="G1206" s="28" t="s">
        <v>84</v>
      </c>
      <c r="H1206" s="28">
        <f t="array" ref="H1206">INDEX(CC!C:C,MATCH(1,(CC!A:A=G1206)*(CC!B:B=I1206),0))</f>
        <v>1002</v>
      </c>
      <c r="I1206" s="28" t="s">
        <v>25</v>
      </c>
      <c r="J1206" s="31">
        <v>650.9</v>
      </c>
      <c r="K1206" s="28" t="str">
        <f>IFERROR(__xludf.DUMMYFUNCTION("IFERROR(
INDEX(
FILTER(
MAP(
reglas!$B$2:$B$240,
reglas!$C$2:$C$240,
reglas!$D$2:$D$240,
reglas!$E$2:$E$240,
LAMBDA(rEmisor,rPatron,rConcepto,rTipo,
IF(
AND(
OR(
UPPER(TRIM(rEmisor))=UPPER(TRIM(C1206)),
UPPER(TRIM(rEmisor))=""CUALQUIERA""
),
OR(
UPPER(TRI"&amp;"M(rTipo))=""SOLO EMISOR"",
AND(
UPPER(TRIM(rTipo))=""EXACTA"",
UPPER(TRIM(AG1206))=UPPER(TRIM(rPatron))
),
AND(
OR(
UPPER(TRIM(rTipo))=""CONTIENE"",
UPPER(TRIM(rTipo))=""COINCIDENCIA""
),
ISNUMBER(SEARCH(UPPER(TRIM(rPatron)),UPPER(TRIM(D1206))))
)
)
),
rC"&amp;"oncepto,
""""
)
)
),
MAP(
reglas!$B$2:$B$240,
reglas!$C$2:$C$240,
reglas!$D$2:$D$240,
reglas!$E$2:$E$240,
LAMBDA(rEmisor,rPatron,rConcepto,rTipo,
IF(
AND(
OR(
UPPER(TRIM(rEmisor))=UPPER(TRIM(C1206)),
UPPER(TRIM(rEmisor))=""CUALQUIERA""
),
OR(
UPPER(TRIM(r"&amp;"Tipo))=""SOLO EMISOR"",
AND(
UPPER(TRIM(rTipo))=""EXACTA"",
UPPER(TRIM(D1206))=UPPER(TRIM(rPatron))
),
AND(
OR(
UPPER(TRIM(rTipo))=""CONTIENE"",
UPPER(TRIM(rTipo))=""COINCIDENCIA""
),
ISNUMBER(SEARCH(UPPER(TRIM(rPatron)),UPPER(TRIM(D1206))))
)
)
),
rConce"&amp;"pto,
""""
)
)
)&lt;&gt;""""
),
1
),
""""
)"),"MANIOBRAS")</f>
        <v>MANIOBRAS</v>
      </c>
      <c r="L1206" s="27"/>
      <c r="M1206" s="27"/>
      <c r="N1206" s="27"/>
      <c r="O1206" s="27"/>
      <c r="P1206" s="27"/>
      <c r="Q1206" s="27"/>
      <c r="R1206" s="27"/>
      <c r="S1206" s="27"/>
      <c r="T1206" s="27"/>
      <c r="U1206" s="27"/>
      <c r="V1206" s="27"/>
      <c r="W1206" s="27"/>
      <c r="X1206" s="27"/>
      <c r="Y1206" s="27"/>
    </row>
    <row r="1207">
      <c r="A1207" s="32"/>
      <c r="B1207" s="28" t="s">
        <v>29</v>
      </c>
      <c r="C1207" s="29" t="s">
        <v>278</v>
      </c>
      <c r="D1207" s="29" t="s">
        <v>560</v>
      </c>
      <c r="E1207" s="30">
        <v>3500.0</v>
      </c>
      <c r="F1207" s="28">
        <v>0.0</v>
      </c>
      <c r="G1207" s="28" t="s">
        <v>250</v>
      </c>
      <c r="H1207" s="28">
        <f t="array" ref="H1207">INDEX(CC!C:C,MATCH(1,(CC!A:A=G1207)*(CC!B:B=I1207),0))</f>
        <v>1402</v>
      </c>
      <c r="I1207" s="28" t="s">
        <v>25</v>
      </c>
      <c r="J1207" s="31">
        <v>3500.0</v>
      </c>
      <c r="K1207" s="28" t="str">
        <f>IFERROR(__xludf.DUMMYFUNCTION("IFERROR(
INDEX(
FILTER(
MAP(
reglas!$B$2:$B$240,
reglas!$C$2:$C$240,
reglas!$D$2:$D$240,
reglas!$E$2:$E$240,
LAMBDA(rEmisor,rPatron,rConcepto,rTipo,
IF(
AND(
OR(
UPPER(TRIM(rEmisor))=UPPER(TRIM(C1207)),
UPPER(TRIM(rEmisor))=""CUALQUIERA""
),
OR(
UPPER(TRI"&amp;"M(rTipo))=""SOLO EMISOR"",
AND(
UPPER(TRIM(rTipo))=""EXACTA"",
UPPER(TRIM(AG1207))=UPPER(TRIM(rPatron))
),
AND(
OR(
UPPER(TRIM(rTipo))=""CONTIENE"",
UPPER(TRIM(rTipo))=""COINCIDENCIA""
),
ISNUMBER(SEARCH(UPPER(TRIM(rPatron)),UPPER(TRIM(D1207))))
)
)
),
rC"&amp;"oncepto,
""""
)
)
),
MAP(
reglas!$B$2:$B$240,
reglas!$C$2:$C$240,
reglas!$D$2:$D$240,
reglas!$E$2:$E$240,
LAMBDA(rEmisor,rPatron,rConcepto,rTipo,
IF(
AND(
OR(
UPPER(TRIM(rEmisor))=UPPER(TRIM(C1207)),
UPPER(TRIM(rEmisor))=""CUALQUIERA""
),
OR(
UPPER(TRIM(r"&amp;"Tipo))=""SOLO EMISOR"",
AND(
UPPER(TRIM(rTipo))=""EXACTA"",
UPPER(TRIM(D1207))=UPPER(TRIM(rPatron))
),
AND(
OR(
UPPER(TRIM(rTipo))=""CONTIENE"",
UPPER(TRIM(rTipo))=""COINCIDENCIA""
),
ISNUMBER(SEARCH(UPPER(TRIM(rPatron)),UPPER(TRIM(D1207))))
)
)
),
rConce"&amp;"pto,
""""
)
)
)&lt;&gt;""""
),
1
),
""""
)"),"MANIOBRAS")</f>
        <v>MANIOBRAS</v>
      </c>
      <c r="L1207" s="27"/>
      <c r="M1207" s="27"/>
      <c r="N1207" s="27"/>
      <c r="O1207" s="27"/>
      <c r="P1207" s="27"/>
      <c r="Q1207" s="27"/>
      <c r="R1207" s="27"/>
      <c r="S1207" s="27"/>
      <c r="T1207" s="27"/>
      <c r="U1207" s="27"/>
      <c r="V1207" s="27"/>
      <c r="W1207" s="27"/>
      <c r="X1207" s="27"/>
      <c r="Y1207" s="27"/>
    </row>
    <row r="1208">
      <c r="A1208" s="28">
        <v>1.0</v>
      </c>
      <c r="B1208" s="28" t="s">
        <v>29</v>
      </c>
      <c r="C1208" s="29" t="s">
        <v>271</v>
      </c>
      <c r="D1208" s="29" t="s">
        <v>585</v>
      </c>
      <c r="E1208" s="28">
        <v>620.03</v>
      </c>
      <c r="F1208" s="28">
        <v>0.0</v>
      </c>
      <c r="G1208" s="28" t="s">
        <v>84</v>
      </c>
      <c r="H1208" s="28">
        <f t="array" ref="H1208">INDEX(CC!C:C,MATCH(1,(CC!A:A=G1208)*(CC!B:B=I1208),0))</f>
        <v>1002</v>
      </c>
      <c r="I1208" s="28" t="s">
        <v>25</v>
      </c>
      <c r="J1208" s="31">
        <v>620.03</v>
      </c>
      <c r="K1208" s="28" t="str">
        <f>IFERROR(__xludf.DUMMYFUNCTION("IFERROR(
INDEX(
FILTER(
MAP(
reglas!$B$2:$B$240,
reglas!$C$2:$C$240,
reglas!$D$2:$D$240,
reglas!$E$2:$E$240,
LAMBDA(rEmisor,rPatron,rConcepto,rTipo,
IF(
AND(
OR(
UPPER(TRIM(rEmisor))=UPPER(TRIM(C1208)),
UPPER(TRIM(rEmisor))=""CUALQUIERA""
),
OR(
UPPER(TRI"&amp;"M(rTipo))=""SOLO EMISOR"",
AND(
UPPER(TRIM(rTipo))=""EXACTA"",
UPPER(TRIM(AG1208))=UPPER(TRIM(rPatron))
),
AND(
OR(
UPPER(TRIM(rTipo))=""CONTIENE"",
UPPER(TRIM(rTipo))=""COINCIDENCIA""
),
ISNUMBER(SEARCH(UPPER(TRIM(rPatron)),UPPER(TRIM(D1208))))
)
)
),
rC"&amp;"oncepto,
""""
)
)
),
MAP(
reglas!$B$2:$B$240,
reglas!$C$2:$C$240,
reglas!$D$2:$D$240,
reglas!$E$2:$E$240,
LAMBDA(rEmisor,rPatron,rConcepto,rTipo,
IF(
AND(
OR(
UPPER(TRIM(rEmisor))=UPPER(TRIM(C1208)),
UPPER(TRIM(rEmisor))=""CUALQUIERA""
),
OR(
UPPER(TRIM(r"&amp;"Tipo))=""SOLO EMISOR"",
AND(
UPPER(TRIM(rTipo))=""EXACTA"",
UPPER(TRIM(D1208))=UPPER(TRIM(rPatron))
),
AND(
OR(
UPPER(TRIM(rTipo))=""CONTIENE"",
UPPER(TRIM(rTipo))=""COINCIDENCIA""
),
ISNUMBER(SEARCH(UPPER(TRIM(rPatron)),UPPER(TRIM(D1208))))
)
)
),
rConce"&amp;"pto,
""""
)
)
)&lt;&gt;""""
),
1
),
""""
)"),"MANIOBRAS")</f>
        <v>MANIOBRAS</v>
      </c>
      <c r="L1208" s="27"/>
      <c r="M1208" s="27"/>
      <c r="N1208" s="27"/>
      <c r="O1208" s="27"/>
      <c r="P1208" s="27"/>
      <c r="Q1208" s="27"/>
      <c r="R1208" s="27"/>
      <c r="S1208" s="27"/>
      <c r="T1208" s="27"/>
      <c r="U1208" s="27"/>
      <c r="V1208" s="27"/>
      <c r="W1208" s="27"/>
      <c r="X1208" s="27"/>
      <c r="Y1208" s="27"/>
    </row>
    <row r="1209">
      <c r="A1209" s="32"/>
      <c r="B1209" s="32"/>
      <c r="C1209" s="29" t="s">
        <v>271</v>
      </c>
      <c r="D1209" s="29" t="s">
        <v>587</v>
      </c>
      <c r="E1209" s="28">
        <v>567.29</v>
      </c>
      <c r="F1209" s="28">
        <v>0.0</v>
      </c>
      <c r="G1209" s="28" t="s">
        <v>84</v>
      </c>
      <c r="H1209" s="28">
        <f t="array" ref="H1209">INDEX(CC!C:C,MATCH(1,(CC!A:A=G1209)*(CC!B:B=I1209),0))</f>
        <v>1002</v>
      </c>
      <c r="I1209" s="28" t="s">
        <v>25</v>
      </c>
      <c r="J1209" s="31">
        <v>567.29</v>
      </c>
      <c r="K1209" s="28" t="str">
        <f>IFERROR(__xludf.DUMMYFUNCTION("IFERROR(
INDEX(
FILTER(
MAP(
reglas!$B$2:$B$240,
reglas!$C$2:$C$240,
reglas!$D$2:$D$240,
reglas!$E$2:$E$240,
LAMBDA(rEmisor,rPatron,rConcepto,rTipo,
IF(
AND(
OR(
UPPER(TRIM(rEmisor))=UPPER(TRIM(C1209)),
UPPER(TRIM(rEmisor))=""CUALQUIERA""
),
OR(
UPPER(TRI"&amp;"M(rTipo))=""SOLO EMISOR"",
AND(
UPPER(TRIM(rTipo))=""EXACTA"",
UPPER(TRIM(AG1209))=UPPER(TRIM(rPatron))
),
AND(
OR(
UPPER(TRIM(rTipo))=""CONTIENE"",
UPPER(TRIM(rTipo))=""COINCIDENCIA""
),
ISNUMBER(SEARCH(UPPER(TRIM(rPatron)),UPPER(TRIM(D1209))))
)
)
),
rC"&amp;"oncepto,
""""
)
)
),
MAP(
reglas!$B$2:$B$240,
reglas!$C$2:$C$240,
reglas!$D$2:$D$240,
reglas!$E$2:$E$240,
LAMBDA(rEmisor,rPatron,rConcepto,rTipo,
IF(
AND(
OR(
UPPER(TRIM(rEmisor))=UPPER(TRIM(C1209)),
UPPER(TRIM(rEmisor))=""CUALQUIERA""
),
OR(
UPPER(TRIM(r"&amp;"Tipo))=""SOLO EMISOR"",
AND(
UPPER(TRIM(rTipo))=""EXACTA"",
UPPER(TRIM(D1209))=UPPER(TRIM(rPatron))
),
AND(
OR(
UPPER(TRIM(rTipo))=""CONTIENE"",
UPPER(TRIM(rTipo))=""COINCIDENCIA""
),
ISNUMBER(SEARCH(UPPER(TRIM(rPatron)),UPPER(TRIM(D1209))))
)
)
),
rConce"&amp;"pto,
""""
)
)
)&lt;&gt;""""
),
1
),
""""
)"),"MANIOBRAS")</f>
        <v>MANIOBRAS</v>
      </c>
      <c r="L1209" s="27"/>
      <c r="M1209" s="27"/>
      <c r="N1209" s="27"/>
      <c r="O1209" s="27"/>
      <c r="P1209" s="27"/>
      <c r="Q1209" s="27"/>
      <c r="R1209" s="27"/>
      <c r="S1209" s="27"/>
      <c r="T1209" s="27"/>
      <c r="U1209" s="27"/>
      <c r="V1209" s="27"/>
      <c r="W1209" s="27"/>
      <c r="X1209" s="27"/>
      <c r="Y1209" s="27"/>
    </row>
    <row r="1210">
      <c r="A1210" s="32"/>
      <c r="B1210" s="32"/>
      <c r="C1210" s="29" t="s">
        <v>271</v>
      </c>
      <c r="D1210" s="29" t="s">
        <v>589</v>
      </c>
      <c r="E1210" s="28">
        <v>620.37</v>
      </c>
      <c r="F1210" s="28">
        <v>0.0</v>
      </c>
      <c r="G1210" s="28" t="s">
        <v>84</v>
      </c>
      <c r="H1210" s="28">
        <f t="array" ref="H1210">INDEX(CC!C:C,MATCH(1,(CC!A:A=G1210)*(CC!B:B=I1210),0))</f>
        <v>1002</v>
      </c>
      <c r="I1210" s="28" t="s">
        <v>25</v>
      </c>
      <c r="J1210" s="31">
        <v>620.37</v>
      </c>
      <c r="K1210" s="28" t="str">
        <f>IFERROR(__xludf.DUMMYFUNCTION("IFERROR(
INDEX(
FILTER(
MAP(
reglas!$B$2:$B$240,
reglas!$C$2:$C$240,
reglas!$D$2:$D$240,
reglas!$E$2:$E$240,
LAMBDA(rEmisor,rPatron,rConcepto,rTipo,
IF(
AND(
OR(
UPPER(TRIM(rEmisor))=UPPER(TRIM(C1210)),
UPPER(TRIM(rEmisor))=""CUALQUIERA""
),
OR(
UPPER(TRI"&amp;"M(rTipo))=""SOLO EMISOR"",
AND(
UPPER(TRIM(rTipo))=""EXACTA"",
UPPER(TRIM(AG1210))=UPPER(TRIM(rPatron))
),
AND(
OR(
UPPER(TRIM(rTipo))=""CONTIENE"",
UPPER(TRIM(rTipo))=""COINCIDENCIA""
),
ISNUMBER(SEARCH(UPPER(TRIM(rPatron)),UPPER(TRIM(D1210))))
)
)
),
rC"&amp;"oncepto,
""""
)
)
),
MAP(
reglas!$B$2:$B$240,
reglas!$C$2:$C$240,
reglas!$D$2:$D$240,
reglas!$E$2:$E$240,
LAMBDA(rEmisor,rPatron,rConcepto,rTipo,
IF(
AND(
OR(
UPPER(TRIM(rEmisor))=UPPER(TRIM(C1210)),
UPPER(TRIM(rEmisor))=""CUALQUIERA""
),
OR(
UPPER(TRIM(r"&amp;"Tipo))=""SOLO EMISOR"",
AND(
UPPER(TRIM(rTipo))=""EXACTA"",
UPPER(TRIM(D1210))=UPPER(TRIM(rPatron))
),
AND(
OR(
UPPER(TRIM(rTipo))=""CONTIENE"",
UPPER(TRIM(rTipo))=""COINCIDENCIA""
),
ISNUMBER(SEARCH(UPPER(TRIM(rPatron)),UPPER(TRIM(D1210))))
)
)
),
rConce"&amp;"pto,
""""
)
)
)&lt;&gt;""""
),
1
),
""""
)"),"MANIOBRAS")</f>
        <v>MANIOBRAS</v>
      </c>
      <c r="L1210" s="27"/>
      <c r="M1210" s="27"/>
      <c r="N1210" s="27"/>
      <c r="O1210" s="27"/>
      <c r="P1210" s="27"/>
      <c r="Q1210" s="27"/>
      <c r="R1210" s="27"/>
      <c r="S1210" s="27"/>
      <c r="T1210" s="27"/>
      <c r="U1210" s="27"/>
      <c r="V1210" s="27"/>
      <c r="W1210" s="27"/>
      <c r="X1210" s="27"/>
      <c r="Y1210" s="27"/>
    </row>
    <row r="1211">
      <c r="A1211" s="32"/>
      <c r="B1211" s="32"/>
      <c r="C1211" s="29" t="s">
        <v>271</v>
      </c>
      <c r="D1211" s="29" t="s">
        <v>596</v>
      </c>
      <c r="E1211" s="28">
        <v>650.9</v>
      </c>
      <c r="F1211" s="28">
        <v>0.0</v>
      </c>
      <c r="G1211" s="28" t="s">
        <v>84</v>
      </c>
      <c r="H1211" s="28">
        <f t="array" ref="H1211">INDEX(CC!C:C,MATCH(1,(CC!A:A=G1211)*(CC!B:B=I1211),0))</f>
        <v>1002</v>
      </c>
      <c r="I1211" s="28" t="s">
        <v>25</v>
      </c>
      <c r="J1211" s="31">
        <v>650.9</v>
      </c>
      <c r="K1211" s="28" t="str">
        <f>IFERROR(__xludf.DUMMYFUNCTION("IFERROR(
INDEX(
FILTER(
MAP(
reglas!$B$2:$B$240,
reglas!$C$2:$C$240,
reglas!$D$2:$D$240,
reglas!$E$2:$E$240,
LAMBDA(rEmisor,rPatron,rConcepto,rTipo,
IF(
AND(
OR(
UPPER(TRIM(rEmisor))=UPPER(TRIM(C1211)),
UPPER(TRIM(rEmisor))=""CUALQUIERA""
),
OR(
UPPER(TRI"&amp;"M(rTipo))=""SOLO EMISOR"",
AND(
UPPER(TRIM(rTipo))=""EXACTA"",
UPPER(TRIM(AG1211))=UPPER(TRIM(rPatron))
),
AND(
OR(
UPPER(TRIM(rTipo))=""CONTIENE"",
UPPER(TRIM(rTipo))=""COINCIDENCIA""
),
ISNUMBER(SEARCH(UPPER(TRIM(rPatron)),UPPER(TRIM(D1211))))
)
)
),
rC"&amp;"oncepto,
""""
)
)
),
MAP(
reglas!$B$2:$B$240,
reglas!$C$2:$C$240,
reglas!$D$2:$D$240,
reglas!$E$2:$E$240,
LAMBDA(rEmisor,rPatron,rConcepto,rTipo,
IF(
AND(
OR(
UPPER(TRIM(rEmisor))=UPPER(TRIM(C1211)),
UPPER(TRIM(rEmisor))=""CUALQUIERA""
),
OR(
UPPER(TRIM(r"&amp;"Tipo))=""SOLO EMISOR"",
AND(
UPPER(TRIM(rTipo))=""EXACTA"",
UPPER(TRIM(D1211))=UPPER(TRIM(rPatron))
),
AND(
OR(
UPPER(TRIM(rTipo))=""CONTIENE"",
UPPER(TRIM(rTipo))=""COINCIDENCIA""
),
ISNUMBER(SEARCH(UPPER(TRIM(rPatron)),UPPER(TRIM(D1211))))
)
)
),
rConce"&amp;"pto,
""""
)
)
)&lt;&gt;""""
),
1
),
""""
)"),"MANIOBRAS")</f>
        <v>MANIOBRAS</v>
      </c>
      <c r="L1211" s="27"/>
      <c r="M1211" s="27"/>
      <c r="N1211" s="27"/>
      <c r="O1211" s="27"/>
      <c r="P1211" s="27"/>
      <c r="Q1211" s="27"/>
      <c r="R1211" s="27"/>
      <c r="S1211" s="27"/>
      <c r="T1211" s="27"/>
      <c r="U1211" s="27"/>
      <c r="V1211" s="27"/>
      <c r="W1211" s="27"/>
      <c r="X1211" s="27"/>
      <c r="Y1211" s="27"/>
    </row>
    <row r="1212">
      <c r="A1212" s="32"/>
      <c r="B1212" s="28" t="s">
        <v>29</v>
      </c>
      <c r="C1212" s="29" t="s">
        <v>510</v>
      </c>
      <c r="D1212" s="29" t="s">
        <v>511</v>
      </c>
      <c r="E1212" s="30">
        <v>4048.23</v>
      </c>
      <c r="F1212" s="28">
        <v>0.0</v>
      </c>
      <c r="G1212" s="28" t="s">
        <v>225</v>
      </c>
      <c r="H1212" s="28">
        <f t="array" ref="H1212">INDEX(CC!C:C,MATCH(1,(CC!A:A=G1212)*(CC!B:B=I1212),0))</f>
        <v>102</v>
      </c>
      <c r="I1212" s="28" t="s">
        <v>25</v>
      </c>
      <c r="J1212" s="31">
        <v>4048.23</v>
      </c>
      <c r="K1212" s="28" t="str">
        <f>IFERROR(__xludf.DUMMYFUNCTION("IFERROR(
INDEX(
FILTER(
MAP(
reglas!$B$2:$B$240,
reglas!$C$2:$C$240,
reglas!$D$2:$D$240,
reglas!$E$2:$E$240,
LAMBDA(rEmisor,rPatron,rConcepto,rTipo,
IF(
AND(
OR(
UPPER(TRIM(rEmisor))=UPPER(TRIM(C1212)),
UPPER(TRIM(rEmisor))=""CUALQUIERA""
),
OR(
UPPER(TRI"&amp;"M(rTipo))=""SOLO EMISOR"",
AND(
UPPER(TRIM(rTipo))=""EXACTA"",
UPPER(TRIM(AG1212))=UPPER(TRIM(rPatron))
),
AND(
OR(
UPPER(TRIM(rTipo))=""CONTIENE"",
UPPER(TRIM(rTipo))=""COINCIDENCIA""
),
ISNUMBER(SEARCH(UPPER(TRIM(rPatron)),UPPER(TRIM(D1212))))
)
)
),
rC"&amp;"oncepto,
""""
)
)
),
MAP(
reglas!$B$2:$B$240,
reglas!$C$2:$C$240,
reglas!$D$2:$D$240,
reglas!$E$2:$E$240,
LAMBDA(rEmisor,rPatron,rConcepto,rTipo,
IF(
AND(
OR(
UPPER(TRIM(rEmisor))=UPPER(TRIM(C1212)),
UPPER(TRIM(rEmisor))=""CUALQUIERA""
),
OR(
UPPER(TRIM(r"&amp;"Tipo))=""SOLO EMISOR"",
AND(
UPPER(TRIM(rTipo))=""EXACTA"",
UPPER(TRIM(D1212))=UPPER(TRIM(rPatron))
),
AND(
OR(
UPPER(TRIM(rTipo))=""CONTIENE"",
UPPER(TRIM(rTipo))=""COINCIDENCIA""
),
ISNUMBER(SEARCH(UPPER(TRIM(rPatron)),UPPER(TRIM(D1212))))
)
)
),
rConce"&amp;"pto,
""""
)
)
)&lt;&gt;""""
),
1
),
""""
)"),"ARRENDAMIENTO")</f>
        <v>ARRENDAMIENTO</v>
      </c>
      <c r="L1212" s="27"/>
      <c r="M1212" s="27"/>
      <c r="N1212" s="27"/>
      <c r="O1212" s="27"/>
      <c r="P1212" s="27"/>
      <c r="Q1212" s="27"/>
      <c r="R1212" s="27"/>
      <c r="S1212" s="27"/>
      <c r="T1212" s="27"/>
      <c r="U1212" s="27"/>
      <c r="V1212" s="27"/>
      <c r="W1212" s="27"/>
      <c r="X1212" s="27"/>
      <c r="Y1212" s="27"/>
    </row>
    <row r="1213">
      <c r="A1213" s="32"/>
      <c r="B1213" s="28" t="s">
        <v>29</v>
      </c>
      <c r="C1213" s="29" t="s">
        <v>172</v>
      </c>
      <c r="D1213" s="29" t="s">
        <v>1853</v>
      </c>
      <c r="E1213" s="30">
        <v>11500.0</v>
      </c>
      <c r="F1213" s="28">
        <v>0.0</v>
      </c>
      <c r="G1213" s="28" t="s">
        <v>250</v>
      </c>
      <c r="H1213" s="28">
        <f t="array" ref="H1213">INDEX(CC!C:C,MATCH(1,(CC!A:A=G1213)*(CC!B:B=I1213),0))</f>
        <v>1402</v>
      </c>
      <c r="I1213" s="28" t="s">
        <v>25</v>
      </c>
      <c r="J1213" s="31">
        <v>11500.0</v>
      </c>
      <c r="K1213" s="28" t="str">
        <f>IFERROR(__xludf.DUMMYFUNCTION("IFERROR(
INDEX(
FILTER(
MAP(
reglas!$B$2:$B$240,
reglas!$C$2:$C$240,
reglas!$D$2:$D$240,
reglas!$E$2:$E$240,
LAMBDA(rEmisor,rPatron,rConcepto,rTipo,
IF(
AND(
OR(
UPPER(TRIM(rEmisor))=UPPER(TRIM(C1213)),
UPPER(TRIM(rEmisor))=""CUALQUIERA""
),
OR(
UPPER(TRI"&amp;"M(rTipo))=""SOLO EMISOR"",
AND(
UPPER(TRIM(rTipo))=""EXACTA"",
UPPER(TRIM(AG1213))=UPPER(TRIM(rPatron))
),
AND(
OR(
UPPER(TRIM(rTipo))=""CONTIENE"",
UPPER(TRIM(rTipo))=""COINCIDENCIA""
),
ISNUMBER(SEARCH(UPPER(TRIM(rPatron)),UPPER(TRIM(D1213))))
)
)
),
rC"&amp;"oncepto,
""""
)
)
),
MAP(
reglas!$B$2:$B$240,
reglas!$C$2:$C$240,
reglas!$D$2:$D$240,
reglas!$E$2:$E$240,
LAMBDA(rEmisor,rPatron,rConcepto,rTipo,
IF(
AND(
OR(
UPPER(TRIM(rEmisor))=UPPER(TRIM(C1213)),
UPPER(TRIM(rEmisor))=""CUALQUIERA""
),
OR(
UPPER(TRIM(r"&amp;"Tipo))=""SOLO EMISOR"",
AND(
UPPER(TRIM(rTipo))=""EXACTA"",
UPPER(TRIM(D1213))=UPPER(TRIM(rPatron))
),
AND(
OR(
UPPER(TRIM(rTipo))=""CONTIENE"",
UPPER(TRIM(rTipo))=""COINCIDENCIA""
),
ISNUMBER(SEARCH(UPPER(TRIM(rPatron)),UPPER(TRIM(D1213))))
)
)
),
rConce"&amp;"pto,
""""
)
)
)&lt;&gt;""""
),
1
),
""""
)"),"TRANSPORTE")</f>
        <v>TRANSPORTE</v>
      </c>
      <c r="L1213" s="27"/>
      <c r="M1213" s="27"/>
      <c r="N1213" s="27"/>
      <c r="O1213" s="27"/>
      <c r="P1213" s="27"/>
      <c r="Q1213" s="27"/>
      <c r="R1213" s="27"/>
      <c r="S1213" s="27"/>
      <c r="T1213" s="27"/>
      <c r="U1213" s="27"/>
      <c r="V1213" s="27"/>
      <c r="W1213" s="27"/>
      <c r="X1213" s="27"/>
      <c r="Y1213" s="27"/>
    </row>
    <row r="1214">
      <c r="A1214" s="32"/>
      <c r="B1214" s="28" t="s">
        <v>29</v>
      </c>
      <c r="C1214" s="29" t="s">
        <v>278</v>
      </c>
      <c r="D1214" s="29" t="s">
        <v>898</v>
      </c>
      <c r="E1214" s="30">
        <v>1000.0</v>
      </c>
      <c r="F1214" s="28">
        <v>0.0</v>
      </c>
      <c r="G1214" s="28" t="s">
        <v>250</v>
      </c>
      <c r="H1214" s="28">
        <f t="array" ref="H1214">INDEX(CC!C:C,MATCH(1,(CC!A:A=G1214)*(CC!B:B=I1214),0))</f>
        <v>1402</v>
      </c>
      <c r="I1214" s="28" t="s">
        <v>25</v>
      </c>
      <c r="J1214" s="31">
        <v>1000.0</v>
      </c>
      <c r="K1214" s="28" t="str">
        <f>IFERROR(__xludf.DUMMYFUNCTION("IFERROR(
INDEX(
FILTER(
MAP(
reglas!$B$2:$B$240,
reglas!$C$2:$C$240,
reglas!$D$2:$D$240,
reglas!$E$2:$E$240,
LAMBDA(rEmisor,rPatron,rConcepto,rTipo,
IF(
AND(
OR(
UPPER(TRIM(rEmisor))=UPPER(TRIM(C1214)),
UPPER(TRIM(rEmisor))=""CUALQUIERA""
),
OR(
UPPER(TRI"&amp;"M(rTipo))=""SOLO EMISOR"",
AND(
UPPER(TRIM(rTipo))=""EXACTA"",
UPPER(TRIM(AG1214))=UPPER(TRIM(rPatron))
),
AND(
OR(
UPPER(TRIM(rTipo))=""CONTIENE"",
UPPER(TRIM(rTipo))=""COINCIDENCIA""
),
ISNUMBER(SEARCH(UPPER(TRIM(rPatron)),UPPER(TRIM(D1214))))
)
)
),
rC"&amp;"oncepto,
""""
)
)
),
MAP(
reglas!$B$2:$B$240,
reglas!$C$2:$C$240,
reglas!$D$2:$D$240,
reglas!$E$2:$E$240,
LAMBDA(rEmisor,rPatron,rConcepto,rTipo,
IF(
AND(
OR(
UPPER(TRIM(rEmisor))=UPPER(TRIM(C1214)),
UPPER(TRIM(rEmisor))=""CUALQUIERA""
),
OR(
UPPER(TRIM(r"&amp;"Tipo))=""SOLO EMISOR"",
AND(
UPPER(TRIM(rTipo))=""EXACTA"",
UPPER(TRIM(D1214))=UPPER(TRIM(rPatron))
),
AND(
OR(
UPPER(TRIM(rTipo))=""CONTIENE"",
UPPER(TRIM(rTipo))=""COINCIDENCIA""
),
ISNUMBER(SEARCH(UPPER(TRIM(rPatron)),UPPER(TRIM(D1214))))
)
)
),
rConce"&amp;"pto,
""""
)
)
)&lt;&gt;""""
),
1
),
""""
)"),"MANIOBRAS")</f>
        <v>MANIOBRAS</v>
      </c>
      <c r="L1214" s="27"/>
      <c r="M1214" s="27"/>
      <c r="N1214" s="27"/>
      <c r="O1214" s="27"/>
      <c r="P1214" s="27"/>
      <c r="Q1214" s="27"/>
      <c r="R1214" s="27"/>
      <c r="S1214" s="27"/>
      <c r="T1214" s="27"/>
      <c r="U1214" s="27"/>
      <c r="V1214" s="27"/>
      <c r="W1214" s="27"/>
      <c r="X1214" s="27"/>
      <c r="Y1214" s="27"/>
    </row>
    <row r="1215">
      <c r="A1215" s="32"/>
      <c r="B1215" s="28" t="s">
        <v>29</v>
      </c>
      <c r="C1215" s="29" t="s">
        <v>70</v>
      </c>
      <c r="D1215" s="29" t="s">
        <v>1701</v>
      </c>
      <c r="E1215" s="30">
        <v>5277.96</v>
      </c>
      <c r="F1215" s="28">
        <v>0.0</v>
      </c>
      <c r="G1215" s="28" t="s">
        <v>74</v>
      </c>
      <c r="H1215" s="28">
        <f t="array" ref="H1215">INDEX(CC!C:C,MATCH(1,(CC!A:A=G1215)*(CC!B:B=I1215),0))</f>
        <v>1503</v>
      </c>
      <c r="I1215" s="28" t="s">
        <v>44</v>
      </c>
      <c r="J1215" s="31">
        <v>5277.96</v>
      </c>
      <c r="K1215" s="28" t="str">
        <f>IFERROR(__xludf.DUMMYFUNCTION("IFERROR(
INDEX(
FILTER(
MAP(
reglas!$B$2:$B$240,
reglas!$C$2:$C$240,
reglas!$D$2:$D$240,
reglas!$E$2:$E$240,
LAMBDA(rEmisor,rPatron,rConcepto,rTipo,
IF(
AND(
OR(
UPPER(TRIM(rEmisor))=UPPER(TRIM(C1215)),
UPPER(TRIM(rEmisor))=""CUALQUIERA""
),
OR(
UPPER(TRI"&amp;"M(rTipo))=""SOLO EMISOR"",
AND(
UPPER(TRIM(rTipo))=""EXACTA"",
UPPER(TRIM(AG1215))=UPPER(TRIM(rPatron))
),
AND(
OR(
UPPER(TRIM(rTipo))=""CONTIENE"",
UPPER(TRIM(rTipo))=""COINCIDENCIA""
),
ISNUMBER(SEARCH(UPPER(TRIM(rPatron)),UPPER(TRIM(D1215))))
)
)
),
rC"&amp;"oncepto,
""""
)
)
),
MAP(
reglas!$B$2:$B$240,
reglas!$C$2:$C$240,
reglas!$D$2:$D$240,
reglas!$E$2:$E$240,
LAMBDA(rEmisor,rPatron,rConcepto,rTipo,
IF(
AND(
OR(
UPPER(TRIM(rEmisor))=UPPER(TRIM(C1215)),
UPPER(TRIM(rEmisor))=""CUALQUIERA""
),
OR(
UPPER(TRIM(r"&amp;"Tipo))=""SOLO EMISOR"",
AND(
UPPER(TRIM(rTipo))=""EXACTA"",
UPPER(TRIM(D1215))=UPPER(TRIM(rPatron))
),
AND(
OR(
UPPER(TRIM(rTipo))=""CONTIENE"",
UPPER(TRIM(rTipo))=""COINCIDENCIA""
),
ISNUMBER(SEARCH(UPPER(TRIM(rPatron)),UPPER(TRIM(D1215))))
)
)
),
rConce"&amp;"pto,
""""
)
)
)&lt;&gt;""""
),
1
),
""""
)"),"MANIOBRAS")</f>
        <v>MANIOBRAS</v>
      </c>
      <c r="L1215" s="27"/>
      <c r="M1215" s="27"/>
      <c r="N1215" s="27"/>
      <c r="O1215" s="27"/>
      <c r="P1215" s="27"/>
      <c r="Q1215" s="27"/>
      <c r="R1215" s="27"/>
      <c r="S1215" s="27"/>
      <c r="T1215" s="27"/>
      <c r="U1215" s="27"/>
      <c r="V1215" s="27"/>
      <c r="W1215" s="27"/>
      <c r="X1215" s="27"/>
      <c r="Y1215" s="27"/>
    </row>
    <row r="1216">
      <c r="A1216" s="32"/>
      <c r="B1216" s="32"/>
      <c r="C1216" s="29" t="s">
        <v>70</v>
      </c>
      <c r="D1216" s="29" t="s">
        <v>1702</v>
      </c>
      <c r="E1216" s="30">
        <v>1703.13</v>
      </c>
      <c r="F1216" s="28">
        <v>0.0</v>
      </c>
      <c r="G1216" s="28" t="s">
        <v>74</v>
      </c>
      <c r="H1216" s="28">
        <f t="array" ref="H1216">INDEX(CC!C:C,MATCH(1,(CC!A:A=G1216)*(CC!B:B=I1216),0))</f>
        <v>1503</v>
      </c>
      <c r="I1216" s="28" t="s">
        <v>44</v>
      </c>
      <c r="J1216" s="31">
        <v>1703.13</v>
      </c>
      <c r="K1216" s="28" t="str">
        <f>IFERROR(__xludf.DUMMYFUNCTION("IFERROR(
INDEX(
FILTER(
MAP(
reglas!$B$2:$B$240,
reglas!$C$2:$C$240,
reglas!$D$2:$D$240,
reglas!$E$2:$E$240,
LAMBDA(rEmisor,rPatron,rConcepto,rTipo,
IF(
AND(
OR(
UPPER(TRIM(rEmisor))=UPPER(TRIM(C1216)),
UPPER(TRIM(rEmisor))=""CUALQUIERA""
),
OR(
UPPER(TRI"&amp;"M(rTipo))=""SOLO EMISOR"",
AND(
UPPER(TRIM(rTipo))=""EXACTA"",
UPPER(TRIM(AG1216))=UPPER(TRIM(rPatron))
),
AND(
OR(
UPPER(TRIM(rTipo))=""CONTIENE"",
UPPER(TRIM(rTipo))=""COINCIDENCIA""
),
ISNUMBER(SEARCH(UPPER(TRIM(rPatron)),UPPER(TRIM(D1216))))
)
)
),
rC"&amp;"oncepto,
""""
)
)
),
MAP(
reglas!$B$2:$B$240,
reglas!$C$2:$C$240,
reglas!$D$2:$D$240,
reglas!$E$2:$E$240,
LAMBDA(rEmisor,rPatron,rConcepto,rTipo,
IF(
AND(
OR(
UPPER(TRIM(rEmisor))=UPPER(TRIM(C1216)),
UPPER(TRIM(rEmisor))=""CUALQUIERA""
),
OR(
UPPER(TRIM(r"&amp;"Tipo))=""SOLO EMISOR"",
AND(
UPPER(TRIM(rTipo))=""EXACTA"",
UPPER(TRIM(D1216))=UPPER(TRIM(rPatron))
),
AND(
OR(
UPPER(TRIM(rTipo))=""CONTIENE"",
UPPER(TRIM(rTipo))=""COINCIDENCIA""
),
ISNUMBER(SEARCH(UPPER(TRIM(rPatron)),UPPER(TRIM(D1216))))
)
)
),
rConce"&amp;"pto,
""""
)
)
)&lt;&gt;""""
),
1
),
""""
)"),"MANIOBRAS")</f>
        <v>MANIOBRAS</v>
      </c>
      <c r="L1216" s="27"/>
      <c r="M1216" s="27"/>
      <c r="N1216" s="27"/>
      <c r="O1216" s="27"/>
      <c r="P1216" s="27"/>
      <c r="Q1216" s="27"/>
      <c r="R1216" s="27"/>
      <c r="S1216" s="27"/>
      <c r="T1216" s="27"/>
      <c r="U1216" s="27"/>
      <c r="V1216" s="27"/>
      <c r="W1216" s="27"/>
      <c r="X1216" s="27"/>
      <c r="Y1216" s="27"/>
    </row>
    <row r="1217">
      <c r="A1217" s="32"/>
      <c r="B1217" s="32"/>
      <c r="C1217" s="29" t="s">
        <v>70</v>
      </c>
      <c r="D1217" s="29" t="s">
        <v>1703</v>
      </c>
      <c r="E1217" s="30">
        <v>6386.8</v>
      </c>
      <c r="F1217" s="28">
        <v>0.0</v>
      </c>
      <c r="G1217" s="28" t="s">
        <v>74</v>
      </c>
      <c r="H1217" s="28">
        <f t="array" ref="H1217">INDEX(CC!C:C,MATCH(1,(CC!A:A=G1217)*(CC!B:B=I1217),0))</f>
        <v>1503</v>
      </c>
      <c r="I1217" s="28" t="s">
        <v>44</v>
      </c>
      <c r="J1217" s="31">
        <v>6386.8</v>
      </c>
      <c r="K1217" s="28" t="str">
        <f>IFERROR(__xludf.DUMMYFUNCTION("IFERROR(
INDEX(
FILTER(
MAP(
reglas!$B$2:$B$240,
reglas!$C$2:$C$240,
reglas!$D$2:$D$240,
reglas!$E$2:$E$240,
LAMBDA(rEmisor,rPatron,rConcepto,rTipo,
IF(
AND(
OR(
UPPER(TRIM(rEmisor))=UPPER(TRIM(C1217)),
UPPER(TRIM(rEmisor))=""CUALQUIERA""
),
OR(
UPPER(TRI"&amp;"M(rTipo))=""SOLO EMISOR"",
AND(
UPPER(TRIM(rTipo))=""EXACTA"",
UPPER(TRIM(AG1217))=UPPER(TRIM(rPatron))
),
AND(
OR(
UPPER(TRIM(rTipo))=""CONTIENE"",
UPPER(TRIM(rTipo))=""COINCIDENCIA""
),
ISNUMBER(SEARCH(UPPER(TRIM(rPatron)),UPPER(TRIM(D1217))))
)
)
),
rC"&amp;"oncepto,
""""
)
)
),
MAP(
reglas!$B$2:$B$240,
reglas!$C$2:$C$240,
reglas!$D$2:$D$240,
reglas!$E$2:$E$240,
LAMBDA(rEmisor,rPatron,rConcepto,rTipo,
IF(
AND(
OR(
UPPER(TRIM(rEmisor))=UPPER(TRIM(C1217)),
UPPER(TRIM(rEmisor))=""CUALQUIERA""
),
OR(
UPPER(TRIM(r"&amp;"Tipo))=""SOLO EMISOR"",
AND(
UPPER(TRIM(rTipo))=""EXACTA"",
UPPER(TRIM(D1217))=UPPER(TRIM(rPatron))
),
AND(
OR(
UPPER(TRIM(rTipo))=""CONTIENE"",
UPPER(TRIM(rTipo))=""COINCIDENCIA""
),
ISNUMBER(SEARCH(UPPER(TRIM(rPatron)),UPPER(TRIM(D1217))))
)
)
),
rConce"&amp;"pto,
""""
)
)
)&lt;&gt;""""
),
1
),
""""
)"),"MANIOBRAS")</f>
        <v>MANIOBRAS</v>
      </c>
      <c r="L1217" s="27"/>
      <c r="M1217" s="27"/>
      <c r="N1217" s="27"/>
      <c r="O1217" s="27"/>
      <c r="P1217" s="27"/>
      <c r="Q1217" s="27"/>
      <c r="R1217" s="27"/>
      <c r="S1217" s="27"/>
      <c r="T1217" s="27"/>
      <c r="U1217" s="27"/>
      <c r="V1217" s="27"/>
      <c r="W1217" s="27"/>
      <c r="X1217" s="27"/>
      <c r="Y1217" s="27"/>
    </row>
    <row r="1218">
      <c r="A1218" s="32"/>
      <c r="B1218" s="32"/>
      <c r="C1218" s="29" t="s">
        <v>70</v>
      </c>
      <c r="D1218" s="29" t="s">
        <v>1704</v>
      </c>
      <c r="E1218" s="28">
        <v>638.68</v>
      </c>
      <c r="F1218" s="28">
        <v>0.0</v>
      </c>
      <c r="G1218" s="28" t="s">
        <v>74</v>
      </c>
      <c r="H1218" s="28">
        <f t="array" ref="H1218">INDEX(CC!C:C,MATCH(1,(CC!A:A=G1218)*(CC!B:B=I1218),0))</f>
        <v>1503</v>
      </c>
      <c r="I1218" s="28" t="s">
        <v>44</v>
      </c>
      <c r="J1218" s="31">
        <v>638.68</v>
      </c>
      <c r="K1218" s="28" t="str">
        <f>IFERROR(__xludf.DUMMYFUNCTION("IFERROR(
INDEX(
FILTER(
MAP(
reglas!$B$2:$B$240,
reglas!$C$2:$C$240,
reglas!$D$2:$D$240,
reglas!$E$2:$E$240,
LAMBDA(rEmisor,rPatron,rConcepto,rTipo,
IF(
AND(
OR(
UPPER(TRIM(rEmisor))=UPPER(TRIM(C1218)),
UPPER(TRIM(rEmisor))=""CUALQUIERA""
),
OR(
UPPER(TRI"&amp;"M(rTipo))=""SOLO EMISOR"",
AND(
UPPER(TRIM(rTipo))=""EXACTA"",
UPPER(TRIM(AG1218))=UPPER(TRIM(rPatron))
),
AND(
OR(
UPPER(TRIM(rTipo))=""CONTIENE"",
UPPER(TRIM(rTipo))=""COINCIDENCIA""
),
ISNUMBER(SEARCH(UPPER(TRIM(rPatron)),UPPER(TRIM(D1218))))
)
)
),
rC"&amp;"oncepto,
""""
)
)
),
MAP(
reglas!$B$2:$B$240,
reglas!$C$2:$C$240,
reglas!$D$2:$D$240,
reglas!$E$2:$E$240,
LAMBDA(rEmisor,rPatron,rConcepto,rTipo,
IF(
AND(
OR(
UPPER(TRIM(rEmisor))=UPPER(TRIM(C1218)),
UPPER(TRIM(rEmisor))=""CUALQUIERA""
),
OR(
UPPER(TRIM(r"&amp;"Tipo))=""SOLO EMISOR"",
AND(
UPPER(TRIM(rTipo))=""EXACTA"",
UPPER(TRIM(D1218))=UPPER(TRIM(rPatron))
),
AND(
OR(
UPPER(TRIM(rTipo))=""CONTIENE"",
UPPER(TRIM(rTipo))=""COINCIDENCIA""
),
ISNUMBER(SEARCH(UPPER(TRIM(rPatron)),UPPER(TRIM(D1218))))
)
)
),
rConce"&amp;"pto,
""""
)
)
)&lt;&gt;""""
),
1
),
""""
)"),"MANIOBRAS")</f>
        <v>MANIOBRAS</v>
      </c>
      <c r="L1218" s="27"/>
      <c r="M1218" s="27"/>
      <c r="N1218" s="27"/>
      <c r="O1218" s="27"/>
      <c r="P1218" s="27"/>
      <c r="Q1218" s="27"/>
      <c r="R1218" s="27"/>
      <c r="S1218" s="27"/>
      <c r="T1218" s="27"/>
      <c r="U1218" s="27"/>
      <c r="V1218" s="27"/>
      <c r="W1218" s="27"/>
      <c r="X1218" s="27"/>
      <c r="Y1218" s="27"/>
    </row>
    <row r="1219">
      <c r="A1219" s="32"/>
      <c r="B1219" s="32"/>
      <c r="C1219" s="29" t="s">
        <v>70</v>
      </c>
      <c r="D1219" s="29" t="s">
        <v>1705</v>
      </c>
      <c r="E1219" s="30">
        <v>2011.36</v>
      </c>
      <c r="F1219" s="28">
        <v>0.0</v>
      </c>
      <c r="G1219" s="28" t="s">
        <v>74</v>
      </c>
      <c r="H1219" s="28">
        <f t="array" ref="H1219">INDEX(CC!C:C,MATCH(1,(CC!A:A=G1219)*(CC!B:B=I1219),0))</f>
        <v>1503</v>
      </c>
      <c r="I1219" s="28" t="s">
        <v>44</v>
      </c>
      <c r="J1219" s="31">
        <v>2011.36</v>
      </c>
      <c r="K1219" s="28" t="str">
        <f>IFERROR(__xludf.DUMMYFUNCTION("IFERROR(
INDEX(
FILTER(
MAP(
reglas!$B$2:$B$240,
reglas!$C$2:$C$240,
reglas!$D$2:$D$240,
reglas!$E$2:$E$240,
LAMBDA(rEmisor,rPatron,rConcepto,rTipo,
IF(
AND(
OR(
UPPER(TRIM(rEmisor))=UPPER(TRIM(C1219)),
UPPER(TRIM(rEmisor))=""CUALQUIERA""
),
OR(
UPPER(TRI"&amp;"M(rTipo))=""SOLO EMISOR"",
AND(
UPPER(TRIM(rTipo))=""EXACTA"",
UPPER(TRIM(AG1219))=UPPER(TRIM(rPatron))
),
AND(
OR(
UPPER(TRIM(rTipo))=""CONTIENE"",
UPPER(TRIM(rTipo))=""COINCIDENCIA""
),
ISNUMBER(SEARCH(UPPER(TRIM(rPatron)),UPPER(TRIM(D1219))))
)
)
),
rC"&amp;"oncepto,
""""
)
)
),
MAP(
reglas!$B$2:$B$240,
reglas!$C$2:$C$240,
reglas!$D$2:$D$240,
reglas!$E$2:$E$240,
LAMBDA(rEmisor,rPatron,rConcepto,rTipo,
IF(
AND(
OR(
UPPER(TRIM(rEmisor))=UPPER(TRIM(C1219)),
UPPER(TRIM(rEmisor))=""CUALQUIERA""
),
OR(
UPPER(TRIM(r"&amp;"Tipo))=""SOLO EMISOR"",
AND(
UPPER(TRIM(rTipo))=""EXACTA"",
UPPER(TRIM(D1219))=UPPER(TRIM(rPatron))
),
AND(
OR(
UPPER(TRIM(rTipo))=""CONTIENE"",
UPPER(TRIM(rTipo))=""COINCIDENCIA""
),
ISNUMBER(SEARCH(UPPER(TRIM(rPatron)),UPPER(TRIM(D1219))))
)
)
),
rConce"&amp;"pto,
""""
)
)
)&lt;&gt;""""
),
1
),
""""
)"),"MANIOBRAS")</f>
        <v>MANIOBRAS</v>
      </c>
      <c r="L1219" s="27"/>
      <c r="M1219" s="27"/>
      <c r="N1219" s="27"/>
      <c r="O1219" s="27"/>
      <c r="P1219" s="27"/>
      <c r="Q1219" s="27"/>
      <c r="R1219" s="27"/>
      <c r="S1219" s="27"/>
      <c r="T1219" s="27"/>
      <c r="U1219" s="27"/>
      <c r="V1219" s="27"/>
      <c r="W1219" s="27"/>
      <c r="X1219" s="27"/>
      <c r="Y1219" s="27"/>
    </row>
    <row r="1220">
      <c r="A1220" s="32"/>
      <c r="B1220" s="28" t="s">
        <v>29</v>
      </c>
      <c r="C1220" s="29" t="s">
        <v>172</v>
      </c>
      <c r="D1220" s="29" t="s">
        <v>1711</v>
      </c>
      <c r="E1220" s="30">
        <v>14000.0</v>
      </c>
      <c r="F1220" s="28">
        <v>0.0</v>
      </c>
      <c r="G1220" s="28" t="s">
        <v>250</v>
      </c>
      <c r="H1220" s="28">
        <f t="array" ref="H1220">INDEX(CC!C:C,MATCH(1,(CC!A:A=G1220)*(CC!B:B=I1220),0))</f>
        <v>1402</v>
      </c>
      <c r="I1220" s="28" t="s">
        <v>25</v>
      </c>
      <c r="J1220" s="31">
        <v>14000.0</v>
      </c>
      <c r="K1220" s="28" t="str">
        <f>IFERROR(__xludf.DUMMYFUNCTION("IFERROR(
INDEX(
FILTER(
MAP(
reglas!$B$2:$B$240,
reglas!$C$2:$C$240,
reglas!$D$2:$D$240,
reglas!$E$2:$E$240,
LAMBDA(rEmisor,rPatron,rConcepto,rTipo,
IF(
AND(
OR(
UPPER(TRIM(rEmisor))=UPPER(TRIM(C1220)),
UPPER(TRIM(rEmisor))=""CUALQUIERA""
),
OR(
UPPER(TRI"&amp;"M(rTipo))=""SOLO EMISOR"",
AND(
UPPER(TRIM(rTipo))=""EXACTA"",
UPPER(TRIM(AG1220))=UPPER(TRIM(rPatron))
),
AND(
OR(
UPPER(TRIM(rTipo))=""CONTIENE"",
UPPER(TRIM(rTipo))=""COINCIDENCIA""
),
ISNUMBER(SEARCH(UPPER(TRIM(rPatron)),UPPER(TRIM(D1220))))
)
)
),
rC"&amp;"oncepto,
""""
)
)
),
MAP(
reglas!$B$2:$B$240,
reglas!$C$2:$C$240,
reglas!$D$2:$D$240,
reglas!$E$2:$E$240,
LAMBDA(rEmisor,rPatron,rConcepto,rTipo,
IF(
AND(
OR(
UPPER(TRIM(rEmisor))=UPPER(TRIM(C1220)),
UPPER(TRIM(rEmisor))=""CUALQUIERA""
),
OR(
UPPER(TRIM(r"&amp;"Tipo))=""SOLO EMISOR"",
AND(
UPPER(TRIM(rTipo))=""EXACTA"",
UPPER(TRIM(D1220))=UPPER(TRIM(rPatron))
),
AND(
OR(
UPPER(TRIM(rTipo))=""CONTIENE"",
UPPER(TRIM(rTipo))=""COINCIDENCIA""
),
ISNUMBER(SEARCH(UPPER(TRIM(rPatron)),UPPER(TRIM(D1220))))
)
)
),
rConce"&amp;"pto,
""""
)
)
)&lt;&gt;""""
),
1
),
""""
)"),"TRANSPORTE")</f>
        <v>TRANSPORTE</v>
      </c>
      <c r="L1220" s="27"/>
      <c r="M1220" s="27"/>
      <c r="N1220" s="27"/>
      <c r="O1220" s="27"/>
      <c r="P1220" s="27"/>
      <c r="Q1220" s="27"/>
      <c r="R1220" s="27"/>
      <c r="S1220" s="27"/>
      <c r="T1220" s="27"/>
      <c r="U1220" s="27"/>
      <c r="V1220" s="27"/>
      <c r="W1220" s="27"/>
      <c r="X1220" s="27"/>
      <c r="Y1220" s="27"/>
    </row>
    <row r="1221">
      <c r="A1221" s="32"/>
      <c r="B1221" s="28" t="s">
        <v>29</v>
      </c>
      <c r="C1221" s="29" t="s">
        <v>70</v>
      </c>
      <c r="D1221" s="29" t="s">
        <v>1701</v>
      </c>
      <c r="E1221" s="30">
        <v>2797.01</v>
      </c>
      <c r="F1221" s="28">
        <v>0.0</v>
      </c>
      <c r="G1221" s="28" t="s">
        <v>74</v>
      </c>
      <c r="H1221" s="28">
        <f t="array" ref="H1221">INDEX(CC!C:C,MATCH(1,(CC!A:A=G1221)*(CC!B:B=I1221),0))</f>
        <v>1503</v>
      </c>
      <c r="I1221" s="28" t="s">
        <v>44</v>
      </c>
      <c r="J1221" s="31">
        <v>2797.01</v>
      </c>
      <c r="K1221" s="28" t="str">
        <f>IFERROR(__xludf.DUMMYFUNCTION("IFERROR(
INDEX(
FILTER(
MAP(
reglas!$B$2:$B$240,
reglas!$C$2:$C$240,
reglas!$D$2:$D$240,
reglas!$E$2:$E$240,
LAMBDA(rEmisor,rPatron,rConcepto,rTipo,
IF(
AND(
OR(
UPPER(TRIM(rEmisor))=UPPER(TRIM(C1221)),
UPPER(TRIM(rEmisor))=""CUALQUIERA""
),
OR(
UPPER(TRI"&amp;"M(rTipo))=""SOLO EMISOR"",
AND(
UPPER(TRIM(rTipo))=""EXACTA"",
UPPER(TRIM(AG1221))=UPPER(TRIM(rPatron))
),
AND(
OR(
UPPER(TRIM(rTipo))=""CONTIENE"",
UPPER(TRIM(rTipo))=""COINCIDENCIA""
),
ISNUMBER(SEARCH(UPPER(TRIM(rPatron)),UPPER(TRIM(D1221))))
)
)
),
rC"&amp;"oncepto,
""""
)
)
),
MAP(
reglas!$B$2:$B$240,
reglas!$C$2:$C$240,
reglas!$D$2:$D$240,
reglas!$E$2:$E$240,
LAMBDA(rEmisor,rPatron,rConcepto,rTipo,
IF(
AND(
OR(
UPPER(TRIM(rEmisor))=UPPER(TRIM(C1221)),
UPPER(TRIM(rEmisor))=""CUALQUIERA""
),
OR(
UPPER(TRIM(r"&amp;"Tipo))=""SOLO EMISOR"",
AND(
UPPER(TRIM(rTipo))=""EXACTA"",
UPPER(TRIM(D1221))=UPPER(TRIM(rPatron))
),
AND(
OR(
UPPER(TRIM(rTipo))=""CONTIENE"",
UPPER(TRIM(rTipo))=""COINCIDENCIA""
),
ISNUMBER(SEARCH(UPPER(TRIM(rPatron)),UPPER(TRIM(D1221))))
)
)
),
rConce"&amp;"pto,
""""
)
)
)&lt;&gt;""""
),
1
),
""""
)"),"MANIOBRAS")</f>
        <v>MANIOBRAS</v>
      </c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</row>
    <row r="1222">
      <c r="A1222" s="32"/>
      <c r="B1222" s="32"/>
      <c r="C1222" s="29" t="s">
        <v>70</v>
      </c>
      <c r="D1222" s="29" t="s">
        <v>1716</v>
      </c>
      <c r="E1222" s="30">
        <v>1010.16</v>
      </c>
      <c r="F1222" s="28">
        <v>0.0</v>
      </c>
      <c r="G1222" s="28" t="s">
        <v>74</v>
      </c>
      <c r="H1222" s="28">
        <f t="array" ref="H1222">INDEX(CC!C:C,MATCH(1,(CC!A:A=G1222)*(CC!B:B=I1222),0))</f>
        <v>1503</v>
      </c>
      <c r="I1222" s="28" t="s">
        <v>44</v>
      </c>
      <c r="J1222" s="31">
        <v>1010.16</v>
      </c>
      <c r="K1222" s="28" t="str">
        <f>IFERROR(__xludf.DUMMYFUNCTION("IFERROR(
INDEX(
FILTER(
MAP(
reglas!$B$2:$B$240,
reglas!$C$2:$C$240,
reglas!$D$2:$D$240,
reglas!$E$2:$E$240,
LAMBDA(rEmisor,rPatron,rConcepto,rTipo,
IF(
AND(
OR(
UPPER(TRIM(rEmisor))=UPPER(TRIM(C1222)),
UPPER(TRIM(rEmisor))=""CUALQUIERA""
),
OR(
UPPER(TRI"&amp;"M(rTipo))=""SOLO EMISOR"",
AND(
UPPER(TRIM(rTipo))=""EXACTA"",
UPPER(TRIM(AG1222))=UPPER(TRIM(rPatron))
),
AND(
OR(
UPPER(TRIM(rTipo))=""CONTIENE"",
UPPER(TRIM(rTipo))=""COINCIDENCIA""
),
ISNUMBER(SEARCH(UPPER(TRIM(rPatron)),UPPER(TRIM(D1222))))
)
)
),
rC"&amp;"oncepto,
""""
)
)
),
MAP(
reglas!$B$2:$B$240,
reglas!$C$2:$C$240,
reglas!$D$2:$D$240,
reglas!$E$2:$E$240,
LAMBDA(rEmisor,rPatron,rConcepto,rTipo,
IF(
AND(
OR(
UPPER(TRIM(rEmisor))=UPPER(TRIM(C1222)),
UPPER(TRIM(rEmisor))=""CUALQUIERA""
),
OR(
UPPER(TRIM(r"&amp;"Tipo))=""SOLO EMISOR"",
AND(
UPPER(TRIM(rTipo))=""EXACTA"",
UPPER(TRIM(D1222))=UPPER(TRIM(rPatron))
),
AND(
OR(
UPPER(TRIM(rTipo))=""CONTIENE"",
UPPER(TRIM(rTipo))=""COINCIDENCIA""
),
ISNUMBER(SEARCH(UPPER(TRIM(rPatron)),UPPER(TRIM(D1222))))
)
)
),
rConce"&amp;"pto,
""""
)
)
)&lt;&gt;""""
),
1
),
""""
)"),"")</f>
        <v/>
      </c>
      <c r="L1222" s="27"/>
      <c r="M1222" s="27"/>
      <c r="N1222" s="27"/>
      <c r="O1222" s="27"/>
      <c r="P1222" s="27"/>
      <c r="Q1222" s="27"/>
      <c r="R1222" s="27"/>
      <c r="S1222" s="27"/>
      <c r="T1222" s="27"/>
      <c r="U1222" s="27"/>
      <c r="V1222" s="27"/>
      <c r="W1222" s="27"/>
      <c r="X1222" s="27"/>
      <c r="Y1222" s="27"/>
    </row>
    <row r="1223">
      <c r="A1223" s="32"/>
      <c r="B1223" s="32"/>
      <c r="C1223" s="29" t="s">
        <v>70</v>
      </c>
      <c r="D1223" s="29" t="s">
        <v>1702</v>
      </c>
      <c r="E1223" s="28">
        <v>711.73</v>
      </c>
      <c r="F1223" s="28">
        <v>0.0</v>
      </c>
      <c r="G1223" s="28" t="s">
        <v>74</v>
      </c>
      <c r="H1223" s="28">
        <f t="array" ref="H1223">INDEX(CC!C:C,MATCH(1,(CC!A:A=G1223)*(CC!B:B=I1223),0))</f>
        <v>1503</v>
      </c>
      <c r="I1223" s="28" t="s">
        <v>44</v>
      </c>
      <c r="J1223" s="31">
        <v>711.73</v>
      </c>
      <c r="K1223" s="28" t="str">
        <f>IFERROR(__xludf.DUMMYFUNCTION("IFERROR(
INDEX(
FILTER(
MAP(
reglas!$B$2:$B$240,
reglas!$C$2:$C$240,
reglas!$D$2:$D$240,
reglas!$E$2:$E$240,
LAMBDA(rEmisor,rPatron,rConcepto,rTipo,
IF(
AND(
OR(
UPPER(TRIM(rEmisor))=UPPER(TRIM(C1223)),
UPPER(TRIM(rEmisor))=""CUALQUIERA""
),
OR(
UPPER(TRI"&amp;"M(rTipo))=""SOLO EMISOR"",
AND(
UPPER(TRIM(rTipo))=""EXACTA"",
UPPER(TRIM(AG1223))=UPPER(TRIM(rPatron))
),
AND(
OR(
UPPER(TRIM(rTipo))=""CONTIENE"",
UPPER(TRIM(rTipo))=""COINCIDENCIA""
),
ISNUMBER(SEARCH(UPPER(TRIM(rPatron)),UPPER(TRIM(D1223))))
)
)
),
rC"&amp;"oncepto,
""""
)
)
),
MAP(
reglas!$B$2:$B$240,
reglas!$C$2:$C$240,
reglas!$D$2:$D$240,
reglas!$E$2:$E$240,
LAMBDA(rEmisor,rPatron,rConcepto,rTipo,
IF(
AND(
OR(
UPPER(TRIM(rEmisor))=UPPER(TRIM(C1223)),
UPPER(TRIM(rEmisor))=""CUALQUIERA""
),
OR(
UPPER(TRIM(r"&amp;"Tipo))=""SOLO EMISOR"",
AND(
UPPER(TRIM(rTipo))=""EXACTA"",
UPPER(TRIM(D1223))=UPPER(TRIM(rPatron))
),
AND(
OR(
UPPER(TRIM(rTipo))=""CONTIENE"",
UPPER(TRIM(rTipo))=""COINCIDENCIA""
),
ISNUMBER(SEARCH(UPPER(TRIM(rPatron)),UPPER(TRIM(D1223))))
)
)
),
rConce"&amp;"pto,
""""
)
)
)&lt;&gt;""""
),
1
),
""""
)"),"MANIOBRAS")</f>
        <v>MANIOBRAS</v>
      </c>
      <c r="L1223" s="27"/>
      <c r="M1223" s="27"/>
      <c r="N1223" s="27"/>
      <c r="O1223" s="27"/>
      <c r="P1223" s="27"/>
      <c r="Q1223" s="27"/>
      <c r="R1223" s="27"/>
      <c r="S1223" s="27"/>
      <c r="T1223" s="27"/>
      <c r="U1223" s="27"/>
      <c r="V1223" s="27"/>
      <c r="W1223" s="27"/>
      <c r="X1223" s="27"/>
      <c r="Y1223" s="27"/>
    </row>
    <row r="1224">
      <c r="A1224" s="32"/>
      <c r="B1224" s="32"/>
      <c r="C1224" s="29" t="s">
        <v>70</v>
      </c>
      <c r="D1224" s="29" t="s">
        <v>1705</v>
      </c>
      <c r="E1224" s="28">
        <v>812.1</v>
      </c>
      <c r="F1224" s="28">
        <v>0.0</v>
      </c>
      <c r="G1224" s="28" t="s">
        <v>74</v>
      </c>
      <c r="H1224" s="28">
        <f t="array" ref="H1224">INDEX(CC!C:C,MATCH(1,(CC!A:A=G1224)*(CC!B:B=I1224),0))</f>
        <v>1503</v>
      </c>
      <c r="I1224" s="28" t="s">
        <v>44</v>
      </c>
      <c r="J1224" s="31">
        <v>812.1</v>
      </c>
      <c r="K1224" s="28" t="str">
        <f>IFERROR(__xludf.DUMMYFUNCTION("IFERROR(
INDEX(
FILTER(
MAP(
reglas!$B$2:$B$240,
reglas!$C$2:$C$240,
reglas!$D$2:$D$240,
reglas!$E$2:$E$240,
LAMBDA(rEmisor,rPatron,rConcepto,rTipo,
IF(
AND(
OR(
UPPER(TRIM(rEmisor))=UPPER(TRIM(C1224)),
UPPER(TRIM(rEmisor))=""CUALQUIERA""
),
OR(
UPPER(TRI"&amp;"M(rTipo))=""SOLO EMISOR"",
AND(
UPPER(TRIM(rTipo))=""EXACTA"",
UPPER(TRIM(AG1224))=UPPER(TRIM(rPatron))
),
AND(
OR(
UPPER(TRIM(rTipo))=""CONTIENE"",
UPPER(TRIM(rTipo))=""COINCIDENCIA""
),
ISNUMBER(SEARCH(UPPER(TRIM(rPatron)),UPPER(TRIM(D1224))))
)
)
),
rC"&amp;"oncepto,
""""
)
)
),
MAP(
reglas!$B$2:$B$240,
reglas!$C$2:$C$240,
reglas!$D$2:$D$240,
reglas!$E$2:$E$240,
LAMBDA(rEmisor,rPatron,rConcepto,rTipo,
IF(
AND(
OR(
UPPER(TRIM(rEmisor))=UPPER(TRIM(C1224)),
UPPER(TRIM(rEmisor))=""CUALQUIERA""
),
OR(
UPPER(TRIM(r"&amp;"Tipo))=""SOLO EMISOR"",
AND(
UPPER(TRIM(rTipo))=""EXACTA"",
UPPER(TRIM(D1224))=UPPER(TRIM(rPatron))
),
AND(
OR(
UPPER(TRIM(rTipo))=""CONTIENE"",
UPPER(TRIM(rTipo))=""COINCIDENCIA""
),
ISNUMBER(SEARCH(UPPER(TRIM(rPatron)),UPPER(TRIM(D1224))))
)
)
),
rConce"&amp;"pto,
""""
)
)
)&lt;&gt;""""
),
1
),
""""
)"),"MANIOBRAS")</f>
        <v>MANIOBRAS</v>
      </c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7"/>
      <c r="X1224" s="27"/>
      <c r="Y1224" s="27"/>
    </row>
    <row r="1225">
      <c r="A1225" s="32"/>
      <c r="B1225" s="28" t="s">
        <v>29</v>
      </c>
      <c r="C1225" s="29" t="s">
        <v>172</v>
      </c>
      <c r="D1225" s="29" t="s">
        <v>1854</v>
      </c>
      <c r="E1225" s="30">
        <v>11500.0</v>
      </c>
      <c r="F1225" s="28">
        <v>0.0</v>
      </c>
      <c r="G1225" s="28" t="s">
        <v>250</v>
      </c>
      <c r="H1225" s="28">
        <f t="array" ref="H1225">INDEX(CC!C:C,MATCH(1,(CC!A:A=G1225)*(CC!B:B=I1225),0))</f>
        <v>1402</v>
      </c>
      <c r="I1225" s="28" t="s">
        <v>25</v>
      </c>
      <c r="J1225" s="31">
        <v>11500.0</v>
      </c>
      <c r="K1225" s="28" t="str">
        <f>IFERROR(__xludf.DUMMYFUNCTION("IFERROR(
INDEX(
FILTER(
MAP(
reglas!$B$2:$B$240,
reglas!$C$2:$C$240,
reglas!$D$2:$D$240,
reglas!$E$2:$E$240,
LAMBDA(rEmisor,rPatron,rConcepto,rTipo,
IF(
AND(
OR(
UPPER(TRIM(rEmisor))=UPPER(TRIM(C1225)),
UPPER(TRIM(rEmisor))=""CUALQUIERA""
),
OR(
UPPER(TRI"&amp;"M(rTipo))=""SOLO EMISOR"",
AND(
UPPER(TRIM(rTipo))=""EXACTA"",
UPPER(TRIM(AG1225))=UPPER(TRIM(rPatron))
),
AND(
OR(
UPPER(TRIM(rTipo))=""CONTIENE"",
UPPER(TRIM(rTipo))=""COINCIDENCIA""
),
ISNUMBER(SEARCH(UPPER(TRIM(rPatron)),UPPER(TRIM(D1225))))
)
)
),
rC"&amp;"oncepto,
""""
)
)
),
MAP(
reglas!$B$2:$B$240,
reglas!$C$2:$C$240,
reglas!$D$2:$D$240,
reglas!$E$2:$E$240,
LAMBDA(rEmisor,rPatron,rConcepto,rTipo,
IF(
AND(
OR(
UPPER(TRIM(rEmisor))=UPPER(TRIM(C1225)),
UPPER(TRIM(rEmisor))=""CUALQUIERA""
),
OR(
UPPER(TRIM(r"&amp;"Tipo))=""SOLO EMISOR"",
AND(
UPPER(TRIM(rTipo))=""EXACTA"",
UPPER(TRIM(D1225))=UPPER(TRIM(rPatron))
),
AND(
OR(
UPPER(TRIM(rTipo))=""CONTIENE"",
UPPER(TRIM(rTipo))=""COINCIDENCIA""
),
ISNUMBER(SEARCH(UPPER(TRIM(rPatron)),UPPER(TRIM(D1225))))
)
)
),
rConce"&amp;"pto,
""""
)
)
)&lt;&gt;""""
),
1
),
""""
)"),"TRANSPORTE")</f>
        <v>TRANSPORTE</v>
      </c>
      <c r="L1225" s="27"/>
      <c r="M1225" s="27"/>
      <c r="N1225" s="27"/>
      <c r="O1225" s="27"/>
      <c r="P1225" s="27"/>
      <c r="Q1225" s="27"/>
      <c r="R1225" s="27"/>
      <c r="S1225" s="27"/>
      <c r="T1225" s="27"/>
      <c r="U1225" s="27"/>
      <c r="V1225" s="27"/>
      <c r="W1225" s="27"/>
      <c r="X1225" s="27"/>
      <c r="Y1225" s="27"/>
    </row>
    <row r="1226">
      <c r="A1226" s="28">
        <v>1.0</v>
      </c>
      <c r="B1226" s="28" t="s">
        <v>29</v>
      </c>
      <c r="C1226" s="29" t="s">
        <v>271</v>
      </c>
      <c r="D1226" s="29" t="s">
        <v>587</v>
      </c>
      <c r="E1226" s="28">
        <v>567.29</v>
      </c>
      <c r="F1226" s="28">
        <v>0.0</v>
      </c>
      <c r="G1226" s="28" t="s">
        <v>84</v>
      </c>
      <c r="H1226" s="28">
        <f t="array" ref="H1226">INDEX(CC!C:C,MATCH(1,(CC!A:A=G1226)*(CC!B:B=I1226),0))</f>
        <v>1002</v>
      </c>
      <c r="I1226" s="28" t="s">
        <v>25</v>
      </c>
      <c r="J1226" s="31">
        <v>567.29</v>
      </c>
      <c r="K1226" s="28" t="str">
        <f>IFERROR(__xludf.DUMMYFUNCTION("IFERROR(
INDEX(
FILTER(
MAP(
reglas!$B$2:$B$240,
reglas!$C$2:$C$240,
reglas!$D$2:$D$240,
reglas!$E$2:$E$240,
LAMBDA(rEmisor,rPatron,rConcepto,rTipo,
IF(
AND(
OR(
UPPER(TRIM(rEmisor))=UPPER(TRIM(C1226)),
UPPER(TRIM(rEmisor))=""CUALQUIERA""
),
OR(
UPPER(TRI"&amp;"M(rTipo))=""SOLO EMISOR"",
AND(
UPPER(TRIM(rTipo))=""EXACTA"",
UPPER(TRIM(AG1226))=UPPER(TRIM(rPatron))
),
AND(
OR(
UPPER(TRIM(rTipo))=""CONTIENE"",
UPPER(TRIM(rTipo))=""COINCIDENCIA""
),
ISNUMBER(SEARCH(UPPER(TRIM(rPatron)),UPPER(TRIM(D1226))))
)
)
),
rC"&amp;"oncepto,
""""
)
)
),
MAP(
reglas!$B$2:$B$240,
reglas!$C$2:$C$240,
reglas!$D$2:$D$240,
reglas!$E$2:$E$240,
LAMBDA(rEmisor,rPatron,rConcepto,rTipo,
IF(
AND(
OR(
UPPER(TRIM(rEmisor))=UPPER(TRIM(C1226)),
UPPER(TRIM(rEmisor))=""CUALQUIERA""
),
OR(
UPPER(TRIM(r"&amp;"Tipo))=""SOLO EMISOR"",
AND(
UPPER(TRIM(rTipo))=""EXACTA"",
UPPER(TRIM(D1226))=UPPER(TRIM(rPatron))
),
AND(
OR(
UPPER(TRIM(rTipo))=""CONTIENE"",
UPPER(TRIM(rTipo))=""COINCIDENCIA""
),
ISNUMBER(SEARCH(UPPER(TRIM(rPatron)),UPPER(TRIM(D1226))))
)
)
),
rConce"&amp;"pto,
""""
)
)
)&lt;&gt;""""
),
1
),
""""
)"),"MANIOBRAS")</f>
        <v>MANIOBRAS</v>
      </c>
      <c r="L1226" s="27"/>
      <c r="M1226" s="27"/>
      <c r="N1226" s="27"/>
      <c r="O1226" s="27"/>
      <c r="P1226" s="27"/>
      <c r="Q1226" s="27"/>
      <c r="R1226" s="27"/>
      <c r="S1226" s="27"/>
      <c r="T1226" s="27"/>
      <c r="U1226" s="27"/>
      <c r="V1226" s="27"/>
      <c r="W1226" s="27"/>
      <c r="X1226" s="27"/>
      <c r="Y1226" s="27"/>
    </row>
    <row r="1227">
      <c r="A1227" s="32"/>
      <c r="B1227" s="32"/>
      <c r="C1227" s="29" t="s">
        <v>271</v>
      </c>
      <c r="D1227" s="29" t="s">
        <v>586</v>
      </c>
      <c r="E1227" s="28">
        <v>620.37</v>
      </c>
      <c r="F1227" s="28">
        <v>0.0</v>
      </c>
      <c r="G1227" s="28" t="s">
        <v>84</v>
      </c>
      <c r="H1227" s="28">
        <f t="array" ref="H1227">INDEX(CC!C:C,MATCH(1,(CC!A:A=G1227)*(CC!B:B=I1227),0))</f>
        <v>1002</v>
      </c>
      <c r="I1227" s="28" t="s">
        <v>25</v>
      </c>
      <c r="J1227" s="31">
        <v>620.37</v>
      </c>
      <c r="K1227" s="28" t="str">
        <f>IFERROR(__xludf.DUMMYFUNCTION("IFERROR(
INDEX(
FILTER(
MAP(
reglas!$B$2:$B$240,
reglas!$C$2:$C$240,
reglas!$D$2:$D$240,
reglas!$E$2:$E$240,
LAMBDA(rEmisor,rPatron,rConcepto,rTipo,
IF(
AND(
OR(
UPPER(TRIM(rEmisor))=UPPER(TRIM(C1227)),
UPPER(TRIM(rEmisor))=""CUALQUIERA""
),
OR(
UPPER(TRI"&amp;"M(rTipo))=""SOLO EMISOR"",
AND(
UPPER(TRIM(rTipo))=""EXACTA"",
UPPER(TRIM(AG1227))=UPPER(TRIM(rPatron))
),
AND(
OR(
UPPER(TRIM(rTipo))=""CONTIENE"",
UPPER(TRIM(rTipo))=""COINCIDENCIA""
),
ISNUMBER(SEARCH(UPPER(TRIM(rPatron)),UPPER(TRIM(D1227))))
)
)
),
rC"&amp;"oncepto,
""""
)
)
),
MAP(
reglas!$B$2:$B$240,
reglas!$C$2:$C$240,
reglas!$D$2:$D$240,
reglas!$E$2:$E$240,
LAMBDA(rEmisor,rPatron,rConcepto,rTipo,
IF(
AND(
OR(
UPPER(TRIM(rEmisor))=UPPER(TRIM(C1227)),
UPPER(TRIM(rEmisor))=""CUALQUIERA""
),
OR(
UPPER(TRIM(r"&amp;"Tipo))=""SOLO EMISOR"",
AND(
UPPER(TRIM(rTipo))=""EXACTA"",
UPPER(TRIM(D1227))=UPPER(TRIM(rPatron))
),
AND(
OR(
UPPER(TRIM(rTipo))=""CONTIENE"",
UPPER(TRIM(rTipo))=""COINCIDENCIA""
),
ISNUMBER(SEARCH(UPPER(TRIM(rPatron)),UPPER(TRIM(D1227))))
)
)
),
rConce"&amp;"pto,
""""
)
)
)&lt;&gt;""""
),
1
),
""""
)"),"MANIOBRAS")</f>
        <v>MANIOBRAS</v>
      </c>
      <c r="L1227" s="27"/>
      <c r="M1227" s="27"/>
      <c r="N1227" s="27"/>
      <c r="O1227" s="27"/>
      <c r="P1227" s="27"/>
      <c r="Q1227" s="27"/>
      <c r="R1227" s="27"/>
      <c r="S1227" s="27"/>
      <c r="T1227" s="27"/>
      <c r="U1227" s="27"/>
      <c r="V1227" s="27"/>
      <c r="W1227" s="27"/>
      <c r="X1227" s="27"/>
      <c r="Y1227" s="27"/>
    </row>
    <row r="1228">
      <c r="A1228" s="32"/>
      <c r="B1228" s="32"/>
      <c r="C1228" s="29" t="s">
        <v>271</v>
      </c>
      <c r="D1228" s="29" t="s">
        <v>589</v>
      </c>
      <c r="E1228" s="28">
        <v>620.37</v>
      </c>
      <c r="F1228" s="28">
        <v>0.0</v>
      </c>
      <c r="G1228" s="28" t="s">
        <v>84</v>
      </c>
      <c r="H1228" s="28">
        <f t="array" ref="H1228">INDEX(CC!C:C,MATCH(1,(CC!A:A=G1228)*(CC!B:B=I1228),0))</f>
        <v>1002</v>
      </c>
      <c r="I1228" s="28" t="s">
        <v>25</v>
      </c>
      <c r="J1228" s="31">
        <v>620.37</v>
      </c>
      <c r="K1228" s="28" t="str">
        <f>IFERROR(__xludf.DUMMYFUNCTION("IFERROR(
INDEX(
FILTER(
MAP(
reglas!$B$2:$B$240,
reglas!$C$2:$C$240,
reglas!$D$2:$D$240,
reglas!$E$2:$E$240,
LAMBDA(rEmisor,rPatron,rConcepto,rTipo,
IF(
AND(
OR(
UPPER(TRIM(rEmisor))=UPPER(TRIM(C1228)),
UPPER(TRIM(rEmisor))=""CUALQUIERA""
),
OR(
UPPER(TRI"&amp;"M(rTipo))=""SOLO EMISOR"",
AND(
UPPER(TRIM(rTipo))=""EXACTA"",
UPPER(TRIM(AG1228))=UPPER(TRIM(rPatron))
),
AND(
OR(
UPPER(TRIM(rTipo))=""CONTIENE"",
UPPER(TRIM(rTipo))=""COINCIDENCIA""
),
ISNUMBER(SEARCH(UPPER(TRIM(rPatron)),UPPER(TRIM(D1228))))
)
)
),
rC"&amp;"oncepto,
""""
)
)
),
MAP(
reglas!$B$2:$B$240,
reglas!$C$2:$C$240,
reglas!$D$2:$D$240,
reglas!$E$2:$E$240,
LAMBDA(rEmisor,rPatron,rConcepto,rTipo,
IF(
AND(
OR(
UPPER(TRIM(rEmisor))=UPPER(TRIM(C1228)),
UPPER(TRIM(rEmisor))=""CUALQUIERA""
),
OR(
UPPER(TRIM(r"&amp;"Tipo))=""SOLO EMISOR"",
AND(
UPPER(TRIM(rTipo))=""EXACTA"",
UPPER(TRIM(D1228))=UPPER(TRIM(rPatron))
),
AND(
OR(
UPPER(TRIM(rTipo))=""CONTIENE"",
UPPER(TRIM(rTipo))=""COINCIDENCIA""
),
ISNUMBER(SEARCH(UPPER(TRIM(rPatron)),UPPER(TRIM(D1228))))
)
)
),
rConce"&amp;"pto,
""""
)
)
)&lt;&gt;""""
),
1
),
""""
)"),"MANIOBRAS")</f>
        <v>MANIOBRAS</v>
      </c>
      <c r="L1228" s="27"/>
      <c r="M1228" s="27"/>
      <c r="N1228" s="27"/>
      <c r="O1228" s="27"/>
      <c r="P1228" s="27"/>
      <c r="Q1228" s="27"/>
      <c r="R1228" s="27"/>
      <c r="S1228" s="27"/>
      <c r="T1228" s="27"/>
      <c r="U1228" s="27"/>
      <c r="V1228" s="27"/>
      <c r="W1228" s="27"/>
      <c r="X1228" s="27"/>
      <c r="Y1228" s="27"/>
    </row>
    <row r="1229">
      <c r="A1229" s="32"/>
      <c r="B1229" s="32"/>
      <c r="C1229" s="29" t="s">
        <v>271</v>
      </c>
      <c r="D1229" s="29" t="s">
        <v>593</v>
      </c>
      <c r="E1229" s="28">
        <v>352.24</v>
      </c>
      <c r="F1229" s="28">
        <v>0.0</v>
      </c>
      <c r="G1229" s="28" t="s">
        <v>84</v>
      </c>
      <c r="H1229" s="28">
        <f t="array" ref="H1229">INDEX(CC!C:C,MATCH(1,(CC!A:A=G1229)*(CC!B:B=I1229),0))</f>
        <v>1002</v>
      </c>
      <c r="I1229" s="28" t="s">
        <v>25</v>
      </c>
      <c r="J1229" s="31">
        <v>352.24</v>
      </c>
      <c r="K1229" s="28" t="str">
        <f>IFERROR(__xludf.DUMMYFUNCTION("IFERROR(
INDEX(
FILTER(
MAP(
reglas!$B$2:$B$240,
reglas!$C$2:$C$240,
reglas!$D$2:$D$240,
reglas!$E$2:$E$240,
LAMBDA(rEmisor,rPatron,rConcepto,rTipo,
IF(
AND(
OR(
UPPER(TRIM(rEmisor))=UPPER(TRIM(C1229)),
UPPER(TRIM(rEmisor))=""CUALQUIERA""
),
OR(
UPPER(TRI"&amp;"M(rTipo))=""SOLO EMISOR"",
AND(
UPPER(TRIM(rTipo))=""EXACTA"",
UPPER(TRIM(AG1229))=UPPER(TRIM(rPatron))
),
AND(
OR(
UPPER(TRIM(rTipo))=""CONTIENE"",
UPPER(TRIM(rTipo))=""COINCIDENCIA""
),
ISNUMBER(SEARCH(UPPER(TRIM(rPatron)),UPPER(TRIM(D1229))))
)
)
),
rC"&amp;"oncepto,
""""
)
)
),
MAP(
reglas!$B$2:$B$240,
reglas!$C$2:$C$240,
reglas!$D$2:$D$240,
reglas!$E$2:$E$240,
LAMBDA(rEmisor,rPatron,rConcepto,rTipo,
IF(
AND(
OR(
UPPER(TRIM(rEmisor))=UPPER(TRIM(C1229)),
UPPER(TRIM(rEmisor))=""CUALQUIERA""
),
OR(
UPPER(TRIM(r"&amp;"Tipo))=""SOLO EMISOR"",
AND(
UPPER(TRIM(rTipo))=""EXACTA"",
UPPER(TRIM(D1229))=UPPER(TRIM(rPatron))
),
AND(
OR(
UPPER(TRIM(rTipo))=""CONTIENE"",
UPPER(TRIM(rTipo))=""COINCIDENCIA""
),
ISNUMBER(SEARCH(UPPER(TRIM(rPatron)),UPPER(TRIM(D1229))))
)
)
),
rConce"&amp;"pto,
""""
)
)
)&lt;&gt;""""
),
1
),
""""
)"),"MANIOBRAS")</f>
        <v>MANIOBRAS</v>
      </c>
      <c r="L1229" s="27"/>
      <c r="M1229" s="27"/>
      <c r="N1229" s="27"/>
      <c r="O1229" s="27"/>
      <c r="P1229" s="27"/>
      <c r="Q1229" s="27"/>
      <c r="R1229" s="27"/>
      <c r="S1229" s="27"/>
      <c r="T1229" s="27"/>
      <c r="U1229" s="27"/>
      <c r="V1229" s="27"/>
      <c r="W1229" s="27"/>
      <c r="X1229" s="27"/>
      <c r="Y1229" s="27"/>
    </row>
    <row r="1230">
      <c r="A1230" s="32"/>
      <c r="B1230" s="32"/>
      <c r="C1230" s="29" t="s">
        <v>271</v>
      </c>
      <c r="D1230" s="29" t="s">
        <v>596</v>
      </c>
      <c r="E1230" s="28">
        <v>650.9</v>
      </c>
      <c r="F1230" s="28">
        <v>0.0</v>
      </c>
      <c r="G1230" s="28" t="s">
        <v>84</v>
      </c>
      <c r="H1230" s="28">
        <f t="array" ref="H1230">INDEX(CC!C:C,MATCH(1,(CC!A:A=G1230)*(CC!B:B=I1230),0))</f>
        <v>1002</v>
      </c>
      <c r="I1230" s="28" t="s">
        <v>25</v>
      </c>
      <c r="J1230" s="31">
        <v>650.9</v>
      </c>
      <c r="K1230" s="28" t="str">
        <f>IFERROR(__xludf.DUMMYFUNCTION("IFERROR(
INDEX(
FILTER(
MAP(
reglas!$B$2:$B$240,
reglas!$C$2:$C$240,
reglas!$D$2:$D$240,
reglas!$E$2:$E$240,
LAMBDA(rEmisor,rPatron,rConcepto,rTipo,
IF(
AND(
OR(
UPPER(TRIM(rEmisor))=UPPER(TRIM(C1230)),
UPPER(TRIM(rEmisor))=""CUALQUIERA""
),
OR(
UPPER(TRI"&amp;"M(rTipo))=""SOLO EMISOR"",
AND(
UPPER(TRIM(rTipo))=""EXACTA"",
UPPER(TRIM(AG1230))=UPPER(TRIM(rPatron))
),
AND(
OR(
UPPER(TRIM(rTipo))=""CONTIENE"",
UPPER(TRIM(rTipo))=""COINCIDENCIA""
),
ISNUMBER(SEARCH(UPPER(TRIM(rPatron)),UPPER(TRIM(D1230))))
)
)
),
rC"&amp;"oncepto,
""""
)
)
),
MAP(
reglas!$B$2:$B$240,
reglas!$C$2:$C$240,
reglas!$D$2:$D$240,
reglas!$E$2:$E$240,
LAMBDA(rEmisor,rPatron,rConcepto,rTipo,
IF(
AND(
OR(
UPPER(TRIM(rEmisor))=UPPER(TRIM(C1230)),
UPPER(TRIM(rEmisor))=""CUALQUIERA""
),
OR(
UPPER(TRIM(r"&amp;"Tipo))=""SOLO EMISOR"",
AND(
UPPER(TRIM(rTipo))=""EXACTA"",
UPPER(TRIM(D1230))=UPPER(TRIM(rPatron))
),
AND(
OR(
UPPER(TRIM(rTipo))=""CONTIENE"",
UPPER(TRIM(rTipo))=""COINCIDENCIA""
),
ISNUMBER(SEARCH(UPPER(TRIM(rPatron)),UPPER(TRIM(D1230))))
)
)
),
rConce"&amp;"pto,
""""
)
)
)&lt;&gt;""""
),
1
),
""""
)"),"MANIOBRAS")</f>
        <v>MANIOBRAS</v>
      </c>
      <c r="L1230" s="27"/>
      <c r="M1230" s="27"/>
      <c r="N1230" s="27"/>
      <c r="O1230" s="27"/>
      <c r="P1230" s="27"/>
      <c r="Q1230" s="27"/>
      <c r="R1230" s="27"/>
      <c r="S1230" s="27"/>
      <c r="T1230" s="27"/>
      <c r="U1230" s="27"/>
      <c r="V1230" s="27"/>
      <c r="W1230" s="27"/>
      <c r="X1230" s="27"/>
      <c r="Y1230" s="27"/>
    </row>
    <row r="1231">
      <c r="A1231" s="32"/>
      <c r="B1231" s="28" t="s">
        <v>29</v>
      </c>
      <c r="C1231" s="29" t="s">
        <v>278</v>
      </c>
      <c r="D1231" s="29" t="s">
        <v>560</v>
      </c>
      <c r="E1231" s="30">
        <v>3500.0</v>
      </c>
      <c r="F1231" s="28">
        <v>0.0</v>
      </c>
      <c r="G1231" s="28" t="s">
        <v>250</v>
      </c>
      <c r="H1231" s="28">
        <f t="array" ref="H1231">INDEX(CC!C:C,MATCH(1,(CC!A:A=G1231)*(CC!B:B=I1231),0))</f>
        <v>1402</v>
      </c>
      <c r="I1231" s="28" t="s">
        <v>25</v>
      </c>
      <c r="J1231" s="31">
        <v>3500.0</v>
      </c>
      <c r="K1231" s="28" t="str">
        <f>IFERROR(__xludf.DUMMYFUNCTION("IFERROR(
INDEX(
FILTER(
MAP(
reglas!$B$2:$B$240,
reglas!$C$2:$C$240,
reglas!$D$2:$D$240,
reglas!$E$2:$E$240,
LAMBDA(rEmisor,rPatron,rConcepto,rTipo,
IF(
AND(
OR(
UPPER(TRIM(rEmisor))=UPPER(TRIM(C1231)),
UPPER(TRIM(rEmisor))=""CUALQUIERA""
),
OR(
UPPER(TRI"&amp;"M(rTipo))=""SOLO EMISOR"",
AND(
UPPER(TRIM(rTipo))=""EXACTA"",
UPPER(TRIM(AG1231))=UPPER(TRIM(rPatron))
),
AND(
OR(
UPPER(TRIM(rTipo))=""CONTIENE"",
UPPER(TRIM(rTipo))=""COINCIDENCIA""
),
ISNUMBER(SEARCH(UPPER(TRIM(rPatron)),UPPER(TRIM(D1231))))
)
)
),
rC"&amp;"oncepto,
""""
)
)
),
MAP(
reglas!$B$2:$B$240,
reglas!$C$2:$C$240,
reglas!$D$2:$D$240,
reglas!$E$2:$E$240,
LAMBDA(rEmisor,rPatron,rConcepto,rTipo,
IF(
AND(
OR(
UPPER(TRIM(rEmisor))=UPPER(TRIM(C1231)),
UPPER(TRIM(rEmisor))=""CUALQUIERA""
),
OR(
UPPER(TRIM(r"&amp;"Tipo))=""SOLO EMISOR"",
AND(
UPPER(TRIM(rTipo))=""EXACTA"",
UPPER(TRIM(D1231))=UPPER(TRIM(rPatron))
),
AND(
OR(
UPPER(TRIM(rTipo))=""CONTIENE"",
UPPER(TRIM(rTipo))=""COINCIDENCIA""
),
ISNUMBER(SEARCH(UPPER(TRIM(rPatron)),UPPER(TRIM(D1231))))
)
)
),
rConce"&amp;"pto,
""""
)
)
)&lt;&gt;""""
),
1
),
""""
)"),"MANIOBRAS")</f>
        <v>MANIOBRAS</v>
      </c>
      <c r="L1231" s="27"/>
      <c r="M1231" s="27"/>
      <c r="N1231" s="27"/>
      <c r="O1231" s="27"/>
      <c r="P1231" s="27"/>
      <c r="Q1231" s="27"/>
      <c r="R1231" s="27"/>
      <c r="S1231" s="27"/>
      <c r="T1231" s="27"/>
      <c r="U1231" s="27"/>
      <c r="V1231" s="27"/>
      <c r="W1231" s="27"/>
      <c r="X1231" s="27"/>
      <c r="Y1231" s="27"/>
    </row>
    <row r="1232">
      <c r="A1232" s="32"/>
      <c r="B1232" s="28" t="s">
        <v>29</v>
      </c>
      <c r="C1232" s="29" t="s">
        <v>172</v>
      </c>
      <c r="D1232" s="29" t="s">
        <v>1853</v>
      </c>
      <c r="E1232" s="30">
        <v>11500.0</v>
      </c>
      <c r="F1232" s="28">
        <v>0.0</v>
      </c>
      <c r="G1232" s="28" t="s">
        <v>250</v>
      </c>
      <c r="H1232" s="28">
        <f t="array" ref="H1232">INDEX(CC!C:C,MATCH(1,(CC!A:A=G1232)*(CC!B:B=I1232),0))</f>
        <v>1402</v>
      </c>
      <c r="I1232" s="28" t="s">
        <v>25</v>
      </c>
      <c r="J1232" s="31">
        <v>11500.0</v>
      </c>
      <c r="K1232" s="28" t="str">
        <f>IFERROR(__xludf.DUMMYFUNCTION("IFERROR(
INDEX(
FILTER(
MAP(
reglas!$B$2:$B$240,
reglas!$C$2:$C$240,
reglas!$D$2:$D$240,
reglas!$E$2:$E$240,
LAMBDA(rEmisor,rPatron,rConcepto,rTipo,
IF(
AND(
OR(
UPPER(TRIM(rEmisor))=UPPER(TRIM(C1232)),
UPPER(TRIM(rEmisor))=""CUALQUIERA""
),
OR(
UPPER(TRI"&amp;"M(rTipo))=""SOLO EMISOR"",
AND(
UPPER(TRIM(rTipo))=""EXACTA"",
UPPER(TRIM(AG1232))=UPPER(TRIM(rPatron))
),
AND(
OR(
UPPER(TRIM(rTipo))=""CONTIENE"",
UPPER(TRIM(rTipo))=""COINCIDENCIA""
),
ISNUMBER(SEARCH(UPPER(TRIM(rPatron)),UPPER(TRIM(D1232))))
)
)
),
rC"&amp;"oncepto,
""""
)
)
),
MAP(
reglas!$B$2:$B$240,
reglas!$C$2:$C$240,
reglas!$D$2:$D$240,
reglas!$E$2:$E$240,
LAMBDA(rEmisor,rPatron,rConcepto,rTipo,
IF(
AND(
OR(
UPPER(TRIM(rEmisor))=UPPER(TRIM(C1232)),
UPPER(TRIM(rEmisor))=""CUALQUIERA""
),
OR(
UPPER(TRIM(r"&amp;"Tipo))=""SOLO EMISOR"",
AND(
UPPER(TRIM(rTipo))=""EXACTA"",
UPPER(TRIM(D1232))=UPPER(TRIM(rPatron))
),
AND(
OR(
UPPER(TRIM(rTipo))=""CONTIENE"",
UPPER(TRIM(rTipo))=""COINCIDENCIA""
),
ISNUMBER(SEARCH(UPPER(TRIM(rPatron)),UPPER(TRIM(D1232))))
)
)
),
rConce"&amp;"pto,
""""
)
)
)&lt;&gt;""""
),
1
),
""""
)"),"TRANSPORTE")</f>
        <v>TRANSPORTE</v>
      </c>
      <c r="L1232" s="27"/>
      <c r="M1232" s="27"/>
      <c r="N1232" s="27"/>
      <c r="O1232" s="27"/>
      <c r="P1232" s="27"/>
      <c r="Q1232" s="27"/>
      <c r="R1232" s="27"/>
      <c r="S1232" s="27"/>
      <c r="T1232" s="27"/>
      <c r="U1232" s="27"/>
      <c r="V1232" s="27"/>
      <c r="W1232" s="27"/>
      <c r="X1232" s="27"/>
      <c r="Y1232" s="27"/>
    </row>
    <row r="1233">
      <c r="A1233" s="32"/>
      <c r="B1233" s="28" t="s">
        <v>29</v>
      </c>
      <c r="C1233" s="29" t="s">
        <v>278</v>
      </c>
      <c r="D1233" s="29" t="s">
        <v>898</v>
      </c>
      <c r="E1233" s="30">
        <v>1000.0</v>
      </c>
      <c r="F1233" s="28">
        <v>0.0</v>
      </c>
      <c r="G1233" s="28" t="s">
        <v>250</v>
      </c>
      <c r="H1233" s="28">
        <f t="array" ref="H1233">INDEX(CC!C:C,MATCH(1,(CC!A:A=G1233)*(CC!B:B=I1233),0))</f>
        <v>1402</v>
      </c>
      <c r="I1233" s="28" t="s">
        <v>25</v>
      </c>
      <c r="J1233" s="31">
        <v>1000.0</v>
      </c>
      <c r="K1233" s="28" t="str">
        <f>IFERROR(__xludf.DUMMYFUNCTION("IFERROR(
INDEX(
FILTER(
MAP(
reglas!$B$2:$B$240,
reglas!$C$2:$C$240,
reglas!$D$2:$D$240,
reglas!$E$2:$E$240,
LAMBDA(rEmisor,rPatron,rConcepto,rTipo,
IF(
AND(
OR(
UPPER(TRIM(rEmisor))=UPPER(TRIM(C1233)),
UPPER(TRIM(rEmisor))=""CUALQUIERA""
),
OR(
UPPER(TRI"&amp;"M(rTipo))=""SOLO EMISOR"",
AND(
UPPER(TRIM(rTipo))=""EXACTA"",
UPPER(TRIM(AG1233))=UPPER(TRIM(rPatron))
),
AND(
OR(
UPPER(TRIM(rTipo))=""CONTIENE"",
UPPER(TRIM(rTipo))=""COINCIDENCIA""
),
ISNUMBER(SEARCH(UPPER(TRIM(rPatron)),UPPER(TRIM(D1233))))
)
)
),
rC"&amp;"oncepto,
""""
)
)
),
MAP(
reglas!$B$2:$B$240,
reglas!$C$2:$C$240,
reglas!$D$2:$D$240,
reglas!$E$2:$E$240,
LAMBDA(rEmisor,rPatron,rConcepto,rTipo,
IF(
AND(
OR(
UPPER(TRIM(rEmisor))=UPPER(TRIM(C1233)),
UPPER(TRIM(rEmisor))=""CUALQUIERA""
),
OR(
UPPER(TRIM(r"&amp;"Tipo))=""SOLO EMISOR"",
AND(
UPPER(TRIM(rTipo))=""EXACTA"",
UPPER(TRIM(D1233))=UPPER(TRIM(rPatron))
),
AND(
OR(
UPPER(TRIM(rTipo))=""CONTIENE"",
UPPER(TRIM(rTipo))=""COINCIDENCIA""
),
ISNUMBER(SEARCH(UPPER(TRIM(rPatron)),UPPER(TRIM(D1233))))
)
)
),
rConce"&amp;"pto,
""""
)
)
)&lt;&gt;""""
),
1
),
""""
)"),"MANIOBRAS")</f>
        <v>MANIOBRAS</v>
      </c>
      <c r="L1233" s="27"/>
      <c r="M1233" s="27"/>
      <c r="N1233" s="27"/>
      <c r="O1233" s="27"/>
      <c r="P1233" s="27"/>
      <c r="Q1233" s="27"/>
      <c r="R1233" s="27"/>
      <c r="S1233" s="27"/>
      <c r="T1233" s="27"/>
      <c r="U1233" s="27"/>
      <c r="V1233" s="27"/>
      <c r="W1233" s="27"/>
      <c r="X1233" s="27"/>
      <c r="Y1233" s="27"/>
    </row>
    <row r="1234">
      <c r="A1234" s="28">
        <v>1.0</v>
      </c>
      <c r="B1234" s="28" t="s">
        <v>29</v>
      </c>
      <c r="C1234" s="29" t="s">
        <v>271</v>
      </c>
      <c r="D1234" s="29" t="s">
        <v>585</v>
      </c>
      <c r="E1234" s="28">
        <v>620.03</v>
      </c>
      <c r="F1234" s="28">
        <v>0.0</v>
      </c>
      <c r="G1234" s="28" t="s">
        <v>84</v>
      </c>
      <c r="H1234" s="28">
        <f t="array" ref="H1234">INDEX(CC!C:C,MATCH(1,(CC!A:A=G1234)*(CC!B:B=I1234),0))</f>
        <v>1002</v>
      </c>
      <c r="I1234" s="28" t="s">
        <v>25</v>
      </c>
      <c r="J1234" s="31">
        <v>620.03</v>
      </c>
      <c r="K1234" s="28" t="str">
        <f>IFERROR(__xludf.DUMMYFUNCTION("IFERROR(
INDEX(
FILTER(
MAP(
reglas!$B$2:$B$240,
reglas!$C$2:$C$240,
reglas!$D$2:$D$240,
reglas!$E$2:$E$240,
LAMBDA(rEmisor,rPatron,rConcepto,rTipo,
IF(
AND(
OR(
UPPER(TRIM(rEmisor))=UPPER(TRIM(C1234)),
UPPER(TRIM(rEmisor))=""CUALQUIERA""
),
OR(
UPPER(TRI"&amp;"M(rTipo))=""SOLO EMISOR"",
AND(
UPPER(TRIM(rTipo))=""EXACTA"",
UPPER(TRIM(AG1234))=UPPER(TRIM(rPatron))
),
AND(
OR(
UPPER(TRIM(rTipo))=""CONTIENE"",
UPPER(TRIM(rTipo))=""COINCIDENCIA""
),
ISNUMBER(SEARCH(UPPER(TRIM(rPatron)),UPPER(TRIM(D1234))))
)
)
),
rC"&amp;"oncepto,
""""
)
)
),
MAP(
reglas!$B$2:$B$240,
reglas!$C$2:$C$240,
reglas!$D$2:$D$240,
reglas!$E$2:$E$240,
LAMBDA(rEmisor,rPatron,rConcepto,rTipo,
IF(
AND(
OR(
UPPER(TRIM(rEmisor))=UPPER(TRIM(C1234)),
UPPER(TRIM(rEmisor))=""CUALQUIERA""
),
OR(
UPPER(TRIM(r"&amp;"Tipo))=""SOLO EMISOR"",
AND(
UPPER(TRIM(rTipo))=""EXACTA"",
UPPER(TRIM(D1234))=UPPER(TRIM(rPatron))
),
AND(
OR(
UPPER(TRIM(rTipo))=""CONTIENE"",
UPPER(TRIM(rTipo))=""COINCIDENCIA""
),
ISNUMBER(SEARCH(UPPER(TRIM(rPatron)),UPPER(TRIM(D1234))))
)
)
),
rConce"&amp;"pto,
""""
)
)
)&lt;&gt;""""
),
1
),
""""
)"),"MANIOBRAS")</f>
        <v>MANIOBRAS</v>
      </c>
      <c r="L1234" s="27"/>
      <c r="M1234" s="27"/>
      <c r="N1234" s="27"/>
      <c r="O1234" s="27"/>
      <c r="P1234" s="27"/>
      <c r="Q1234" s="27"/>
      <c r="R1234" s="27"/>
      <c r="S1234" s="27"/>
      <c r="T1234" s="27"/>
      <c r="U1234" s="27"/>
      <c r="V1234" s="27"/>
      <c r="W1234" s="27"/>
      <c r="X1234" s="27"/>
      <c r="Y1234" s="27"/>
    </row>
    <row r="1235">
      <c r="A1235" s="32"/>
      <c r="B1235" s="32"/>
      <c r="C1235" s="29" t="s">
        <v>271</v>
      </c>
      <c r="D1235" s="29" t="s">
        <v>587</v>
      </c>
      <c r="E1235" s="28">
        <v>567.29</v>
      </c>
      <c r="F1235" s="28">
        <v>0.0</v>
      </c>
      <c r="G1235" s="28" t="s">
        <v>84</v>
      </c>
      <c r="H1235" s="28">
        <f t="array" ref="H1235">INDEX(CC!C:C,MATCH(1,(CC!A:A=G1235)*(CC!B:B=I1235),0))</f>
        <v>1002</v>
      </c>
      <c r="I1235" s="28" t="s">
        <v>25</v>
      </c>
      <c r="J1235" s="31">
        <v>567.29</v>
      </c>
      <c r="K1235" s="28" t="str">
        <f>IFERROR(__xludf.DUMMYFUNCTION("IFERROR(
INDEX(
FILTER(
MAP(
reglas!$B$2:$B$240,
reglas!$C$2:$C$240,
reglas!$D$2:$D$240,
reglas!$E$2:$E$240,
LAMBDA(rEmisor,rPatron,rConcepto,rTipo,
IF(
AND(
OR(
UPPER(TRIM(rEmisor))=UPPER(TRIM(C1235)),
UPPER(TRIM(rEmisor))=""CUALQUIERA""
),
OR(
UPPER(TRI"&amp;"M(rTipo))=""SOLO EMISOR"",
AND(
UPPER(TRIM(rTipo))=""EXACTA"",
UPPER(TRIM(AG1235))=UPPER(TRIM(rPatron))
),
AND(
OR(
UPPER(TRIM(rTipo))=""CONTIENE"",
UPPER(TRIM(rTipo))=""COINCIDENCIA""
),
ISNUMBER(SEARCH(UPPER(TRIM(rPatron)),UPPER(TRIM(D1235))))
)
)
),
rC"&amp;"oncepto,
""""
)
)
),
MAP(
reglas!$B$2:$B$240,
reglas!$C$2:$C$240,
reglas!$D$2:$D$240,
reglas!$E$2:$E$240,
LAMBDA(rEmisor,rPatron,rConcepto,rTipo,
IF(
AND(
OR(
UPPER(TRIM(rEmisor))=UPPER(TRIM(C1235)),
UPPER(TRIM(rEmisor))=""CUALQUIERA""
),
OR(
UPPER(TRIM(r"&amp;"Tipo))=""SOLO EMISOR"",
AND(
UPPER(TRIM(rTipo))=""EXACTA"",
UPPER(TRIM(D1235))=UPPER(TRIM(rPatron))
),
AND(
OR(
UPPER(TRIM(rTipo))=""CONTIENE"",
UPPER(TRIM(rTipo))=""COINCIDENCIA""
),
ISNUMBER(SEARCH(UPPER(TRIM(rPatron)),UPPER(TRIM(D1235))))
)
)
),
rConce"&amp;"pto,
""""
)
)
)&lt;&gt;""""
),
1
),
""""
)"),"MANIOBRAS")</f>
        <v>MANIOBRAS</v>
      </c>
      <c r="L1235" s="27"/>
      <c r="M1235" s="27"/>
      <c r="N1235" s="27"/>
      <c r="O1235" s="27"/>
      <c r="P1235" s="27"/>
      <c r="Q1235" s="27"/>
      <c r="R1235" s="27"/>
      <c r="S1235" s="27"/>
      <c r="T1235" s="27"/>
      <c r="U1235" s="27"/>
      <c r="V1235" s="27"/>
      <c r="W1235" s="27"/>
      <c r="X1235" s="27"/>
      <c r="Y1235" s="27"/>
    </row>
    <row r="1236">
      <c r="A1236" s="32"/>
      <c r="B1236" s="32"/>
      <c r="C1236" s="29" t="s">
        <v>271</v>
      </c>
      <c r="D1236" s="29" t="s">
        <v>589</v>
      </c>
      <c r="E1236" s="28">
        <v>620.37</v>
      </c>
      <c r="F1236" s="28">
        <v>0.0</v>
      </c>
      <c r="G1236" s="28" t="s">
        <v>84</v>
      </c>
      <c r="H1236" s="28">
        <f t="array" ref="H1236">INDEX(CC!C:C,MATCH(1,(CC!A:A=G1236)*(CC!B:B=I1236),0))</f>
        <v>1002</v>
      </c>
      <c r="I1236" s="28" t="s">
        <v>25</v>
      </c>
      <c r="J1236" s="31">
        <v>620.37</v>
      </c>
      <c r="K1236" s="28" t="str">
        <f>IFERROR(__xludf.DUMMYFUNCTION("IFERROR(
INDEX(
FILTER(
MAP(
reglas!$B$2:$B$240,
reglas!$C$2:$C$240,
reglas!$D$2:$D$240,
reglas!$E$2:$E$240,
LAMBDA(rEmisor,rPatron,rConcepto,rTipo,
IF(
AND(
OR(
UPPER(TRIM(rEmisor))=UPPER(TRIM(C1236)),
UPPER(TRIM(rEmisor))=""CUALQUIERA""
),
OR(
UPPER(TRI"&amp;"M(rTipo))=""SOLO EMISOR"",
AND(
UPPER(TRIM(rTipo))=""EXACTA"",
UPPER(TRIM(AG1236))=UPPER(TRIM(rPatron))
),
AND(
OR(
UPPER(TRIM(rTipo))=""CONTIENE"",
UPPER(TRIM(rTipo))=""COINCIDENCIA""
),
ISNUMBER(SEARCH(UPPER(TRIM(rPatron)),UPPER(TRIM(D1236))))
)
)
),
rC"&amp;"oncepto,
""""
)
)
),
MAP(
reglas!$B$2:$B$240,
reglas!$C$2:$C$240,
reglas!$D$2:$D$240,
reglas!$E$2:$E$240,
LAMBDA(rEmisor,rPatron,rConcepto,rTipo,
IF(
AND(
OR(
UPPER(TRIM(rEmisor))=UPPER(TRIM(C1236)),
UPPER(TRIM(rEmisor))=""CUALQUIERA""
),
OR(
UPPER(TRIM(r"&amp;"Tipo))=""SOLO EMISOR"",
AND(
UPPER(TRIM(rTipo))=""EXACTA"",
UPPER(TRIM(D1236))=UPPER(TRIM(rPatron))
),
AND(
OR(
UPPER(TRIM(rTipo))=""CONTIENE"",
UPPER(TRIM(rTipo))=""COINCIDENCIA""
),
ISNUMBER(SEARCH(UPPER(TRIM(rPatron)),UPPER(TRIM(D1236))))
)
)
),
rConce"&amp;"pto,
""""
)
)
)&lt;&gt;""""
),
1
),
""""
)"),"MANIOBRAS")</f>
        <v>MANIOBRAS</v>
      </c>
      <c r="L1236" s="27"/>
      <c r="M1236" s="27"/>
      <c r="N1236" s="27"/>
      <c r="O1236" s="27"/>
      <c r="P1236" s="27"/>
      <c r="Q1236" s="27"/>
      <c r="R1236" s="27"/>
      <c r="S1236" s="27"/>
      <c r="T1236" s="27"/>
      <c r="U1236" s="27"/>
      <c r="V1236" s="27"/>
      <c r="W1236" s="27"/>
      <c r="X1236" s="27"/>
      <c r="Y1236" s="27"/>
    </row>
    <row r="1237">
      <c r="A1237" s="32"/>
      <c r="B1237" s="32"/>
      <c r="C1237" s="29" t="s">
        <v>271</v>
      </c>
      <c r="D1237" s="29" t="s">
        <v>596</v>
      </c>
      <c r="E1237" s="28">
        <v>650.9</v>
      </c>
      <c r="F1237" s="28">
        <v>0.0</v>
      </c>
      <c r="G1237" s="28" t="s">
        <v>84</v>
      </c>
      <c r="H1237" s="28">
        <f t="array" ref="H1237">INDEX(CC!C:C,MATCH(1,(CC!A:A=G1237)*(CC!B:B=I1237),0))</f>
        <v>1002</v>
      </c>
      <c r="I1237" s="28" t="s">
        <v>25</v>
      </c>
      <c r="J1237" s="31">
        <v>650.9</v>
      </c>
      <c r="K1237" s="28" t="str">
        <f>IFERROR(__xludf.DUMMYFUNCTION("IFERROR(
INDEX(
FILTER(
MAP(
reglas!$B$2:$B$240,
reglas!$C$2:$C$240,
reglas!$D$2:$D$240,
reglas!$E$2:$E$240,
LAMBDA(rEmisor,rPatron,rConcepto,rTipo,
IF(
AND(
OR(
UPPER(TRIM(rEmisor))=UPPER(TRIM(C1237)),
UPPER(TRIM(rEmisor))=""CUALQUIERA""
),
OR(
UPPER(TRI"&amp;"M(rTipo))=""SOLO EMISOR"",
AND(
UPPER(TRIM(rTipo))=""EXACTA"",
UPPER(TRIM(AG1237))=UPPER(TRIM(rPatron))
),
AND(
OR(
UPPER(TRIM(rTipo))=""CONTIENE"",
UPPER(TRIM(rTipo))=""COINCIDENCIA""
),
ISNUMBER(SEARCH(UPPER(TRIM(rPatron)),UPPER(TRIM(D1237))))
)
)
),
rC"&amp;"oncepto,
""""
)
)
),
MAP(
reglas!$B$2:$B$240,
reglas!$C$2:$C$240,
reglas!$D$2:$D$240,
reglas!$E$2:$E$240,
LAMBDA(rEmisor,rPatron,rConcepto,rTipo,
IF(
AND(
OR(
UPPER(TRIM(rEmisor))=UPPER(TRIM(C1237)),
UPPER(TRIM(rEmisor))=""CUALQUIERA""
),
OR(
UPPER(TRIM(r"&amp;"Tipo))=""SOLO EMISOR"",
AND(
UPPER(TRIM(rTipo))=""EXACTA"",
UPPER(TRIM(D1237))=UPPER(TRIM(rPatron))
),
AND(
OR(
UPPER(TRIM(rTipo))=""CONTIENE"",
UPPER(TRIM(rTipo))=""COINCIDENCIA""
),
ISNUMBER(SEARCH(UPPER(TRIM(rPatron)),UPPER(TRIM(D1237))))
)
)
),
rConce"&amp;"pto,
""""
)
)
)&lt;&gt;""""
),
1
),
""""
)"),"MANIOBRAS")</f>
        <v>MANIOBRAS</v>
      </c>
      <c r="L1237" s="27"/>
      <c r="M1237" s="27"/>
      <c r="N1237" s="27"/>
      <c r="O1237" s="27"/>
      <c r="P1237" s="27"/>
      <c r="Q1237" s="27"/>
      <c r="R1237" s="27"/>
      <c r="S1237" s="27"/>
      <c r="T1237" s="27"/>
      <c r="U1237" s="27"/>
      <c r="V1237" s="27"/>
      <c r="W1237" s="27"/>
      <c r="X1237" s="27"/>
      <c r="Y1237" s="27"/>
    </row>
    <row r="1238">
      <c r="A1238" s="28">
        <v>1.0</v>
      </c>
      <c r="B1238" s="28" t="s">
        <v>29</v>
      </c>
      <c r="C1238" s="29" t="s">
        <v>271</v>
      </c>
      <c r="D1238" s="29" t="s">
        <v>585</v>
      </c>
      <c r="E1238" s="28">
        <v>620.03</v>
      </c>
      <c r="F1238" s="28">
        <v>0.0</v>
      </c>
      <c r="G1238" s="28" t="s">
        <v>84</v>
      </c>
      <c r="H1238" s="28">
        <f t="array" ref="H1238">INDEX(CC!C:C,MATCH(1,(CC!A:A=G1238)*(CC!B:B=I1238),0))</f>
        <v>1002</v>
      </c>
      <c r="I1238" s="28" t="s">
        <v>25</v>
      </c>
      <c r="J1238" s="31">
        <v>620.03</v>
      </c>
      <c r="K1238" s="28" t="str">
        <f>IFERROR(__xludf.DUMMYFUNCTION("IFERROR(
INDEX(
FILTER(
MAP(
reglas!$B$2:$B$240,
reglas!$C$2:$C$240,
reglas!$D$2:$D$240,
reglas!$E$2:$E$240,
LAMBDA(rEmisor,rPatron,rConcepto,rTipo,
IF(
AND(
OR(
UPPER(TRIM(rEmisor))=UPPER(TRIM(C1238)),
UPPER(TRIM(rEmisor))=""CUALQUIERA""
),
OR(
UPPER(TRI"&amp;"M(rTipo))=""SOLO EMISOR"",
AND(
UPPER(TRIM(rTipo))=""EXACTA"",
UPPER(TRIM(AG1238))=UPPER(TRIM(rPatron))
),
AND(
OR(
UPPER(TRIM(rTipo))=""CONTIENE"",
UPPER(TRIM(rTipo))=""COINCIDENCIA""
),
ISNUMBER(SEARCH(UPPER(TRIM(rPatron)),UPPER(TRIM(D1238))))
)
)
),
rC"&amp;"oncepto,
""""
)
)
),
MAP(
reglas!$B$2:$B$240,
reglas!$C$2:$C$240,
reglas!$D$2:$D$240,
reglas!$E$2:$E$240,
LAMBDA(rEmisor,rPatron,rConcepto,rTipo,
IF(
AND(
OR(
UPPER(TRIM(rEmisor))=UPPER(TRIM(C1238)),
UPPER(TRIM(rEmisor))=""CUALQUIERA""
),
OR(
UPPER(TRIM(r"&amp;"Tipo))=""SOLO EMISOR"",
AND(
UPPER(TRIM(rTipo))=""EXACTA"",
UPPER(TRIM(D1238))=UPPER(TRIM(rPatron))
),
AND(
OR(
UPPER(TRIM(rTipo))=""CONTIENE"",
UPPER(TRIM(rTipo))=""COINCIDENCIA""
),
ISNUMBER(SEARCH(UPPER(TRIM(rPatron)),UPPER(TRIM(D1238))))
)
)
),
rConce"&amp;"pto,
""""
)
)
)&lt;&gt;""""
),
1
),
""""
)"),"MANIOBRAS")</f>
        <v>MANIOBRAS</v>
      </c>
      <c r="L1238" s="27"/>
      <c r="M1238" s="27"/>
      <c r="N1238" s="27"/>
      <c r="O1238" s="27"/>
      <c r="P1238" s="27"/>
      <c r="Q1238" s="27"/>
      <c r="R1238" s="27"/>
      <c r="S1238" s="27"/>
      <c r="T1238" s="27"/>
      <c r="U1238" s="27"/>
      <c r="V1238" s="27"/>
      <c r="W1238" s="27"/>
      <c r="X1238" s="27"/>
      <c r="Y1238" s="27"/>
    </row>
    <row r="1239">
      <c r="A1239" s="32"/>
      <c r="B1239" s="32"/>
      <c r="C1239" s="29" t="s">
        <v>271</v>
      </c>
      <c r="D1239" s="29" t="s">
        <v>587</v>
      </c>
      <c r="E1239" s="28">
        <v>567.29</v>
      </c>
      <c r="F1239" s="28">
        <v>0.0</v>
      </c>
      <c r="G1239" s="28" t="s">
        <v>84</v>
      </c>
      <c r="H1239" s="28">
        <f t="array" ref="H1239">INDEX(CC!C:C,MATCH(1,(CC!A:A=G1239)*(CC!B:B=I1239),0))</f>
        <v>1002</v>
      </c>
      <c r="I1239" s="28" t="s">
        <v>25</v>
      </c>
      <c r="J1239" s="31">
        <v>567.29</v>
      </c>
      <c r="K1239" s="28" t="str">
        <f>IFERROR(__xludf.DUMMYFUNCTION("IFERROR(
INDEX(
FILTER(
MAP(
reglas!$B$2:$B$240,
reglas!$C$2:$C$240,
reglas!$D$2:$D$240,
reglas!$E$2:$E$240,
LAMBDA(rEmisor,rPatron,rConcepto,rTipo,
IF(
AND(
OR(
UPPER(TRIM(rEmisor))=UPPER(TRIM(C1239)),
UPPER(TRIM(rEmisor))=""CUALQUIERA""
),
OR(
UPPER(TRI"&amp;"M(rTipo))=""SOLO EMISOR"",
AND(
UPPER(TRIM(rTipo))=""EXACTA"",
UPPER(TRIM(AG1239))=UPPER(TRIM(rPatron))
),
AND(
OR(
UPPER(TRIM(rTipo))=""CONTIENE"",
UPPER(TRIM(rTipo))=""COINCIDENCIA""
),
ISNUMBER(SEARCH(UPPER(TRIM(rPatron)),UPPER(TRIM(D1239))))
)
)
),
rC"&amp;"oncepto,
""""
)
)
),
MAP(
reglas!$B$2:$B$240,
reglas!$C$2:$C$240,
reglas!$D$2:$D$240,
reglas!$E$2:$E$240,
LAMBDA(rEmisor,rPatron,rConcepto,rTipo,
IF(
AND(
OR(
UPPER(TRIM(rEmisor))=UPPER(TRIM(C1239)),
UPPER(TRIM(rEmisor))=""CUALQUIERA""
),
OR(
UPPER(TRIM(r"&amp;"Tipo))=""SOLO EMISOR"",
AND(
UPPER(TRIM(rTipo))=""EXACTA"",
UPPER(TRIM(D1239))=UPPER(TRIM(rPatron))
),
AND(
OR(
UPPER(TRIM(rTipo))=""CONTIENE"",
UPPER(TRIM(rTipo))=""COINCIDENCIA""
),
ISNUMBER(SEARCH(UPPER(TRIM(rPatron)),UPPER(TRIM(D1239))))
)
)
),
rConce"&amp;"pto,
""""
)
)
)&lt;&gt;""""
),
1
),
""""
)"),"MANIOBRAS")</f>
        <v>MANIOBRAS</v>
      </c>
      <c r="L1239" s="27"/>
      <c r="M1239" s="27"/>
      <c r="N1239" s="27"/>
      <c r="O1239" s="27"/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</row>
    <row r="1240">
      <c r="A1240" s="32"/>
      <c r="B1240" s="32"/>
      <c r="C1240" s="29" t="s">
        <v>271</v>
      </c>
      <c r="D1240" s="29" t="s">
        <v>589</v>
      </c>
      <c r="E1240" s="28">
        <v>620.37</v>
      </c>
      <c r="F1240" s="28">
        <v>0.0</v>
      </c>
      <c r="G1240" s="28" t="s">
        <v>84</v>
      </c>
      <c r="H1240" s="28">
        <f t="array" ref="H1240">INDEX(CC!C:C,MATCH(1,(CC!A:A=G1240)*(CC!B:B=I1240),0))</f>
        <v>1002</v>
      </c>
      <c r="I1240" s="28" t="s">
        <v>25</v>
      </c>
      <c r="J1240" s="31">
        <v>620.37</v>
      </c>
      <c r="K1240" s="28" t="str">
        <f>IFERROR(__xludf.DUMMYFUNCTION("IFERROR(
INDEX(
FILTER(
MAP(
reglas!$B$2:$B$240,
reglas!$C$2:$C$240,
reglas!$D$2:$D$240,
reglas!$E$2:$E$240,
LAMBDA(rEmisor,rPatron,rConcepto,rTipo,
IF(
AND(
OR(
UPPER(TRIM(rEmisor))=UPPER(TRIM(C1240)),
UPPER(TRIM(rEmisor))=""CUALQUIERA""
),
OR(
UPPER(TRI"&amp;"M(rTipo))=""SOLO EMISOR"",
AND(
UPPER(TRIM(rTipo))=""EXACTA"",
UPPER(TRIM(AG1240))=UPPER(TRIM(rPatron))
),
AND(
OR(
UPPER(TRIM(rTipo))=""CONTIENE"",
UPPER(TRIM(rTipo))=""COINCIDENCIA""
),
ISNUMBER(SEARCH(UPPER(TRIM(rPatron)),UPPER(TRIM(D1240))))
)
)
),
rC"&amp;"oncepto,
""""
)
)
),
MAP(
reglas!$B$2:$B$240,
reglas!$C$2:$C$240,
reglas!$D$2:$D$240,
reglas!$E$2:$E$240,
LAMBDA(rEmisor,rPatron,rConcepto,rTipo,
IF(
AND(
OR(
UPPER(TRIM(rEmisor))=UPPER(TRIM(C1240)),
UPPER(TRIM(rEmisor))=""CUALQUIERA""
),
OR(
UPPER(TRIM(r"&amp;"Tipo))=""SOLO EMISOR"",
AND(
UPPER(TRIM(rTipo))=""EXACTA"",
UPPER(TRIM(D1240))=UPPER(TRIM(rPatron))
),
AND(
OR(
UPPER(TRIM(rTipo))=""CONTIENE"",
UPPER(TRIM(rTipo))=""COINCIDENCIA""
),
ISNUMBER(SEARCH(UPPER(TRIM(rPatron)),UPPER(TRIM(D1240))))
)
)
),
rConce"&amp;"pto,
""""
)
)
)&lt;&gt;""""
),
1
),
""""
)"),"MANIOBRAS")</f>
        <v>MANIOBRAS</v>
      </c>
      <c r="L1240" s="27"/>
      <c r="M1240" s="27"/>
      <c r="N1240" s="27"/>
      <c r="O1240" s="27"/>
      <c r="P1240" s="27"/>
      <c r="Q1240" s="27"/>
      <c r="R1240" s="27"/>
      <c r="S1240" s="27"/>
      <c r="T1240" s="27"/>
      <c r="U1240" s="27"/>
      <c r="V1240" s="27"/>
      <c r="W1240" s="27"/>
      <c r="X1240" s="27"/>
      <c r="Y1240" s="27"/>
    </row>
    <row r="1241">
      <c r="A1241" s="32"/>
      <c r="B1241" s="32"/>
      <c r="C1241" s="29" t="s">
        <v>271</v>
      </c>
      <c r="D1241" s="29" t="s">
        <v>596</v>
      </c>
      <c r="E1241" s="28">
        <v>650.9</v>
      </c>
      <c r="F1241" s="28">
        <v>0.0</v>
      </c>
      <c r="G1241" s="28" t="s">
        <v>84</v>
      </c>
      <c r="H1241" s="28">
        <f t="array" ref="H1241">INDEX(CC!C:C,MATCH(1,(CC!A:A=G1241)*(CC!B:B=I1241),0))</f>
        <v>1002</v>
      </c>
      <c r="I1241" s="28" t="s">
        <v>25</v>
      </c>
      <c r="J1241" s="31">
        <v>650.9</v>
      </c>
      <c r="K1241" s="28" t="str">
        <f>IFERROR(__xludf.DUMMYFUNCTION("IFERROR(
INDEX(
FILTER(
MAP(
reglas!$B$2:$B$240,
reglas!$C$2:$C$240,
reglas!$D$2:$D$240,
reglas!$E$2:$E$240,
LAMBDA(rEmisor,rPatron,rConcepto,rTipo,
IF(
AND(
OR(
UPPER(TRIM(rEmisor))=UPPER(TRIM(C1241)),
UPPER(TRIM(rEmisor))=""CUALQUIERA""
),
OR(
UPPER(TRI"&amp;"M(rTipo))=""SOLO EMISOR"",
AND(
UPPER(TRIM(rTipo))=""EXACTA"",
UPPER(TRIM(AG1241))=UPPER(TRIM(rPatron))
),
AND(
OR(
UPPER(TRIM(rTipo))=""CONTIENE"",
UPPER(TRIM(rTipo))=""COINCIDENCIA""
),
ISNUMBER(SEARCH(UPPER(TRIM(rPatron)),UPPER(TRIM(D1241))))
)
)
),
rC"&amp;"oncepto,
""""
)
)
),
MAP(
reglas!$B$2:$B$240,
reglas!$C$2:$C$240,
reglas!$D$2:$D$240,
reglas!$E$2:$E$240,
LAMBDA(rEmisor,rPatron,rConcepto,rTipo,
IF(
AND(
OR(
UPPER(TRIM(rEmisor))=UPPER(TRIM(C1241)),
UPPER(TRIM(rEmisor))=""CUALQUIERA""
),
OR(
UPPER(TRIM(r"&amp;"Tipo))=""SOLO EMISOR"",
AND(
UPPER(TRIM(rTipo))=""EXACTA"",
UPPER(TRIM(D1241))=UPPER(TRIM(rPatron))
),
AND(
OR(
UPPER(TRIM(rTipo))=""CONTIENE"",
UPPER(TRIM(rTipo))=""COINCIDENCIA""
),
ISNUMBER(SEARCH(UPPER(TRIM(rPatron)),UPPER(TRIM(D1241))))
)
)
),
rConce"&amp;"pto,
""""
)
)
)&lt;&gt;""""
),
1
),
""""
)"),"MANIOBRAS")</f>
        <v>MANIOBRAS</v>
      </c>
      <c r="L1241" s="27"/>
      <c r="M1241" s="27"/>
      <c r="N1241" s="27"/>
      <c r="O1241" s="27"/>
      <c r="P1241" s="27"/>
      <c r="Q1241" s="27"/>
      <c r="R1241" s="27"/>
      <c r="S1241" s="27"/>
      <c r="T1241" s="27"/>
      <c r="U1241" s="27"/>
      <c r="V1241" s="27"/>
      <c r="W1241" s="27"/>
      <c r="X1241" s="27"/>
      <c r="Y1241" s="27"/>
    </row>
    <row r="1242">
      <c r="A1242" s="28">
        <v>1.0</v>
      </c>
      <c r="B1242" s="28" t="s">
        <v>29</v>
      </c>
      <c r="C1242" s="29" t="s">
        <v>263</v>
      </c>
      <c r="D1242" s="29" t="s">
        <v>1855</v>
      </c>
      <c r="E1242" s="28">
        <v>618.56</v>
      </c>
      <c r="F1242" s="28">
        <v>0.0</v>
      </c>
      <c r="G1242" s="28" t="s">
        <v>225</v>
      </c>
      <c r="H1242" s="28">
        <f t="array" ref="H1242">INDEX(CC!C:C,MATCH(1,(CC!A:A=G1242)*(CC!B:B=I1242),0))</f>
        <v>102</v>
      </c>
      <c r="I1242" s="28" t="s">
        <v>25</v>
      </c>
      <c r="J1242" s="31">
        <v>618.56</v>
      </c>
      <c r="K1242" s="28" t="str">
        <f>IFERROR(__xludf.DUMMYFUNCTION("IFERROR(
INDEX(
FILTER(
MAP(
reglas!$B$2:$B$240,
reglas!$C$2:$C$240,
reglas!$D$2:$D$240,
reglas!$E$2:$E$240,
LAMBDA(rEmisor,rPatron,rConcepto,rTipo,
IF(
AND(
OR(
UPPER(TRIM(rEmisor))=UPPER(TRIM(C1242)),
UPPER(TRIM(rEmisor))=""CUALQUIERA""
),
OR(
UPPER(TRI"&amp;"M(rTipo))=""SOLO EMISOR"",
AND(
UPPER(TRIM(rTipo))=""EXACTA"",
UPPER(TRIM(AG1242))=UPPER(TRIM(rPatron))
),
AND(
OR(
UPPER(TRIM(rTipo))=""CONTIENE"",
UPPER(TRIM(rTipo))=""COINCIDENCIA""
),
ISNUMBER(SEARCH(UPPER(TRIM(rPatron)),UPPER(TRIM(D1242))))
)
)
),
rC"&amp;"oncepto,
""""
)
)
),
MAP(
reglas!$B$2:$B$240,
reglas!$C$2:$C$240,
reglas!$D$2:$D$240,
reglas!$E$2:$E$240,
LAMBDA(rEmisor,rPatron,rConcepto,rTipo,
IF(
AND(
OR(
UPPER(TRIM(rEmisor))=UPPER(TRIM(C1242)),
UPPER(TRIM(rEmisor))=""CUALQUIERA""
),
OR(
UPPER(TRIM(r"&amp;"Tipo))=""SOLO EMISOR"",
AND(
UPPER(TRIM(rTipo))=""EXACTA"",
UPPER(TRIM(D1242))=UPPER(TRIM(rPatron))
),
AND(
OR(
UPPER(TRIM(rTipo))=""CONTIENE"",
UPPER(TRIM(rTipo))=""COINCIDENCIA""
),
ISNUMBER(SEARCH(UPPER(TRIM(rPatron)),UPPER(TRIM(D1242))))
)
)
),
rConce"&amp;"pto,
""""
)
)
)&lt;&gt;""""
),
1
),
""""
)"),"GASTOS DE VIAJE")</f>
        <v>GASTOS DE VIAJE</v>
      </c>
      <c r="L1242" s="27"/>
      <c r="M1242" s="27"/>
      <c r="N1242" s="27"/>
      <c r="O1242" s="27"/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</row>
    <row r="1243">
      <c r="A1243" s="32"/>
      <c r="B1243" s="28" t="s">
        <v>29</v>
      </c>
      <c r="C1243" s="29" t="s">
        <v>278</v>
      </c>
      <c r="D1243" s="29" t="s">
        <v>560</v>
      </c>
      <c r="E1243" s="30">
        <v>3500.0</v>
      </c>
      <c r="F1243" s="28">
        <v>0.0</v>
      </c>
      <c r="G1243" s="28" t="s">
        <v>250</v>
      </c>
      <c r="H1243" s="28">
        <f t="array" ref="H1243">INDEX(CC!C:C,MATCH(1,(CC!A:A=G1243)*(CC!B:B=I1243),0))</f>
        <v>1402</v>
      </c>
      <c r="I1243" s="28" t="s">
        <v>25</v>
      </c>
      <c r="J1243" s="31">
        <v>3500.0</v>
      </c>
      <c r="K1243" s="28" t="str">
        <f>IFERROR(__xludf.DUMMYFUNCTION("IFERROR(
INDEX(
FILTER(
MAP(
reglas!$B$2:$B$240,
reglas!$C$2:$C$240,
reglas!$D$2:$D$240,
reglas!$E$2:$E$240,
LAMBDA(rEmisor,rPatron,rConcepto,rTipo,
IF(
AND(
OR(
UPPER(TRIM(rEmisor))=UPPER(TRIM(C1243)),
UPPER(TRIM(rEmisor))=""CUALQUIERA""
),
OR(
UPPER(TRI"&amp;"M(rTipo))=""SOLO EMISOR"",
AND(
UPPER(TRIM(rTipo))=""EXACTA"",
UPPER(TRIM(AG1243))=UPPER(TRIM(rPatron))
),
AND(
OR(
UPPER(TRIM(rTipo))=""CONTIENE"",
UPPER(TRIM(rTipo))=""COINCIDENCIA""
),
ISNUMBER(SEARCH(UPPER(TRIM(rPatron)),UPPER(TRIM(D1243))))
)
)
),
rC"&amp;"oncepto,
""""
)
)
),
MAP(
reglas!$B$2:$B$240,
reglas!$C$2:$C$240,
reglas!$D$2:$D$240,
reglas!$E$2:$E$240,
LAMBDA(rEmisor,rPatron,rConcepto,rTipo,
IF(
AND(
OR(
UPPER(TRIM(rEmisor))=UPPER(TRIM(C1243)),
UPPER(TRIM(rEmisor))=""CUALQUIERA""
),
OR(
UPPER(TRIM(r"&amp;"Tipo))=""SOLO EMISOR"",
AND(
UPPER(TRIM(rTipo))=""EXACTA"",
UPPER(TRIM(D1243))=UPPER(TRIM(rPatron))
),
AND(
OR(
UPPER(TRIM(rTipo))=""CONTIENE"",
UPPER(TRIM(rTipo))=""COINCIDENCIA""
),
ISNUMBER(SEARCH(UPPER(TRIM(rPatron)),UPPER(TRIM(D1243))))
)
)
),
rConce"&amp;"pto,
""""
)
)
)&lt;&gt;""""
),
1
),
""""
)"),"MANIOBRAS")</f>
        <v>MANIOBRAS</v>
      </c>
      <c r="L1243" s="27"/>
      <c r="M1243" s="27"/>
      <c r="N1243" s="27"/>
      <c r="O1243" s="27"/>
      <c r="P1243" s="27"/>
      <c r="Q1243" s="27"/>
      <c r="R1243" s="27"/>
      <c r="S1243" s="27"/>
      <c r="T1243" s="27"/>
      <c r="U1243" s="27"/>
      <c r="V1243" s="27"/>
      <c r="W1243" s="27"/>
      <c r="X1243" s="27"/>
      <c r="Y1243" s="27"/>
    </row>
    <row r="1244">
      <c r="A1244" s="32"/>
      <c r="B1244" s="28" t="s">
        <v>29</v>
      </c>
      <c r="C1244" s="29" t="s">
        <v>331</v>
      </c>
      <c r="D1244" s="29" t="s">
        <v>33</v>
      </c>
      <c r="E1244" s="28">
        <v>0.01</v>
      </c>
      <c r="F1244" s="28">
        <v>0.0</v>
      </c>
      <c r="G1244" s="28" t="s">
        <v>385</v>
      </c>
      <c r="H1244" s="28">
        <f t="array" ref="H1244">INDEX(CC!C:C,MATCH(1,(CC!A:A=G1244)*(CC!B:B=I1244),0))</f>
        <v>502</v>
      </c>
      <c r="I1244" s="28" t="s">
        <v>25</v>
      </c>
      <c r="J1244" s="31">
        <v>0.01</v>
      </c>
      <c r="K1244" s="28" t="str">
        <f>IFERROR(__xludf.DUMMYFUNCTION("IFERROR(
INDEX(
FILTER(
MAP(
reglas!$B$2:$B$240,
reglas!$C$2:$C$240,
reglas!$D$2:$D$240,
reglas!$E$2:$E$240,
LAMBDA(rEmisor,rPatron,rConcepto,rTipo,
IF(
AND(
OR(
UPPER(TRIM(rEmisor))=UPPER(TRIM(C1244)),
UPPER(TRIM(rEmisor))=""CUALQUIERA""
),
OR(
UPPER(TRI"&amp;"M(rTipo))=""SOLO EMISOR"",
AND(
UPPER(TRIM(rTipo))=""EXACTA"",
UPPER(TRIM(AG1244))=UPPER(TRIM(rPatron))
),
AND(
OR(
UPPER(TRIM(rTipo))=""CONTIENE"",
UPPER(TRIM(rTipo))=""COINCIDENCIA""
),
ISNUMBER(SEARCH(UPPER(TRIM(rPatron)),UPPER(TRIM(D1244))))
)
)
),
rC"&amp;"oncepto,
""""
)
)
),
MAP(
reglas!$B$2:$B$240,
reglas!$C$2:$C$240,
reglas!$D$2:$D$240,
reglas!$E$2:$E$240,
LAMBDA(rEmisor,rPatron,rConcepto,rTipo,
IF(
AND(
OR(
UPPER(TRIM(rEmisor))=UPPER(TRIM(C1244)),
UPPER(TRIM(rEmisor))=""CUALQUIERA""
),
OR(
UPPER(TRIM(r"&amp;"Tipo))=""SOLO EMISOR"",
AND(
UPPER(TRIM(rTipo))=""EXACTA"",
UPPER(TRIM(D1244))=UPPER(TRIM(rPatron))
),
AND(
OR(
UPPER(TRIM(rTipo))=""CONTIENE"",
UPPER(TRIM(rTipo))=""COINCIDENCIA""
),
ISNUMBER(SEARCH(UPPER(TRIM(rPatron)),UPPER(TRIM(D1244))))
)
)
),
rConce"&amp;"pto,
""""
)
)
)&lt;&gt;""""
),
1
),
""""
)"),"N/A")</f>
        <v>N/A</v>
      </c>
      <c r="L1244" s="27"/>
      <c r="M1244" s="27"/>
      <c r="N1244" s="27"/>
      <c r="O1244" s="27"/>
      <c r="P1244" s="27"/>
      <c r="Q1244" s="27"/>
      <c r="R1244" s="27"/>
      <c r="S1244" s="27"/>
      <c r="T1244" s="27"/>
      <c r="U1244" s="27"/>
      <c r="V1244" s="27"/>
      <c r="W1244" s="27"/>
      <c r="X1244" s="27"/>
      <c r="Y1244" s="27"/>
    </row>
    <row r="1245">
      <c r="A1245" s="28">
        <v>1.0</v>
      </c>
      <c r="B1245" s="28" t="s">
        <v>29</v>
      </c>
      <c r="C1245" s="29" t="s">
        <v>254</v>
      </c>
      <c r="D1245" s="29" t="s">
        <v>1856</v>
      </c>
      <c r="E1245" s="28">
        <v>79.0</v>
      </c>
      <c r="F1245" s="28">
        <v>0.0</v>
      </c>
      <c r="G1245" s="28" t="s">
        <v>74</v>
      </c>
      <c r="H1245" s="28">
        <f t="array" ref="H1245">INDEX(CC!C:C,MATCH(1,(CC!A:A=G1245)*(CC!B:B=I1245),0))</f>
        <v>1502</v>
      </c>
      <c r="I1245" s="28" t="s">
        <v>25</v>
      </c>
      <c r="J1245" s="31">
        <v>79.0</v>
      </c>
      <c r="K1245" s="28" t="str">
        <f>IFERROR(__xludf.DUMMYFUNCTION("IFERROR(
INDEX(
FILTER(
MAP(
reglas!$B$2:$B$240,
reglas!$C$2:$C$240,
reglas!$D$2:$D$240,
reglas!$E$2:$E$240,
LAMBDA(rEmisor,rPatron,rConcepto,rTipo,
IF(
AND(
OR(
UPPER(TRIM(rEmisor))=UPPER(TRIM(C1245)),
UPPER(TRIM(rEmisor))=""CUALQUIERA""
),
OR(
UPPER(TRI"&amp;"M(rTipo))=""SOLO EMISOR"",
AND(
UPPER(TRIM(rTipo))=""EXACTA"",
UPPER(TRIM(AG1245))=UPPER(TRIM(rPatron))
),
AND(
OR(
UPPER(TRIM(rTipo))=""CONTIENE"",
UPPER(TRIM(rTipo))=""COINCIDENCIA""
),
ISNUMBER(SEARCH(UPPER(TRIM(rPatron)),UPPER(TRIM(D1245))))
)
)
),
rC"&amp;"oncepto,
""""
)
)
),
MAP(
reglas!$B$2:$B$240,
reglas!$C$2:$C$240,
reglas!$D$2:$D$240,
reglas!$E$2:$E$240,
LAMBDA(rEmisor,rPatron,rConcepto,rTipo,
IF(
AND(
OR(
UPPER(TRIM(rEmisor))=UPPER(TRIM(C1245)),
UPPER(TRIM(rEmisor))=""CUALQUIERA""
),
OR(
UPPER(TRIM(r"&amp;"Tipo))=""SOLO EMISOR"",
AND(
UPPER(TRIM(rTipo))=""EXACTA"",
UPPER(TRIM(D1245))=UPPER(TRIM(rPatron))
),
AND(
OR(
UPPER(TRIM(rTipo))=""CONTIENE"",
UPPER(TRIM(rTipo))=""COINCIDENCIA""
),
ISNUMBER(SEARCH(UPPER(TRIM(rPatron)),UPPER(TRIM(D1245))))
)
)
),
rConce"&amp;"pto,
""""
)
)
)&lt;&gt;""""
),
1
),
""""
)"),"SEGURIDAD")</f>
        <v>SEGURIDAD</v>
      </c>
      <c r="L1245" s="27"/>
      <c r="M1245" s="27"/>
      <c r="N1245" s="27"/>
      <c r="O1245" s="27"/>
      <c r="P1245" s="27"/>
      <c r="Q1245" s="27"/>
      <c r="R1245" s="27"/>
      <c r="S1245" s="27"/>
      <c r="T1245" s="27"/>
      <c r="U1245" s="27"/>
      <c r="V1245" s="27"/>
      <c r="W1245" s="27"/>
      <c r="X1245" s="27"/>
      <c r="Y1245" s="27"/>
    </row>
    <row r="1246">
      <c r="A1246" s="32"/>
      <c r="B1246" s="32"/>
      <c r="C1246" s="29" t="s">
        <v>254</v>
      </c>
      <c r="D1246" s="29" t="s">
        <v>1857</v>
      </c>
      <c r="E1246" s="30">
        <v>1950.0</v>
      </c>
      <c r="F1246" s="28">
        <v>487.5</v>
      </c>
      <c r="G1246" s="28" t="s">
        <v>74</v>
      </c>
      <c r="H1246" s="28">
        <f t="array" ref="H1246">INDEX(CC!C:C,MATCH(1,(CC!A:A=G1246)*(CC!B:B=I1246),0))</f>
        <v>1502</v>
      </c>
      <c r="I1246" s="28" t="s">
        <v>25</v>
      </c>
      <c r="J1246" s="31">
        <v>1462.5</v>
      </c>
      <c r="K1246" s="28" t="str">
        <f>IFERROR(__xludf.DUMMYFUNCTION("IFERROR(
INDEX(
FILTER(
MAP(
reglas!$B$2:$B$240,
reglas!$C$2:$C$240,
reglas!$D$2:$D$240,
reglas!$E$2:$E$240,
LAMBDA(rEmisor,rPatron,rConcepto,rTipo,
IF(
AND(
OR(
UPPER(TRIM(rEmisor))=UPPER(TRIM(C1246)),
UPPER(TRIM(rEmisor))=""CUALQUIERA""
),
OR(
UPPER(TRI"&amp;"M(rTipo))=""SOLO EMISOR"",
AND(
UPPER(TRIM(rTipo))=""EXACTA"",
UPPER(TRIM(AG1246))=UPPER(TRIM(rPatron))
),
AND(
OR(
UPPER(TRIM(rTipo))=""CONTIENE"",
UPPER(TRIM(rTipo))=""COINCIDENCIA""
),
ISNUMBER(SEARCH(UPPER(TRIM(rPatron)),UPPER(TRIM(D1246))))
)
)
),
rC"&amp;"oncepto,
""""
)
)
),
MAP(
reglas!$B$2:$B$240,
reglas!$C$2:$C$240,
reglas!$D$2:$D$240,
reglas!$E$2:$E$240,
LAMBDA(rEmisor,rPatron,rConcepto,rTipo,
IF(
AND(
OR(
UPPER(TRIM(rEmisor))=UPPER(TRIM(C1246)),
UPPER(TRIM(rEmisor))=""CUALQUIERA""
),
OR(
UPPER(TRIM(r"&amp;"Tipo))=""SOLO EMISOR"",
AND(
UPPER(TRIM(rTipo))=""EXACTA"",
UPPER(TRIM(D1246))=UPPER(TRIM(rPatron))
),
AND(
OR(
UPPER(TRIM(rTipo))=""CONTIENE"",
UPPER(TRIM(rTipo))=""COINCIDENCIA""
),
ISNUMBER(SEARCH(UPPER(TRIM(rPatron)),UPPER(TRIM(D1246))))
)
)
),
rConce"&amp;"pto,
""""
)
)
)&lt;&gt;""""
),
1
),
""""
)"),"SEGURIDAD")</f>
        <v>SEGURIDAD</v>
      </c>
      <c r="L1246" s="27"/>
      <c r="M1246" s="27"/>
      <c r="N1246" s="27"/>
      <c r="O1246" s="27"/>
      <c r="P1246" s="27"/>
      <c r="Q1246" s="27"/>
      <c r="R1246" s="27"/>
      <c r="S1246" s="27"/>
      <c r="T1246" s="27"/>
      <c r="U1246" s="27"/>
      <c r="V1246" s="27"/>
      <c r="W1246" s="27"/>
      <c r="X1246" s="27"/>
      <c r="Y1246" s="27"/>
    </row>
    <row r="1247">
      <c r="A1247" s="32"/>
      <c r="B1247" s="28" t="s">
        <v>29</v>
      </c>
      <c r="C1247" s="29" t="s">
        <v>278</v>
      </c>
      <c r="D1247" s="29" t="s">
        <v>898</v>
      </c>
      <c r="E1247" s="30">
        <v>1000.0</v>
      </c>
      <c r="F1247" s="28">
        <v>0.0</v>
      </c>
      <c r="G1247" s="28" t="s">
        <v>250</v>
      </c>
      <c r="H1247" s="28">
        <f t="array" ref="H1247">INDEX(CC!C:C,MATCH(1,(CC!A:A=G1247)*(CC!B:B=I1247),0))</f>
        <v>1402</v>
      </c>
      <c r="I1247" s="28" t="s">
        <v>25</v>
      </c>
      <c r="J1247" s="31">
        <v>1000.0</v>
      </c>
      <c r="K1247" s="28" t="str">
        <f>IFERROR(__xludf.DUMMYFUNCTION("IFERROR(
INDEX(
FILTER(
MAP(
reglas!$B$2:$B$240,
reglas!$C$2:$C$240,
reglas!$D$2:$D$240,
reglas!$E$2:$E$240,
LAMBDA(rEmisor,rPatron,rConcepto,rTipo,
IF(
AND(
OR(
UPPER(TRIM(rEmisor))=UPPER(TRIM(C1247)),
UPPER(TRIM(rEmisor))=""CUALQUIERA""
),
OR(
UPPER(TRI"&amp;"M(rTipo))=""SOLO EMISOR"",
AND(
UPPER(TRIM(rTipo))=""EXACTA"",
UPPER(TRIM(AG1247))=UPPER(TRIM(rPatron))
),
AND(
OR(
UPPER(TRIM(rTipo))=""CONTIENE"",
UPPER(TRIM(rTipo))=""COINCIDENCIA""
),
ISNUMBER(SEARCH(UPPER(TRIM(rPatron)),UPPER(TRIM(D1247))))
)
)
),
rC"&amp;"oncepto,
""""
)
)
),
MAP(
reglas!$B$2:$B$240,
reglas!$C$2:$C$240,
reglas!$D$2:$D$240,
reglas!$E$2:$E$240,
LAMBDA(rEmisor,rPatron,rConcepto,rTipo,
IF(
AND(
OR(
UPPER(TRIM(rEmisor))=UPPER(TRIM(C1247)),
UPPER(TRIM(rEmisor))=""CUALQUIERA""
),
OR(
UPPER(TRIM(r"&amp;"Tipo))=""SOLO EMISOR"",
AND(
UPPER(TRIM(rTipo))=""EXACTA"",
UPPER(TRIM(D1247))=UPPER(TRIM(rPatron))
),
AND(
OR(
UPPER(TRIM(rTipo))=""CONTIENE"",
UPPER(TRIM(rTipo))=""COINCIDENCIA""
),
ISNUMBER(SEARCH(UPPER(TRIM(rPatron)),UPPER(TRIM(D1247))))
)
)
),
rConce"&amp;"pto,
""""
)
)
)&lt;&gt;""""
),
1
),
""""
)"),"MANIOBRAS")</f>
        <v>MANIOBRAS</v>
      </c>
      <c r="L1247" s="27"/>
      <c r="M1247" s="27"/>
      <c r="N1247" s="27"/>
      <c r="O1247" s="27"/>
      <c r="P1247" s="27"/>
      <c r="Q1247" s="27"/>
      <c r="R1247" s="27"/>
      <c r="S1247" s="27"/>
      <c r="T1247" s="27"/>
      <c r="U1247" s="27"/>
      <c r="V1247" s="27"/>
      <c r="W1247" s="27"/>
      <c r="X1247" s="27"/>
      <c r="Y1247" s="27"/>
    </row>
    <row r="1248">
      <c r="A1248" s="28">
        <v>1.0</v>
      </c>
      <c r="B1248" s="28" t="s">
        <v>29</v>
      </c>
      <c r="C1248" s="29" t="s">
        <v>271</v>
      </c>
      <c r="D1248" s="29" t="s">
        <v>585</v>
      </c>
      <c r="E1248" s="28">
        <v>620.03</v>
      </c>
      <c r="F1248" s="28">
        <v>0.0</v>
      </c>
      <c r="G1248" s="28" t="s">
        <v>84</v>
      </c>
      <c r="H1248" s="28">
        <f t="array" ref="H1248">INDEX(CC!C:C,MATCH(1,(CC!A:A=G1248)*(CC!B:B=I1248),0))</f>
        <v>1002</v>
      </c>
      <c r="I1248" s="28" t="s">
        <v>25</v>
      </c>
      <c r="J1248" s="31">
        <v>620.03</v>
      </c>
      <c r="K1248" s="28" t="str">
        <f>IFERROR(__xludf.DUMMYFUNCTION("IFERROR(
INDEX(
FILTER(
MAP(
reglas!$B$2:$B$240,
reglas!$C$2:$C$240,
reglas!$D$2:$D$240,
reglas!$E$2:$E$240,
LAMBDA(rEmisor,rPatron,rConcepto,rTipo,
IF(
AND(
OR(
UPPER(TRIM(rEmisor))=UPPER(TRIM(C1248)),
UPPER(TRIM(rEmisor))=""CUALQUIERA""
),
OR(
UPPER(TRI"&amp;"M(rTipo))=""SOLO EMISOR"",
AND(
UPPER(TRIM(rTipo))=""EXACTA"",
UPPER(TRIM(AG1248))=UPPER(TRIM(rPatron))
),
AND(
OR(
UPPER(TRIM(rTipo))=""CONTIENE"",
UPPER(TRIM(rTipo))=""COINCIDENCIA""
),
ISNUMBER(SEARCH(UPPER(TRIM(rPatron)),UPPER(TRIM(D1248))))
)
)
),
rC"&amp;"oncepto,
""""
)
)
),
MAP(
reglas!$B$2:$B$240,
reglas!$C$2:$C$240,
reglas!$D$2:$D$240,
reglas!$E$2:$E$240,
LAMBDA(rEmisor,rPatron,rConcepto,rTipo,
IF(
AND(
OR(
UPPER(TRIM(rEmisor))=UPPER(TRIM(C1248)),
UPPER(TRIM(rEmisor))=""CUALQUIERA""
),
OR(
UPPER(TRIM(r"&amp;"Tipo))=""SOLO EMISOR"",
AND(
UPPER(TRIM(rTipo))=""EXACTA"",
UPPER(TRIM(D1248))=UPPER(TRIM(rPatron))
),
AND(
OR(
UPPER(TRIM(rTipo))=""CONTIENE"",
UPPER(TRIM(rTipo))=""COINCIDENCIA""
),
ISNUMBER(SEARCH(UPPER(TRIM(rPatron)),UPPER(TRIM(D1248))))
)
)
),
rConce"&amp;"pto,
""""
)
)
)&lt;&gt;""""
),
1
),
""""
)"),"MANIOBRAS")</f>
        <v>MANIOBRAS</v>
      </c>
      <c r="L1248" s="27"/>
      <c r="M1248" s="27"/>
      <c r="N1248" s="27"/>
      <c r="O1248" s="27"/>
      <c r="P1248" s="27"/>
      <c r="Q1248" s="27"/>
      <c r="R1248" s="27"/>
      <c r="S1248" s="27"/>
      <c r="T1248" s="27"/>
      <c r="U1248" s="27"/>
      <c r="V1248" s="27"/>
      <c r="W1248" s="27"/>
      <c r="X1248" s="27"/>
      <c r="Y1248" s="27"/>
    </row>
    <row r="1249">
      <c r="A1249" s="32"/>
      <c r="B1249" s="32"/>
      <c r="C1249" s="29" t="s">
        <v>271</v>
      </c>
      <c r="D1249" s="29" t="s">
        <v>587</v>
      </c>
      <c r="E1249" s="28">
        <v>567.29</v>
      </c>
      <c r="F1249" s="28">
        <v>0.0</v>
      </c>
      <c r="G1249" s="28" t="s">
        <v>84</v>
      </c>
      <c r="H1249" s="28">
        <f t="array" ref="H1249">INDEX(CC!C:C,MATCH(1,(CC!A:A=G1249)*(CC!B:B=I1249),0))</f>
        <v>1002</v>
      </c>
      <c r="I1249" s="28" t="s">
        <v>25</v>
      </c>
      <c r="J1249" s="31">
        <v>567.29</v>
      </c>
      <c r="K1249" s="28" t="str">
        <f>IFERROR(__xludf.DUMMYFUNCTION("IFERROR(
INDEX(
FILTER(
MAP(
reglas!$B$2:$B$240,
reglas!$C$2:$C$240,
reglas!$D$2:$D$240,
reglas!$E$2:$E$240,
LAMBDA(rEmisor,rPatron,rConcepto,rTipo,
IF(
AND(
OR(
UPPER(TRIM(rEmisor))=UPPER(TRIM(C1249)),
UPPER(TRIM(rEmisor))=""CUALQUIERA""
),
OR(
UPPER(TRI"&amp;"M(rTipo))=""SOLO EMISOR"",
AND(
UPPER(TRIM(rTipo))=""EXACTA"",
UPPER(TRIM(AG1249))=UPPER(TRIM(rPatron))
),
AND(
OR(
UPPER(TRIM(rTipo))=""CONTIENE"",
UPPER(TRIM(rTipo))=""COINCIDENCIA""
),
ISNUMBER(SEARCH(UPPER(TRIM(rPatron)),UPPER(TRIM(D1249))))
)
)
),
rC"&amp;"oncepto,
""""
)
)
),
MAP(
reglas!$B$2:$B$240,
reglas!$C$2:$C$240,
reglas!$D$2:$D$240,
reglas!$E$2:$E$240,
LAMBDA(rEmisor,rPatron,rConcepto,rTipo,
IF(
AND(
OR(
UPPER(TRIM(rEmisor))=UPPER(TRIM(C1249)),
UPPER(TRIM(rEmisor))=""CUALQUIERA""
),
OR(
UPPER(TRIM(r"&amp;"Tipo))=""SOLO EMISOR"",
AND(
UPPER(TRIM(rTipo))=""EXACTA"",
UPPER(TRIM(D1249))=UPPER(TRIM(rPatron))
),
AND(
OR(
UPPER(TRIM(rTipo))=""CONTIENE"",
UPPER(TRIM(rTipo))=""COINCIDENCIA""
),
ISNUMBER(SEARCH(UPPER(TRIM(rPatron)),UPPER(TRIM(D1249))))
)
)
),
rConce"&amp;"pto,
""""
)
)
)&lt;&gt;""""
),
1
),
""""
)"),"MANIOBRAS")</f>
        <v>MANIOBRAS</v>
      </c>
      <c r="L1249" s="27"/>
      <c r="M1249" s="27"/>
      <c r="N1249" s="27"/>
      <c r="O1249" s="27"/>
      <c r="P1249" s="27"/>
      <c r="Q1249" s="27"/>
      <c r="R1249" s="27"/>
      <c r="S1249" s="27"/>
      <c r="T1249" s="27"/>
      <c r="U1249" s="27"/>
      <c r="V1249" s="27"/>
      <c r="W1249" s="27"/>
      <c r="X1249" s="27"/>
      <c r="Y1249" s="27"/>
    </row>
    <row r="1250">
      <c r="A1250" s="32"/>
      <c r="B1250" s="32"/>
      <c r="C1250" s="29" t="s">
        <v>271</v>
      </c>
      <c r="D1250" s="29" t="s">
        <v>589</v>
      </c>
      <c r="E1250" s="28">
        <v>620.37</v>
      </c>
      <c r="F1250" s="28">
        <v>0.0</v>
      </c>
      <c r="G1250" s="28" t="s">
        <v>84</v>
      </c>
      <c r="H1250" s="28">
        <f t="array" ref="H1250">INDEX(CC!C:C,MATCH(1,(CC!A:A=G1250)*(CC!B:B=I1250),0))</f>
        <v>1002</v>
      </c>
      <c r="I1250" s="28" t="s">
        <v>25</v>
      </c>
      <c r="J1250" s="31">
        <v>620.37</v>
      </c>
      <c r="K1250" s="28" t="str">
        <f>IFERROR(__xludf.DUMMYFUNCTION("IFERROR(
INDEX(
FILTER(
MAP(
reglas!$B$2:$B$240,
reglas!$C$2:$C$240,
reglas!$D$2:$D$240,
reglas!$E$2:$E$240,
LAMBDA(rEmisor,rPatron,rConcepto,rTipo,
IF(
AND(
OR(
UPPER(TRIM(rEmisor))=UPPER(TRIM(C1250)),
UPPER(TRIM(rEmisor))=""CUALQUIERA""
),
OR(
UPPER(TRI"&amp;"M(rTipo))=""SOLO EMISOR"",
AND(
UPPER(TRIM(rTipo))=""EXACTA"",
UPPER(TRIM(AG1250))=UPPER(TRIM(rPatron))
),
AND(
OR(
UPPER(TRIM(rTipo))=""CONTIENE"",
UPPER(TRIM(rTipo))=""COINCIDENCIA""
),
ISNUMBER(SEARCH(UPPER(TRIM(rPatron)),UPPER(TRIM(D1250))))
)
)
),
rC"&amp;"oncepto,
""""
)
)
),
MAP(
reglas!$B$2:$B$240,
reglas!$C$2:$C$240,
reglas!$D$2:$D$240,
reglas!$E$2:$E$240,
LAMBDA(rEmisor,rPatron,rConcepto,rTipo,
IF(
AND(
OR(
UPPER(TRIM(rEmisor))=UPPER(TRIM(C1250)),
UPPER(TRIM(rEmisor))=""CUALQUIERA""
),
OR(
UPPER(TRIM(r"&amp;"Tipo))=""SOLO EMISOR"",
AND(
UPPER(TRIM(rTipo))=""EXACTA"",
UPPER(TRIM(D1250))=UPPER(TRIM(rPatron))
),
AND(
OR(
UPPER(TRIM(rTipo))=""CONTIENE"",
UPPER(TRIM(rTipo))=""COINCIDENCIA""
),
ISNUMBER(SEARCH(UPPER(TRIM(rPatron)),UPPER(TRIM(D1250))))
)
)
),
rConce"&amp;"pto,
""""
)
)
)&lt;&gt;""""
),
1
),
""""
)"),"MANIOBRAS")</f>
        <v>MANIOBRAS</v>
      </c>
      <c r="L1250" s="27"/>
      <c r="M1250" s="27"/>
      <c r="N1250" s="27"/>
      <c r="O1250" s="27"/>
      <c r="P1250" s="27"/>
      <c r="Q1250" s="27"/>
      <c r="R1250" s="27"/>
      <c r="S1250" s="27"/>
      <c r="T1250" s="27"/>
      <c r="U1250" s="27"/>
      <c r="V1250" s="27"/>
      <c r="W1250" s="27"/>
      <c r="X1250" s="27"/>
      <c r="Y1250" s="27"/>
    </row>
    <row r="1251">
      <c r="A1251" s="32"/>
      <c r="B1251" s="32"/>
      <c r="C1251" s="29" t="s">
        <v>271</v>
      </c>
      <c r="D1251" s="29" t="s">
        <v>596</v>
      </c>
      <c r="E1251" s="28">
        <v>650.9</v>
      </c>
      <c r="F1251" s="28">
        <v>0.0</v>
      </c>
      <c r="G1251" s="28" t="s">
        <v>84</v>
      </c>
      <c r="H1251" s="28">
        <f t="array" ref="H1251">INDEX(CC!C:C,MATCH(1,(CC!A:A=G1251)*(CC!B:B=I1251),0))</f>
        <v>1002</v>
      </c>
      <c r="I1251" s="28" t="s">
        <v>25</v>
      </c>
      <c r="J1251" s="31">
        <v>650.9</v>
      </c>
      <c r="K1251" s="28" t="str">
        <f>IFERROR(__xludf.DUMMYFUNCTION("IFERROR(
INDEX(
FILTER(
MAP(
reglas!$B$2:$B$240,
reglas!$C$2:$C$240,
reglas!$D$2:$D$240,
reglas!$E$2:$E$240,
LAMBDA(rEmisor,rPatron,rConcepto,rTipo,
IF(
AND(
OR(
UPPER(TRIM(rEmisor))=UPPER(TRIM(C1251)),
UPPER(TRIM(rEmisor))=""CUALQUIERA""
),
OR(
UPPER(TRI"&amp;"M(rTipo))=""SOLO EMISOR"",
AND(
UPPER(TRIM(rTipo))=""EXACTA"",
UPPER(TRIM(AG1251))=UPPER(TRIM(rPatron))
),
AND(
OR(
UPPER(TRIM(rTipo))=""CONTIENE"",
UPPER(TRIM(rTipo))=""COINCIDENCIA""
),
ISNUMBER(SEARCH(UPPER(TRIM(rPatron)),UPPER(TRIM(D1251))))
)
)
),
rC"&amp;"oncepto,
""""
)
)
),
MAP(
reglas!$B$2:$B$240,
reglas!$C$2:$C$240,
reglas!$D$2:$D$240,
reglas!$E$2:$E$240,
LAMBDA(rEmisor,rPatron,rConcepto,rTipo,
IF(
AND(
OR(
UPPER(TRIM(rEmisor))=UPPER(TRIM(C1251)),
UPPER(TRIM(rEmisor))=""CUALQUIERA""
),
OR(
UPPER(TRIM(r"&amp;"Tipo))=""SOLO EMISOR"",
AND(
UPPER(TRIM(rTipo))=""EXACTA"",
UPPER(TRIM(D1251))=UPPER(TRIM(rPatron))
),
AND(
OR(
UPPER(TRIM(rTipo))=""CONTIENE"",
UPPER(TRIM(rTipo))=""COINCIDENCIA""
),
ISNUMBER(SEARCH(UPPER(TRIM(rPatron)),UPPER(TRIM(D1251))))
)
)
),
rConce"&amp;"pto,
""""
)
)
)&lt;&gt;""""
),
1
),
""""
)"),"MANIOBRAS")</f>
        <v>MANIOBRAS</v>
      </c>
      <c r="L1251" s="27"/>
      <c r="M1251" s="27"/>
      <c r="N1251" s="27"/>
      <c r="O1251" s="27"/>
      <c r="P1251" s="27"/>
      <c r="Q1251" s="27"/>
      <c r="R1251" s="27"/>
      <c r="S1251" s="27"/>
      <c r="T1251" s="27"/>
      <c r="U1251" s="27"/>
      <c r="V1251" s="27"/>
      <c r="W1251" s="27"/>
      <c r="X1251" s="27"/>
      <c r="Y1251" s="27"/>
    </row>
    <row r="1252">
      <c r="A1252" s="28">
        <v>1.0</v>
      </c>
      <c r="B1252" s="28" t="s">
        <v>29</v>
      </c>
      <c r="C1252" s="29" t="s">
        <v>263</v>
      </c>
      <c r="D1252" s="29" t="s">
        <v>1855</v>
      </c>
      <c r="E1252" s="28">
        <v>622.56</v>
      </c>
      <c r="F1252" s="28">
        <v>0.0</v>
      </c>
      <c r="G1252" s="28" t="s">
        <v>225</v>
      </c>
      <c r="H1252" s="28">
        <f t="array" ref="H1252">INDEX(CC!C:C,MATCH(1,(CC!A:A=G1252)*(CC!B:B=I1252),0))</f>
        <v>102</v>
      </c>
      <c r="I1252" s="28" t="s">
        <v>25</v>
      </c>
      <c r="J1252" s="31">
        <v>622.56</v>
      </c>
      <c r="K1252" s="28" t="str">
        <f>IFERROR(__xludf.DUMMYFUNCTION("IFERROR(
INDEX(
FILTER(
MAP(
reglas!$B$2:$B$240,
reglas!$C$2:$C$240,
reglas!$D$2:$D$240,
reglas!$E$2:$E$240,
LAMBDA(rEmisor,rPatron,rConcepto,rTipo,
IF(
AND(
OR(
UPPER(TRIM(rEmisor))=UPPER(TRIM(C1252)),
UPPER(TRIM(rEmisor))=""CUALQUIERA""
),
OR(
UPPER(TRI"&amp;"M(rTipo))=""SOLO EMISOR"",
AND(
UPPER(TRIM(rTipo))=""EXACTA"",
UPPER(TRIM(AG1252))=UPPER(TRIM(rPatron))
),
AND(
OR(
UPPER(TRIM(rTipo))=""CONTIENE"",
UPPER(TRIM(rTipo))=""COINCIDENCIA""
),
ISNUMBER(SEARCH(UPPER(TRIM(rPatron)),UPPER(TRIM(D1252))))
)
)
),
rC"&amp;"oncepto,
""""
)
)
),
MAP(
reglas!$B$2:$B$240,
reglas!$C$2:$C$240,
reglas!$D$2:$D$240,
reglas!$E$2:$E$240,
LAMBDA(rEmisor,rPatron,rConcepto,rTipo,
IF(
AND(
OR(
UPPER(TRIM(rEmisor))=UPPER(TRIM(C1252)),
UPPER(TRIM(rEmisor))=""CUALQUIERA""
),
OR(
UPPER(TRIM(r"&amp;"Tipo))=""SOLO EMISOR"",
AND(
UPPER(TRIM(rTipo))=""EXACTA"",
UPPER(TRIM(D1252))=UPPER(TRIM(rPatron))
),
AND(
OR(
UPPER(TRIM(rTipo))=""CONTIENE"",
UPPER(TRIM(rTipo))=""COINCIDENCIA""
),
ISNUMBER(SEARCH(UPPER(TRIM(rPatron)),UPPER(TRIM(D1252))))
)
)
),
rConce"&amp;"pto,
""""
)
)
)&lt;&gt;""""
),
1
),
""""
)"),"GASTOS DE VIAJE")</f>
        <v>GASTOS DE VIAJE</v>
      </c>
      <c r="L1252" s="27"/>
      <c r="M1252" s="27"/>
      <c r="N1252" s="27"/>
      <c r="O1252" s="27"/>
      <c r="P1252" s="27"/>
      <c r="Q1252" s="27"/>
      <c r="R1252" s="27"/>
      <c r="S1252" s="27"/>
      <c r="T1252" s="27"/>
      <c r="U1252" s="27"/>
      <c r="V1252" s="27"/>
      <c r="W1252" s="27"/>
      <c r="X1252" s="27"/>
      <c r="Y1252" s="27"/>
    </row>
    <row r="1253">
      <c r="A1253" s="28">
        <v>1.0</v>
      </c>
      <c r="B1253" s="28" t="s">
        <v>29</v>
      </c>
      <c r="C1253" s="29" t="s">
        <v>462</v>
      </c>
      <c r="D1253" s="29" t="s">
        <v>1858</v>
      </c>
      <c r="E1253" s="28">
        <v>163.79</v>
      </c>
      <c r="F1253" s="28">
        <v>0.0</v>
      </c>
      <c r="G1253" s="28" t="s">
        <v>395</v>
      </c>
      <c r="H1253" s="28">
        <f t="array" ref="H1253">INDEX(CC!C:C,MATCH(1,(CC!A:A=G1253)*(CC!B:B=I1253),0))</f>
        <v>1103</v>
      </c>
      <c r="I1253" s="28" t="s">
        <v>44</v>
      </c>
      <c r="J1253" s="31">
        <v>163.79</v>
      </c>
      <c r="K1253" s="28" t="str">
        <f>IFERROR(__xludf.DUMMYFUNCTION("IFERROR(
INDEX(
FILTER(
MAP(
reglas!$B$2:$B$240,
reglas!$C$2:$C$240,
reglas!$D$2:$D$240,
reglas!$E$2:$E$240,
LAMBDA(rEmisor,rPatron,rConcepto,rTipo,
IF(
AND(
OR(
UPPER(TRIM(rEmisor))=UPPER(TRIM(C1253)),
UPPER(TRIM(rEmisor))=""CUALQUIERA""
),
OR(
UPPER(TRI"&amp;"M(rTipo))=""SOLO EMISOR"",
AND(
UPPER(TRIM(rTipo))=""EXACTA"",
UPPER(TRIM(AG1253))=UPPER(TRIM(rPatron))
),
AND(
OR(
UPPER(TRIM(rTipo))=""CONTIENE"",
UPPER(TRIM(rTipo))=""COINCIDENCIA""
),
ISNUMBER(SEARCH(UPPER(TRIM(rPatron)),UPPER(TRIM(D1253))))
)
)
),
rC"&amp;"oncepto,
""""
)
)
),
MAP(
reglas!$B$2:$B$240,
reglas!$C$2:$C$240,
reglas!$D$2:$D$240,
reglas!$E$2:$E$240,
LAMBDA(rEmisor,rPatron,rConcepto,rTipo,
IF(
AND(
OR(
UPPER(TRIM(rEmisor))=UPPER(TRIM(C1253)),
UPPER(TRIM(rEmisor))=""CUALQUIERA""
),
OR(
UPPER(TRIM(r"&amp;"Tipo))=""SOLO EMISOR"",
AND(
UPPER(TRIM(rTipo))=""EXACTA"",
UPPER(TRIM(D1253))=UPPER(TRIM(rPatron))
),
AND(
OR(
UPPER(TRIM(rTipo))=""CONTIENE"",
UPPER(TRIM(rTipo))=""COINCIDENCIA""
),
ISNUMBER(SEARCH(UPPER(TRIM(rPatron)),UPPER(TRIM(D1253))))
)
)
),
rConce"&amp;"pto,
""""
)
)
)&lt;&gt;""""
),
1
),
""""
)"),"MANIOBRAS")</f>
        <v>MANIOBRAS</v>
      </c>
      <c r="L1253" s="27"/>
      <c r="M1253" s="27"/>
      <c r="N1253" s="27"/>
      <c r="O1253" s="27"/>
      <c r="P1253" s="27"/>
      <c r="Q1253" s="27"/>
      <c r="R1253" s="27"/>
      <c r="S1253" s="27"/>
      <c r="T1253" s="27"/>
      <c r="U1253" s="27"/>
      <c r="V1253" s="27"/>
      <c r="W1253" s="27"/>
      <c r="X1253" s="27"/>
      <c r="Y1253" s="27"/>
    </row>
    <row r="1254">
      <c r="A1254" s="32"/>
      <c r="B1254" s="32"/>
      <c r="C1254" s="29" t="s">
        <v>462</v>
      </c>
      <c r="D1254" s="29" t="s">
        <v>1859</v>
      </c>
      <c r="E1254" s="28">
        <v>500.0</v>
      </c>
      <c r="F1254" s="28">
        <v>0.0</v>
      </c>
      <c r="G1254" s="28" t="s">
        <v>395</v>
      </c>
      <c r="H1254" s="28">
        <f t="array" ref="H1254">INDEX(CC!C:C,MATCH(1,(CC!A:A=G1254)*(CC!B:B=I1254),0))</f>
        <v>1103</v>
      </c>
      <c r="I1254" s="28" t="s">
        <v>44</v>
      </c>
      <c r="J1254" s="31">
        <v>500.0</v>
      </c>
      <c r="K1254" s="28" t="str">
        <f>IFERROR(__xludf.DUMMYFUNCTION("IFERROR(
INDEX(
FILTER(
MAP(
reglas!$B$2:$B$240,
reglas!$C$2:$C$240,
reglas!$D$2:$D$240,
reglas!$E$2:$E$240,
LAMBDA(rEmisor,rPatron,rConcepto,rTipo,
IF(
AND(
OR(
UPPER(TRIM(rEmisor))=UPPER(TRIM(C1254)),
UPPER(TRIM(rEmisor))=""CUALQUIERA""
),
OR(
UPPER(TRI"&amp;"M(rTipo))=""SOLO EMISOR"",
AND(
UPPER(TRIM(rTipo))=""EXACTA"",
UPPER(TRIM(AG1254))=UPPER(TRIM(rPatron))
),
AND(
OR(
UPPER(TRIM(rTipo))=""CONTIENE"",
UPPER(TRIM(rTipo))=""COINCIDENCIA""
),
ISNUMBER(SEARCH(UPPER(TRIM(rPatron)),UPPER(TRIM(D1254))))
)
)
),
rC"&amp;"oncepto,
""""
)
)
),
MAP(
reglas!$B$2:$B$240,
reglas!$C$2:$C$240,
reglas!$D$2:$D$240,
reglas!$E$2:$E$240,
LAMBDA(rEmisor,rPatron,rConcepto,rTipo,
IF(
AND(
OR(
UPPER(TRIM(rEmisor))=UPPER(TRIM(C1254)),
UPPER(TRIM(rEmisor))=""CUALQUIERA""
),
OR(
UPPER(TRIM(r"&amp;"Tipo))=""SOLO EMISOR"",
AND(
UPPER(TRIM(rTipo))=""EXACTA"",
UPPER(TRIM(D1254))=UPPER(TRIM(rPatron))
),
AND(
OR(
UPPER(TRIM(rTipo))=""CONTIENE"",
UPPER(TRIM(rTipo))=""COINCIDENCIA""
),
ISNUMBER(SEARCH(UPPER(TRIM(rPatron)),UPPER(TRIM(D1254))))
)
)
),
rConce"&amp;"pto,
""""
)
)
)&lt;&gt;""""
),
1
),
""""
)"),"MANIOBRAS")</f>
        <v>MANIOBRAS</v>
      </c>
      <c r="L1254" s="27"/>
      <c r="M1254" s="27"/>
      <c r="N1254" s="27"/>
      <c r="O1254" s="27"/>
      <c r="P1254" s="27"/>
      <c r="Q1254" s="27"/>
      <c r="R1254" s="27"/>
      <c r="S1254" s="27"/>
      <c r="T1254" s="27"/>
      <c r="U1254" s="27"/>
      <c r="V1254" s="27"/>
      <c r="W1254" s="27"/>
      <c r="X1254" s="27"/>
      <c r="Y1254" s="27"/>
    </row>
    <row r="1255">
      <c r="A1255" s="32"/>
      <c r="B1255" s="32"/>
      <c r="C1255" s="29" t="s">
        <v>462</v>
      </c>
      <c r="D1255" s="29" t="s">
        <v>1860</v>
      </c>
      <c r="E1255" s="30">
        <v>3011.0</v>
      </c>
      <c r="F1255" s="28">
        <v>0.0</v>
      </c>
      <c r="G1255" s="28" t="s">
        <v>395</v>
      </c>
      <c r="H1255" s="28">
        <f t="array" ref="H1255">INDEX(CC!C:C,MATCH(1,(CC!A:A=G1255)*(CC!B:B=I1255),0))</f>
        <v>1103</v>
      </c>
      <c r="I1255" s="28" t="s">
        <v>44</v>
      </c>
      <c r="J1255" s="31">
        <v>3011.0</v>
      </c>
      <c r="K1255" s="28" t="str">
        <f>IFERROR(__xludf.DUMMYFUNCTION("IFERROR(
INDEX(
FILTER(
MAP(
reglas!$B$2:$B$240,
reglas!$C$2:$C$240,
reglas!$D$2:$D$240,
reglas!$E$2:$E$240,
LAMBDA(rEmisor,rPatron,rConcepto,rTipo,
IF(
AND(
OR(
UPPER(TRIM(rEmisor))=UPPER(TRIM(C1255)),
UPPER(TRIM(rEmisor))=""CUALQUIERA""
),
OR(
UPPER(TRI"&amp;"M(rTipo))=""SOLO EMISOR"",
AND(
UPPER(TRIM(rTipo))=""EXACTA"",
UPPER(TRIM(AG1255))=UPPER(TRIM(rPatron))
),
AND(
OR(
UPPER(TRIM(rTipo))=""CONTIENE"",
UPPER(TRIM(rTipo))=""COINCIDENCIA""
),
ISNUMBER(SEARCH(UPPER(TRIM(rPatron)),UPPER(TRIM(D1255))))
)
)
),
rC"&amp;"oncepto,
""""
)
)
),
MAP(
reglas!$B$2:$B$240,
reglas!$C$2:$C$240,
reglas!$D$2:$D$240,
reglas!$E$2:$E$240,
LAMBDA(rEmisor,rPatron,rConcepto,rTipo,
IF(
AND(
OR(
UPPER(TRIM(rEmisor))=UPPER(TRIM(C1255)),
UPPER(TRIM(rEmisor))=""CUALQUIERA""
),
OR(
UPPER(TRIM(r"&amp;"Tipo))=""SOLO EMISOR"",
AND(
UPPER(TRIM(rTipo))=""EXACTA"",
UPPER(TRIM(D1255))=UPPER(TRIM(rPatron))
),
AND(
OR(
UPPER(TRIM(rTipo))=""CONTIENE"",
UPPER(TRIM(rTipo))=""COINCIDENCIA""
),
ISNUMBER(SEARCH(UPPER(TRIM(rPatron)),UPPER(TRIM(D1255))))
)
)
),
rConce"&amp;"pto,
""""
)
)
)&lt;&gt;""""
),
1
),
""""
)"),"MANIOBRAS")</f>
        <v>MANIOBRAS</v>
      </c>
      <c r="L1255" s="27"/>
      <c r="M1255" s="27"/>
      <c r="N1255" s="27"/>
      <c r="O1255" s="27"/>
      <c r="P1255" s="27"/>
      <c r="Q1255" s="27"/>
      <c r="R1255" s="27"/>
      <c r="S1255" s="27"/>
      <c r="T1255" s="27"/>
      <c r="U1255" s="27"/>
      <c r="V1255" s="27"/>
      <c r="W1255" s="27"/>
      <c r="X1255" s="27"/>
      <c r="Y1255" s="27"/>
    </row>
    <row r="1256">
      <c r="A1256" s="32"/>
      <c r="B1256" s="32"/>
      <c r="C1256" s="29" t="s">
        <v>462</v>
      </c>
      <c r="D1256" s="29" t="s">
        <v>1861</v>
      </c>
      <c r="E1256" s="28">
        <v>232.0</v>
      </c>
      <c r="F1256" s="28">
        <v>0.0</v>
      </c>
      <c r="G1256" s="28" t="s">
        <v>395</v>
      </c>
      <c r="H1256" s="28">
        <f t="array" ref="H1256">INDEX(CC!C:C,MATCH(1,(CC!A:A=G1256)*(CC!B:B=I1256),0))</f>
        <v>1103</v>
      </c>
      <c r="I1256" s="28" t="s">
        <v>44</v>
      </c>
      <c r="J1256" s="31">
        <v>232.0</v>
      </c>
      <c r="K1256" s="28" t="str">
        <f>IFERROR(__xludf.DUMMYFUNCTION("IFERROR(
INDEX(
FILTER(
MAP(
reglas!$B$2:$B$240,
reglas!$C$2:$C$240,
reglas!$D$2:$D$240,
reglas!$E$2:$E$240,
LAMBDA(rEmisor,rPatron,rConcepto,rTipo,
IF(
AND(
OR(
UPPER(TRIM(rEmisor))=UPPER(TRIM(C1256)),
UPPER(TRIM(rEmisor))=""CUALQUIERA""
),
OR(
UPPER(TRI"&amp;"M(rTipo))=""SOLO EMISOR"",
AND(
UPPER(TRIM(rTipo))=""EXACTA"",
UPPER(TRIM(AG1256))=UPPER(TRIM(rPatron))
),
AND(
OR(
UPPER(TRIM(rTipo))=""CONTIENE"",
UPPER(TRIM(rTipo))=""COINCIDENCIA""
),
ISNUMBER(SEARCH(UPPER(TRIM(rPatron)),UPPER(TRIM(D1256))))
)
)
),
rC"&amp;"oncepto,
""""
)
)
),
MAP(
reglas!$B$2:$B$240,
reglas!$C$2:$C$240,
reglas!$D$2:$D$240,
reglas!$E$2:$E$240,
LAMBDA(rEmisor,rPatron,rConcepto,rTipo,
IF(
AND(
OR(
UPPER(TRIM(rEmisor))=UPPER(TRIM(C1256)),
UPPER(TRIM(rEmisor))=""CUALQUIERA""
),
OR(
UPPER(TRIM(r"&amp;"Tipo))=""SOLO EMISOR"",
AND(
UPPER(TRIM(rTipo))=""EXACTA"",
UPPER(TRIM(D1256))=UPPER(TRIM(rPatron))
),
AND(
OR(
UPPER(TRIM(rTipo))=""CONTIENE"",
UPPER(TRIM(rTipo))=""COINCIDENCIA""
),
ISNUMBER(SEARCH(UPPER(TRIM(rPatron)),UPPER(TRIM(D1256))))
)
)
),
rConce"&amp;"pto,
""""
)
)
)&lt;&gt;""""
),
1
),
""""
)"),"MANIOBRAS")</f>
        <v>MANIOBRAS</v>
      </c>
      <c r="L1256" s="27"/>
      <c r="M1256" s="27"/>
      <c r="N1256" s="27"/>
      <c r="O1256" s="27"/>
      <c r="P1256" s="27"/>
      <c r="Q1256" s="27"/>
      <c r="R1256" s="27"/>
      <c r="S1256" s="27"/>
      <c r="T1256" s="27"/>
      <c r="U1256" s="27"/>
      <c r="V1256" s="27"/>
      <c r="W1256" s="27"/>
      <c r="X1256" s="27"/>
      <c r="Y1256" s="27"/>
    </row>
    <row r="1257">
      <c r="A1257" s="32"/>
      <c r="B1257" s="32"/>
      <c r="C1257" s="29" t="s">
        <v>462</v>
      </c>
      <c r="D1257" s="29" t="s">
        <v>1862</v>
      </c>
      <c r="E1257" s="30">
        <v>3971.0</v>
      </c>
      <c r="F1257" s="28">
        <v>0.0</v>
      </c>
      <c r="G1257" s="28" t="s">
        <v>395</v>
      </c>
      <c r="H1257" s="28">
        <f t="array" ref="H1257">INDEX(CC!C:C,MATCH(1,(CC!A:A=G1257)*(CC!B:B=I1257),0))</f>
        <v>1103</v>
      </c>
      <c r="I1257" s="28" t="s">
        <v>44</v>
      </c>
      <c r="J1257" s="31">
        <v>3971.0</v>
      </c>
      <c r="K1257" s="28" t="str">
        <f>IFERROR(__xludf.DUMMYFUNCTION("IFERROR(
INDEX(
FILTER(
MAP(
reglas!$B$2:$B$240,
reglas!$C$2:$C$240,
reglas!$D$2:$D$240,
reglas!$E$2:$E$240,
LAMBDA(rEmisor,rPatron,rConcepto,rTipo,
IF(
AND(
OR(
UPPER(TRIM(rEmisor))=UPPER(TRIM(C1257)),
UPPER(TRIM(rEmisor))=""CUALQUIERA""
),
OR(
UPPER(TRI"&amp;"M(rTipo))=""SOLO EMISOR"",
AND(
UPPER(TRIM(rTipo))=""EXACTA"",
UPPER(TRIM(AG1257))=UPPER(TRIM(rPatron))
),
AND(
OR(
UPPER(TRIM(rTipo))=""CONTIENE"",
UPPER(TRIM(rTipo))=""COINCIDENCIA""
),
ISNUMBER(SEARCH(UPPER(TRIM(rPatron)),UPPER(TRIM(D1257))))
)
)
),
rC"&amp;"oncepto,
""""
)
)
),
MAP(
reglas!$B$2:$B$240,
reglas!$C$2:$C$240,
reglas!$D$2:$D$240,
reglas!$E$2:$E$240,
LAMBDA(rEmisor,rPatron,rConcepto,rTipo,
IF(
AND(
OR(
UPPER(TRIM(rEmisor))=UPPER(TRIM(C1257)),
UPPER(TRIM(rEmisor))=""CUALQUIERA""
),
OR(
UPPER(TRIM(r"&amp;"Tipo))=""SOLO EMISOR"",
AND(
UPPER(TRIM(rTipo))=""EXACTA"",
UPPER(TRIM(D1257))=UPPER(TRIM(rPatron))
),
AND(
OR(
UPPER(TRIM(rTipo))=""CONTIENE"",
UPPER(TRIM(rTipo))=""COINCIDENCIA""
),
ISNUMBER(SEARCH(UPPER(TRIM(rPatron)),UPPER(TRIM(D1257))))
)
)
),
rConce"&amp;"pto,
""""
)
)
)&lt;&gt;""""
),
1
),
""""
)"),"MANIOBRAS")</f>
        <v>MANIOBRAS</v>
      </c>
      <c r="L1257" s="27"/>
      <c r="M1257" s="27"/>
      <c r="N1257" s="27"/>
      <c r="O1257" s="27"/>
      <c r="P1257" s="27"/>
      <c r="Q1257" s="27"/>
      <c r="R1257" s="27"/>
      <c r="S1257" s="27"/>
      <c r="T1257" s="27"/>
      <c r="U1257" s="27"/>
      <c r="V1257" s="27"/>
      <c r="W1257" s="27"/>
      <c r="X1257" s="27"/>
      <c r="Y1257" s="27"/>
    </row>
    <row r="1258">
      <c r="A1258" s="32"/>
      <c r="B1258" s="28" t="s">
        <v>29</v>
      </c>
      <c r="C1258" s="29" t="s">
        <v>172</v>
      </c>
      <c r="D1258" s="29" t="s">
        <v>1830</v>
      </c>
      <c r="E1258" s="30">
        <v>11500.0</v>
      </c>
      <c r="F1258" s="28">
        <v>0.0</v>
      </c>
      <c r="G1258" s="28" t="s">
        <v>250</v>
      </c>
      <c r="H1258" s="28">
        <f t="array" ref="H1258">INDEX(CC!C:C,MATCH(1,(CC!A:A=G1258)*(CC!B:B=I1258),0))</f>
        <v>1402</v>
      </c>
      <c r="I1258" s="28" t="s">
        <v>25</v>
      </c>
      <c r="J1258" s="31">
        <v>11500.0</v>
      </c>
      <c r="K1258" s="28" t="str">
        <f>IFERROR(__xludf.DUMMYFUNCTION("IFERROR(
INDEX(
FILTER(
MAP(
reglas!$B$2:$B$240,
reglas!$C$2:$C$240,
reglas!$D$2:$D$240,
reglas!$E$2:$E$240,
LAMBDA(rEmisor,rPatron,rConcepto,rTipo,
IF(
AND(
OR(
UPPER(TRIM(rEmisor))=UPPER(TRIM(C1258)),
UPPER(TRIM(rEmisor))=""CUALQUIERA""
),
OR(
UPPER(TRI"&amp;"M(rTipo))=""SOLO EMISOR"",
AND(
UPPER(TRIM(rTipo))=""EXACTA"",
UPPER(TRIM(AG1258))=UPPER(TRIM(rPatron))
),
AND(
OR(
UPPER(TRIM(rTipo))=""CONTIENE"",
UPPER(TRIM(rTipo))=""COINCIDENCIA""
),
ISNUMBER(SEARCH(UPPER(TRIM(rPatron)),UPPER(TRIM(D1258))))
)
)
),
rC"&amp;"oncepto,
""""
)
)
),
MAP(
reglas!$B$2:$B$240,
reglas!$C$2:$C$240,
reglas!$D$2:$D$240,
reglas!$E$2:$E$240,
LAMBDA(rEmisor,rPatron,rConcepto,rTipo,
IF(
AND(
OR(
UPPER(TRIM(rEmisor))=UPPER(TRIM(C1258)),
UPPER(TRIM(rEmisor))=""CUALQUIERA""
),
OR(
UPPER(TRIM(r"&amp;"Tipo))=""SOLO EMISOR"",
AND(
UPPER(TRIM(rTipo))=""EXACTA"",
UPPER(TRIM(D1258))=UPPER(TRIM(rPatron))
),
AND(
OR(
UPPER(TRIM(rTipo))=""CONTIENE"",
UPPER(TRIM(rTipo))=""COINCIDENCIA""
),
ISNUMBER(SEARCH(UPPER(TRIM(rPatron)),UPPER(TRIM(D1258))))
)
)
),
rConce"&amp;"pto,
""""
)
)
)&lt;&gt;""""
),
1
),
""""
)"),"TRANSPORTE")</f>
        <v>TRANSPORTE</v>
      </c>
      <c r="L1258" s="27"/>
      <c r="M1258" s="27"/>
      <c r="N1258" s="27"/>
      <c r="O1258" s="27"/>
      <c r="P1258" s="27"/>
      <c r="Q1258" s="27"/>
      <c r="R1258" s="27"/>
      <c r="S1258" s="27"/>
      <c r="T1258" s="27"/>
      <c r="U1258" s="27"/>
      <c r="V1258" s="27"/>
      <c r="W1258" s="27"/>
      <c r="X1258" s="27"/>
      <c r="Y1258" s="27"/>
    </row>
    <row r="1259">
      <c r="A1259" s="28">
        <v>1.0</v>
      </c>
      <c r="B1259" s="28" t="s">
        <v>29</v>
      </c>
      <c r="C1259" s="29" t="s">
        <v>271</v>
      </c>
      <c r="D1259" s="29" t="s">
        <v>585</v>
      </c>
      <c r="E1259" s="28">
        <v>620.03</v>
      </c>
      <c r="F1259" s="28">
        <v>0.0</v>
      </c>
      <c r="G1259" s="28" t="s">
        <v>84</v>
      </c>
      <c r="H1259" s="28">
        <f t="array" ref="H1259">INDEX(CC!C:C,MATCH(1,(CC!A:A=G1259)*(CC!B:B=I1259),0))</f>
        <v>1002</v>
      </c>
      <c r="I1259" s="28" t="s">
        <v>25</v>
      </c>
      <c r="J1259" s="31">
        <v>620.03</v>
      </c>
      <c r="K1259" s="28" t="str">
        <f>IFERROR(__xludf.DUMMYFUNCTION("IFERROR(
INDEX(
FILTER(
MAP(
reglas!$B$2:$B$240,
reglas!$C$2:$C$240,
reglas!$D$2:$D$240,
reglas!$E$2:$E$240,
LAMBDA(rEmisor,rPatron,rConcepto,rTipo,
IF(
AND(
OR(
UPPER(TRIM(rEmisor))=UPPER(TRIM(C1259)),
UPPER(TRIM(rEmisor))=""CUALQUIERA""
),
OR(
UPPER(TRI"&amp;"M(rTipo))=""SOLO EMISOR"",
AND(
UPPER(TRIM(rTipo))=""EXACTA"",
UPPER(TRIM(AG1259))=UPPER(TRIM(rPatron))
),
AND(
OR(
UPPER(TRIM(rTipo))=""CONTIENE"",
UPPER(TRIM(rTipo))=""COINCIDENCIA""
),
ISNUMBER(SEARCH(UPPER(TRIM(rPatron)),UPPER(TRIM(D1259))))
)
)
),
rC"&amp;"oncepto,
""""
)
)
),
MAP(
reglas!$B$2:$B$240,
reglas!$C$2:$C$240,
reglas!$D$2:$D$240,
reglas!$E$2:$E$240,
LAMBDA(rEmisor,rPatron,rConcepto,rTipo,
IF(
AND(
OR(
UPPER(TRIM(rEmisor))=UPPER(TRIM(C1259)),
UPPER(TRIM(rEmisor))=""CUALQUIERA""
),
OR(
UPPER(TRIM(r"&amp;"Tipo))=""SOLO EMISOR"",
AND(
UPPER(TRIM(rTipo))=""EXACTA"",
UPPER(TRIM(D1259))=UPPER(TRIM(rPatron))
),
AND(
OR(
UPPER(TRIM(rTipo))=""CONTIENE"",
UPPER(TRIM(rTipo))=""COINCIDENCIA""
),
ISNUMBER(SEARCH(UPPER(TRIM(rPatron)),UPPER(TRIM(D1259))))
)
)
),
rConce"&amp;"pto,
""""
)
)
)&lt;&gt;""""
),
1
),
""""
)"),"MANIOBRAS")</f>
        <v>MANIOBRAS</v>
      </c>
      <c r="L1259" s="27"/>
      <c r="M1259" s="27"/>
      <c r="N1259" s="27"/>
      <c r="O1259" s="27"/>
      <c r="P1259" s="27"/>
      <c r="Q1259" s="27"/>
      <c r="R1259" s="27"/>
      <c r="S1259" s="27"/>
      <c r="T1259" s="27"/>
      <c r="U1259" s="27"/>
      <c r="V1259" s="27"/>
      <c r="W1259" s="27"/>
      <c r="X1259" s="27"/>
      <c r="Y1259" s="27"/>
    </row>
    <row r="1260">
      <c r="A1260" s="32"/>
      <c r="B1260" s="32"/>
      <c r="C1260" s="29" t="s">
        <v>271</v>
      </c>
      <c r="D1260" s="29" t="s">
        <v>587</v>
      </c>
      <c r="E1260" s="28">
        <v>567.29</v>
      </c>
      <c r="F1260" s="28">
        <v>0.0</v>
      </c>
      <c r="G1260" s="28" t="s">
        <v>84</v>
      </c>
      <c r="H1260" s="28">
        <f t="array" ref="H1260">INDEX(CC!C:C,MATCH(1,(CC!A:A=G1260)*(CC!B:B=I1260),0))</f>
        <v>1002</v>
      </c>
      <c r="I1260" s="28" t="s">
        <v>25</v>
      </c>
      <c r="J1260" s="31">
        <v>567.29</v>
      </c>
      <c r="K1260" s="28" t="str">
        <f>IFERROR(__xludf.DUMMYFUNCTION("IFERROR(
INDEX(
FILTER(
MAP(
reglas!$B$2:$B$240,
reglas!$C$2:$C$240,
reglas!$D$2:$D$240,
reglas!$E$2:$E$240,
LAMBDA(rEmisor,rPatron,rConcepto,rTipo,
IF(
AND(
OR(
UPPER(TRIM(rEmisor))=UPPER(TRIM(C1260)),
UPPER(TRIM(rEmisor))=""CUALQUIERA""
),
OR(
UPPER(TRI"&amp;"M(rTipo))=""SOLO EMISOR"",
AND(
UPPER(TRIM(rTipo))=""EXACTA"",
UPPER(TRIM(AG1260))=UPPER(TRIM(rPatron))
),
AND(
OR(
UPPER(TRIM(rTipo))=""CONTIENE"",
UPPER(TRIM(rTipo))=""COINCIDENCIA""
),
ISNUMBER(SEARCH(UPPER(TRIM(rPatron)),UPPER(TRIM(D1260))))
)
)
),
rC"&amp;"oncepto,
""""
)
)
),
MAP(
reglas!$B$2:$B$240,
reglas!$C$2:$C$240,
reglas!$D$2:$D$240,
reglas!$E$2:$E$240,
LAMBDA(rEmisor,rPatron,rConcepto,rTipo,
IF(
AND(
OR(
UPPER(TRIM(rEmisor))=UPPER(TRIM(C1260)),
UPPER(TRIM(rEmisor))=""CUALQUIERA""
),
OR(
UPPER(TRIM(r"&amp;"Tipo))=""SOLO EMISOR"",
AND(
UPPER(TRIM(rTipo))=""EXACTA"",
UPPER(TRIM(D1260))=UPPER(TRIM(rPatron))
),
AND(
OR(
UPPER(TRIM(rTipo))=""CONTIENE"",
UPPER(TRIM(rTipo))=""COINCIDENCIA""
),
ISNUMBER(SEARCH(UPPER(TRIM(rPatron)),UPPER(TRIM(D1260))))
)
)
),
rConce"&amp;"pto,
""""
)
)
)&lt;&gt;""""
),
1
),
""""
)"),"MANIOBRAS")</f>
        <v>MANIOBRAS</v>
      </c>
      <c r="L1260" s="27"/>
      <c r="M1260" s="27"/>
      <c r="N1260" s="27"/>
      <c r="O1260" s="27"/>
      <c r="P1260" s="27"/>
      <c r="Q1260" s="27"/>
      <c r="R1260" s="27"/>
      <c r="S1260" s="27"/>
      <c r="T1260" s="27"/>
      <c r="U1260" s="27"/>
      <c r="V1260" s="27"/>
      <c r="W1260" s="27"/>
      <c r="X1260" s="27"/>
      <c r="Y1260" s="27"/>
    </row>
    <row r="1261">
      <c r="A1261" s="32"/>
      <c r="B1261" s="32"/>
      <c r="C1261" s="29" t="s">
        <v>271</v>
      </c>
      <c r="D1261" s="29" t="s">
        <v>589</v>
      </c>
      <c r="E1261" s="28">
        <v>620.37</v>
      </c>
      <c r="F1261" s="28">
        <v>0.0</v>
      </c>
      <c r="G1261" s="28" t="s">
        <v>84</v>
      </c>
      <c r="H1261" s="28">
        <f t="array" ref="H1261">INDEX(CC!C:C,MATCH(1,(CC!A:A=G1261)*(CC!B:B=I1261),0))</f>
        <v>1002</v>
      </c>
      <c r="I1261" s="28" t="s">
        <v>25</v>
      </c>
      <c r="J1261" s="31">
        <v>620.37</v>
      </c>
      <c r="K1261" s="28" t="str">
        <f>IFERROR(__xludf.DUMMYFUNCTION("IFERROR(
INDEX(
FILTER(
MAP(
reglas!$B$2:$B$240,
reglas!$C$2:$C$240,
reglas!$D$2:$D$240,
reglas!$E$2:$E$240,
LAMBDA(rEmisor,rPatron,rConcepto,rTipo,
IF(
AND(
OR(
UPPER(TRIM(rEmisor))=UPPER(TRIM(C1261)),
UPPER(TRIM(rEmisor))=""CUALQUIERA""
),
OR(
UPPER(TRI"&amp;"M(rTipo))=""SOLO EMISOR"",
AND(
UPPER(TRIM(rTipo))=""EXACTA"",
UPPER(TRIM(AG1261))=UPPER(TRIM(rPatron))
),
AND(
OR(
UPPER(TRIM(rTipo))=""CONTIENE"",
UPPER(TRIM(rTipo))=""COINCIDENCIA""
),
ISNUMBER(SEARCH(UPPER(TRIM(rPatron)),UPPER(TRIM(D1261))))
)
)
),
rC"&amp;"oncepto,
""""
)
)
),
MAP(
reglas!$B$2:$B$240,
reglas!$C$2:$C$240,
reglas!$D$2:$D$240,
reglas!$E$2:$E$240,
LAMBDA(rEmisor,rPatron,rConcepto,rTipo,
IF(
AND(
OR(
UPPER(TRIM(rEmisor))=UPPER(TRIM(C1261)),
UPPER(TRIM(rEmisor))=""CUALQUIERA""
),
OR(
UPPER(TRIM(r"&amp;"Tipo))=""SOLO EMISOR"",
AND(
UPPER(TRIM(rTipo))=""EXACTA"",
UPPER(TRIM(D1261))=UPPER(TRIM(rPatron))
),
AND(
OR(
UPPER(TRIM(rTipo))=""CONTIENE"",
UPPER(TRIM(rTipo))=""COINCIDENCIA""
),
ISNUMBER(SEARCH(UPPER(TRIM(rPatron)),UPPER(TRIM(D1261))))
)
)
),
rConce"&amp;"pto,
""""
)
)
)&lt;&gt;""""
),
1
),
""""
)"),"MANIOBRAS")</f>
        <v>MANIOBRAS</v>
      </c>
      <c r="L1261" s="27"/>
      <c r="M1261" s="27"/>
      <c r="N1261" s="27"/>
      <c r="O1261" s="27"/>
      <c r="P1261" s="27"/>
      <c r="Q1261" s="27"/>
      <c r="R1261" s="27"/>
      <c r="S1261" s="27"/>
      <c r="T1261" s="27"/>
      <c r="U1261" s="27"/>
      <c r="V1261" s="27"/>
      <c r="W1261" s="27"/>
      <c r="X1261" s="27"/>
      <c r="Y1261" s="27"/>
    </row>
    <row r="1262">
      <c r="A1262" s="32"/>
      <c r="B1262" s="32"/>
      <c r="C1262" s="29" t="s">
        <v>271</v>
      </c>
      <c r="D1262" s="29" t="s">
        <v>596</v>
      </c>
      <c r="E1262" s="28">
        <v>650.9</v>
      </c>
      <c r="F1262" s="28">
        <v>0.0</v>
      </c>
      <c r="G1262" s="28" t="s">
        <v>84</v>
      </c>
      <c r="H1262" s="28">
        <f t="array" ref="H1262">INDEX(CC!C:C,MATCH(1,(CC!A:A=G1262)*(CC!B:B=I1262),0))</f>
        <v>1002</v>
      </c>
      <c r="I1262" s="28" t="s">
        <v>25</v>
      </c>
      <c r="J1262" s="31">
        <v>650.9</v>
      </c>
      <c r="K1262" s="28" t="str">
        <f>IFERROR(__xludf.DUMMYFUNCTION("IFERROR(
INDEX(
FILTER(
MAP(
reglas!$B$2:$B$240,
reglas!$C$2:$C$240,
reglas!$D$2:$D$240,
reglas!$E$2:$E$240,
LAMBDA(rEmisor,rPatron,rConcepto,rTipo,
IF(
AND(
OR(
UPPER(TRIM(rEmisor))=UPPER(TRIM(C1262)),
UPPER(TRIM(rEmisor))=""CUALQUIERA""
),
OR(
UPPER(TRI"&amp;"M(rTipo))=""SOLO EMISOR"",
AND(
UPPER(TRIM(rTipo))=""EXACTA"",
UPPER(TRIM(AG1262))=UPPER(TRIM(rPatron))
),
AND(
OR(
UPPER(TRIM(rTipo))=""CONTIENE"",
UPPER(TRIM(rTipo))=""COINCIDENCIA""
),
ISNUMBER(SEARCH(UPPER(TRIM(rPatron)),UPPER(TRIM(D1262))))
)
)
),
rC"&amp;"oncepto,
""""
)
)
),
MAP(
reglas!$B$2:$B$240,
reglas!$C$2:$C$240,
reglas!$D$2:$D$240,
reglas!$E$2:$E$240,
LAMBDA(rEmisor,rPatron,rConcepto,rTipo,
IF(
AND(
OR(
UPPER(TRIM(rEmisor))=UPPER(TRIM(C1262)),
UPPER(TRIM(rEmisor))=""CUALQUIERA""
),
OR(
UPPER(TRIM(r"&amp;"Tipo))=""SOLO EMISOR"",
AND(
UPPER(TRIM(rTipo))=""EXACTA"",
UPPER(TRIM(D1262))=UPPER(TRIM(rPatron))
),
AND(
OR(
UPPER(TRIM(rTipo))=""CONTIENE"",
UPPER(TRIM(rTipo))=""COINCIDENCIA""
),
ISNUMBER(SEARCH(UPPER(TRIM(rPatron)),UPPER(TRIM(D1262))))
)
)
),
rConce"&amp;"pto,
""""
)
)
)&lt;&gt;""""
),
1
),
""""
)"),"MANIOBRAS")</f>
        <v>MANIOBRAS</v>
      </c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7"/>
      <c r="X1262" s="27"/>
      <c r="Y1262" s="27"/>
    </row>
    <row r="1263">
      <c r="A1263" s="28">
        <v>1.0</v>
      </c>
      <c r="B1263" s="28" t="s">
        <v>29</v>
      </c>
      <c r="C1263" s="29" t="s">
        <v>271</v>
      </c>
      <c r="D1263" s="29" t="s">
        <v>587</v>
      </c>
      <c r="E1263" s="28">
        <v>570.78</v>
      </c>
      <c r="F1263" s="28">
        <v>0.0</v>
      </c>
      <c r="G1263" s="28" t="s">
        <v>84</v>
      </c>
      <c r="H1263" s="28">
        <f t="array" ref="H1263">INDEX(CC!C:C,MATCH(1,(CC!A:A=G1263)*(CC!B:B=I1263),0))</f>
        <v>1002</v>
      </c>
      <c r="I1263" s="28" t="s">
        <v>25</v>
      </c>
      <c r="J1263" s="31">
        <v>570.78</v>
      </c>
      <c r="K1263" s="28" t="str">
        <f>IFERROR(__xludf.DUMMYFUNCTION("IFERROR(
INDEX(
FILTER(
MAP(
reglas!$B$2:$B$240,
reglas!$C$2:$C$240,
reglas!$D$2:$D$240,
reglas!$E$2:$E$240,
LAMBDA(rEmisor,rPatron,rConcepto,rTipo,
IF(
AND(
OR(
UPPER(TRIM(rEmisor))=UPPER(TRIM(C1263)),
UPPER(TRIM(rEmisor))=""CUALQUIERA""
),
OR(
UPPER(TRI"&amp;"M(rTipo))=""SOLO EMISOR"",
AND(
UPPER(TRIM(rTipo))=""EXACTA"",
UPPER(TRIM(AG1263))=UPPER(TRIM(rPatron))
),
AND(
OR(
UPPER(TRIM(rTipo))=""CONTIENE"",
UPPER(TRIM(rTipo))=""COINCIDENCIA""
),
ISNUMBER(SEARCH(UPPER(TRIM(rPatron)),UPPER(TRIM(D1263))))
)
)
),
rC"&amp;"oncepto,
""""
)
)
),
MAP(
reglas!$B$2:$B$240,
reglas!$C$2:$C$240,
reglas!$D$2:$D$240,
reglas!$E$2:$E$240,
LAMBDA(rEmisor,rPatron,rConcepto,rTipo,
IF(
AND(
OR(
UPPER(TRIM(rEmisor))=UPPER(TRIM(C1263)),
UPPER(TRIM(rEmisor))=""CUALQUIERA""
),
OR(
UPPER(TRIM(r"&amp;"Tipo))=""SOLO EMISOR"",
AND(
UPPER(TRIM(rTipo))=""EXACTA"",
UPPER(TRIM(D1263))=UPPER(TRIM(rPatron))
),
AND(
OR(
UPPER(TRIM(rTipo))=""CONTIENE"",
UPPER(TRIM(rTipo))=""COINCIDENCIA""
),
ISNUMBER(SEARCH(UPPER(TRIM(rPatron)),UPPER(TRIM(D1263))))
)
)
),
rConce"&amp;"pto,
""""
)
)
)&lt;&gt;""""
),
1
),
""""
)"),"MANIOBRAS")</f>
        <v>MANIOBRAS</v>
      </c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</row>
    <row r="1264">
      <c r="A1264" s="32"/>
      <c r="B1264" s="32"/>
      <c r="C1264" s="29" t="s">
        <v>271</v>
      </c>
      <c r="D1264" s="29" t="s">
        <v>589</v>
      </c>
      <c r="E1264" s="28">
        <v>624.19</v>
      </c>
      <c r="F1264" s="28">
        <v>0.0</v>
      </c>
      <c r="G1264" s="28" t="s">
        <v>84</v>
      </c>
      <c r="H1264" s="28">
        <f t="array" ref="H1264">INDEX(CC!C:C,MATCH(1,(CC!A:A=G1264)*(CC!B:B=I1264),0))</f>
        <v>1002</v>
      </c>
      <c r="I1264" s="28" t="s">
        <v>25</v>
      </c>
      <c r="J1264" s="31">
        <v>624.19</v>
      </c>
      <c r="K1264" s="28" t="str">
        <f>IFERROR(__xludf.DUMMYFUNCTION("IFERROR(
INDEX(
FILTER(
MAP(
reglas!$B$2:$B$240,
reglas!$C$2:$C$240,
reglas!$D$2:$D$240,
reglas!$E$2:$E$240,
LAMBDA(rEmisor,rPatron,rConcepto,rTipo,
IF(
AND(
OR(
UPPER(TRIM(rEmisor))=UPPER(TRIM(C1264)),
UPPER(TRIM(rEmisor))=""CUALQUIERA""
),
OR(
UPPER(TRI"&amp;"M(rTipo))=""SOLO EMISOR"",
AND(
UPPER(TRIM(rTipo))=""EXACTA"",
UPPER(TRIM(AG1264))=UPPER(TRIM(rPatron))
),
AND(
OR(
UPPER(TRIM(rTipo))=""CONTIENE"",
UPPER(TRIM(rTipo))=""COINCIDENCIA""
),
ISNUMBER(SEARCH(UPPER(TRIM(rPatron)),UPPER(TRIM(D1264))))
)
)
),
rC"&amp;"oncepto,
""""
)
)
),
MAP(
reglas!$B$2:$B$240,
reglas!$C$2:$C$240,
reglas!$D$2:$D$240,
reglas!$E$2:$E$240,
LAMBDA(rEmisor,rPatron,rConcepto,rTipo,
IF(
AND(
OR(
UPPER(TRIM(rEmisor))=UPPER(TRIM(C1264)),
UPPER(TRIM(rEmisor))=""CUALQUIERA""
),
OR(
UPPER(TRIM(r"&amp;"Tipo))=""SOLO EMISOR"",
AND(
UPPER(TRIM(rTipo))=""EXACTA"",
UPPER(TRIM(D1264))=UPPER(TRIM(rPatron))
),
AND(
OR(
UPPER(TRIM(rTipo))=""CONTIENE"",
UPPER(TRIM(rTipo))=""COINCIDENCIA""
),
ISNUMBER(SEARCH(UPPER(TRIM(rPatron)),UPPER(TRIM(D1264))))
)
)
),
rConce"&amp;"pto,
""""
)
)
)&lt;&gt;""""
),
1
),
""""
)"),"MANIOBRAS")</f>
        <v>MANIOBRAS</v>
      </c>
      <c r="L1264" s="27"/>
      <c r="M1264" s="27"/>
      <c r="N1264" s="27"/>
      <c r="O1264" s="27"/>
      <c r="P1264" s="27"/>
      <c r="Q1264" s="27"/>
      <c r="R1264" s="27"/>
      <c r="S1264" s="27"/>
      <c r="T1264" s="27"/>
      <c r="U1264" s="27"/>
      <c r="V1264" s="27"/>
      <c r="W1264" s="27"/>
      <c r="X1264" s="27"/>
      <c r="Y1264" s="27"/>
    </row>
    <row r="1265">
      <c r="A1265" s="32"/>
      <c r="B1265" s="32"/>
      <c r="C1265" s="29" t="s">
        <v>271</v>
      </c>
      <c r="D1265" s="29" t="s">
        <v>596</v>
      </c>
      <c r="E1265" s="28">
        <v>654.91</v>
      </c>
      <c r="F1265" s="28">
        <v>0.0</v>
      </c>
      <c r="G1265" s="28" t="s">
        <v>84</v>
      </c>
      <c r="H1265" s="28">
        <f t="array" ref="H1265">INDEX(CC!C:C,MATCH(1,(CC!A:A=G1265)*(CC!B:B=I1265),0))</f>
        <v>1002</v>
      </c>
      <c r="I1265" s="28" t="s">
        <v>25</v>
      </c>
      <c r="J1265" s="31">
        <v>654.91</v>
      </c>
      <c r="K1265" s="28" t="str">
        <f>IFERROR(__xludf.DUMMYFUNCTION("IFERROR(
INDEX(
FILTER(
MAP(
reglas!$B$2:$B$240,
reglas!$C$2:$C$240,
reglas!$D$2:$D$240,
reglas!$E$2:$E$240,
LAMBDA(rEmisor,rPatron,rConcepto,rTipo,
IF(
AND(
OR(
UPPER(TRIM(rEmisor))=UPPER(TRIM(C1265)),
UPPER(TRIM(rEmisor))=""CUALQUIERA""
),
OR(
UPPER(TRI"&amp;"M(rTipo))=""SOLO EMISOR"",
AND(
UPPER(TRIM(rTipo))=""EXACTA"",
UPPER(TRIM(AG1265))=UPPER(TRIM(rPatron))
),
AND(
OR(
UPPER(TRIM(rTipo))=""CONTIENE"",
UPPER(TRIM(rTipo))=""COINCIDENCIA""
),
ISNUMBER(SEARCH(UPPER(TRIM(rPatron)),UPPER(TRIM(D1265))))
)
)
),
rC"&amp;"oncepto,
""""
)
)
),
MAP(
reglas!$B$2:$B$240,
reglas!$C$2:$C$240,
reglas!$D$2:$D$240,
reglas!$E$2:$E$240,
LAMBDA(rEmisor,rPatron,rConcepto,rTipo,
IF(
AND(
OR(
UPPER(TRIM(rEmisor))=UPPER(TRIM(C1265)),
UPPER(TRIM(rEmisor))=""CUALQUIERA""
),
OR(
UPPER(TRIM(r"&amp;"Tipo))=""SOLO EMISOR"",
AND(
UPPER(TRIM(rTipo))=""EXACTA"",
UPPER(TRIM(D1265))=UPPER(TRIM(rPatron))
),
AND(
OR(
UPPER(TRIM(rTipo))=""CONTIENE"",
UPPER(TRIM(rTipo))=""COINCIDENCIA""
),
ISNUMBER(SEARCH(UPPER(TRIM(rPatron)),UPPER(TRIM(D1265))))
)
)
),
rConce"&amp;"pto,
""""
)
)
)&lt;&gt;""""
),
1
),
""""
)"),"MANIOBRAS")</f>
        <v>MANIOBRAS</v>
      </c>
      <c r="L1265" s="27"/>
      <c r="M1265" s="27"/>
      <c r="N1265" s="27"/>
      <c r="O1265" s="27"/>
      <c r="P1265" s="27"/>
      <c r="Q1265" s="27"/>
      <c r="R1265" s="27"/>
      <c r="S1265" s="27"/>
      <c r="T1265" s="27"/>
      <c r="U1265" s="27"/>
      <c r="V1265" s="27"/>
      <c r="W1265" s="27"/>
      <c r="X1265" s="27"/>
      <c r="Y1265" s="27"/>
    </row>
    <row r="1266">
      <c r="A1266" s="32"/>
      <c r="B1266" s="28" t="s">
        <v>29</v>
      </c>
      <c r="C1266" s="29" t="s">
        <v>172</v>
      </c>
      <c r="D1266" s="29" t="s">
        <v>1854</v>
      </c>
      <c r="E1266" s="30">
        <v>11500.0</v>
      </c>
      <c r="F1266" s="28">
        <v>0.0</v>
      </c>
      <c r="G1266" s="28" t="s">
        <v>250</v>
      </c>
      <c r="H1266" s="28">
        <f t="array" ref="H1266">INDEX(CC!C:C,MATCH(1,(CC!A:A=G1266)*(CC!B:B=I1266),0))</f>
        <v>1402</v>
      </c>
      <c r="I1266" s="28" t="s">
        <v>25</v>
      </c>
      <c r="J1266" s="31">
        <v>11500.0</v>
      </c>
      <c r="K1266" s="28" t="str">
        <f>IFERROR(__xludf.DUMMYFUNCTION("IFERROR(
INDEX(
FILTER(
MAP(
reglas!$B$2:$B$240,
reglas!$C$2:$C$240,
reglas!$D$2:$D$240,
reglas!$E$2:$E$240,
LAMBDA(rEmisor,rPatron,rConcepto,rTipo,
IF(
AND(
OR(
UPPER(TRIM(rEmisor))=UPPER(TRIM(C1266)),
UPPER(TRIM(rEmisor))=""CUALQUIERA""
),
OR(
UPPER(TRI"&amp;"M(rTipo))=""SOLO EMISOR"",
AND(
UPPER(TRIM(rTipo))=""EXACTA"",
UPPER(TRIM(AG1266))=UPPER(TRIM(rPatron))
),
AND(
OR(
UPPER(TRIM(rTipo))=""CONTIENE"",
UPPER(TRIM(rTipo))=""COINCIDENCIA""
),
ISNUMBER(SEARCH(UPPER(TRIM(rPatron)),UPPER(TRIM(D1266))))
)
)
),
rC"&amp;"oncepto,
""""
)
)
),
MAP(
reglas!$B$2:$B$240,
reglas!$C$2:$C$240,
reglas!$D$2:$D$240,
reglas!$E$2:$E$240,
LAMBDA(rEmisor,rPatron,rConcepto,rTipo,
IF(
AND(
OR(
UPPER(TRIM(rEmisor))=UPPER(TRIM(C1266)),
UPPER(TRIM(rEmisor))=""CUALQUIERA""
),
OR(
UPPER(TRIM(r"&amp;"Tipo))=""SOLO EMISOR"",
AND(
UPPER(TRIM(rTipo))=""EXACTA"",
UPPER(TRIM(D1266))=UPPER(TRIM(rPatron))
),
AND(
OR(
UPPER(TRIM(rTipo))=""CONTIENE"",
UPPER(TRIM(rTipo))=""COINCIDENCIA""
),
ISNUMBER(SEARCH(UPPER(TRIM(rPatron)),UPPER(TRIM(D1266))))
)
)
),
rConce"&amp;"pto,
""""
)
)
)&lt;&gt;""""
),
1
),
""""
)"),"TRANSPORTE")</f>
        <v>TRANSPORTE</v>
      </c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</row>
    <row r="1267">
      <c r="A1267" s="32"/>
      <c r="B1267" s="28" t="s">
        <v>29</v>
      </c>
      <c r="C1267" s="29" t="s">
        <v>172</v>
      </c>
      <c r="D1267" s="29" t="s">
        <v>1853</v>
      </c>
      <c r="E1267" s="30">
        <v>11500.0</v>
      </c>
      <c r="F1267" s="28">
        <v>0.0</v>
      </c>
      <c r="G1267" s="28" t="s">
        <v>250</v>
      </c>
      <c r="H1267" s="28">
        <f t="array" ref="H1267">INDEX(CC!C:C,MATCH(1,(CC!A:A=G1267)*(CC!B:B=I1267),0))</f>
        <v>1402</v>
      </c>
      <c r="I1267" s="28" t="s">
        <v>25</v>
      </c>
      <c r="J1267" s="31">
        <v>11500.0</v>
      </c>
      <c r="K1267" s="28" t="str">
        <f>IFERROR(__xludf.DUMMYFUNCTION("IFERROR(
INDEX(
FILTER(
MAP(
reglas!$B$2:$B$240,
reglas!$C$2:$C$240,
reglas!$D$2:$D$240,
reglas!$E$2:$E$240,
LAMBDA(rEmisor,rPatron,rConcepto,rTipo,
IF(
AND(
OR(
UPPER(TRIM(rEmisor))=UPPER(TRIM(C1267)),
UPPER(TRIM(rEmisor))=""CUALQUIERA""
),
OR(
UPPER(TRI"&amp;"M(rTipo))=""SOLO EMISOR"",
AND(
UPPER(TRIM(rTipo))=""EXACTA"",
UPPER(TRIM(AG1267))=UPPER(TRIM(rPatron))
),
AND(
OR(
UPPER(TRIM(rTipo))=""CONTIENE"",
UPPER(TRIM(rTipo))=""COINCIDENCIA""
),
ISNUMBER(SEARCH(UPPER(TRIM(rPatron)),UPPER(TRIM(D1267))))
)
)
),
rC"&amp;"oncepto,
""""
)
)
),
MAP(
reglas!$B$2:$B$240,
reglas!$C$2:$C$240,
reglas!$D$2:$D$240,
reglas!$E$2:$E$240,
LAMBDA(rEmisor,rPatron,rConcepto,rTipo,
IF(
AND(
OR(
UPPER(TRIM(rEmisor))=UPPER(TRIM(C1267)),
UPPER(TRIM(rEmisor))=""CUALQUIERA""
),
OR(
UPPER(TRIM(r"&amp;"Tipo))=""SOLO EMISOR"",
AND(
UPPER(TRIM(rTipo))=""EXACTA"",
UPPER(TRIM(D1267))=UPPER(TRIM(rPatron))
),
AND(
OR(
UPPER(TRIM(rTipo))=""CONTIENE"",
UPPER(TRIM(rTipo))=""COINCIDENCIA""
),
ISNUMBER(SEARCH(UPPER(TRIM(rPatron)),UPPER(TRIM(D1267))))
)
)
),
rConce"&amp;"pto,
""""
)
)
)&lt;&gt;""""
),
1
),
""""
)"),"TRANSPORTE")</f>
        <v>TRANSPORTE</v>
      </c>
      <c r="L1267" s="27"/>
      <c r="M1267" s="27"/>
      <c r="N1267" s="27"/>
      <c r="O1267" s="27"/>
      <c r="P1267" s="27"/>
      <c r="Q1267" s="27"/>
      <c r="R1267" s="27"/>
      <c r="S1267" s="27"/>
      <c r="T1267" s="27"/>
      <c r="U1267" s="27"/>
      <c r="V1267" s="27"/>
      <c r="W1267" s="27"/>
      <c r="X1267" s="27"/>
      <c r="Y1267" s="27"/>
    </row>
    <row r="1268">
      <c r="A1268" s="28">
        <v>1.0</v>
      </c>
      <c r="B1268" s="28" t="s">
        <v>29</v>
      </c>
      <c r="C1268" s="29" t="s">
        <v>96</v>
      </c>
      <c r="D1268" s="29" t="s">
        <v>77</v>
      </c>
      <c r="E1268" s="28">
        <v>866.68</v>
      </c>
      <c r="F1268" s="28">
        <v>0.0</v>
      </c>
      <c r="G1268" s="28" t="s">
        <v>74</v>
      </c>
      <c r="H1268" s="28">
        <f t="array" ref="H1268">INDEX(CC!C:C,MATCH(1,(CC!A:A=G1268)*(CC!B:B=I1268),0))</f>
        <v>1503</v>
      </c>
      <c r="I1268" s="28" t="s">
        <v>44</v>
      </c>
      <c r="J1268" s="31">
        <v>866.68</v>
      </c>
      <c r="K1268" s="28" t="str">
        <f>IFERROR(__xludf.DUMMYFUNCTION("IFERROR(
INDEX(
FILTER(
MAP(
reglas!$B$2:$B$240,
reglas!$C$2:$C$240,
reglas!$D$2:$D$240,
reglas!$E$2:$E$240,
LAMBDA(rEmisor,rPatron,rConcepto,rTipo,
IF(
AND(
OR(
UPPER(TRIM(rEmisor))=UPPER(TRIM(C1268)),
UPPER(TRIM(rEmisor))=""CUALQUIERA""
),
OR(
UPPER(TRI"&amp;"M(rTipo))=""SOLO EMISOR"",
AND(
UPPER(TRIM(rTipo))=""EXACTA"",
UPPER(TRIM(AG1268))=UPPER(TRIM(rPatron))
),
AND(
OR(
UPPER(TRIM(rTipo))=""CONTIENE"",
UPPER(TRIM(rTipo))=""COINCIDENCIA""
),
ISNUMBER(SEARCH(UPPER(TRIM(rPatron)),UPPER(TRIM(D1268))))
)
)
),
rC"&amp;"oncepto,
""""
)
)
),
MAP(
reglas!$B$2:$B$240,
reglas!$C$2:$C$240,
reglas!$D$2:$D$240,
reglas!$E$2:$E$240,
LAMBDA(rEmisor,rPatron,rConcepto,rTipo,
IF(
AND(
OR(
UPPER(TRIM(rEmisor))=UPPER(TRIM(C1268)),
UPPER(TRIM(rEmisor))=""CUALQUIERA""
),
OR(
UPPER(TRIM(r"&amp;"Tipo))=""SOLO EMISOR"",
AND(
UPPER(TRIM(rTipo))=""EXACTA"",
UPPER(TRIM(D1268))=UPPER(TRIM(rPatron))
),
AND(
OR(
UPPER(TRIM(rTipo))=""CONTIENE"",
UPPER(TRIM(rTipo))=""COINCIDENCIA""
),
ISNUMBER(SEARCH(UPPER(TRIM(rPatron)),UPPER(TRIM(D1268))))
)
)
),
rConce"&amp;"pto,
""""
)
)
)&lt;&gt;""""
),
1
),
""""
)"),"GUIAS")</f>
        <v>GUIAS</v>
      </c>
      <c r="L1268" s="27"/>
      <c r="M1268" s="27"/>
      <c r="N1268" s="27"/>
      <c r="O1268" s="27"/>
      <c r="P1268" s="27"/>
      <c r="Q1268" s="27"/>
      <c r="R1268" s="27"/>
      <c r="S1268" s="27"/>
      <c r="T1268" s="27"/>
      <c r="U1268" s="27"/>
      <c r="V1268" s="27"/>
      <c r="W1268" s="27"/>
      <c r="X1268" s="27"/>
      <c r="Y1268" s="27"/>
    </row>
    <row r="1269">
      <c r="A1269" s="32"/>
      <c r="B1269" s="32"/>
      <c r="C1269" s="29" t="s">
        <v>96</v>
      </c>
      <c r="D1269" s="29" t="s">
        <v>1038</v>
      </c>
      <c r="E1269" s="28">
        <v>912.64</v>
      </c>
      <c r="F1269" s="28">
        <v>0.0</v>
      </c>
      <c r="G1269" s="28" t="s">
        <v>74</v>
      </c>
      <c r="H1269" s="28">
        <f t="array" ref="H1269">INDEX(CC!C:C,MATCH(1,(CC!A:A=G1269)*(CC!B:B=I1269),0))</f>
        <v>1503</v>
      </c>
      <c r="I1269" s="28" t="s">
        <v>44</v>
      </c>
      <c r="J1269" s="31">
        <v>912.64</v>
      </c>
      <c r="K1269" s="28" t="str">
        <f>IFERROR(__xludf.DUMMYFUNCTION("IFERROR(
INDEX(
FILTER(
MAP(
reglas!$B$2:$B$240,
reglas!$C$2:$C$240,
reglas!$D$2:$D$240,
reglas!$E$2:$E$240,
LAMBDA(rEmisor,rPatron,rConcepto,rTipo,
IF(
AND(
OR(
UPPER(TRIM(rEmisor))=UPPER(TRIM(C1269)),
UPPER(TRIM(rEmisor))=""CUALQUIERA""
),
OR(
UPPER(TRI"&amp;"M(rTipo))=""SOLO EMISOR"",
AND(
UPPER(TRIM(rTipo))=""EXACTA"",
UPPER(TRIM(AG1269))=UPPER(TRIM(rPatron))
),
AND(
OR(
UPPER(TRIM(rTipo))=""CONTIENE"",
UPPER(TRIM(rTipo))=""COINCIDENCIA""
),
ISNUMBER(SEARCH(UPPER(TRIM(rPatron)),UPPER(TRIM(D1269))))
)
)
),
rC"&amp;"oncepto,
""""
)
)
),
MAP(
reglas!$B$2:$B$240,
reglas!$C$2:$C$240,
reglas!$D$2:$D$240,
reglas!$E$2:$E$240,
LAMBDA(rEmisor,rPatron,rConcepto,rTipo,
IF(
AND(
OR(
UPPER(TRIM(rEmisor))=UPPER(TRIM(C1269)),
UPPER(TRIM(rEmisor))=""CUALQUIERA""
),
OR(
UPPER(TRIM(r"&amp;"Tipo))=""SOLO EMISOR"",
AND(
UPPER(TRIM(rTipo))=""EXACTA"",
UPPER(TRIM(D1269))=UPPER(TRIM(rPatron))
),
AND(
OR(
UPPER(TRIM(rTipo))=""CONTIENE"",
UPPER(TRIM(rTipo))=""COINCIDENCIA""
),
ISNUMBER(SEARCH(UPPER(TRIM(rPatron)),UPPER(TRIM(D1269))))
)
)
),
rConce"&amp;"pto,
""""
)
)
)&lt;&gt;""""
),
1
),
""""
)"),"GUIAS")</f>
        <v>GUIAS</v>
      </c>
      <c r="L1269" s="27"/>
      <c r="M1269" s="27"/>
      <c r="N1269" s="27"/>
      <c r="O1269" s="27"/>
      <c r="P1269" s="27"/>
      <c r="Q1269" s="27"/>
      <c r="R1269" s="27"/>
      <c r="S1269" s="27"/>
      <c r="T1269" s="27"/>
      <c r="U1269" s="27"/>
      <c r="V1269" s="27"/>
      <c r="W1269" s="27"/>
      <c r="X1269" s="27"/>
      <c r="Y1269" s="27"/>
    </row>
    <row r="1270">
      <c r="A1270" s="32"/>
      <c r="B1270" s="32"/>
      <c r="C1270" s="29" t="s">
        <v>96</v>
      </c>
      <c r="D1270" s="29" t="s">
        <v>73</v>
      </c>
      <c r="E1270" s="28">
        <v>940.26</v>
      </c>
      <c r="F1270" s="28">
        <v>0.0</v>
      </c>
      <c r="G1270" s="28" t="s">
        <v>74</v>
      </c>
      <c r="H1270" s="28">
        <f t="array" ref="H1270">INDEX(CC!C:C,MATCH(1,(CC!A:A=G1270)*(CC!B:B=I1270),0))</f>
        <v>1503</v>
      </c>
      <c r="I1270" s="28" t="s">
        <v>44</v>
      </c>
      <c r="J1270" s="31">
        <v>940.26</v>
      </c>
      <c r="K1270" s="28" t="str">
        <f>IFERROR(__xludf.DUMMYFUNCTION("IFERROR(
INDEX(
FILTER(
MAP(
reglas!$B$2:$B$240,
reglas!$C$2:$C$240,
reglas!$D$2:$D$240,
reglas!$E$2:$E$240,
LAMBDA(rEmisor,rPatron,rConcepto,rTipo,
IF(
AND(
OR(
UPPER(TRIM(rEmisor))=UPPER(TRIM(C1270)),
UPPER(TRIM(rEmisor))=""CUALQUIERA""
),
OR(
UPPER(TRI"&amp;"M(rTipo))=""SOLO EMISOR"",
AND(
UPPER(TRIM(rTipo))=""EXACTA"",
UPPER(TRIM(AG1270))=UPPER(TRIM(rPatron))
),
AND(
OR(
UPPER(TRIM(rTipo))=""CONTIENE"",
UPPER(TRIM(rTipo))=""COINCIDENCIA""
),
ISNUMBER(SEARCH(UPPER(TRIM(rPatron)),UPPER(TRIM(D1270))))
)
)
),
rC"&amp;"oncepto,
""""
)
)
),
MAP(
reglas!$B$2:$B$240,
reglas!$C$2:$C$240,
reglas!$D$2:$D$240,
reglas!$E$2:$E$240,
LAMBDA(rEmisor,rPatron,rConcepto,rTipo,
IF(
AND(
OR(
UPPER(TRIM(rEmisor))=UPPER(TRIM(C1270)),
UPPER(TRIM(rEmisor))=""CUALQUIERA""
),
OR(
UPPER(TRIM(r"&amp;"Tipo))=""SOLO EMISOR"",
AND(
UPPER(TRIM(rTipo))=""EXACTA"",
UPPER(TRIM(D1270))=UPPER(TRIM(rPatron))
),
AND(
OR(
UPPER(TRIM(rTipo))=""CONTIENE"",
UPPER(TRIM(rTipo))=""COINCIDENCIA""
),
ISNUMBER(SEARCH(UPPER(TRIM(rPatron)),UPPER(TRIM(D1270))))
)
)
),
rConce"&amp;"pto,
""""
)
)
)&lt;&gt;""""
),
1
),
""""
)"),"GUIAS")</f>
        <v>GUIAS</v>
      </c>
      <c r="L1270" s="27"/>
      <c r="M1270" s="27"/>
      <c r="N1270" s="27"/>
      <c r="O1270" s="27"/>
      <c r="P1270" s="27"/>
      <c r="Q1270" s="27"/>
      <c r="R1270" s="27"/>
      <c r="S1270" s="27"/>
      <c r="T1270" s="27"/>
      <c r="U1270" s="27"/>
      <c r="V1270" s="27"/>
      <c r="W1270" s="27"/>
      <c r="X1270" s="27"/>
      <c r="Y1270" s="27"/>
    </row>
    <row r="1271">
      <c r="A1271" s="28">
        <v>1.0</v>
      </c>
      <c r="B1271" s="28" t="s">
        <v>29</v>
      </c>
      <c r="C1271" s="29" t="s">
        <v>355</v>
      </c>
      <c r="D1271" s="29" t="s">
        <v>1863</v>
      </c>
      <c r="E1271" s="30">
        <v>1165.97</v>
      </c>
      <c r="F1271" s="28">
        <v>0.0</v>
      </c>
      <c r="G1271" s="28" t="s">
        <v>551</v>
      </c>
      <c r="H1271" s="28">
        <f t="array" ref="H1271">INDEX(CC!C:C,MATCH(1,(CC!A:A=G1271)*(CC!B:B=I1271),0))</f>
        <v>1203</v>
      </c>
      <c r="I1271" s="28" t="s">
        <v>44</v>
      </c>
      <c r="J1271" s="31">
        <v>1165.97</v>
      </c>
      <c r="K1271" s="28" t="str">
        <f>IFERROR(__xludf.DUMMYFUNCTION("IFERROR(
INDEX(
FILTER(
MAP(
reglas!$B$2:$B$240,
reglas!$C$2:$C$240,
reglas!$D$2:$D$240,
reglas!$E$2:$E$240,
LAMBDA(rEmisor,rPatron,rConcepto,rTipo,
IF(
AND(
OR(
UPPER(TRIM(rEmisor))=UPPER(TRIM(C1271)),
UPPER(TRIM(rEmisor))=""CUALQUIERA""
),
OR(
UPPER(TRI"&amp;"M(rTipo))=""SOLO EMISOR"",
AND(
UPPER(TRIM(rTipo))=""EXACTA"",
UPPER(TRIM(AG1271))=UPPER(TRIM(rPatron))
),
AND(
OR(
UPPER(TRIM(rTipo))=""CONTIENE"",
UPPER(TRIM(rTipo))=""COINCIDENCIA""
),
ISNUMBER(SEARCH(UPPER(TRIM(rPatron)),UPPER(TRIM(D1271))))
)
)
),
rC"&amp;"oncepto,
""""
)
)
),
MAP(
reglas!$B$2:$B$240,
reglas!$C$2:$C$240,
reglas!$D$2:$D$240,
reglas!$E$2:$E$240,
LAMBDA(rEmisor,rPatron,rConcepto,rTipo,
IF(
AND(
OR(
UPPER(TRIM(rEmisor))=UPPER(TRIM(C1271)),
UPPER(TRIM(rEmisor))=""CUALQUIERA""
),
OR(
UPPER(TRIM(r"&amp;"Tipo))=""SOLO EMISOR"",
AND(
UPPER(TRIM(rTipo))=""EXACTA"",
UPPER(TRIM(D1271))=UPPER(TRIM(rPatron))
),
AND(
OR(
UPPER(TRIM(rTipo))=""CONTIENE"",
UPPER(TRIM(rTipo))=""COINCIDENCIA""
),
ISNUMBER(SEARCH(UPPER(TRIM(rPatron)),UPPER(TRIM(D1271))))
)
)
),
rConce"&amp;"pto,
""""
)
)
)&lt;&gt;""""
),
1
),
""""
)"),"")</f>
        <v/>
      </c>
      <c r="L1271" s="27"/>
      <c r="M1271" s="27"/>
      <c r="N1271" s="27"/>
      <c r="O1271" s="27"/>
      <c r="P1271" s="27"/>
      <c r="Q1271" s="27"/>
      <c r="R1271" s="27"/>
      <c r="S1271" s="27"/>
      <c r="T1271" s="27"/>
      <c r="U1271" s="27"/>
      <c r="V1271" s="27"/>
      <c r="W1271" s="27"/>
      <c r="X1271" s="27"/>
      <c r="Y1271" s="27"/>
    </row>
    <row r="1272">
      <c r="A1272" s="28">
        <v>17.0638</v>
      </c>
      <c r="B1272" s="28" t="s">
        <v>244</v>
      </c>
      <c r="C1272" s="29" t="s">
        <v>100</v>
      </c>
      <c r="D1272" s="29" t="s">
        <v>1864</v>
      </c>
      <c r="E1272" s="30">
        <v>1400.12</v>
      </c>
      <c r="F1272" s="28">
        <v>0.0</v>
      </c>
      <c r="G1272" s="28" t="s">
        <v>55</v>
      </c>
      <c r="H1272" s="28">
        <f t="array" ref="H1272">INDEX(CC!C:C,MATCH(1,(CC!A:A=G1272)*(CC!B:B=I1272),0))</f>
        <v>902</v>
      </c>
      <c r="I1272" s="28" t="s">
        <v>25</v>
      </c>
      <c r="J1272" s="31">
        <v>9726.0</v>
      </c>
      <c r="K1272" s="28" t="str">
        <f>IFERROR(__xludf.DUMMYFUNCTION("IFERROR(
INDEX(
FILTER(
MAP(
reglas!$B$2:$B$240,
reglas!$C$2:$C$240,
reglas!$D$2:$D$240,
reglas!$E$2:$E$240,
LAMBDA(rEmisor,rPatron,rConcepto,rTipo,
IF(
AND(
OR(
UPPER(TRIM(rEmisor))=UPPER(TRIM(C1272)),
UPPER(TRIM(rEmisor))=""CUALQUIERA""
),
OR(
UPPER(TRI"&amp;"M(rTipo))=""SOLO EMISOR"",
AND(
UPPER(TRIM(rTipo))=""EXACTA"",
UPPER(TRIM(AG1272))=UPPER(TRIM(rPatron))
),
AND(
OR(
UPPER(TRIM(rTipo))=""CONTIENE"",
UPPER(TRIM(rTipo))=""COINCIDENCIA""
),
ISNUMBER(SEARCH(UPPER(TRIM(rPatron)),UPPER(TRIM(D1272))))
)
)
),
rC"&amp;"oncepto,
""""
)
)
),
MAP(
reglas!$B$2:$B$240,
reglas!$C$2:$C$240,
reglas!$D$2:$D$240,
reglas!$E$2:$E$240,
LAMBDA(rEmisor,rPatron,rConcepto,rTipo,
IF(
AND(
OR(
UPPER(TRIM(rEmisor))=UPPER(TRIM(C1272)),
UPPER(TRIM(rEmisor))=""CUALQUIERA""
),
OR(
UPPER(TRIM(r"&amp;"Tipo))=""SOLO EMISOR"",
AND(
UPPER(TRIM(rTipo))=""EXACTA"",
UPPER(TRIM(D1272))=UPPER(TRIM(rPatron))
),
AND(
OR(
UPPER(TRIM(rTipo))=""CONTIENE"",
UPPER(TRIM(rTipo))=""COINCIDENCIA""
),
ISNUMBER(SEARCH(UPPER(TRIM(rPatron)),UPPER(TRIM(D1272))))
)
)
),
rConce"&amp;"pto,
""""
)
)
)&lt;&gt;""""
),
1
),
""""
)"),"LICENCIAS 365")</f>
        <v>LICENCIAS 365</v>
      </c>
      <c r="L1272" s="27"/>
      <c r="M1272" s="27"/>
      <c r="N1272" s="27"/>
      <c r="O1272" s="27"/>
      <c r="P1272" s="27"/>
      <c r="Q1272" s="27"/>
      <c r="R1272" s="27"/>
      <c r="S1272" s="27"/>
      <c r="T1272" s="27"/>
      <c r="U1272" s="27"/>
      <c r="V1272" s="27"/>
      <c r="W1272" s="27"/>
      <c r="X1272" s="27"/>
      <c r="Y1272" s="27"/>
    </row>
    <row r="1273">
      <c r="A1273" s="32"/>
      <c r="B1273" s="32"/>
      <c r="C1273" s="29" t="s">
        <v>100</v>
      </c>
      <c r="D1273" s="29" t="s">
        <v>1865</v>
      </c>
      <c r="E1273" s="30">
        <v>1087.68</v>
      </c>
      <c r="F1273" s="28">
        <v>0.0</v>
      </c>
      <c r="G1273" s="28" t="s">
        <v>74</v>
      </c>
      <c r="H1273" s="28">
        <f t="array" ref="H1273">INDEX(CC!C:C,MATCH(1,(CC!A:A=G1273)*(CC!B:B=I1273),0))</f>
        <v>1502</v>
      </c>
      <c r="I1273" s="28" t="s">
        <v>25</v>
      </c>
      <c r="J1273" s="31">
        <v>3537.0</v>
      </c>
      <c r="K1273" s="28" t="str">
        <f>IFERROR(__xludf.DUMMYFUNCTION("IFERROR(
INDEX(
FILTER(
MAP(
reglas!$B$2:$B$240,
reglas!$C$2:$C$240,
reglas!$D$2:$D$240,
reglas!$E$2:$E$240,
LAMBDA(rEmisor,rPatron,rConcepto,rTipo,
IF(
AND(
OR(
UPPER(TRIM(rEmisor))=UPPER(TRIM(C1273)),
UPPER(TRIM(rEmisor))=""CUALQUIERA""
),
OR(
UPPER(TRI"&amp;"M(rTipo))=""SOLO EMISOR"",
AND(
UPPER(TRIM(rTipo))=""EXACTA"",
UPPER(TRIM(AG1273))=UPPER(TRIM(rPatron))
),
AND(
OR(
UPPER(TRIM(rTipo))=""CONTIENE"",
UPPER(TRIM(rTipo))=""COINCIDENCIA""
),
ISNUMBER(SEARCH(UPPER(TRIM(rPatron)),UPPER(TRIM(D1273))))
)
)
),
rC"&amp;"oncepto,
""""
)
)
),
MAP(
reglas!$B$2:$B$240,
reglas!$C$2:$C$240,
reglas!$D$2:$D$240,
reglas!$E$2:$E$240,
LAMBDA(rEmisor,rPatron,rConcepto,rTipo,
IF(
AND(
OR(
UPPER(TRIM(rEmisor))=UPPER(TRIM(C1273)),
UPPER(TRIM(rEmisor))=""CUALQUIERA""
),
OR(
UPPER(TRIM(r"&amp;"Tipo))=""SOLO EMISOR"",
AND(
UPPER(TRIM(rTipo))=""EXACTA"",
UPPER(TRIM(D1273))=UPPER(TRIM(rPatron))
),
AND(
OR(
UPPER(TRIM(rTipo))=""CONTIENE"",
UPPER(TRIM(rTipo))=""COINCIDENCIA""
),
ISNUMBER(SEARCH(UPPER(TRIM(rPatron)),UPPER(TRIM(D1273))))
)
)
),
rConce"&amp;"pto,
""""
)
)
)&lt;&gt;""""
),
1
),
""""
)"),"LICENCIAS 365")</f>
        <v>LICENCIAS 365</v>
      </c>
      <c r="L1273" s="27"/>
      <c r="M1273" s="27"/>
      <c r="N1273" s="27"/>
      <c r="O1273" s="27"/>
      <c r="P1273" s="27"/>
      <c r="Q1273" s="27"/>
      <c r="R1273" s="27"/>
      <c r="S1273" s="27"/>
      <c r="T1273" s="27"/>
      <c r="U1273" s="27"/>
      <c r="V1273" s="27"/>
      <c r="W1273" s="27"/>
      <c r="X1273" s="27"/>
      <c r="Y1273" s="27"/>
    </row>
    <row r="1274">
      <c r="A1274" s="32"/>
      <c r="B1274" s="32"/>
      <c r="C1274" s="29" t="s">
        <v>100</v>
      </c>
      <c r="D1274" s="29" t="s">
        <v>1866</v>
      </c>
      <c r="E1274" s="28">
        <v>52.36</v>
      </c>
      <c r="F1274" s="28">
        <v>0.0</v>
      </c>
      <c r="G1274" s="28" t="s">
        <v>385</v>
      </c>
      <c r="H1274" s="28">
        <f t="array" ref="H1274">INDEX(CC!C:C,MATCH(1,(CC!A:A=G1274)*(CC!B:B=I1274),0))</f>
        <v>502</v>
      </c>
      <c r="I1274" s="28" t="s">
        <v>25</v>
      </c>
      <c r="J1274" s="31">
        <v>442.0</v>
      </c>
      <c r="K1274" s="28" t="str">
        <f>IFERROR(__xludf.DUMMYFUNCTION("IFERROR(
INDEX(
FILTER(
MAP(
reglas!$B$2:$B$240,
reglas!$C$2:$C$240,
reglas!$D$2:$D$240,
reglas!$E$2:$E$240,
LAMBDA(rEmisor,rPatron,rConcepto,rTipo,
IF(
AND(
OR(
UPPER(TRIM(rEmisor))=UPPER(TRIM(C1274)),
UPPER(TRIM(rEmisor))=""CUALQUIERA""
),
OR(
UPPER(TRI"&amp;"M(rTipo))=""SOLO EMISOR"",
AND(
UPPER(TRIM(rTipo))=""EXACTA"",
UPPER(TRIM(AG1274))=UPPER(TRIM(rPatron))
),
AND(
OR(
UPPER(TRIM(rTipo))=""CONTIENE"",
UPPER(TRIM(rTipo))=""COINCIDENCIA""
),
ISNUMBER(SEARCH(UPPER(TRIM(rPatron)),UPPER(TRIM(D1274))))
)
)
),
rC"&amp;"oncepto,
""""
)
)
),
MAP(
reglas!$B$2:$B$240,
reglas!$C$2:$C$240,
reglas!$D$2:$D$240,
reglas!$E$2:$E$240,
LAMBDA(rEmisor,rPatron,rConcepto,rTipo,
IF(
AND(
OR(
UPPER(TRIM(rEmisor))=UPPER(TRIM(C1274)),
UPPER(TRIM(rEmisor))=""CUALQUIERA""
),
OR(
UPPER(TRIM(r"&amp;"Tipo))=""SOLO EMISOR"",
AND(
UPPER(TRIM(rTipo))=""EXACTA"",
UPPER(TRIM(D1274))=UPPER(TRIM(rPatron))
),
AND(
OR(
UPPER(TRIM(rTipo))=""CONTIENE"",
UPPER(TRIM(rTipo))=""COINCIDENCIA""
),
ISNUMBER(SEARCH(UPPER(TRIM(rPatron)),UPPER(TRIM(D1274))))
)
)
),
rConce"&amp;"pto,
""""
)
)
)&lt;&gt;""""
),
1
),
""""
)"),"LICENCIAS 365")</f>
        <v>LICENCIAS 365</v>
      </c>
      <c r="L1274" s="27"/>
      <c r="M1274" s="27"/>
      <c r="N1274" s="27"/>
      <c r="O1274" s="27"/>
      <c r="P1274" s="27"/>
      <c r="Q1274" s="27"/>
      <c r="R1274" s="27"/>
      <c r="S1274" s="27"/>
      <c r="T1274" s="27"/>
      <c r="U1274" s="27"/>
      <c r="V1274" s="27"/>
      <c r="W1274" s="27"/>
      <c r="X1274" s="27"/>
      <c r="Y1274" s="27"/>
    </row>
    <row r="1275">
      <c r="A1275" s="32"/>
      <c r="B1275" s="32"/>
      <c r="C1275" s="29" t="s">
        <v>100</v>
      </c>
      <c r="D1275" s="29" t="s">
        <v>1867</v>
      </c>
      <c r="E1275" s="28">
        <v>107.87</v>
      </c>
      <c r="F1275" s="28">
        <v>0.0</v>
      </c>
      <c r="G1275" s="28" t="s">
        <v>601</v>
      </c>
      <c r="H1275" s="28">
        <f t="array" ref="H1275">INDEX(CC!C:C,MATCH(1,(CC!A:A=G1275)*(CC!B:B=I1275),0))</f>
        <v>402</v>
      </c>
      <c r="I1275" s="28" t="s">
        <v>25</v>
      </c>
      <c r="J1275" s="31">
        <v>2652.0</v>
      </c>
      <c r="K1275" s="28" t="str">
        <f>IFERROR(__xludf.DUMMYFUNCTION("IFERROR(
INDEX(
FILTER(
MAP(
reglas!$B$2:$B$240,
reglas!$C$2:$C$240,
reglas!$D$2:$D$240,
reglas!$E$2:$E$240,
LAMBDA(rEmisor,rPatron,rConcepto,rTipo,
IF(
AND(
OR(
UPPER(TRIM(rEmisor))=UPPER(TRIM(C1275)),
UPPER(TRIM(rEmisor))=""CUALQUIERA""
),
OR(
UPPER(TRI"&amp;"M(rTipo))=""SOLO EMISOR"",
AND(
UPPER(TRIM(rTipo))=""EXACTA"",
UPPER(TRIM(AG1275))=UPPER(TRIM(rPatron))
),
AND(
OR(
UPPER(TRIM(rTipo))=""CONTIENE"",
UPPER(TRIM(rTipo))=""COINCIDENCIA""
),
ISNUMBER(SEARCH(UPPER(TRIM(rPatron)),UPPER(TRIM(D1275))))
)
)
),
rC"&amp;"oncepto,
""""
)
)
),
MAP(
reglas!$B$2:$B$240,
reglas!$C$2:$C$240,
reglas!$D$2:$D$240,
reglas!$E$2:$E$240,
LAMBDA(rEmisor,rPatron,rConcepto,rTipo,
IF(
AND(
OR(
UPPER(TRIM(rEmisor))=UPPER(TRIM(C1275)),
UPPER(TRIM(rEmisor))=""CUALQUIERA""
),
OR(
UPPER(TRIM(r"&amp;"Tipo))=""SOLO EMISOR"",
AND(
UPPER(TRIM(rTipo))=""EXACTA"",
UPPER(TRIM(D1275))=UPPER(TRIM(rPatron))
),
AND(
OR(
UPPER(TRIM(rTipo))=""CONTIENE"",
UPPER(TRIM(rTipo))=""COINCIDENCIA""
),
ISNUMBER(SEARCH(UPPER(TRIM(rPatron)),UPPER(TRIM(D1275))))
)
)
),
rConce"&amp;"pto,
""""
)
)
)&lt;&gt;""""
),
1
),
""""
)"),"LICENCIAS 365")</f>
        <v>LICENCIAS 365</v>
      </c>
      <c r="L1275" s="27"/>
      <c r="M1275" s="27"/>
      <c r="N1275" s="27"/>
      <c r="O1275" s="27"/>
      <c r="P1275" s="27"/>
      <c r="Q1275" s="27"/>
      <c r="R1275" s="27"/>
      <c r="S1275" s="27"/>
      <c r="T1275" s="27"/>
      <c r="U1275" s="27"/>
      <c r="V1275" s="27"/>
      <c r="W1275" s="27"/>
      <c r="X1275" s="27"/>
      <c r="Y1275" s="27"/>
    </row>
    <row r="1276">
      <c r="A1276" s="32"/>
      <c r="B1276" s="32"/>
      <c r="C1276" s="29" t="s">
        <v>100</v>
      </c>
      <c r="D1276" s="29" t="s">
        <v>1864</v>
      </c>
      <c r="E1276" s="32"/>
      <c r="F1276" s="28">
        <v>0.0</v>
      </c>
      <c r="G1276" s="28" t="s">
        <v>250</v>
      </c>
      <c r="H1276" s="28">
        <f t="array" ref="H1276">INDEX(CC!C:C,MATCH(1,(CC!A:A=G1276)*(CC!B:B=I1276),0))</f>
        <v>1402</v>
      </c>
      <c r="I1276" s="28" t="s">
        <v>25</v>
      </c>
      <c r="J1276" s="31">
        <v>3095.0</v>
      </c>
      <c r="K1276" s="28" t="str">
        <f>IFERROR(__xludf.DUMMYFUNCTION("IFERROR(
INDEX(
FILTER(
MAP(
reglas!$B$2:$B$240,
reglas!$C$2:$C$240,
reglas!$D$2:$D$240,
reglas!$E$2:$E$240,
LAMBDA(rEmisor,rPatron,rConcepto,rTipo,
IF(
AND(
OR(
UPPER(TRIM(rEmisor))=UPPER(TRIM(C1276)),
UPPER(TRIM(rEmisor))=""CUALQUIERA""
),
OR(
UPPER(TRI"&amp;"M(rTipo))=""SOLO EMISOR"",
AND(
UPPER(TRIM(rTipo))=""EXACTA"",
UPPER(TRIM(AG1276))=UPPER(TRIM(rPatron))
),
AND(
OR(
UPPER(TRIM(rTipo))=""CONTIENE"",
UPPER(TRIM(rTipo))=""COINCIDENCIA""
),
ISNUMBER(SEARCH(UPPER(TRIM(rPatron)),UPPER(TRIM(D1276))))
)
)
),
rC"&amp;"oncepto,
""""
)
)
),
MAP(
reglas!$B$2:$B$240,
reglas!$C$2:$C$240,
reglas!$D$2:$D$240,
reglas!$E$2:$E$240,
LAMBDA(rEmisor,rPatron,rConcepto,rTipo,
IF(
AND(
OR(
UPPER(TRIM(rEmisor))=UPPER(TRIM(C1276)),
UPPER(TRIM(rEmisor))=""CUALQUIERA""
),
OR(
UPPER(TRIM(r"&amp;"Tipo))=""SOLO EMISOR"",
AND(
UPPER(TRIM(rTipo))=""EXACTA"",
UPPER(TRIM(D1276))=UPPER(TRIM(rPatron))
),
AND(
OR(
UPPER(TRIM(rTipo))=""CONTIENE"",
UPPER(TRIM(rTipo))=""COINCIDENCIA""
),
ISNUMBER(SEARCH(UPPER(TRIM(rPatron)),UPPER(TRIM(D1276))))
)
)
),
rConce"&amp;"pto,
""""
)
)
)&lt;&gt;""""
),
1
),
""""
)"),"LICENCIAS 365")</f>
        <v>LICENCIAS 365</v>
      </c>
      <c r="L1276" s="27"/>
      <c r="M1276" s="27"/>
      <c r="N1276" s="27"/>
      <c r="O1276" s="27"/>
      <c r="P1276" s="27"/>
      <c r="Q1276" s="27"/>
      <c r="R1276" s="27"/>
      <c r="S1276" s="27"/>
      <c r="T1276" s="27"/>
      <c r="U1276" s="27"/>
      <c r="V1276" s="27"/>
      <c r="W1276" s="27"/>
      <c r="X1276" s="27"/>
      <c r="Y1276" s="27"/>
    </row>
    <row r="1277">
      <c r="A1277" s="32"/>
      <c r="B1277" s="32"/>
      <c r="C1277" s="29" t="s">
        <v>100</v>
      </c>
      <c r="D1277" s="29" t="s">
        <v>1864</v>
      </c>
      <c r="E1277" s="32"/>
      <c r="F1277" s="28">
        <v>0.0</v>
      </c>
      <c r="G1277" s="28" t="s">
        <v>1649</v>
      </c>
      <c r="H1277" s="28">
        <f t="array" ref="H1277">INDEX(CC!C:C,MATCH(1,(CC!A:A=G1277)*(CC!B:B=I1277),0))</f>
        <v>1902</v>
      </c>
      <c r="I1277" s="28" t="s">
        <v>25</v>
      </c>
      <c r="J1277" s="31">
        <v>1326.0</v>
      </c>
      <c r="K1277" s="28" t="str">
        <f>IFERROR(__xludf.DUMMYFUNCTION("IFERROR(
INDEX(
FILTER(
MAP(
reglas!$B$2:$B$240,
reglas!$C$2:$C$240,
reglas!$D$2:$D$240,
reglas!$E$2:$E$240,
LAMBDA(rEmisor,rPatron,rConcepto,rTipo,
IF(
AND(
OR(
UPPER(TRIM(rEmisor))=UPPER(TRIM(C1277)),
UPPER(TRIM(rEmisor))=""CUALQUIERA""
),
OR(
UPPER(TRI"&amp;"M(rTipo))=""SOLO EMISOR"",
AND(
UPPER(TRIM(rTipo))=""EXACTA"",
UPPER(TRIM(AG1277))=UPPER(TRIM(rPatron))
),
AND(
OR(
UPPER(TRIM(rTipo))=""CONTIENE"",
UPPER(TRIM(rTipo))=""COINCIDENCIA""
),
ISNUMBER(SEARCH(UPPER(TRIM(rPatron)),UPPER(TRIM(D1277))))
)
)
),
rC"&amp;"oncepto,
""""
)
)
),
MAP(
reglas!$B$2:$B$240,
reglas!$C$2:$C$240,
reglas!$D$2:$D$240,
reglas!$E$2:$E$240,
LAMBDA(rEmisor,rPatron,rConcepto,rTipo,
IF(
AND(
OR(
UPPER(TRIM(rEmisor))=UPPER(TRIM(C1277)),
UPPER(TRIM(rEmisor))=""CUALQUIERA""
),
OR(
UPPER(TRIM(r"&amp;"Tipo))=""SOLO EMISOR"",
AND(
UPPER(TRIM(rTipo))=""EXACTA"",
UPPER(TRIM(D1277))=UPPER(TRIM(rPatron))
),
AND(
OR(
UPPER(TRIM(rTipo))=""CONTIENE"",
UPPER(TRIM(rTipo))=""COINCIDENCIA""
),
ISNUMBER(SEARCH(UPPER(TRIM(rPatron)),UPPER(TRIM(D1277))))
)
)
),
rConce"&amp;"pto,
""""
)
)
)&lt;&gt;""""
),
1
),
""""
)"),"LICENCIAS 365")</f>
        <v>LICENCIAS 365</v>
      </c>
      <c r="L1277" s="27"/>
      <c r="M1277" s="27"/>
      <c r="N1277" s="27"/>
      <c r="O1277" s="27"/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</row>
    <row r="1278">
      <c r="A1278" s="32"/>
      <c r="B1278" s="32"/>
      <c r="C1278" s="29" t="s">
        <v>100</v>
      </c>
      <c r="D1278" s="29" t="s">
        <v>1864</v>
      </c>
      <c r="E1278" s="32"/>
      <c r="F1278" s="28">
        <v>0.0</v>
      </c>
      <c r="G1278" s="28" t="s">
        <v>539</v>
      </c>
      <c r="H1278" s="28">
        <f t="array" ref="H1278">INDEX(CC!C:C,MATCH(1,(CC!A:A=G1278)*(CC!B:B=I1278),0))</f>
        <v>1302</v>
      </c>
      <c r="I1278" s="28" t="s">
        <v>25</v>
      </c>
      <c r="J1278" s="31">
        <v>1326.0</v>
      </c>
      <c r="K1278" s="28" t="str">
        <f>IFERROR(__xludf.DUMMYFUNCTION("IFERROR(
INDEX(
FILTER(
MAP(
reglas!$B$2:$B$240,
reglas!$C$2:$C$240,
reglas!$D$2:$D$240,
reglas!$E$2:$E$240,
LAMBDA(rEmisor,rPatron,rConcepto,rTipo,
IF(
AND(
OR(
UPPER(TRIM(rEmisor))=UPPER(TRIM(C1278)),
UPPER(TRIM(rEmisor))=""CUALQUIERA""
),
OR(
UPPER(TRI"&amp;"M(rTipo))=""SOLO EMISOR"",
AND(
UPPER(TRIM(rTipo))=""EXACTA"",
UPPER(TRIM(AG1278))=UPPER(TRIM(rPatron))
),
AND(
OR(
UPPER(TRIM(rTipo))=""CONTIENE"",
UPPER(TRIM(rTipo))=""COINCIDENCIA""
),
ISNUMBER(SEARCH(UPPER(TRIM(rPatron)),UPPER(TRIM(D1278))))
)
)
),
rC"&amp;"oncepto,
""""
)
)
),
MAP(
reglas!$B$2:$B$240,
reglas!$C$2:$C$240,
reglas!$D$2:$D$240,
reglas!$E$2:$E$240,
LAMBDA(rEmisor,rPatron,rConcepto,rTipo,
IF(
AND(
OR(
UPPER(TRIM(rEmisor))=UPPER(TRIM(C1278)),
UPPER(TRIM(rEmisor))=""CUALQUIERA""
),
OR(
UPPER(TRIM(r"&amp;"Tipo))=""SOLO EMISOR"",
AND(
UPPER(TRIM(rTipo))=""EXACTA"",
UPPER(TRIM(D1278))=UPPER(TRIM(rPatron))
),
AND(
OR(
UPPER(TRIM(rTipo))=""CONTIENE"",
UPPER(TRIM(rTipo))=""COINCIDENCIA""
),
ISNUMBER(SEARCH(UPPER(TRIM(rPatron)),UPPER(TRIM(D1278))))
)
)
),
rConce"&amp;"pto,
""""
)
)
)&lt;&gt;""""
),
1
),
""""
)"),"LICENCIAS 365")</f>
        <v>LICENCIAS 365</v>
      </c>
      <c r="L1278" s="27"/>
      <c r="M1278" s="27"/>
      <c r="N1278" s="27"/>
      <c r="O1278" s="27"/>
      <c r="P1278" s="27"/>
      <c r="Q1278" s="27"/>
      <c r="R1278" s="27"/>
      <c r="S1278" s="27"/>
      <c r="T1278" s="27"/>
      <c r="U1278" s="27"/>
      <c r="V1278" s="27"/>
      <c r="W1278" s="27"/>
      <c r="X1278" s="27"/>
      <c r="Y1278" s="27"/>
    </row>
    <row r="1279">
      <c r="A1279" s="32"/>
      <c r="B1279" s="32"/>
      <c r="C1279" s="29" t="s">
        <v>100</v>
      </c>
      <c r="D1279" s="29" t="s">
        <v>1864</v>
      </c>
      <c r="E1279" s="32"/>
      <c r="F1279" s="28">
        <v>0.0</v>
      </c>
      <c r="G1279" s="28" t="s">
        <v>225</v>
      </c>
      <c r="H1279" s="28">
        <f t="array" ref="H1279">INDEX(CC!C:C,MATCH(1,(CC!A:A=G1279)*(CC!B:B=I1279),0))</f>
        <v>102</v>
      </c>
      <c r="I1279" s="28" t="s">
        <v>25</v>
      </c>
      <c r="J1279" s="31">
        <v>16357.0</v>
      </c>
      <c r="K1279" s="28" t="str">
        <f>IFERROR(__xludf.DUMMYFUNCTION("IFERROR(
INDEX(
FILTER(
MAP(
reglas!$B$2:$B$240,
reglas!$C$2:$C$240,
reglas!$D$2:$D$240,
reglas!$E$2:$E$240,
LAMBDA(rEmisor,rPatron,rConcepto,rTipo,
IF(
AND(
OR(
UPPER(TRIM(rEmisor))=UPPER(TRIM(C1279)),
UPPER(TRIM(rEmisor))=""CUALQUIERA""
),
OR(
UPPER(TRI"&amp;"M(rTipo))=""SOLO EMISOR"",
AND(
UPPER(TRIM(rTipo))=""EXACTA"",
UPPER(TRIM(AG1279))=UPPER(TRIM(rPatron))
),
AND(
OR(
UPPER(TRIM(rTipo))=""CONTIENE"",
UPPER(TRIM(rTipo))=""COINCIDENCIA""
),
ISNUMBER(SEARCH(UPPER(TRIM(rPatron)),UPPER(TRIM(D1279))))
)
)
),
rC"&amp;"oncepto,
""""
)
)
),
MAP(
reglas!$B$2:$B$240,
reglas!$C$2:$C$240,
reglas!$D$2:$D$240,
reglas!$E$2:$E$240,
LAMBDA(rEmisor,rPatron,rConcepto,rTipo,
IF(
AND(
OR(
UPPER(TRIM(rEmisor))=UPPER(TRIM(C1279)),
UPPER(TRIM(rEmisor))=""CUALQUIERA""
),
OR(
UPPER(TRIM(r"&amp;"Tipo))=""SOLO EMISOR"",
AND(
UPPER(TRIM(rTipo))=""EXACTA"",
UPPER(TRIM(D1279))=UPPER(TRIM(rPatron))
),
AND(
OR(
UPPER(TRIM(rTipo))=""CONTIENE"",
UPPER(TRIM(rTipo))=""COINCIDENCIA""
),
ISNUMBER(SEARCH(UPPER(TRIM(rPatron)),UPPER(TRIM(D1279))))
)
)
),
rConce"&amp;"pto,
""""
)
)
)&lt;&gt;""""
),
1
),
""""
)"),"LICENCIAS 365")</f>
        <v>LICENCIAS 365</v>
      </c>
      <c r="L1279" s="27"/>
      <c r="M1279" s="27"/>
      <c r="N1279" s="27"/>
      <c r="O1279" s="27"/>
      <c r="P1279" s="27"/>
      <c r="Q1279" s="27"/>
      <c r="R1279" s="27"/>
      <c r="S1279" s="27"/>
      <c r="T1279" s="27"/>
      <c r="U1279" s="27"/>
      <c r="V1279" s="27"/>
      <c r="W1279" s="27"/>
      <c r="X1279" s="27"/>
      <c r="Y1279" s="27"/>
    </row>
    <row r="1280">
      <c r="A1280" s="32"/>
      <c r="B1280" s="32"/>
      <c r="C1280" s="29" t="s">
        <v>100</v>
      </c>
      <c r="D1280" s="29" t="s">
        <v>1868</v>
      </c>
      <c r="E1280" s="28">
        <v>50.55</v>
      </c>
      <c r="F1280" s="28">
        <v>0.0</v>
      </c>
      <c r="G1280" s="28" t="s">
        <v>84</v>
      </c>
      <c r="H1280" s="28">
        <f t="array" ref="H1280">INDEX(CC!C:C,MATCH(1,(CC!A:A=G1280)*(CC!B:B=I1280),0))</f>
        <v>1002</v>
      </c>
      <c r="I1280" s="28" t="s">
        <v>25</v>
      </c>
      <c r="J1280" s="31">
        <v>6189.0</v>
      </c>
      <c r="K1280" s="28" t="str">
        <f>IFERROR(__xludf.DUMMYFUNCTION("IFERROR(
INDEX(
FILTER(
MAP(
reglas!$B$2:$B$240,
reglas!$C$2:$C$240,
reglas!$D$2:$D$240,
reglas!$E$2:$E$240,
LAMBDA(rEmisor,rPatron,rConcepto,rTipo,
IF(
AND(
OR(
UPPER(TRIM(rEmisor))=UPPER(TRIM(C1280)),
UPPER(TRIM(rEmisor))=""CUALQUIERA""
),
OR(
UPPER(TRI"&amp;"M(rTipo))=""SOLO EMISOR"",
AND(
UPPER(TRIM(rTipo))=""EXACTA"",
UPPER(TRIM(AG1280))=UPPER(TRIM(rPatron))
),
AND(
OR(
UPPER(TRIM(rTipo))=""CONTIENE"",
UPPER(TRIM(rTipo))=""COINCIDENCIA""
),
ISNUMBER(SEARCH(UPPER(TRIM(rPatron)),UPPER(TRIM(D1280))))
)
)
),
rC"&amp;"oncepto,
""""
)
)
),
MAP(
reglas!$B$2:$B$240,
reglas!$C$2:$C$240,
reglas!$D$2:$D$240,
reglas!$E$2:$E$240,
LAMBDA(rEmisor,rPatron,rConcepto,rTipo,
IF(
AND(
OR(
UPPER(TRIM(rEmisor))=UPPER(TRIM(C1280)),
UPPER(TRIM(rEmisor))=""CUALQUIERA""
),
OR(
UPPER(TRIM(r"&amp;"Tipo))=""SOLO EMISOR"",
AND(
UPPER(TRIM(rTipo))=""EXACTA"",
UPPER(TRIM(D1280))=UPPER(TRIM(rPatron))
),
AND(
OR(
UPPER(TRIM(rTipo))=""CONTIENE"",
UPPER(TRIM(rTipo))=""COINCIDENCIA""
),
ISNUMBER(SEARCH(UPPER(TRIM(rPatron)),UPPER(TRIM(D1280))))
)
)
),
rConce"&amp;"pto,
""""
)
)
)&lt;&gt;""""
),
1
),
""""
)"),"LICENCIAS 365")</f>
        <v>LICENCIAS 365</v>
      </c>
      <c r="L1280" s="27"/>
      <c r="M1280" s="27"/>
      <c r="N1280" s="27"/>
      <c r="O1280" s="27"/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</row>
    <row r="1281">
      <c r="A1281" s="32"/>
      <c r="B1281" s="32"/>
      <c r="C1281" s="29" t="s">
        <v>100</v>
      </c>
      <c r="D1281" s="29" t="s">
        <v>1869</v>
      </c>
      <c r="E1281" s="28">
        <v>7.87</v>
      </c>
      <c r="F1281" s="28">
        <v>0.0</v>
      </c>
      <c r="G1281" s="28" t="s">
        <v>40</v>
      </c>
      <c r="H1281" s="28">
        <f t="array" ref="H1281">INDEX(CC!C:C,MATCH(1,(CC!A:A=G1281)*(CC!B:B=I1281),0))</f>
        <v>602</v>
      </c>
      <c r="I1281" s="28" t="s">
        <v>25</v>
      </c>
      <c r="J1281" s="31">
        <v>442.0</v>
      </c>
      <c r="K1281" s="28" t="str">
        <f>IFERROR(__xludf.DUMMYFUNCTION("IFERROR(
INDEX(
FILTER(
MAP(
reglas!$B$2:$B$240,
reglas!$C$2:$C$240,
reglas!$D$2:$D$240,
reglas!$E$2:$E$240,
LAMBDA(rEmisor,rPatron,rConcepto,rTipo,
IF(
AND(
OR(
UPPER(TRIM(rEmisor))=UPPER(TRIM(C1281)),
UPPER(TRIM(rEmisor))=""CUALQUIERA""
),
OR(
UPPER(TRI"&amp;"M(rTipo))=""SOLO EMISOR"",
AND(
UPPER(TRIM(rTipo))=""EXACTA"",
UPPER(TRIM(AG1281))=UPPER(TRIM(rPatron))
),
AND(
OR(
UPPER(TRIM(rTipo))=""CONTIENE"",
UPPER(TRIM(rTipo))=""COINCIDENCIA""
),
ISNUMBER(SEARCH(UPPER(TRIM(rPatron)),UPPER(TRIM(D1281))))
)
)
),
rC"&amp;"oncepto,
""""
)
)
),
MAP(
reglas!$B$2:$B$240,
reglas!$C$2:$C$240,
reglas!$D$2:$D$240,
reglas!$E$2:$E$240,
LAMBDA(rEmisor,rPatron,rConcepto,rTipo,
IF(
AND(
OR(
UPPER(TRIM(rEmisor))=UPPER(TRIM(C1281)),
UPPER(TRIM(rEmisor))=""CUALQUIERA""
),
OR(
UPPER(TRIM(r"&amp;"Tipo))=""SOLO EMISOR"",
AND(
UPPER(TRIM(rTipo))=""EXACTA"",
UPPER(TRIM(D1281))=UPPER(TRIM(rPatron))
),
AND(
OR(
UPPER(TRIM(rTipo))=""CONTIENE"",
UPPER(TRIM(rTipo))=""COINCIDENCIA""
),
ISNUMBER(SEARCH(UPPER(TRIM(rPatron)),UPPER(TRIM(D1281))))
)
)
),
rConce"&amp;"pto,
""""
)
)
)&lt;&gt;""""
),
1
),
""""
)"),"LICENCIAS 365")</f>
        <v>LICENCIAS 365</v>
      </c>
      <c r="L1281" s="27"/>
      <c r="M1281" s="27"/>
      <c r="N1281" s="27"/>
      <c r="O1281" s="27"/>
      <c r="P1281" s="27"/>
      <c r="Q1281" s="27"/>
      <c r="R1281" s="27"/>
      <c r="S1281" s="27"/>
      <c r="T1281" s="27"/>
      <c r="U1281" s="27"/>
      <c r="V1281" s="27"/>
      <c r="W1281" s="27"/>
      <c r="X1281" s="27"/>
      <c r="Y1281" s="27"/>
    </row>
    <row r="1282">
      <c r="A1282" s="32"/>
      <c r="B1282" s="32"/>
      <c r="C1282" s="29" t="s">
        <v>100</v>
      </c>
      <c r="D1282" s="29" t="s">
        <v>1870</v>
      </c>
      <c r="E1282" s="28">
        <v>13.83</v>
      </c>
      <c r="F1282" s="28">
        <v>0.0</v>
      </c>
      <c r="G1282" s="28" t="s">
        <v>554</v>
      </c>
      <c r="H1282" s="28">
        <f t="array" ref="H1282">INDEX(CC!C:C,MATCH(1,(CC!A:A=G1282)*(CC!B:B=I1282),0))</f>
        <v>1702</v>
      </c>
      <c r="I1282" s="28" t="s">
        <v>25</v>
      </c>
      <c r="J1282" s="31">
        <v>1326.0</v>
      </c>
      <c r="K1282" s="28" t="str">
        <f>IFERROR(__xludf.DUMMYFUNCTION("IFERROR(
INDEX(
FILTER(
MAP(
reglas!$B$2:$B$240,
reglas!$C$2:$C$240,
reglas!$D$2:$D$240,
reglas!$E$2:$E$240,
LAMBDA(rEmisor,rPatron,rConcepto,rTipo,
IF(
AND(
OR(
UPPER(TRIM(rEmisor))=UPPER(TRIM(C1282)),
UPPER(TRIM(rEmisor))=""CUALQUIERA""
),
OR(
UPPER(TRI"&amp;"M(rTipo))=""SOLO EMISOR"",
AND(
UPPER(TRIM(rTipo))=""EXACTA"",
UPPER(TRIM(AG1282))=UPPER(TRIM(rPatron))
),
AND(
OR(
UPPER(TRIM(rTipo))=""CONTIENE"",
UPPER(TRIM(rTipo))=""COINCIDENCIA""
),
ISNUMBER(SEARCH(UPPER(TRIM(rPatron)),UPPER(TRIM(D1282))))
)
)
),
rC"&amp;"oncepto,
""""
)
)
),
MAP(
reglas!$B$2:$B$240,
reglas!$C$2:$C$240,
reglas!$D$2:$D$240,
reglas!$E$2:$E$240,
LAMBDA(rEmisor,rPatron,rConcepto,rTipo,
IF(
AND(
OR(
UPPER(TRIM(rEmisor))=UPPER(TRIM(C1282)),
UPPER(TRIM(rEmisor))=""CUALQUIERA""
),
OR(
UPPER(TRIM(r"&amp;"Tipo))=""SOLO EMISOR"",
AND(
UPPER(TRIM(rTipo))=""EXACTA"",
UPPER(TRIM(D1282))=UPPER(TRIM(rPatron))
),
AND(
OR(
UPPER(TRIM(rTipo))=""CONTIENE"",
UPPER(TRIM(rTipo))=""COINCIDENCIA""
),
ISNUMBER(SEARCH(UPPER(TRIM(rPatron)),UPPER(TRIM(D1282))))
)
)
),
rConce"&amp;"pto,
""""
)
)
)&lt;&gt;""""
),
1
),
""""
)"),"LICENCIAS 365")</f>
        <v>LICENCIAS 365</v>
      </c>
      <c r="L1282" s="27"/>
      <c r="M1282" s="27"/>
      <c r="N1282" s="27"/>
      <c r="O1282" s="27"/>
      <c r="P1282" s="27"/>
      <c r="Q1282" s="27"/>
      <c r="R1282" s="27"/>
      <c r="S1282" s="27"/>
      <c r="T1282" s="27"/>
      <c r="U1282" s="27"/>
      <c r="V1282" s="27"/>
      <c r="W1282" s="27"/>
      <c r="X1282" s="27"/>
      <c r="Y1282" s="27"/>
    </row>
    <row r="1283">
      <c r="A1283" s="32"/>
      <c r="B1283" s="28" t="s">
        <v>29</v>
      </c>
      <c r="C1283" s="29" t="s">
        <v>278</v>
      </c>
      <c r="D1283" s="29" t="s">
        <v>898</v>
      </c>
      <c r="E1283" s="30">
        <v>1000.0</v>
      </c>
      <c r="F1283" s="28">
        <v>0.0</v>
      </c>
      <c r="G1283" s="28" t="s">
        <v>250</v>
      </c>
      <c r="H1283" s="28">
        <f t="array" ref="H1283">INDEX(CC!C:C,MATCH(1,(CC!A:A=G1283)*(CC!B:B=I1283),0))</f>
        <v>1402</v>
      </c>
      <c r="I1283" s="28" t="s">
        <v>25</v>
      </c>
      <c r="J1283" s="31">
        <v>1000.0</v>
      </c>
      <c r="K1283" s="28" t="str">
        <f>IFERROR(__xludf.DUMMYFUNCTION("IFERROR(
INDEX(
FILTER(
MAP(
reglas!$B$2:$B$240,
reglas!$C$2:$C$240,
reglas!$D$2:$D$240,
reglas!$E$2:$E$240,
LAMBDA(rEmisor,rPatron,rConcepto,rTipo,
IF(
AND(
OR(
UPPER(TRIM(rEmisor))=UPPER(TRIM(C1283)),
UPPER(TRIM(rEmisor))=""CUALQUIERA""
),
OR(
UPPER(TRI"&amp;"M(rTipo))=""SOLO EMISOR"",
AND(
UPPER(TRIM(rTipo))=""EXACTA"",
UPPER(TRIM(AG1283))=UPPER(TRIM(rPatron))
),
AND(
OR(
UPPER(TRIM(rTipo))=""CONTIENE"",
UPPER(TRIM(rTipo))=""COINCIDENCIA""
),
ISNUMBER(SEARCH(UPPER(TRIM(rPatron)),UPPER(TRIM(D1283))))
)
)
),
rC"&amp;"oncepto,
""""
)
)
),
MAP(
reglas!$B$2:$B$240,
reglas!$C$2:$C$240,
reglas!$D$2:$D$240,
reglas!$E$2:$E$240,
LAMBDA(rEmisor,rPatron,rConcepto,rTipo,
IF(
AND(
OR(
UPPER(TRIM(rEmisor))=UPPER(TRIM(C1283)),
UPPER(TRIM(rEmisor))=""CUALQUIERA""
),
OR(
UPPER(TRIM(r"&amp;"Tipo))=""SOLO EMISOR"",
AND(
UPPER(TRIM(rTipo))=""EXACTA"",
UPPER(TRIM(D1283))=UPPER(TRIM(rPatron))
),
AND(
OR(
UPPER(TRIM(rTipo))=""CONTIENE"",
UPPER(TRIM(rTipo))=""COINCIDENCIA""
),
ISNUMBER(SEARCH(UPPER(TRIM(rPatron)),UPPER(TRIM(D1283))))
)
)
),
rConce"&amp;"pto,
""""
)
)
)&lt;&gt;""""
),
1
),
""""
)"),"MANIOBRAS")</f>
        <v>MANIOBRAS</v>
      </c>
      <c r="L1283" s="27"/>
      <c r="M1283" s="27"/>
      <c r="N1283" s="27"/>
      <c r="O1283" s="27"/>
      <c r="P1283" s="27"/>
      <c r="Q1283" s="27"/>
      <c r="R1283" s="27"/>
      <c r="S1283" s="27"/>
      <c r="T1283" s="27"/>
      <c r="U1283" s="27"/>
      <c r="V1283" s="27"/>
      <c r="W1283" s="27"/>
      <c r="X1283" s="27"/>
      <c r="Y1283" s="27"/>
    </row>
    <row r="1284">
      <c r="A1284" s="32"/>
      <c r="B1284" s="28" t="s">
        <v>29</v>
      </c>
      <c r="C1284" s="29" t="s">
        <v>213</v>
      </c>
      <c r="D1284" s="42" t="s">
        <v>1871</v>
      </c>
      <c r="E1284" s="30">
        <v>6500.0</v>
      </c>
      <c r="F1284" s="28">
        <v>0.0</v>
      </c>
      <c r="G1284" s="28" t="s">
        <v>225</v>
      </c>
      <c r="H1284" s="28">
        <f t="array" ref="H1284">INDEX(CC!C:C,MATCH(1,(CC!A:A=G1284)*(CC!B:B=I1284),0))</f>
        <v>102</v>
      </c>
      <c r="I1284" s="28" t="s">
        <v>25</v>
      </c>
      <c r="J1284" s="31">
        <v>6500.0</v>
      </c>
      <c r="K1284" s="28" t="str">
        <f>IFERROR(__xludf.DUMMYFUNCTION("IFERROR(
INDEX(
FILTER(
MAP(
reglas!$B$2:$B$240,
reglas!$C$2:$C$240,
reglas!$D$2:$D$240,
reglas!$E$2:$E$240,
LAMBDA(rEmisor,rPatron,rConcepto,rTipo,
IF(
AND(
OR(
UPPER(TRIM(rEmisor))=UPPER(TRIM(C1284)),
UPPER(TRIM(rEmisor))=""CUALQUIERA""
),
OR(
UPPER(TRI"&amp;"M(rTipo))=""SOLO EMISOR"",
AND(
UPPER(TRIM(rTipo))=""EXACTA"",
UPPER(TRIM(AG1284))=UPPER(TRIM(rPatron))
),
AND(
OR(
UPPER(TRIM(rTipo))=""CONTIENE"",
UPPER(TRIM(rTipo))=""COINCIDENCIA""
),
ISNUMBER(SEARCH(UPPER(TRIM(rPatron)),UPPER(TRIM(D1284))))
)
)
),
rC"&amp;"oncepto,
""""
)
)
),
MAP(
reglas!$B$2:$B$240,
reglas!$C$2:$C$240,
reglas!$D$2:$D$240,
reglas!$E$2:$E$240,
LAMBDA(rEmisor,rPatron,rConcepto,rTipo,
IF(
AND(
OR(
UPPER(TRIM(rEmisor))=UPPER(TRIM(C1284)),
UPPER(TRIM(rEmisor))=""CUALQUIERA""
),
OR(
UPPER(TRIM(r"&amp;"Tipo))=""SOLO EMISOR"",
AND(
UPPER(TRIM(rTipo))=""EXACTA"",
UPPER(TRIM(D1284))=UPPER(TRIM(rPatron))
),
AND(
OR(
UPPER(TRIM(rTipo))=""CONTIENE"",
UPPER(TRIM(rTipo))=""COINCIDENCIA""
),
ISNUMBER(SEARCH(UPPER(TRIM(rPatron)),UPPER(TRIM(D1284))))
)
)
),
rConce"&amp;"pto,
""""
)
)
)&lt;&gt;""""
),
1
),
""""
)"),"OTRAS ASESORIAS")</f>
        <v>OTRAS ASESORIAS</v>
      </c>
      <c r="L1284" s="27"/>
      <c r="M1284" s="27"/>
      <c r="N1284" s="27"/>
      <c r="O1284" s="27"/>
      <c r="P1284" s="27"/>
      <c r="Q1284" s="27"/>
      <c r="R1284" s="27"/>
      <c r="S1284" s="27"/>
      <c r="T1284" s="27"/>
      <c r="U1284" s="27"/>
      <c r="V1284" s="27"/>
      <c r="W1284" s="27"/>
      <c r="X1284" s="27"/>
      <c r="Y1284" s="27"/>
    </row>
    <row r="1285">
      <c r="A1285" s="28">
        <v>1.0</v>
      </c>
      <c r="B1285" s="28" t="s">
        <v>29</v>
      </c>
      <c r="C1285" s="29" t="s">
        <v>355</v>
      </c>
      <c r="D1285" s="29" t="s">
        <v>1872</v>
      </c>
      <c r="E1285" s="30">
        <v>1488.91</v>
      </c>
      <c r="F1285" s="28">
        <v>0.0</v>
      </c>
      <c r="G1285" s="28" t="s">
        <v>551</v>
      </c>
      <c r="H1285" s="28">
        <f t="array" ref="H1285">INDEX(CC!C:C,MATCH(1,(CC!A:A=G1285)*(CC!B:B=I1285),0))</f>
        <v>1203</v>
      </c>
      <c r="I1285" s="28" t="s">
        <v>44</v>
      </c>
      <c r="J1285" s="31">
        <v>1488.91</v>
      </c>
      <c r="K1285" s="28" t="str">
        <f>IFERROR(__xludf.DUMMYFUNCTION("IFERROR(
INDEX(
FILTER(
MAP(
reglas!$B$2:$B$240,
reglas!$C$2:$C$240,
reglas!$D$2:$D$240,
reglas!$E$2:$E$240,
LAMBDA(rEmisor,rPatron,rConcepto,rTipo,
IF(
AND(
OR(
UPPER(TRIM(rEmisor))=UPPER(TRIM(C1285)),
UPPER(TRIM(rEmisor))=""CUALQUIERA""
),
OR(
UPPER(TRI"&amp;"M(rTipo))=""SOLO EMISOR"",
AND(
UPPER(TRIM(rTipo))=""EXACTA"",
UPPER(TRIM(AG1285))=UPPER(TRIM(rPatron))
),
AND(
OR(
UPPER(TRIM(rTipo))=""CONTIENE"",
UPPER(TRIM(rTipo))=""COINCIDENCIA""
),
ISNUMBER(SEARCH(UPPER(TRIM(rPatron)),UPPER(TRIM(D1285))))
)
)
),
rC"&amp;"oncepto,
""""
)
)
),
MAP(
reglas!$B$2:$B$240,
reglas!$C$2:$C$240,
reglas!$D$2:$D$240,
reglas!$E$2:$E$240,
LAMBDA(rEmisor,rPatron,rConcepto,rTipo,
IF(
AND(
OR(
UPPER(TRIM(rEmisor))=UPPER(TRIM(C1285)),
UPPER(TRIM(rEmisor))=""CUALQUIERA""
),
OR(
UPPER(TRIM(r"&amp;"Tipo))=""SOLO EMISOR"",
AND(
UPPER(TRIM(rTipo))=""EXACTA"",
UPPER(TRIM(D1285))=UPPER(TRIM(rPatron))
),
AND(
OR(
UPPER(TRIM(rTipo))=""CONTIENE"",
UPPER(TRIM(rTipo))=""COINCIDENCIA""
),
ISNUMBER(SEARCH(UPPER(TRIM(rPatron)),UPPER(TRIM(D1285))))
)
)
),
rConce"&amp;"pto,
""""
)
)
)&lt;&gt;""""
),
1
),
""""
)"),"")</f>
        <v/>
      </c>
      <c r="L1285" s="27"/>
      <c r="M1285" s="27"/>
      <c r="N1285" s="27"/>
      <c r="O1285" s="27"/>
      <c r="P1285" s="27"/>
      <c r="Q1285" s="27"/>
      <c r="R1285" s="27"/>
      <c r="S1285" s="27"/>
      <c r="T1285" s="27"/>
      <c r="U1285" s="27"/>
      <c r="V1285" s="27"/>
      <c r="W1285" s="27"/>
      <c r="X1285" s="27"/>
      <c r="Y1285" s="27"/>
    </row>
    <row r="1286">
      <c r="A1286" s="32"/>
      <c r="B1286" s="32"/>
      <c r="C1286" s="29" t="s">
        <v>355</v>
      </c>
      <c r="D1286" s="29" t="s">
        <v>1873</v>
      </c>
      <c r="E1286" s="30">
        <v>5481.81</v>
      </c>
      <c r="F1286" s="28">
        <v>0.0</v>
      </c>
      <c r="G1286" s="28" t="s">
        <v>551</v>
      </c>
      <c r="H1286" s="28">
        <f t="array" ref="H1286">INDEX(CC!C:C,MATCH(1,(CC!A:A=G1286)*(CC!B:B=I1286),0))</f>
        <v>1203</v>
      </c>
      <c r="I1286" s="28" t="s">
        <v>44</v>
      </c>
      <c r="J1286" s="31">
        <v>5481.81</v>
      </c>
      <c r="K1286" s="28" t="str">
        <f>IFERROR(__xludf.DUMMYFUNCTION("IFERROR(
INDEX(
FILTER(
MAP(
reglas!$B$2:$B$240,
reglas!$C$2:$C$240,
reglas!$D$2:$D$240,
reglas!$E$2:$E$240,
LAMBDA(rEmisor,rPatron,rConcepto,rTipo,
IF(
AND(
OR(
UPPER(TRIM(rEmisor))=UPPER(TRIM(C1286)),
UPPER(TRIM(rEmisor))=""CUALQUIERA""
),
OR(
UPPER(TRI"&amp;"M(rTipo))=""SOLO EMISOR"",
AND(
UPPER(TRIM(rTipo))=""EXACTA"",
UPPER(TRIM(AG1286))=UPPER(TRIM(rPatron))
),
AND(
OR(
UPPER(TRIM(rTipo))=""CONTIENE"",
UPPER(TRIM(rTipo))=""COINCIDENCIA""
),
ISNUMBER(SEARCH(UPPER(TRIM(rPatron)),UPPER(TRIM(D1286))))
)
)
),
rC"&amp;"oncepto,
""""
)
)
),
MAP(
reglas!$B$2:$B$240,
reglas!$C$2:$C$240,
reglas!$D$2:$D$240,
reglas!$E$2:$E$240,
LAMBDA(rEmisor,rPatron,rConcepto,rTipo,
IF(
AND(
OR(
UPPER(TRIM(rEmisor))=UPPER(TRIM(C1286)),
UPPER(TRIM(rEmisor))=""CUALQUIERA""
),
OR(
UPPER(TRIM(r"&amp;"Tipo))=""SOLO EMISOR"",
AND(
UPPER(TRIM(rTipo))=""EXACTA"",
UPPER(TRIM(D1286))=UPPER(TRIM(rPatron))
),
AND(
OR(
UPPER(TRIM(rTipo))=""CONTIENE"",
UPPER(TRIM(rTipo))=""COINCIDENCIA""
),
ISNUMBER(SEARCH(UPPER(TRIM(rPatron)),UPPER(TRIM(D1286))))
)
)
),
rConce"&amp;"pto,
""""
)
)
)&lt;&gt;""""
),
1
),
""""
)"),"")</f>
        <v/>
      </c>
      <c r="L1286" s="27"/>
      <c r="M1286" s="27"/>
      <c r="N1286" s="27"/>
      <c r="O1286" s="27"/>
      <c r="P1286" s="27"/>
      <c r="Q1286" s="27"/>
      <c r="R1286" s="27"/>
      <c r="S1286" s="27"/>
      <c r="T1286" s="27"/>
      <c r="U1286" s="27"/>
      <c r="V1286" s="27"/>
      <c r="W1286" s="27"/>
      <c r="X1286" s="27"/>
      <c r="Y1286" s="27"/>
    </row>
    <row r="1287">
      <c r="A1287" s="32"/>
      <c r="B1287" s="28" t="s">
        <v>29</v>
      </c>
      <c r="C1287" s="29" t="s">
        <v>172</v>
      </c>
      <c r="D1287" s="29" t="s">
        <v>1853</v>
      </c>
      <c r="E1287" s="30">
        <v>11500.0</v>
      </c>
      <c r="F1287" s="28">
        <v>0.0</v>
      </c>
      <c r="G1287" s="28" t="s">
        <v>250</v>
      </c>
      <c r="H1287" s="28">
        <f t="array" ref="H1287">INDEX(CC!C:C,MATCH(1,(CC!A:A=G1287)*(CC!B:B=I1287),0))</f>
        <v>1402</v>
      </c>
      <c r="I1287" s="28" t="s">
        <v>25</v>
      </c>
      <c r="J1287" s="31">
        <v>11500.0</v>
      </c>
      <c r="K1287" s="28" t="str">
        <f>IFERROR(__xludf.DUMMYFUNCTION("IFERROR(
INDEX(
FILTER(
MAP(
reglas!$B$2:$B$240,
reglas!$C$2:$C$240,
reglas!$D$2:$D$240,
reglas!$E$2:$E$240,
LAMBDA(rEmisor,rPatron,rConcepto,rTipo,
IF(
AND(
OR(
UPPER(TRIM(rEmisor))=UPPER(TRIM(C1287)),
UPPER(TRIM(rEmisor))=""CUALQUIERA""
),
OR(
UPPER(TRI"&amp;"M(rTipo))=""SOLO EMISOR"",
AND(
UPPER(TRIM(rTipo))=""EXACTA"",
UPPER(TRIM(AG1287))=UPPER(TRIM(rPatron))
),
AND(
OR(
UPPER(TRIM(rTipo))=""CONTIENE"",
UPPER(TRIM(rTipo))=""COINCIDENCIA""
),
ISNUMBER(SEARCH(UPPER(TRIM(rPatron)),UPPER(TRIM(D1287))))
)
)
),
rC"&amp;"oncepto,
""""
)
)
),
MAP(
reglas!$B$2:$B$240,
reglas!$C$2:$C$240,
reglas!$D$2:$D$240,
reglas!$E$2:$E$240,
LAMBDA(rEmisor,rPatron,rConcepto,rTipo,
IF(
AND(
OR(
UPPER(TRIM(rEmisor))=UPPER(TRIM(C1287)),
UPPER(TRIM(rEmisor))=""CUALQUIERA""
),
OR(
UPPER(TRIM(r"&amp;"Tipo))=""SOLO EMISOR"",
AND(
UPPER(TRIM(rTipo))=""EXACTA"",
UPPER(TRIM(D1287))=UPPER(TRIM(rPatron))
),
AND(
OR(
UPPER(TRIM(rTipo))=""CONTIENE"",
UPPER(TRIM(rTipo))=""COINCIDENCIA""
),
ISNUMBER(SEARCH(UPPER(TRIM(rPatron)),UPPER(TRIM(D1287))))
)
)
),
rConce"&amp;"pto,
""""
)
)
)&lt;&gt;""""
),
1
),
""""
)"),"TRANSPORTE")</f>
        <v>TRANSPORTE</v>
      </c>
      <c r="L1287" s="27"/>
      <c r="M1287" s="27"/>
      <c r="N1287" s="27"/>
      <c r="O1287" s="27"/>
      <c r="P1287" s="27"/>
      <c r="Q1287" s="27"/>
      <c r="R1287" s="27"/>
      <c r="S1287" s="27"/>
      <c r="T1287" s="27"/>
      <c r="U1287" s="27"/>
      <c r="V1287" s="27"/>
      <c r="W1287" s="27"/>
      <c r="X1287" s="27"/>
      <c r="Y1287" s="27"/>
    </row>
    <row r="1288">
      <c r="A1288" s="32"/>
      <c r="B1288" s="28" t="s">
        <v>29</v>
      </c>
      <c r="C1288" s="29" t="s">
        <v>278</v>
      </c>
      <c r="D1288" s="29" t="s">
        <v>898</v>
      </c>
      <c r="E1288" s="30">
        <v>1000.0</v>
      </c>
      <c r="F1288" s="28">
        <v>0.0</v>
      </c>
      <c r="G1288" s="28" t="s">
        <v>250</v>
      </c>
      <c r="H1288" s="28">
        <f t="array" ref="H1288">INDEX(CC!C:C,MATCH(1,(CC!A:A=G1288)*(CC!B:B=I1288),0))</f>
        <v>1402</v>
      </c>
      <c r="I1288" s="28" t="s">
        <v>25</v>
      </c>
      <c r="J1288" s="31">
        <v>1000.0</v>
      </c>
      <c r="K1288" s="28" t="str">
        <f>IFERROR(__xludf.DUMMYFUNCTION("IFERROR(
INDEX(
FILTER(
MAP(
reglas!$B$2:$B$240,
reglas!$C$2:$C$240,
reglas!$D$2:$D$240,
reglas!$E$2:$E$240,
LAMBDA(rEmisor,rPatron,rConcepto,rTipo,
IF(
AND(
OR(
UPPER(TRIM(rEmisor))=UPPER(TRIM(C1288)),
UPPER(TRIM(rEmisor))=""CUALQUIERA""
),
OR(
UPPER(TRI"&amp;"M(rTipo))=""SOLO EMISOR"",
AND(
UPPER(TRIM(rTipo))=""EXACTA"",
UPPER(TRIM(AG1288))=UPPER(TRIM(rPatron))
),
AND(
OR(
UPPER(TRIM(rTipo))=""CONTIENE"",
UPPER(TRIM(rTipo))=""COINCIDENCIA""
),
ISNUMBER(SEARCH(UPPER(TRIM(rPatron)),UPPER(TRIM(D1288))))
)
)
),
rC"&amp;"oncepto,
""""
)
)
),
MAP(
reglas!$B$2:$B$240,
reglas!$C$2:$C$240,
reglas!$D$2:$D$240,
reglas!$E$2:$E$240,
LAMBDA(rEmisor,rPatron,rConcepto,rTipo,
IF(
AND(
OR(
UPPER(TRIM(rEmisor))=UPPER(TRIM(C1288)),
UPPER(TRIM(rEmisor))=""CUALQUIERA""
),
OR(
UPPER(TRIM(r"&amp;"Tipo))=""SOLO EMISOR"",
AND(
UPPER(TRIM(rTipo))=""EXACTA"",
UPPER(TRIM(D1288))=UPPER(TRIM(rPatron))
),
AND(
OR(
UPPER(TRIM(rTipo))=""CONTIENE"",
UPPER(TRIM(rTipo))=""COINCIDENCIA""
),
ISNUMBER(SEARCH(UPPER(TRIM(rPatron)),UPPER(TRIM(D1288))))
)
)
),
rConce"&amp;"pto,
""""
)
)
)&lt;&gt;""""
),
1
),
""""
)"),"MANIOBRAS")</f>
        <v>MANIOBRAS</v>
      </c>
      <c r="L1288" s="27"/>
      <c r="M1288" s="27"/>
      <c r="N1288" s="27"/>
      <c r="O1288" s="27"/>
      <c r="P1288" s="27"/>
      <c r="Q1288" s="27"/>
      <c r="R1288" s="27"/>
      <c r="S1288" s="27"/>
      <c r="T1288" s="27"/>
      <c r="U1288" s="27"/>
      <c r="V1288" s="27"/>
      <c r="W1288" s="27"/>
      <c r="X1288" s="27"/>
      <c r="Y1288" s="27"/>
    </row>
    <row r="1289">
      <c r="A1289" s="32"/>
      <c r="B1289" s="28" t="s">
        <v>29</v>
      </c>
      <c r="C1289" s="29" t="s">
        <v>172</v>
      </c>
      <c r="D1289" s="29" t="s">
        <v>1874</v>
      </c>
      <c r="E1289" s="30">
        <v>14000.0</v>
      </c>
      <c r="F1289" s="28">
        <v>0.0</v>
      </c>
      <c r="G1289" s="28" t="s">
        <v>250</v>
      </c>
      <c r="H1289" s="28">
        <f t="array" ref="H1289">INDEX(CC!C:C,MATCH(1,(CC!A:A=G1289)*(CC!B:B=I1289),0))</f>
        <v>1402</v>
      </c>
      <c r="I1289" s="28" t="s">
        <v>25</v>
      </c>
      <c r="J1289" s="31">
        <v>14000.0</v>
      </c>
      <c r="K1289" s="28" t="str">
        <f>IFERROR(__xludf.DUMMYFUNCTION("IFERROR(
INDEX(
FILTER(
MAP(
reglas!$B$2:$B$240,
reglas!$C$2:$C$240,
reglas!$D$2:$D$240,
reglas!$E$2:$E$240,
LAMBDA(rEmisor,rPatron,rConcepto,rTipo,
IF(
AND(
OR(
UPPER(TRIM(rEmisor))=UPPER(TRIM(C1289)),
UPPER(TRIM(rEmisor))=""CUALQUIERA""
),
OR(
UPPER(TRI"&amp;"M(rTipo))=""SOLO EMISOR"",
AND(
UPPER(TRIM(rTipo))=""EXACTA"",
UPPER(TRIM(AG1289))=UPPER(TRIM(rPatron))
),
AND(
OR(
UPPER(TRIM(rTipo))=""CONTIENE"",
UPPER(TRIM(rTipo))=""COINCIDENCIA""
),
ISNUMBER(SEARCH(UPPER(TRIM(rPatron)),UPPER(TRIM(D1289))))
)
)
),
rC"&amp;"oncepto,
""""
)
)
),
MAP(
reglas!$B$2:$B$240,
reglas!$C$2:$C$240,
reglas!$D$2:$D$240,
reglas!$E$2:$E$240,
LAMBDA(rEmisor,rPatron,rConcepto,rTipo,
IF(
AND(
OR(
UPPER(TRIM(rEmisor))=UPPER(TRIM(C1289)),
UPPER(TRIM(rEmisor))=""CUALQUIERA""
),
OR(
UPPER(TRIM(r"&amp;"Tipo))=""SOLO EMISOR"",
AND(
UPPER(TRIM(rTipo))=""EXACTA"",
UPPER(TRIM(D1289))=UPPER(TRIM(rPatron))
),
AND(
OR(
UPPER(TRIM(rTipo))=""CONTIENE"",
UPPER(TRIM(rTipo))=""COINCIDENCIA""
),
ISNUMBER(SEARCH(UPPER(TRIM(rPatron)),UPPER(TRIM(D1289))))
)
)
),
rConce"&amp;"pto,
""""
)
)
)&lt;&gt;""""
),
1
),
""""
)"),"TRANSPORTE")</f>
        <v>TRANSPORTE</v>
      </c>
      <c r="L1289" s="27"/>
      <c r="M1289" s="27"/>
      <c r="N1289" s="27"/>
      <c r="O1289" s="27"/>
      <c r="P1289" s="27"/>
      <c r="Q1289" s="27"/>
      <c r="R1289" s="27"/>
      <c r="S1289" s="27"/>
      <c r="T1289" s="27"/>
      <c r="U1289" s="27"/>
      <c r="V1289" s="27"/>
      <c r="W1289" s="27"/>
      <c r="X1289" s="27"/>
      <c r="Y1289" s="27"/>
    </row>
    <row r="1290">
      <c r="A1290" s="32"/>
      <c r="B1290" s="28" t="s">
        <v>29</v>
      </c>
      <c r="C1290" s="29" t="s">
        <v>172</v>
      </c>
      <c r="D1290" s="29" t="s">
        <v>1681</v>
      </c>
      <c r="E1290" s="30">
        <v>14000.0</v>
      </c>
      <c r="F1290" s="28">
        <v>0.0</v>
      </c>
      <c r="G1290" s="28" t="s">
        <v>250</v>
      </c>
      <c r="H1290" s="28">
        <f t="array" ref="H1290">INDEX(CC!C:C,MATCH(1,(CC!A:A=G1290)*(CC!B:B=I1290),0))</f>
        <v>1402</v>
      </c>
      <c r="I1290" s="28" t="s">
        <v>25</v>
      </c>
      <c r="J1290" s="31">
        <v>14000.0</v>
      </c>
      <c r="K1290" s="28" t="str">
        <f>IFERROR(__xludf.DUMMYFUNCTION("IFERROR(
INDEX(
FILTER(
MAP(
reglas!$B$2:$B$240,
reglas!$C$2:$C$240,
reglas!$D$2:$D$240,
reglas!$E$2:$E$240,
LAMBDA(rEmisor,rPatron,rConcepto,rTipo,
IF(
AND(
OR(
UPPER(TRIM(rEmisor))=UPPER(TRIM(C1290)),
UPPER(TRIM(rEmisor))=""CUALQUIERA""
),
OR(
UPPER(TRI"&amp;"M(rTipo))=""SOLO EMISOR"",
AND(
UPPER(TRIM(rTipo))=""EXACTA"",
UPPER(TRIM(AG1290))=UPPER(TRIM(rPatron))
),
AND(
OR(
UPPER(TRIM(rTipo))=""CONTIENE"",
UPPER(TRIM(rTipo))=""COINCIDENCIA""
),
ISNUMBER(SEARCH(UPPER(TRIM(rPatron)),UPPER(TRIM(D1290))))
)
)
),
rC"&amp;"oncepto,
""""
)
)
),
MAP(
reglas!$B$2:$B$240,
reglas!$C$2:$C$240,
reglas!$D$2:$D$240,
reglas!$E$2:$E$240,
LAMBDA(rEmisor,rPatron,rConcepto,rTipo,
IF(
AND(
OR(
UPPER(TRIM(rEmisor))=UPPER(TRIM(C1290)),
UPPER(TRIM(rEmisor))=""CUALQUIERA""
),
OR(
UPPER(TRIM(r"&amp;"Tipo))=""SOLO EMISOR"",
AND(
UPPER(TRIM(rTipo))=""EXACTA"",
UPPER(TRIM(D1290))=UPPER(TRIM(rPatron))
),
AND(
OR(
UPPER(TRIM(rTipo))=""CONTIENE"",
UPPER(TRIM(rTipo))=""COINCIDENCIA""
),
ISNUMBER(SEARCH(UPPER(TRIM(rPatron)),UPPER(TRIM(D1290))))
)
)
),
rConce"&amp;"pto,
""""
)
)
)&lt;&gt;""""
),
1
),
""""
)"),"TRANSPORTE")</f>
        <v>TRANSPORTE</v>
      </c>
      <c r="L1290" s="27"/>
      <c r="M1290" s="27"/>
      <c r="N1290" s="27"/>
      <c r="O1290" s="27"/>
      <c r="P1290" s="27"/>
      <c r="Q1290" s="27"/>
      <c r="R1290" s="27"/>
      <c r="S1290" s="27"/>
      <c r="T1290" s="27"/>
      <c r="U1290" s="27"/>
      <c r="V1290" s="27"/>
      <c r="W1290" s="27"/>
      <c r="X1290" s="27"/>
      <c r="Y1290" s="27"/>
    </row>
    <row r="1291">
      <c r="A1291" s="28">
        <v>1.0</v>
      </c>
      <c r="B1291" s="28" t="s">
        <v>29</v>
      </c>
      <c r="C1291" s="29" t="s">
        <v>96</v>
      </c>
      <c r="D1291" s="29" t="s">
        <v>1088</v>
      </c>
      <c r="E1291" s="28">
        <v>427.55</v>
      </c>
      <c r="F1291" s="28">
        <v>0.0</v>
      </c>
      <c r="G1291" s="28" t="s">
        <v>74</v>
      </c>
      <c r="H1291" s="28">
        <f t="array" ref="H1291">INDEX(CC!C:C,MATCH(1,(CC!A:A=G1291)*(CC!B:B=I1291),0))</f>
        <v>1503</v>
      </c>
      <c r="I1291" s="28" t="s">
        <v>44</v>
      </c>
      <c r="J1291" s="31">
        <v>427.55</v>
      </c>
      <c r="K1291" s="28" t="str">
        <f>IFERROR(__xludf.DUMMYFUNCTION("IFERROR(
INDEX(
FILTER(
MAP(
reglas!$B$2:$B$240,
reglas!$C$2:$C$240,
reglas!$D$2:$D$240,
reglas!$E$2:$E$240,
LAMBDA(rEmisor,rPatron,rConcepto,rTipo,
IF(
AND(
OR(
UPPER(TRIM(rEmisor))=UPPER(TRIM(C1291)),
UPPER(TRIM(rEmisor))=""CUALQUIERA""
),
OR(
UPPER(TRI"&amp;"M(rTipo))=""SOLO EMISOR"",
AND(
UPPER(TRIM(rTipo))=""EXACTA"",
UPPER(TRIM(AG1291))=UPPER(TRIM(rPatron))
),
AND(
OR(
UPPER(TRIM(rTipo))=""CONTIENE"",
UPPER(TRIM(rTipo))=""COINCIDENCIA""
),
ISNUMBER(SEARCH(UPPER(TRIM(rPatron)),UPPER(TRIM(D1291))))
)
)
),
rC"&amp;"oncepto,
""""
)
)
),
MAP(
reglas!$B$2:$B$240,
reglas!$C$2:$C$240,
reglas!$D$2:$D$240,
reglas!$E$2:$E$240,
LAMBDA(rEmisor,rPatron,rConcepto,rTipo,
IF(
AND(
OR(
UPPER(TRIM(rEmisor))=UPPER(TRIM(C1291)),
UPPER(TRIM(rEmisor))=""CUALQUIERA""
),
OR(
UPPER(TRIM(r"&amp;"Tipo))=""SOLO EMISOR"",
AND(
UPPER(TRIM(rTipo))=""EXACTA"",
UPPER(TRIM(D1291))=UPPER(TRIM(rPatron))
),
AND(
OR(
UPPER(TRIM(rTipo))=""CONTIENE"",
UPPER(TRIM(rTipo))=""COINCIDENCIA""
),
ISNUMBER(SEARCH(UPPER(TRIM(rPatron)),UPPER(TRIM(D1291))))
)
)
),
rConce"&amp;"pto,
""""
)
)
)&lt;&gt;""""
),
1
),
""""
)"),"GUIAS")</f>
        <v>GUIAS</v>
      </c>
      <c r="L1291" s="27"/>
      <c r="M1291" s="27"/>
      <c r="N1291" s="27"/>
      <c r="O1291" s="27"/>
      <c r="P1291" s="27"/>
      <c r="Q1291" s="27"/>
      <c r="R1291" s="27"/>
      <c r="S1291" s="27"/>
      <c r="T1291" s="27"/>
      <c r="U1291" s="27"/>
      <c r="V1291" s="27"/>
      <c r="W1291" s="27"/>
      <c r="X1291" s="27"/>
      <c r="Y1291" s="27"/>
    </row>
    <row r="1292">
      <c r="A1292" s="28">
        <v>1.0</v>
      </c>
      <c r="B1292" s="28" t="s">
        <v>29</v>
      </c>
      <c r="C1292" s="29" t="s">
        <v>1875</v>
      </c>
      <c r="D1292" s="42" t="s">
        <v>1876</v>
      </c>
      <c r="E1292" s="30">
        <v>1784.5</v>
      </c>
      <c r="F1292" s="28">
        <v>0.0</v>
      </c>
      <c r="G1292" s="99" t="s">
        <v>74</v>
      </c>
      <c r="H1292" s="28">
        <f t="array" ref="H1292">INDEX(CC!C:C,MATCH(1,(CC!A:A=G1292)*(CC!B:B=I1292),0))</f>
        <v>1502</v>
      </c>
      <c r="I1292" s="28" t="s">
        <v>25</v>
      </c>
      <c r="J1292" s="31">
        <v>1784.5</v>
      </c>
      <c r="K1292" s="28" t="str">
        <f>IFERROR(__xludf.DUMMYFUNCTION("IFERROR(
INDEX(
FILTER(
MAP(
reglas!$B$2:$B$240,
reglas!$C$2:$C$240,
reglas!$D$2:$D$240,
reglas!$E$2:$E$240,
LAMBDA(rEmisor,rPatron,rConcepto,rTipo,
IF(
AND(
OR(
UPPER(TRIM(rEmisor))=UPPER(TRIM(C1292)),
UPPER(TRIM(rEmisor))=""CUALQUIERA""
),
OR(
UPPER(TRI"&amp;"M(rTipo))=""SOLO EMISOR"",
AND(
UPPER(TRIM(rTipo))=""EXACTA"",
UPPER(TRIM(AG1292))=UPPER(TRIM(rPatron))
),
AND(
OR(
UPPER(TRIM(rTipo))=""CONTIENE"",
UPPER(TRIM(rTipo))=""COINCIDENCIA""
),
ISNUMBER(SEARCH(UPPER(TRIM(rPatron)),UPPER(TRIM(D1292))))
)
)
),
rC"&amp;"oncepto,
""""
)
)
),
MAP(
reglas!$B$2:$B$240,
reglas!$C$2:$C$240,
reglas!$D$2:$D$240,
reglas!$E$2:$E$240,
LAMBDA(rEmisor,rPatron,rConcepto,rTipo,
IF(
AND(
OR(
UPPER(TRIM(rEmisor))=UPPER(TRIM(C1292)),
UPPER(TRIM(rEmisor))=""CUALQUIERA""
),
OR(
UPPER(TRIM(r"&amp;"Tipo))=""SOLO EMISOR"",
AND(
UPPER(TRIM(rTipo))=""EXACTA"",
UPPER(TRIM(D1292))=UPPER(TRIM(rPatron))
),
AND(
OR(
UPPER(TRIM(rTipo))=""CONTIENE"",
UPPER(TRIM(rTipo))=""COINCIDENCIA""
),
ISNUMBER(SEARCH(UPPER(TRIM(rPatron)),UPPER(TRIM(D1292))))
)
)
),
rConce"&amp;"pto,
""""
)
)
)&lt;&gt;""""
),
1
),
""""
)"),"")</f>
        <v/>
      </c>
      <c r="L1292" s="27"/>
      <c r="M1292" s="27"/>
      <c r="N1292" s="27"/>
      <c r="O1292" s="27"/>
      <c r="P1292" s="27"/>
      <c r="Q1292" s="27"/>
      <c r="R1292" s="27"/>
      <c r="S1292" s="27"/>
      <c r="T1292" s="27"/>
      <c r="U1292" s="27"/>
      <c r="V1292" s="27"/>
      <c r="W1292" s="27"/>
      <c r="X1292" s="27"/>
      <c r="Y1292" s="27"/>
    </row>
    <row r="1293">
      <c r="A1293" s="28">
        <v>1.0</v>
      </c>
      <c r="B1293" s="28" t="s">
        <v>29</v>
      </c>
      <c r="C1293" s="29" t="s">
        <v>263</v>
      </c>
      <c r="D1293" s="29" t="s">
        <v>1877</v>
      </c>
      <c r="E1293" s="30">
        <v>16025.34</v>
      </c>
      <c r="F1293" s="28">
        <v>0.0</v>
      </c>
      <c r="G1293" s="99" t="s">
        <v>225</v>
      </c>
      <c r="H1293" s="28">
        <f t="array" ref="H1293">INDEX(CC!C:C,MATCH(1,(CC!A:A=G1293)*(CC!B:B=I1293),0))</f>
        <v>102</v>
      </c>
      <c r="I1293" s="28" t="s">
        <v>25</v>
      </c>
      <c r="J1293" s="31">
        <v>16025.34</v>
      </c>
      <c r="K1293" s="28" t="str">
        <f>IFERROR(__xludf.DUMMYFUNCTION("IFERROR(
INDEX(
FILTER(
MAP(
reglas!$B$2:$B$240,
reglas!$C$2:$C$240,
reglas!$D$2:$D$240,
reglas!$E$2:$E$240,
LAMBDA(rEmisor,rPatron,rConcepto,rTipo,
IF(
AND(
OR(
UPPER(TRIM(rEmisor))=UPPER(TRIM(C1293)),
UPPER(TRIM(rEmisor))=""CUALQUIERA""
),
OR(
UPPER(TRI"&amp;"M(rTipo))=""SOLO EMISOR"",
AND(
UPPER(TRIM(rTipo))=""EXACTA"",
UPPER(TRIM(AG1293))=UPPER(TRIM(rPatron))
),
AND(
OR(
UPPER(TRIM(rTipo))=""CONTIENE"",
UPPER(TRIM(rTipo))=""COINCIDENCIA""
),
ISNUMBER(SEARCH(UPPER(TRIM(rPatron)),UPPER(TRIM(D1293))))
)
)
),
rC"&amp;"oncepto,
""""
)
)
),
MAP(
reglas!$B$2:$B$240,
reglas!$C$2:$C$240,
reglas!$D$2:$D$240,
reglas!$E$2:$E$240,
LAMBDA(rEmisor,rPatron,rConcepto,rTipo,
IF(
AND(
OR(
UPPER(TRIM(rEmisor))=UPPER(TRIM(C1293)),
UPPER(TRIM(rEmisor))=""CUALQUIERA""
),
OR(
UPPER(TRIM(r"&amp;"Tipo))=""SOLO EMISOR"",
AND(
UPPER(TRIM(rTipo))=""EXACTA"",
UPPER(TRIM(D1293))=UPPER(TRIM(rPatron))
),
AND(
OR(
UPPER(TRIM(rTipo))=""CONTIENE"",
UPPER(TRIM(rTipo))=""COINCIDENCIA""
),
ISNUMBER(SEARCH(UPPER(TRIM(rPatron)),UPPER(TRIM(D1293))))
)
)
),
rConce"&amp;"pto,
""""
)
)
)&lt;&gt;""""
),
1
),
""""
)"),"GASTOS DE VIAJE")</f>
        <v>GASTOS DE VIAJE</v>
      </c>
      <c r="L1293" s="27"/>
      <c r="M1293" s="27"/>
      <c r="N1293" s="27"/>
      <c r="O1293" s="27"/>
      <c r="P1293" s="27"/>
      <c r="Q1293" s="27"/>
      <c r="R1293" s="27"/>
      <c r="S1293" s="27"/>
      <c r="T1293" s="27"/>
      <c r="U1293" s="27"/>
      <c r="V1293" s="27"/>
      <c r="W1293" s="27"/>
      <c r="X1293" s="27"/>
      <c r="Y1293" s="27"/>
    </row>
    <row r="1294">
      <c r="A1294" s="32"/>
      <c r="B1294" s="32"/>
      <c r="C1294" s="29" t="s">
        <v>263</v>
      </c>
      <c r="D1294" s="29" t="s">
        <v>1855</v>
      </c>
      <c r="E1294" s="30">
        <v>1281.57</v>
      </c>
      <c r="F1294" s="28">
        <v>0.0</v>
      </c>
      <c r="G1294" s="99" t="s">
        <v>225</v>
      </c>
      <c r="H1294" s="28">
        <f t="array" ref="H1294">INDEX(CC!C:C,MATCH(1,(CC!A:A=G1294)*(CC!B:B=I1294),0))</f>
        <v>102</v>
      </c>
      <c r="I1294" s="28" t="s">
        <v>25</v>
      </c>
      <c r="J1294" s="31">
        <v>1281.57</v>
      </c>
      <c r="K1294" s="28" t="str">
        <f>IFERROR(__xludf.DUMMYFUNCTION("IFERROR(
INDEX(
FILTER(
MAP(
reglas!$B$2:$B$240,
reglas!$C$2:$C$240,
reglas!$D$2:$D$240,
reglas!$E$2:$E$240,
LAMBDA(rEmisor,rPatron,rConcepto,rTipo,
IF(
AND(
OR(
UPPER(TRIM(rEmisor))=UPPER(TRIM(C1294)),
UPPER(TRIM(rEmisor))=""CUALQUIERA""
),
OR(
UPPER(TRI"&amp;"M(rTipo))=""SOLO EMISOR"",
AND(
UPPER(TRIM(rTipo))=""EXACTA"",
UPPER(TRIM(AG1294))=UPPER(TRIM(rPatron))
),
AND(
OR(
UPPER(TRIM(rTipo))=""CONTIENE"",
UPPER(TRIM(rTipo))=""COINCIDENCIA""
),
ISNUMBER(SEARCH(UPPER(TRIM(rPatron)),UPPER(TRIM(D1294))))
)
)
),
rC"&amp;"oncepto,
""""
)
)
),
MAP(
reglas!$B$2:$B$240,
reglas!$C$2:$C$240,
reglas!$D$2:$D$240,
reglas!$E$2:$E$240,
LAMBDA(rEmisor,rPatron,rConcepto,rTipo,
IF(
AND(
OR(
UPPER(TRIM(rEmisor))=UPPER(TRIM(C1294)),
UPPER(TRIM(rEmisor))=""CUALQUIERA""
),
OR(
UPPER(TRIM(r"&amp;"Tipo))=""SOLO EMISOR"",
AND(
UPPER(TRIM(rTipo))=""EXACTA"",
UPPER(TRIM(D1294))=UPPER(TRIM(rPatron))
),
AND(
OR(
UPPER(TRIM(rTipo))=""CONTIENE"",
UPPER(TRIM(rTipo))=""COINCIDENCIA""
),
ISNUMBER(SEARCH(UPPER(TRIM(rPatron)),UPPER(TRIM(D1294))))
)
)
),
rConce"&amp;"pto,
""""
)
)
)&lt;&gt;""""
),
1
),
""""
)"),"GASTOS DE VIAJE")</f>
        <v>GASTOS DE VIAJE</v>
      </c>
      <c r="L1294" s="27"/>
      <c r="M1294" s="27"/>
      <c r="N1294" s="27"/>
      <c r="O1294" s="27"/>
      <c r="P1294" s="27"/>
      <c r="Q1294" s="27"/>
      <c r="R1294" s="27"/>
      <c r="S1294" s="27"/>
      <c r="T1294" s="27"/>
      <c r="U1294" s="27"/>
      <c r="V1294" s="27"/>
      <c r="W1294" s="27"/>
      <c r="X1294" s="27"/>
      <c r="Y1294" s="27"/>
    </row>
    <row r="1295">
      <c r="A1295" s="32"/>
      <c r="B1295" s="32"/>
      <c r="C1295" s="29" t="s">
        <v>263</v>
      </c>
      <c r="D1295" s="29" t="s">
        <v>920</v>
      </c>
      <c r="E1295" s="30">
        <v>2554.98</v>
      </c>
      <c r="F1295" s="28">
        <v>0.0</v>
      </c>
      <c r="G1295" s="99" t="s">
        <v>225</v>
      </c>
      <c r="H1295" s="28">
        <f t="array" ref="H1295">INDEX(CC!C:C,MATCH(1,(CC!A:A=G1295)*(CC!B:B=I1295),0))</f>
        <v>102</v>
      </c>
      <c r="I1295" s="28" t="s">
        <v>25</v>
      </c>
      <c r="J1295" s="31">
        <v>2554.98</v>
      </c>
      <c r="K1295" s="28" t="str">
        <f>IFERROR(__xludf.DUMMYFUNCTION("IFERROR(
INDEX(
FILTER(
MAP(
reglas!$B$2:$B$240,
reglas!$C$2:$C$240,
reglas!$D$2:$D$240,
reglas!$E$2:$E$240,
LAMBDA(rEmisor,rPatron,rConcepto,rTipo,
IF(
AND(
OR(
UPPER(TRIM(rEmisor))=UPPER(TRIM(C1295)),
UPPER(TRIM(rEmisor))=""CUALQUIERA""
),
OR(
UPPER(TRI"&amp;"M(rTipo))=""SOLO EMISOR"",
AND(
UPPER(TRIM(rTipo))=""EXACTA"",
UPPER(TRIM(AG1295))=UPPER(TRIM(rPatron))
),
AND(
OR(
UPPER(TRIM(rTipo))=""CONTIENE"",
UPPER(TRIM(rTipo))=""COINCIDENCIA""
),
ISNUMBER(SEARCH(UPPER(TRIM(rPatron)),UPPER(TRIM(D1295))))
)
)
),
rC"&amp;"oncepto,
""""
)
)
),
MAP(
reglas!$B$2:$B$240,
reglas!$C$2:$C$240,
reglas!$D$2:$D$240,
reglas!$E$2:$E$240,
LAMBDA(rEmisor,rPatron,rConcepto,rTipo,
IF(
AND(
OR(
UPPER(TRIM(rEmisor))=UPPER(TRIM(C1295)),
UPPER(TRIM(rEmisor))=""CUALQUIERA""
),
OR(
UPPER(TRIM(r"&amp;"Tipo))=""SOLO EMISOR"",
AND(
UPPER(TRIM(rTipo))=""EXACTA"",
UPPER(TRIM(D1295))=UPPER(TRIM(rPatron))
),
AND(
OR(
UPPER(TRIM(rTipo))=""CONTIENE"",
UPPER(TRIM(rTipo))=""COINCIDENCIA""
),
ISNUMBER(SEARCH(UPPER(TRIM(rPatron)),UPPER(TRIM(D1295))))
)
)
),
rConce"&amp;"pto,
""""
)
)
)&lt;&gt;""""
),
1
),
""""
)"),"GASTOS DE VIAJE")</f>
        <v>GASTOS DE VIAJE</v>
      </c>
      <c r="L1295" s="27"/>
      <c r="M1295" s="27"/>
      <c r="N1295" s="27"/>
      <c r="O1295" s="27"/>
      <c r="P1295" s="27"/>
      <c r="Q1295" s="27"/>
      <c r="R1295" s="27"/>
      <c r="S1295" s="27"/>
      <c r="T1295" s="27"/>
      <c r="U1295" s="27"/>
      <c r="V1295" s="27"/>
      <c r="W1295" s="27"/>
      <c r="X1295" s="27"/>
      <c r="Y1295" s="27"/>
    </row>
    <row r="1296">
      <c r="A1296" s="32"/>
      <c r="B1296" s="28" t="s">
        <v>29</v>
      </c>
      <c r="C1296" s="29" t="s">
        <v>331</v>
      </c>
      <c r="D1296" s="29" t="s">
        <v>33</v>
      </c>
      <c r="E1296" s="28">
        <v>0.01</v>
      </c>
      <c r="F1296" s="28">
        <v>0.0</v>
      </c>
      <c r="G1296" s="28" t="s">
        <v>385</v>
      </c>
      <c r="H1296" s="28">
        <f t="array" ref="H1296">INDEX(CC!C:C,MATCH(1,(CC!A:A=G1296)*(CC!B:B=I1296),0))</f>
        <v>502</v>
      </c>
      <c r="I1296" s="28" t="s">
        <v>25</v>
      </c>
      <c r="J1296" s="31">
        <v>0.01</v>
      </c>
      <c r="K1296" s="28" t="str">
        <f>IFERROR(__xludf.DUMMYFUNCTION("IFERROR(
INDEX(
FILTER(
MAP(
reglas!$B$2:$B$240,
reglas!$C$2:$C$240,
reglas!$D$2:$D$240,
reglas!$E$2:$E$240,
LAMBDA(rEmisor,rPatron,rConcepto,rTipo,
IF(
AND(
OR(
UPPER(TRIM(rEmisor))=UPPER(TRIM(C1296)),
UPPER(TRIM(rEmisor))=""CUALQUIERA""
),
OR(
UPPER(TRI"&amp;"M(rTipo))=""SOLO EMISOR"",
AND(
UPPER(TRIM(rTipo))=""EXACTA"",
UPPER(TRIM(AG1296))=UPPER(TRIM(rPatron))
),
AND(
OR(
UPPER(TRIM(rTipo))=""CONTIENE"",
UPPER(TRIM(rTipo))=""COINCIDENCIA""
),
ISNUMBER(SEARCH(UPPER(TRIM(rPatron)),UPPER(TRIM(D1296))))
)
)
),
rC"&amp;"oncepto,
""""
)
)
),
MAP(
reglas!$B$2:$B$240,
reglas!$C$2:$C$240,
reglas!$D$2:$D$240,
reglas!$E$2:$E$240,
LAMBDA(rEmisor,rPatron,rConcepto,rTipo,
IF(
AND(
OR(
UPPER(TRIM(rEmisor))=UPPER(TRIM(C1296)),
UPPER(TRIM(rEmisor))=""CUALQUIERA""
),
OR(
UPPER(TRIM(r"&amp;"Tipo))=""SOLO EMISOR"",
AND(
UPPER(TRIM(rTipo))=""EXACTA"",
UPPER(TRIM(D1296))=UPPER(TRIM(rPatron))
),
AND(
OR(
UPPER(TRIM(rTipo))=""CONTIENE"",
UPPER(TRIM(rTipo))=""COINCIDENCIA""
),
ISNUMBER(SEARCH(UPPER(TRIM(rPatron)),UPPER(TRIM(D1296))))
)
)
),
rConce"&amp;"pto,
""""
)
)
)&lt;&gt;""""
),
1
),
""""
)"),"N/A")</f>
        <v>N/A</v>
      </c>
      <c r="L1296" s="27"/>
      <c r="M1296" s="27"/>
      <c r="N1296" s="27"/>
      <c r="O1296" s="27"/>
      <c r="P1296" s="27"/>
      <c r="Q1296" s="27"/>
      <c r="R1296" s="27"/>
      <c r="S1296" s="27"/>
      <c r="T1296" s="27"/>
      <c r="U1296" s="27"/>
      <c r="V1296" s="27"/>
      <c r="W1296" s="27"/>
      <c r="X1296" s="27"/>
      <c r="Y1296" s="27"/>
    </row>
    <row r="1297">
      <c r="A1297" s="28">
        <v>1.0</v>
      </c>
      <c r="B1297" s="28" t="s">
        <v>29</v>
      </c>
      <c r="C1297" s="29" t="s">
        <v>271</v>
      </c>
      <c r="D1297" s="29" t="s">
        <v>585</v>
      </c>
      <c r="E1297" s="28">
        <v>620.03</v>
      </c>
      <c r="F1297" s="28">
        <v>0.0</v>
      </c>
      <c r="G1297" s="28" t="s">
        <v>84</v>
      </c>
      <c r="H1297" s="28">
        <f t="array" ref="H1297">INDEX(CC!C:C,MATCH(1,(CC!A:A=G1297)*(CC!B:B=I1297),0))</f>
        <v>1002</v>
      </c>
      <c r="I1297" s="28" t="s">
        <v>25</v>
      </c>
      <c r="J1297" s="31">
        <v>620.03</v>
      </c>
      <c r="K1297" s="28" t="str">
        <f>IFERROR(__xludf.DUMMYFUNCTION("IFERROR(
INDEX(
FILTER(
MAP(
reglas!$B$2:$B$240,
reglas!$C$2:$C$240,
reglas!$D$2:$D$240,
reglas!$E$2:$E$240,
LAMBDA(rEmisor,rPatron,rConcepto,rTipo,
IF(
AND(
OR(
UPPER(TRIM(rEmisor))=UPPER(TRIM(C1297)),
UPPER(TRIM(rEmisor))=""CUALQUIERA""
),
OR(
UPPER(TRI"&amp;"M(rTipo))=""SOLO EMISOR"",
AND(
UPPER(TRIM(rTipo))=""EXACTA"",
UPPER(TRIM(AG1297))=UPPER(TRIM(rPatron))
),
AND(
OR(
UPPER(TRIM(rTipo))=""CONTIENE"",
UPPER(TRIM(rTipo))=""COINCIDENCIA""
),
ISNUMBER(SEARCH(UPPER(TRIM(rPatron)),UPPER(TRIM(D1297))))
)
)
),
rC"&amp;"oncepto,
""""
)
)
),
MAP(
reglas!$B$2:$B$240,
reglas!$C$2:$C$240,
reglas!$D$2:$D$240,
reglas!$E$2:$E$240,
LAMBDA(rEmisor,rPatron,rConcepto,rTipo,
IF(
AND(
OR(
UPPER(TRIM(rEmisor))=UPPER(TRIM(C1297)),
UPPER(TRIM(rEmisor))=""CUALQUIERA""
),
OR(
UPPER(TRIM(r"&amp;"Tipo))=""SOLO EMISOR"",
AND(
UPPER(TRIM(rTipo))=""EXACTA"",
UPPER(TRIM(D1297))=UPPER(TRIM(rPatron))
),
AND(
OR(
UPPER(TRIM(rTipo))=""CONTIENE"",
UPPER(TRIM(rTipo))=""COINCIDENCIA""
),
ISNUMBER(SEARCH(UPPER(TRIM(rPatron)),UPPER(TRIM(D1297))))
)
)
),
rConce"&amp;"pto,
""""
)
)
)&lt;&gt;""""
),
1
),
""""
)"),"MANIOBRAS")</f>
        <v>MANIOBRAS</v>
      </c>
      <c r="L1297" s="27"/>
      <c r="M1297" s="27"/>
      <c r="N1297" s="27"/>
      <c r="O1297" s="27"/>
      <c r="P1297" s="27"/>
      <c r="Q1297" s="27"/>
      <c r="R1297" s="27"/>
      <c r="S1297" s="27"/>
      <c r="T1297" s="27"/>
      <c r="U1297" s="27"/>
      <c r="V1297" s="27"/>
      <c r="W1297" s="27"/>
      <c r="X1297" s="27"/>
      <c r="Y1297" s="27"/>
    </row>
    <row r="1298">
      <c r="A1298" s="32"/>
      <c r="B1298" s="32"/>
      <c r="C1298" s="29" t="s">
        <v>271</v>
      </c>
      <c r="D1298" s="29" t="s">
        <v>587</v>
      </c>
      <c r="E1298" s="28">
        <v>567.29</v>
      </c>
      <c r="F1298" s="28">
        <v>0.0</v>
      </c>
      <c r="G1298" s="28" t="s">
        <v>84</v>
      </c>
      <c r="H1298" s="28">
        <f t="array" ref="H1298">INDEX(CC!C:C,MATCH(1,(CC!A:A=G1298)*(CC!B:B=I1298),0))</f>
        <v>1002</v>
      </c>
      <c r="I1298" s="28" t="s">
        <v>25</v>
      </c>
      <c r="J1298" s="31">
        <v>567.29</v>
      </c>
      <c r="K1298" s="28" t="str">
        <f>IFERROR(__xludf.DUMMYFUNCTION("IFERROR(
INDEX(
FILTER(
MAP(
reglas!$B$2:$B$240,
reglas!$C$2:$C$240,
reglas!$D$2:$D$240,
reglas!$E$2:$E$240,
LAMBDA(rEmisor,rPatron,rConcepto,rTipo,
IF(
AND(
OR(
UPPER(TRIM(rEmisor))=UPPER(TRIM(C1298)),
UPPER(TRIM(rEmisor))=""CUALQUIERA""
),
OR(
UPPER(TRI"&amp;"M(rTipo))=""SOLO EMISOR"",
AND(
UPPER(TRIM(rTipo))=""EXACTA"",
UPPER(TRIM(AG1298))=UPPER(TRIM(rPatron))
),
AND(
OR(
UPPER(TRIM(rTipo))=""CONTIENE"",
UPPER(TRIM(rTipo))=""COINCIDENCIA""
),
ISNUMBER(SEARCH(UPPER(TRIM(rPatron)),UPPER(TRIM(D1298))))
)
)
),
rC"&amp;"oncepto,
""""
)
)
),
MAP(
reglas!$B$2:$B$240,
reglas!$C$2:$C$240,
reglas!$D$2:$D$240,
reglas!$E$2:$E$240,
LAMBDA(rEmisor,rPatron,rConcepto,rTipo,
IF(
AND(
OR(
UPPER(TRIM(rEmisor))=UPPER(TRIM(C1298)),
UPPER(TRIM(rEmisor))=""CUALQUIERA""
),
OR(
UPPER(TRIM(r"&amp;"Tipo))=""SOLO EMISOR"",
AND(
UPPER(TRIM(rTipo))=""EXACTA"",
UPPER(TRIM(D1298))=UPPER(TRIM(rPatron))
),
AND(
OR(
UPPER(TRIM(rTipo))=""CONTIENE"",
UPPER(TRIM(rTipo))=""COINCIDENCIA""
),
ISNUMBER(SEARCH(UPPER(TRIM(rPatron)),UPPER(TRIM(D1298))))
)
)
),
rConce"&amp;"pto,
""""
)
)
)&lt;&gt;""""
),
1
),
""""
)"),"MANIOBRAS")</f>
        <v>MANIOBRAS</v>
      </c>
      <c r="L1298" s="27"/>
      <c r="M1298" s="27"/>
      <c r="N1298" s="27"/>
      <c r="O1298" s="27"/>
      <c r="P1298" s="27"/>
      <c r="Q1298" s="27"/>
      <c r="R1298" s="27"/>
      <c r="S1298" s="27"/>
      <c r="T1298" s="27"/>
      <c r="U1298" s="27"/>
      <c r="V1298" s="27"/>
      <c r="W1298" s="27"/>
      <c r="X1298" s="27"/>
      <c r="Y1298" s="27"/>
    </row>
    <row r="1299">
      <c r="A1299" s="32"/>
      <c r="B1299" s="32"/>
      <c r="C1299" s="29" t="s">
        <v>271</v>
      </c>
      <c r="D1299" s="29" t="s">
        <v>589</v>
      </c>
      <c r="E1299" s="28">
        <v>620.37</v>
      </c>
      <c r="F1299" s="28">
        <v>0.0</v>
      </c>
      <c r="G1299" s="28" t="s">
        <v>84</v>
      </c>
      <c r="H1299" s="28">
        <f t="array" ref="H1299">INDEX(CC!C:C,MATCH(1,(CC!A:A=G1299)*(CC!B:B=I1299),0))</f>
        <v>1002</v>
      </c>
      <c r="I1299" s="28" t="s">
        <v>25</v>
      </c>
      <c r="J1299" s="31">
        <v>620.37</v>
      </c>
      <c r="K1299" s="28" t="str">
        <f>IFERROR(__xludf.DUMMYFUNCTION("IFERROR(
INDEX(
FILTER(
MAP(
reglas!$B$2:$B$240,
reglas!$C$2:$C$240,
reglas!$D$2:$D$240,
reglas!$E$2:$E$240,
LAMBDA(rEmisor,rPatron,rConcepto,rTipo,
IF(
AND(
OR(
UPPER(TRIM(rEmisor))=UPPER(TRIM(C1299)),
UPPER(TRIM(rEmisor))=""CUALQUIERA""
),
OR(
UPPER(TRI"&amp;"M(rTipo))=""SOLO EMISOR"",
AND(
UPPER(TRIM(rTipo))=""EXACTA"",
UPPER(TRIM(AG1299))=UPPER(TRIM(rPatron))
),
AND(
OR(
UPPER(TRIM(rTipo))=""CONTIENE"",
UPPER(TRIM(rTipo))=""COINCIDENCIA""
),
ISNUMBER(SEARCH(UPPER(TRIM(rPatron)),UPPER(TRIM(D1299))))
)
)
),
rC"&amp;"oncepto,
""""
)
)
),
MAP(
reglas!$B$2:$B$240,
reglas!$C$2:$C$240,
reglas!$D$2:$D$240,
reglas!$E$2:$E$240,
LAMBDA(rEmisor,rPatron,rConcepto,rTipo,
IF(
AND(
OR(
UPPER(TRIM(rEmisor))=UPPER(TRIM(C1299)),
UPPER(TRIM(rEmisor))=""CUALQUIERA""
),
OR(
UPPER(TRIM(r"&amp;"Tipo))=""SOLO EMISOR"",
AND(
UPPER(TRIM(rTipo))=""EXACTA"",
UPPER(TRIM(D1299))=UPPER(TRIM(rPatron))
),
AND(
OR(
UPPER(TRIM(rTipo))=""CONTIENE"",
UPPER(TRIM(rTipo))=""COINCIDENCIA""
),
ISNUMBER(SEARCH(UPPER(TRIM(rPatron)),UPPER(TRIM(D1299))))
)
)
),
rConce"&amp;"pto,
""""
)
)
)&lt;&gt;""""
),
1
),
""""
)"),"MANIOBRAS")</f>
        <v>MANIOBRAS</v>
      </c>
      <c r="L1299" s="27"/>
      <c r="M1299" s="27"/>
      <c r="N1299" s="27"/>
      <c r="O1299" s="27"/>
      <c r="P1299" s="27"/>
      <c r="Q1299" s="27"/>
      <c r="R1299" s="27"/>
      <c r="S1299" s="27"/>
      <c r="T1299" s="27"/>
      <c r="U1299" s="27"/>
      <c r="V1299" s="27"/>
      <c r="W1299" s="27"/>
      <c r="X1299" s="27"/>
      <c r="Y1299" s="27"/>
    </row>
    <row r="1300">
      <c r="A1300" s="32"/>
      <c r="B1300" s="32"/>
      <c r="C1300" s="29" t="s">
        <v>271</v>
      </c>
      <c r="D1300" s="29" t="s">
        <v>596</v>
      </c>
      <c r="E1300" s="28">
        <v>650.9</v>
      </c>
      <c r="F1300" s="28">
        <v>0.0</v>
      </c>
      <c r="G1300" s="28" t="s">
        <v>84</v>
      </c>
      <c r="H1300" s="28">
        <f t="array" ref="H1300">INDEX(CC!C:C,MATCH(1,(CC!A:A=G1300)*(CC!B:B=I1300),0))</f>
        <v>1002</v>
      </c>
      <c r="I1300" s="28" t="s">
        <v>25</v>
      </c>
      <c r="J1300" s="31">
        <v>650.9</v>
      </c>
      <c r="K1300" s="28" t="str">
        <f>IFERROR(__xludf.DUMMYFUNCTION("IFERROR(
INDEX(
FILTER(
MAP(
reglas!$B$2:$B$240,
reglas!$C$2:$C$240,
reglas!$D$2:$D$240,
reglas!$E$2:$E$240,
LAMBDA(rEmisor,rPatron,rConcepto,rTipo,
IF(
AND(
OR(
UPPER(TRIM(rEmisor))=UPPER(TRIM(C1300)),
UPPER(TRIM(rEmisor))=""CUALQUIERA""
),
OR(
UPPER(TRI"&amp;"M(rTipo))=""SOLO EMISOR"",
AND(
UPPER(TRIM(rTipo))=""EXACTA"",
UPPER(TRIM(AG1300))=UPPER(TRIM(rPatron))
),
AND(
OR(
UPPER(TRIM(rTipo))=""CONTIENE"",
UPPER(TRIM(rTipo))=""COINCIDENCIA""
),
ISNUMBER(SEARCH(UPPER(TRIM(rPatron)),UPPER(TRIM(D1300))))
)
)
),
rC"&amp;"oncepto,
""""
)
)
),
MAP(
reglas!$B$2:$B$240,
reglas!$C$2:$C$240,
reglas!$D$2:$D$240,
reglas!$E$2:$E$240,
LAMBDA(rEmisor,rPatron,rConcepto,rTipo,
IF(
AND(
OR(
UPPER(TRIM(rEmisor))=UPPER(TRIM(C1300)),
UPPER(TRIM(rEmisor))=""CUALQUIERA""
),
OR(
UPPER(TRIM(r"&amp;"Tipo))=""SOLO EMISOR"",
AND(
UPPER(TRIM(rTipo))=""EXACTA"",
UPPER(TRIM(D1300))=UPPER(TRIM(rPatron))
),
AND(
OR(
UPPER(TRIM(rTipo))=""CONTIENE"",
UPPER(TRIM(rTipo))=""COINCIDENCIA""
),
ISNUMBER(SEARCH(UPPER(TRIM(rPatron)),UPPER(TRIM(D1300))))
)
)
),
rConce"&amp;"pto,
""""
)
)
)&lt;&gt;""""
),
1
),
""""
)"),"MANIOBRAS")</f>
        <v>MANIOBRAS</v>
      </c>
      <c r="L1300" s="27"/>
      <c r="M1300" s="27"/>
      <c r="N1300" s="27"/>
      <c r="O1300" s="27"/>
      <c r="P1300" s="27"/>
      <c r="Q1300" s="27"/>
      <c r="R1300" s="27"/>
      <c r="S1300" s="27"/>
      <c r="T1300" s="27"/>
      <c r="U1300" s="27"/>
      <c r="V1300" s="27"/>
      <c r="W1300" s="27"/>
      <c r="X1300" s="27"/>
      <c r="Y1300" s="27"/>
    </row>
    <row r="1301">
      <c r="A1301" s="32"/>
      <c r="B1301" s="28" t="s">
        <v>29</v>
      </c>
      <c r="C1301" s="29" t="s">
        <v>172</v>
      </c>
      <c r="D1301" s="29" t="s">
        <v>1830</v>
      </c>
      <c r="E1301" s="30">
        <v>11500.0</v>
      </c>
      <c r="F1301" s="28">
        <v>0.0</v>
      </c>
      <c r="G1301" s="28" t="s">
        <v>250</v>
      </c>
      <c r="H1301" s="28">
        <f t="array" ref="H1301">INDEX(CC!C:C,MATCH(1,(CC!A:A=G1301)*(CC!B:B=I1301),0))</f>
        <v>1402</v>
      </c>
      <c r="I1301" s="28" t="s">
        <v>25</v>
      </c>
      <c r="J1301" s="31">
        <v>11500.0</v>
      </c>
      <c r="K1301" s="28" t="str">
        <f>IFERROR(__xludf.DUMMYFUNCTION("IFERROR(
INDEX(
FILTER(
MAP(
reglas!$B$2:$B$240,
reglas!$C$2:$C$240,
reglas!$D$2:$D$240,
reglas!$E$2:$E$240,
LAMBDA(rEmisor,rPatron,rConcepto,rTipo,
IF(
AND(
OR(
UPPER(TRIM(rEmisor))=UPPER(TRIM(C1301)),
UPPER(TRIM(rEmisor))=""CUALQUIERA""
),
OR(
UPPER(TRI"&amp;"M(rTipo))=""SOLO EMISOR"",
AND(
UPPER(TRIM(rTipo))=""EXACTA"",
UPPER(TRIM(AG1301))=UPPER(TRIM(rPatron))
),
AND(
OR(
UPPER(TRIM(rTipo))=""CONTIENE"",
UPPER(TRIM(rTipo))=""COINCIDENCIA""
),
ISNUMBER(SEARCH(UPPER(TRIM(rPatron)),UPPER(TRIM(D1301))))
)
)
),
rC"&amp;"oncepto,
""""
)
)
),
MAP(
reglas!$B$2:$B$240,
reglas!$C$2:$C$240,
reglas!$D$2:$D$240,
reglas!$E$2:$E$240,
LAMBDA(rEmisor,rPatron,rConcepto,rTipo,
IF(
AND(
OR(
UPPER(TRIM(rEmisor))=UPPER(TRIM(C1301)),
UPPER(TRIM(rEmisor))=""CUALQUIERA""
),
OR(
UPPER(TRIM(r"&amp;"Tipo))=""SOLO EMISOR"",
AND(
UPPER(TRIM(rTipo))=""EXACTA"",
UPPER(TRIM(D1301))=UPPER(TRIM(rPatron))
),
AND(
OR(
UPPER(TRIM(rTipo))=""CONTIENE"",
UPPER(TRIM(rTipo))=""COINCIDENCIA""
),
ISNUMBER(SEARCH(UPPER(TRIM(rPatron)),UPPER(TRIM(D1301))))
)
)
),
rConce"&amp;"pto,
""""
)
)
)&lt;&gt;""""
),
1
),
""""
)"),"TRANSPORTE")</f>
        <v>TRANSPORTE</v>
      </c>
      <c r="L1301" s="27"/>
      <c r="M1301" s="27"/>
      <c r="N1301" s="27"/>
      <c r="O1301" s="27"/>
      <c r="P1301" s="27"/>
      <c r="Q1301" s="27"/>
      <c r="R1301" s="27"/>
      <c r="S1301" s="27"/>
      <c r="T1301" s="27"/>
      <c r="U1301" s="27"/>
      <c r="V1301" s="27"/>
      <c r="W1301" s="27"/>
      <c r="X1301" s="27"/>
      <c r="Y1301" s="27"/>
    </row>
    <row r="1302">
      <c r="A1302" s="32"/>
      <c r="B1302" s="28" t="s">
        <v>29</v>
      </c>
      <c r="C1302" s="29" t="s">
        <v>1878</v>
      </c>
      <c r="D1302" s="29" t="s">
        <v>1879</v>
      </c>
      <c r="E1302" s="28">
        <v>321.75</v>
      </c>
      <c r="F1302" s="28">
        <v>0.0</v>
      </c>
      <c r="G1302" s="28" t="s">
        <v>55</v>
      </c>
      <c r="H1302" s="28">
        <f t="array" ref="H1302">INDEX(CC!C:C,MATCH(1,(CC!A:A=G1302)*(CC!B:B=I1302),0))</f>
        <v>902</v>
      </c>
      <c r="I1302" s="28" t="s">
        <v>25</v>
      </c>
      <c r="J1302" s="31">
        <v>321.75</v>
      </c>
      <c r="K1302" s="28" t="str">
        <f>IFERROR(__xludf.DUMMYFUNCTION("IFERROR(
INDEX(
FILTER(
MAP(
reglas!$B$2:$B$240,
reglas!$C$2:$C$240,
reglas!$D$2:$D$240,
reglas!$E$2:$E$240,
LAMBDA(rEmisor,rPatron,rConcepto,rTipo,
IF(
AND(
OR(
UPPER(TRIM(rEmisor))=UPPER(TRIM(C1302)),
UPPER(TRIM(rEmisor))=""CUALQUIERA""
),
OR(
UPPER(TRI"&amp;"M(rTipo))=""SOLO EMISOR"",
AND(
UPPER(TRIM(rTipo))=""EXACTA"",
UPPER(TRIM(AG1302))=UPPER(TRIM(rPatron))
),
AND(
OR(
UPPER(TRIM(rTipo))=""CONTIENE"",
UPPER(TRIM(rTipo))=""COINCIDENCIA""
),
ISNUMBER(SEARCH(UPPER(TRIM(rPatron)),UPPER(TRIM(D1302))))
)
)
),
rC"&amp;"oncepto,
""""
)
)
),
MAP(
reglas!$B$2:$B$240,
reglas!$C$2:$C$240,
reglas!$D$2:$D$240,
reglas!$E$2:$E$240,
LAMBDA(rEmisor,rPatron,rConcepto,rTipo,
IF(
AND(
OR(
UPPER(TRIM(rEmisor))=UPPER(TRIM(C1302)),
UPPER(TRIM(rEmisor))=""CUALQUIERA""
),
OR(
UPPER(TRIM(r"&amp;"Tipo))=""SOLO EMISOR"",
AND(
UPPER(TRIM(rTipo))=""EXACTA"",
UPPER(TRIM(D1302))=UPPER(TRIM(rPatron))
),
AND(
OR(
UPPER(TRIM(rTipo))=""CONTIENE"",
UPPER(TRIM(rTipo))=""COINCIDENCIA""
),
ISNUMBER(SEARCH(UPPER(TRIM(rPatron)),UPPER(TRIM(D1302))))
)
)
),
rConce"&amp;"pto,
""""
)
)
)&lt;&gt;""""
),
1
),
""""
)"),"PROTECCION CIVIL")</f>
        <v>PROTECCION CIVIL</v>
      </c>
      <c r="L1302" s="27"/>
      <c r="M1302" s="27"/>
      <c r="N1302" s="27"/>
      <c r="O1302" s="27"/>
      <c r="P1302" s="27"/>
      <c r="Q1302" s="27"/>
      <c r="R1302" s="27"/>
      <c r="S1302" s="27"/>
      <c r="T1302" s="27"/>
      <c r="U1302" s="27"/>
      <c r="V1302" s="27"/>
      <c r="W1302" s="27"/>
      <c r="X1302" s="27"/>
      <c r="Y1302" s="27"/>
    </row>
    <row r="1303">
      <c r="A1303" s="32"/>
      <c r="B1303" s="32"/>
      <c r="C1303" s="29" t="s">
        <v>1878</v>
      </c>
      <c r="D1303" s="29" t="s">
        <v>1880</v>
      </c>
      <c r="E1303" s="28">
        <v>763.5</v>
      </c>
      <c r="F1303" s="28">
        <v>0.0</v>
      </c>
      <c r="G1303" s="28" t="s">
        <v>55</v>
      </c>
      <c r="H1303" s="28">
        <f t="array" ref="H1303">INDEX(CC!C:C,MATCH(1,(CC!A:A=G1303)*(CC!B:B=I1303),0))</f>
        <v>902</v>
      </c>
      <c r="I1303" s="28" t="s">
        <v>25</v>
      </c>
      <c r="J1303" s="31">
        <v>763.5</v>
      </c>
      <c r="K1303" s="28" t="str">
        <f>IFERROR(__xludf.DUMMYFUNCTION("IFERROR(
INDEX(
FILTER(
MAP(
reglas!$B$2:$B$240,
reglas!$C$2:$C$240,
reglas!$D$2:$D$240,
reglas!$E$2:$E$240,
LAMBDA(rEmisor,rPatron,rConcepto,rTipo,
IF(
AND(
OR(
UPPER(TRIM(rEmisor))=UPPER(TRIM(C1303)),
UPPER(TRIM(rEmisor))=""CUALQUIERA""
),
OR(
UPPER(TRI"&amp;"M(rTipo))=""SOLO EMISOR"",
AND(
UPPER(TRIM(rTipo))=""EXACTA"",
UPPER(TRIM(AG1303))=UPPER(TRIM(rPatron))
),
AND(
OR(
UPPER(TRIM(rTipo))=""CONTIENE"",
UPPER(TRIM(rTipo))=""COINCIDENCIA""
),
ISNUMBER(SEARCH(UPPER(TRIM(rPatron)),UPPER(TRIM(D1303))))
)
)
),
rC"&amp;"oncepto,
""""
)
)
),
MAP(
reglas!$B$2:$B$240,
reglas!$C$2:$C$240,
reglas!$D$2:$D$240,
reglas!$E$2:$E$240,
LAMBDA(rEmisor,rPatron,rConcepto,rTipo,
IF(
AND(
OR(
UPPER(TRIM(rEmisor))=UPPER(TRIM(C1303)),
UPPER(TRIM(rEmisor))=""CUALQUIERA""
),
OR(
UPPER(TRIM(r"&amp;"Tipo))=""SOLO EMISOR"",
AND(
UPPER(TRIM(rTipo))=""EXACTA"",
UPPER(TRIM(D1303))=UPPER(TRIM(rPatron))
),
AND(
OR(
UPPER(TRIM(rTipo))=""CONTIENE"",
UPPER(TRIM(rTipo))=""COINCIDENCIA""
),
ISNUMBER(SEARCH(UPPER(TRIM(rPatron)),UPPER(TRIM(D1303))))
)
)
),
rConce"&amp;"pto,
""""
)
)
)&lt;&gt;""""
),
1
),
""""
)"),"PROTECCION CIVIL")</f>
        <v>PROTECCION CIVIL</v>
      </c>
      <c r="L1303" s="27"/>
      <c r="M1303" s="27"/>
      <c r="N1303" s="27"/>
      <c r="O1303" s="27"/>
      <c r="P1303" s="27"/>
      <c r="Q1303" s="27"/>
      <c r="R1303" s="27"/>
      <c r="S1303" s="27"/>
      <c r="T1303" s="27"/>
      <c r="U1303" s="27"/>
      <c r="V1303" s="27"/>
      <c r="W1303" s="27"/>
      <c r="X1303" s="27"/>
      <c r="Y1303" s="27"/>
    </row>
    <row r="1304">
      <c r="A1304" s="32"/>
      <c r="B1304" s="28" t="s">
        <v>29</v>
      </c>
      <c r="C1304" s="29" t="s">
        <v>172</v>
      </c>
      <c r="D1304" s="29" t="s">
        <v>1830</v>
      </c>
      <c r="E1304" s="30">
        <v>11500.0</v>
      </c>
      <c r="F1304" s="28">
        <v>0.0</v>
      </c>
      <c r="G1304" s="28" t="s">
        <v>250</v>
      </c>
      <c r="H1304" s="28">
        <f t="array" ref="H1304">INDEX(CC!C:C,MATCH(1,(CC!A:A=G1304)*(CC!B:B=I1304),0))</f>
        <v>1402</v>
      </c>
      <c r="I1304" s="28" t="s">
        <v>25</v>
      </c>
      <c r="J1304" s="31">
        <v>11500.0</v>
      </c>
      <c r="K1304" s="28" t="str">
        <f>IFERROR(__xludf.DUMMYFUNCTION("IFERROR(
INDEX(
FILTER(
MAP(
reglas!$B$2:$B$240,
reglas!$C$2:$C$240,
reglas!$D$2:$D$240,
reglas!$E$2:$E$240,
LAMBDA(rEmisor,rPatron,rConcepto,rTipo,
IF(
AND(
OR(
UPPER(TRIM(rEmisor))=UPPER(TRIM(C1304)),
UPPER(TRIM(rEmisor))=""CUALQUIERA""
),
OR(
UPPER(TRI"&amp;"M(rTipo))=""SOLO EMISOR"",
AND(
UPPER(TRIM(rTipo))=""EXACTA"",
UPPER(TRIM(AG1304))=UPPER(TRIM(rPatron))
),
AND(
OR(
UPPER(TRIM(rTipo))=""CONTIENE"",
UPPER(TRIM(rTipo))=""COINCIDENCIA""
),
ISNUMBER(SEARCH(UPPER(TRIM(rPatron)),UPPER(TRIM(D1304))))
)
)
),
rC"&amp;"oncepto,
""""
)
)
),
MAP(
reglas!$B$2:$B$240,
reglas!$C$2:$C$240,
reglas!$D$2:$D$240,
reglas!$E$2:$E$240,
LAMBDA(rEmisor,rPatron,rConcepto,rTipo,
IF(
AND(
OR(
UPPER(TRIM(rEmisor))=UPPER(TRIM(C1304)),
UPPER(TRIM(rEmisor))=""CUALQUIERA""
),
OR(
UPPER(TRIM(r"&amp;"Tipo))=""SOLO EMISOR"",
AND(
UPPER(TRIM(rTipo))=""EXACTA"",
UPPER(TRIM(D1304))=UPPER(TRIM(rPatron))
),
AND(
OR(
UPPER(TRIM(rTipo))=""CONTIENE"",
UPPER(TRIM(rTipo))=""COINCIDENCIA""
),
ISNUMBER(SEARCH(UPPER(TRIM(rPatron)),UPPER(TRIM(D1304))))
)
)
),
rConce"&amp;"pto,
""""
)
)
)&lt;&gt;""""
),
1
),
""""
)"),"TRANSPORTE")</f>
        <v>TRANSPORTE</v>
      </c>
      <c r="L1304" s="27"/>
      <c r="M1304" s="27"/>
      <c r="N1304" s="27"/>
      <c r="O1304" s="27"/>
      <c r="P1304" s="27"/>
      <c r="Q1304" s="27"/>
      <c r="R1304" s="27"/>
      <c r="S1304" s="27"/>
      <c r="T1304" s="27"/>
      <c r="U1304" s="27"/>
      <c r="V1304" s="27"/>
      <c r="W1304" s="27"/>
      <c r="X1304" s="27"/>
      <c r="Y1304" s="27"/>
    </row>
    <row r="1305">
      <c r="A1305" s="28">
        <v>1.0</v>
      </c>
      <c r="B1305" s="28" t="s">
        <v>29</v>
      </c>
      <c r="C1305" s="29" t="s">
        <v>271</v>
      </c>
      <c r="D1305" s="29" t="s">
        <v>585</v>
      </c>
      <c r="E1305" s="28">
        <v>620.03</v>
      </c>
      <c r="F1305" s="28">
        <v>0.0</v>
      </c>
      <c r="G1305" s="28" t="s">
        <v>84</v>
      </c>
      <c r="H1305" s="28">
        <f t="array" ref="H1305">INDEX(CC!C:C,MATCH(1,(CC!A:A=G1305)*(CC!B:B=I1305),0))</f>
        <v>1002</v>
      </c>
      <c r="I1305" s="28" t="s">
        <v>25</v>
      </c>
      <c r="J1305" s="31">
        <v>620.03</v>
      </c>
      <c r="K1305" s="28" t="str">
        <f>IFERROR(__xludf.DUMMYFUNCTION("IFERROR(
INDEX(
FILTER(
MAP(
reglas!$B$2:$B$240,
reglas!$C$2:$C$240,
reglas!$D$2:$D$240,
reglas!$E$2:$E$240,
LAMBDA(rEmisor,rPatron,rConcepto,rTipo,
IF(
AND(
OR(
UPPER(TRIM(rEmisor))=UPPER(TRIM(C1305)),
UPPER(TRIM(rEmisor))=""CUALQUIERA""
),
OR(
UPPER(TRI"&amp;"M(rTipo))=""SOLO EMISOR"",
AND(
UPPER(TRIM(rTipo))=""EXACTA"",
UPPER(TRIM(AG1305))=UPPER(TRIM(rPatron))
),
AND(
OR(
UPPER(TRIM(rTipo))=""CONTIENE"",
UPPER(TRIM(rTipo))=""COINCIDENCIA""
),
ISNUMBER(SEARCH(UPPER(TRIM(rPatron)),UPPER(TRIM(D1305))))
)
)
),
rC"&amp;"oncepto,
""""
)
)
),
MAP(
reglas!$B$2:$B$240,
reglas!$C$2:$C$240,
reglas!$D$2:$D$240,
reglas!$E$2:$E$240,
LAMBDA(rEmisor,rPatron,rConcepto,rTipo,
IF(
AND(
OR(
UPPER(TRIM(rEmisor))=UPPER(TRIM(C1305)),
UPPER(TRIM(rEmisor))=""CUALQUIERA""
),
OR(
UPPER(TRIM(r"&amp;"Tipo))=""SOLO EMISOR"",
AND(
UPPER(TRIM(rTipo))=""EXACTA"",
UPPER(TRIM(D1305))=UPPER(TRIM(rPatron))
),
AND(
OR(
UPPER(TRIM(rTipo))=""CONTIENE"",
UPPER(TRIM(rTipo))=""COINCIDENCIA""
),
ISNUMBER(SEARCH(UPPER(TRIM(rPatron)),UPPER(TRIM(D1305))))
)
)
),
rConce"&amp;"pto,
""""
)
)
)&lt;&gt;""""
),
1
),
""""
)"),"MANIOBRAS")</f>
        <v>MANIOBRAS</v>
      </c>
      <c r="L1305" s="27"/>
      <c r="M1305" s="27"/>
      <c r="N1305" s="27"/>
      <c r="O1305" s="27"/>
      <c r="P1305" s="27"/>
      <c r="Q1305" s="27"/>
      <c r="R1305" s="27"/>
      <c r="S1305" s="27"/>
      <c r="T1305" s="27"/>
      <c r="U1305" s="27"/>
      <c r="V1305" s="27"/>
      <c r="W1305" s="27"/>
      <c r="X1305" s="27"/>
      <c r="Y1305" s="27"/>
    </row>
    <row r="1306">
      <c r="A1306" s="32"/>
      <c r="B1306" s="32"/>
      <c r="C1306" s="29" t="s">
        <v>271</v>
      </c>
      <c r="D1306" s="29" t="s">
        <v>587</v>
      </c>
      <c r="E1306" s="28">
        <v>567.29</v>
      </c>
      <c r="F1306" s="28">
        <v>0.0</v>
      </c>
      <c r="G1306" s="28" t="s">
        <v>84</v>
      </c>
      <c r="H1306" s="28">
        <f t="array" ref="H1306">INDEX(CC!C:C,MATCH(1,(CC!A:A=G1306)*(CC!B:B=I1306),0))</f>
        <v>1002</v>
      </c>
      <c r="I1306" s="28" t="s">
        <v>25</v>
      </c>
      <c r="J1306" s="31">
        <v>567.29</v>
      </c>
      <c r="K1306" s="28" t="str">
        <f>IFERROR(__xludf.DUMMYFUNCTION("IFERROR(
INDEX(
FILTER(
MAP(
reglas!$B$2:$B$240,
reglas!$C$2:$C$240,
reglas!$D$2:$D$240,
reglas!$E$2:$E$240,
LAMBDA(rEmisor,rPatron,rConcepto,rTipo,
IF(
AND(
OR(
UPPER(TRIM(rEmisor))=UPPER(TRIM(C1306)),
UPPER(TRIM(rEmisor))=""CUALQUIERA""
),
OR(
UPPER(TRI"&amp;"M(rTipo))=""SOLO EMISOR"",
AND(
UPPER(TRIM(rTipo))=""EXACTA"",
UPPER(TRIM(AG1306))=UPPER(TRIM(rPatron))
),
AND(
OR(
UPPER(TRIM(rTipo))=""CONTIENE"",
UPPER(TRIM(rTipo))=""COINCIDENCIA""
),
ISNUMBER(SEARCH(UPPER(TRIM(rPatron)),UPPER(TRIM(D1306))))
)
)
),
rC"&amp;"oncepto,
""""
)
)
),
MAP(
reglas!$B$2:$B$240,
reglas!$C$2:$C$240,
reglas!$D$2:$D$240,
reglas!$E$2:$E$240,
LAMBDA(rEmisor,rPatron,rConcepto,rTipo,
IF(
AND(
OR(
UPPER(TRIM(rEmisor))=UPPER(TRIM(C1306)),
UPPER(TRIM(rEmisor))=""CUALQUIERA""
),
OR(
UPPER(TRIM(r"&amp;"Tipo))=""SOLO EMISOR"",
AND(
UPPER(TRIM(rTipo))=""EXACTA"",
UPPER(TRIM(D1306))=UPPER(TRIM(rPatron))
),
AND(
OR(
UPPER(TRIM(rTipo))=""CONTIENE"",
UPPER(TRIM(rTipo))=""COINCIDENCIA""
),
ISNUMBER(SEARCH(UPPER(TRIM(rPatron)),UPPER(TRIM(D1306))))
)
)
),
rConce"&amp;"pto,
""""
)
)
)&lt;&gt;""""
),
1
),
""""
)"),"MANIOBRAS")</f>
        <v>MANIOBRAS</v>
      </c>
      <c r="L1306" s="27"/>
      <c r="M1306" s="27"/>
      <c r="N1306" s="27"/>
      <c r="O1306" s="27"/>
      <c r="P1306" s="27"/>
      <c r="Q1306" s="27"/>
      <c r="R1306" s="27"/>
      <c r="S1306" s="27"/>
      <c r="T1306" s="27"/>
      <c r="U1306" s="27"/>
      <c r="V1306" s="27"/>
      <c r="W1306" s="27"/>
      <c r="X1306" s="27"/>
      <c r="Y1306" s="27"/>
    </row>
    <row r="1307">
      <c r="A1307" s="32"/>
      <c r="B1307" s="32"/>
      <c r="C1307" s="29" t="s">
        <v>271</v>
      </c>
      <c r="D1307" s="29" t="s">
        <v>589</v>
      </c>
      <c r="E1307" s="28">
        <v>620.37</v>
      </c>
      <c r="F1307" s="28">
        <v>0.0</v>
      </c>
      <c r="G1307" s="28" t="s">
        <v>84</v>
      </c>
      <c r="H1307" s="28">
        <f t="array" ref="H1307">INDEX(CC!C:C,MATCH(1,(CC!A:A=G1307)*(CC!B:B=I1307),0))</f>
        <v>1002</v>
      </c>
      <c r="I1307" s="28" t="s">
        <v>25</v>
      </c>
      <c r="J1307" s="31">
        <v>620.37</v>
      </c>
      <c r="K1307" s="28" t="str">
        <f>IFERROR(__xludf.DUMMYFUNCTION("IFERROR(
INDEX(
FILTER(
MAP(
reglas!$B$2:$B$240,
reglas!$C$2:$C$240,
reglas!$D$2:$D$240,
reglas!$E$2:$E$240,
LAMBDA(rEmisor,rPatron,rConcepto,rTipo,
IF(
AND(
OR(
UPPER(TRIM(rEmisor))=UPPER(TRIM(C1307)),
UPPER(TRIM(rEmisor))=""CUALQUIERA""
),
OR(
UPPER(TRI"&amp;"M(rTipo))=""SOLO EMISOR"",
AND(
UPPER(TRIM(rTipo))=""EXACTA"",
UPPER(TRIM(AG1307))=UPPER(TRIM(rPatron))
),
AND(
OR(
UPPER(TRIM(rTipo))=""CONTIENE"",
UPPER(TRIM(rTipo))=""COINCIDENCIA""
),
ISNUMBER(SEARCH(UPPER(TRIM(rPatron)),UPPER(TRIM(D1307))))
)
)
),
rC"&amp;"oncepto,
""""
)
)
),
MAP(
reglas!$B$2:$B$240,
reglas!$C$2:$C$240,
reglas!$D$2:$D$240,
reglas!$E$2:$E$240,
LAMBDA(rEmisor,rPatron,rConcepto,rTipo,
IF(
AND(
OR(
UPPER(TRIM(rEmisor))=UPPER(TRIM(C1307)),
UPPER(TRIM(rEmisor))=""CUALQUIERA""
),
OR(
UPPER(TRIM(r"&amp;"Tipo))=""SOLO EMISOR"",
AND(
UPPER(TRIM(rTipo))=""EXACTA"",
UPPER(TRIM(D1307))=UPPER(TRIM(rPatron))
),
AND(
OR(
UPPER(TRIM(rTipo))=""CONTIENE"",
UPPER(TRIM(rTipo))=""COINCIDENCIA""
),
ISNUMBER(SEARCH(UPPER(TRIM(rPatron)),UPPER(TRIM(D1307))))
)
)
),
rConce"&amp;"pto,
""""
)
)
)&lt;&gt;""""
),
1
),
""""
)"),"MANIOBRAS")</f>
        <v>MANIOBRAS</v>
      </c>
      <c r="L1307" s="27"/>
      <c r="M1307" s="27"/>
      <c r="N1307" s="27"/>
      <c r="O1307" s="27"/>
      <c r="P1307" s="27"/>
      <c r="Q1307" s="27"/>
      <c r="R1307" s="27"/>
      <c r="S1307" s="27"/>
      <c r="T1307" s="27"/>
      <c r="U1307" s="27"/>
      <c r="V1307" s="27"/>
      <c r="W1307" s="27"/>
      <c r="X1307" s="27"/>
      <c r="Y1307" s="27"/>
    </row>
    <row r="1308">
      <c r="A1308" s="32"/>
      <c r="B1308" s="32"/>
      <c r="C1308" s="29" t="s">
        <v>271</v>
      </c>
      <c r="D1308" s="29" t="s">
        <v>596</v>
      </c>
      <c r="E1308" s="28">
        <v>650.9</v>
      </c>
      <c r="F1308" s="28">
        <v>0.0</v>
      </c>
      <c r="G1308" s="28" t="s">
        <v>84</v>
      </c>
      <c r="H1308" s="28">
        <f t="array" ref="H1308">INDEX(CC!C:C,MATCH(1,(CC!A:A=G1308)*(CC!B:B=I1308),0))</f>
        <v>1002</v>
      </c>
      <c r="I1308" s="28" t="s">
        <v>25</v>
      </c>
      <c r="J1308" s="31">
        <v>650.9</v>
      </c>
      <c r="K1308" s="28" t="str">
        <f>IFERROR(__xludf.DUMMYFUNCTION("IFERROR(
INDEX(
FILTER(
MAP(
reglas!$B$2:$B$240,
reglas!$C$2:$C$240,
reglas!$D$2:$D$240,
reglas!$E$2:$E$240,
LAMBDA(rEmisor,rPatron,rConcepto,rTipo,
IF(
AND(
OR(
UPPER(TRIM(rEmisor))=UPPER(TRIM(C1308)),
UPPER(TRIM(rEmisor))=""CUALQUIERA""
),
OR(
UPPER(TRI"&amp;"M(rTipo))=""SOLO EMISOR"",
AND(
UPPER(TRIM(rTipo))=""EXACTA"",
UPPER(TRIM(AG1308))=UPPER(TRIM(rPatron))
),
AND(
OR(
UPPER(TRIM(rTipo))=""CONTIENE"",
UPPER(TRIM(rTipo))=""COINCIDENCIA""
),
ISNUMBER(SEARCH(UPPER(TRIM(rPatron)),UPPER(TRIM(D1308))))
)
)
),
rC"&amp;"oncepto,
""""
)
)
),
MAP(
reglas!$B$2:$B$240,
reglas!$C$2:$C$240,
reglas!$D$2:$D$240,
reglas!$E$2:$E$240,
LAMBDA(rEmisor,rPatron,rConcepto,rTipo,
IF(
AND(
OR(
UPPER(TRIM(rEmisor))=UPPER(TRIM(C1308)),
UPPER(TRIM(rEmisor))=""CUALQUIERA""
),
OR(
UPPER(TRIM(r"&amp;"Tipo))=""SOLO EMISOR"",
AND(
UPPER(TRIM(rTipo))=""EXACTA"",
UPPER(TRIM(D1308))=UPPER(TRIM(rPatron))
),
AND(
OR(
UPPER(TRIM(rTipo))=""CONTIENE"",
UPPER(TRIM(rTipo))=""COINCIDENCIA""
),
ISNUMBER(SEARCH(UPPER(TRIM(rPatron)),UPPER(TRIM(D1308))))
)
)
),
rConce"&amp;"pto,
""""
)
)
)&lt;&gt;""""
),
1
),
""""
)"),"MANIOBRAS")</f>
        <v>MANIOBRAS</v>
      </c>
      <c r="L1308" s="27"/>
      <c r="M1308" s="27"/>
      <c r="N1308" s="27"/>
      <c r="O1308" s="27"/>
      <c r="P1308" s="27"/>
      <c r="Q1308" s="27"/>
      <c r="R1308" s="27"/>
      <c r="S1308" s="27"/>
      <c r="T1308" s="27"/>
      <c r="U1308" s="27"/>
      <c r="V1308" s="27"/>
      <c r="W1308" s="27"/>
      <c r="X1308" s="27"/>
      <c r="Y1308" s="27"/>
    </row>
    <row r="1309">
      <c r="A1309" s="28">
        <v>1.0</v>
      </c>
      <c r="B1309" s="28" t="s">
        <v>29</v>
      </c>
      <c r="C1309" s="29" t="s">
        <v>437</v>
      </c>
      <c r="D1309" s="29" t="s">
        <v>1881</v>
      </c>
      <c r="E1309" s="30">
        <v>3391.86</v>
      </c>
      <c r="F1309" s="28">
        <v>0.0</v>
      </c>
      <c r="G1309" s="99" t="s">
        <v>250</v>
      </c>
      <c r="H1309" s="28">
        <f t="array" ref="H1309">INDEX(CC!C:C,MATCH(1,(CC!A:A=G1309)*(CC!B:B=I1309),0))</f>
        <v>1402</v>
      </c>
      <c r="I1309" s="28" t="s">
        <v>25</v>
      </c>
      <c r="J1309" s="31">
        <v>3391.86</v>
      </c>
      <c r="K1309" s="28" t="str">
        <f>IFERROR(__xludf.DUMMYFUNCTION("IFERROR(
INDEX(
FILTER(
MAP(
reglas!$B$2:$B$240,
reglas!$C$2:$C$240,
reglas!$D$2:$D$240,
reglas!$E$2:$E$240,
LAMBDA(rEmisor,rPatron,rConcepto,rTipo,
IF(
AND(
OR(
UPPER(TRIM(rEmisor))=UPPER(TRIM(C1309)),
UPPER(TRIM(rEmisor))=""CUALQUIERA""
),
OR(
UPPER(TRI"&amp;"M(rTipo))=""SOLO EMISOR"",
AND(
UPPER(TRIM(rTipo))=""EXACTA"",
UPPER(TRIM(AG1309))=UPPER(TRIM(rPatron))
),
AND(
OR(
UPPER(TRIM(rTipo))=""CONTIENE"",
UPPER(TRIM(rTipo))=""COINCIDENCIA""
),
ISNUMBER(SEARCH(UPPER(TRIM(rPatron)),UPPER(TRIM(D1309))))
)
)
),
rC"&amp;"oncepto,
""""
)
)
),
MAP(
reglas!$B$2:$B$240,
reglas!$C$2:$C$240,
reglas!$D$2:$D$240,
reglas!$E$2:$E$240,
LAMBDA(rEmisor,rPatron,rConcepto,rTipo,
IF(
AND(
OR(
UPPER(TRIM(rEmisor))=UPPER(TRIM(C1309)),
UPPER(TRIM(rEmisor))=""CUALQUIERA""
),
OR(
UPPER(TRIM(r"&amp;"Tipo))=""SOLO EMISOR"",
AND(
UPPER(TRIM(rTipo))=""EXACTA"",
UPPER(TRIM(D1309))=UPPER(TRIM(rPatron))
),
AND(
OR(
UPPER(TRIM(rTipo))=""CONTIENE"",
UPPER(TRIM(rTipo))=""COINCIDENCIA""
),
ISNUMBER(SEARCH(UPPER(TRIM(rPatron)),UPPER(TRIM(D1309))))
)
)
),
rConce"&amp;"pto,
""""
)
)
)&lt;&gt;""""
),
1
),
""""
)"),"MANIOBRAS")</f>
        <v>MANIOBRAS</v>
      </c>
      <c r="L1309" s="27"/>
      <c r="M1309" s="27"/>
      <c r="N1309" s="27"/>
      <c r="O1309" s="27"/>
      <c r="P1309" s="27"/>
      <c r="Q1309" s="27"/>
      <c r="R1309" s="27"/>
      <c r="S1309" s="27"/>
      <c r="T1309" s="27"/>
      <c r="U1309" s="27"/>
      <c r="V1309" s="27"/>
      <c r="W1309" s="27"/>
      <c r="X1309" s="27"/>
      <c r="Y1309" s="27"/>
    </row>
    <row r="1310">
      <c r="A1310" s="32"/>
      <c r="B1310" s="28" t="s">
        <v>29</v>
      </c>
      <c r="C1310" s="29" t="s">
        <v>172</v>
      </c>
      <c r="D1310" s="29" t="s">
        <v>1830</v>
      </c>
      <c r="E1310" s="30">
        <v>11500.0</v>
      </c>
      <c r="F1310" s="28">
        <v>0.0</v>
      </c>
      <c r="G1310" s="28" t="s">
        <v>250</v>
      </c>
      <c r="H1310" s="28">
        <f t="array" ref="H1310">INDEX(CC!C:C,MATCH(1,(CC!A:A=G1310)*(CC!B:B=I1310),0))</f>
        <v>1402</v>
      </c>
      <c r="I1310" s="28" t="s">
        <v>25</v>
      </c>
      <c r="J1310" s="31">
        <v>11500.0</v>
      </c>
      <c r="K1310" s="28" t="str">
        <f>IFERROR(__xludf.DUMMYFUNCTION("IFERROR(
INDEX(
FILTER(
MAP(
reglas!$B$2:$B$240,
reglas!$C$2:$C$240,
reglas!$D$2:$D$240,
reglas!$E$2:$E$240,
LAMBDA(rEmisor,rPatron,rConcepto,rTipo,
IF(
AND(
OR(
UPPER(TRIM(rEmisor))=UPPER(TRIM(C1310)),
UPPER(TRIM(rEmisor))=""CUALQUIERA""
),
OR(
UPPER(TRI"&amp;"M(rTipo))=""SOLO EMISOR"",
AND(
UPPER(TRIM(rTipo))=""EXACTA"",
UPPER(TRIM(AG1310))=UPPER(TRIM(rPatron))
),
AND(
OR(
UPPER(TRIM(rTipo))=""CONTIENE"",
UPPER(TRIM(rTipo))=""COINCIDENCIA""
),
ISNUMBER(SEARCH(UPPER(TRIM(rPatron)),UPPER(TRIM(D1310))))
)
)
),
rC"&amp;"oncepto,
""""
)
)
),
MAP(
reglas!$B$2:$B$240,
reglas!$C$2:$C$240,
reglas!$D$2:$D$240,
reglas!$E$2:$E$240,
LAMBDA(rEmisor,rPatron,rConcepto,rTipo,
IF(
AND(
OR(
UPPER(TRIM(rEmisor))=UPPER(TRIM(C1310)),
UPPER(TRIM(rEmisor))=""CUALQUIERA""
),
OR(
UPPER(TRIM(r"&amp;"Tipo))=""SOLO EMISOR"",
AND(
UPPER(TRIM(rTipo))=""EXACTA"",
UPPER(TRIM(D1310))=UPPER(TRIM(rPatron))
),
AND(
OR(
UPPER(TRIM(rTipo))=""CONTIENE"",
UPPER(TRIM(rTipo))=""COINCIDENCIA""
),
ISNUMBER(SEARCH(UPPER(TRIM(rPatron)),UPPER(TRIM(D1310))))
)
)
),
rConce"&amp;"pto,
""""
)
)
)&lt;&gt;""""
),
1
),
""""
)"),"TRANSPORTE")</f>
        <v>TRANSPORTE</v>
      </c>
      <c r="L1310" s="27"/>
      <c r="M1310" s="27"/>
      <c r="N1310" s="27"/>
      <c r="O1310" s="27"/>
      <c r="P1310" s="27"/>
      <c r="Q1310" s="27"/>
      <c r="R1310" s="27"/>
      <c r="S1310" s="27"/>
      <c r="T1310" s="27"/>
      <c r="U1310" s="27"/>
      <c r="V1310" s="27"/>
      <c r="W1310" s="27"/>
      <c r="X1310" s="27"/>
      <c r="Y1310" s="27"/>
    </row>
    <row r="1311">
      <c r="A1311" s="28">
        <v>1.0</v>
      </c>
      <c r="B1311" s="28" t="s">
        <v>29</v>
      </c>
      <c r="C1311" s="29" t="s">
        <v>281</v>
      </c>
      <c r="D1311" s="29" t="s">
        <v>1882</v>
      </c>
      <c r="E1311" s="28">
        <v>700.0</v>
      </c>
      <c r="F1311" s="28">
        <v>0.0</v>
      </c>
      <c r="G1311" s="99" t="s">
        <v>84</v>
      </c>
      <c r="H1311" s="28">
        <f t="array" ref="H1311">INDEX(CC!C:C,MATCH(1,(CC!A:A=G1311)*(CC!B:B=I1311),0))</f>
        <v>1002</v>
      </c>
      <c r="I1311" s="28" t="s">
        <v>25</v>
      </c>
      <c r="J1311" s="31">
        <v>700.0</v>
      </c>
      <c r="K1311" s="28" t="str">
        <f>IFERROR(__xludf.DUMMYFUNCTION("IFERROR(
INDEX(
FILTER(
MAP(
reglas!$B$2:$B$240,
reglas!$C$2:$C$240,
reglas!$D$2:$D$240,
reglas!$E$2:$E$240,
LAMBDA(rEmisor,rPatron,rConcepto,rTipo,
IF(
AND(
OR(
UPPER(TRIM(rEmisor))=UPPER(TRIM(C1311)),
UPPER(TRIM(rEmisor))=""CUALQUIERA""
),
OR(
UPPER(TRI"&amp;"M(rTipo))=""SOLO EMISOR"",
AND(
UPPER(TRIM(rTipo))=""EXACTA"",
UPPER(TRIM(AG1311))=UPPER(TRIM(rPatron))
),
AND(
OR(
UPPER(TRIM(rTipo))=""CONTIENE"",
UPPER(TRIM(rTipo))=""COINCIDENCIA""
),
ISNUMBER(SEARCH(UPPER(TRIM(rPatron)),UPPER(TRIM(D1311))))
)
)
),
rC"&amp;"oncepto,
""""
)
)
),
MAP(
reglas!$B$2:$B$240,
reglas!$C$2:$C$240,
reglas!$D$2:$D$240,
reglas!$E$2:$E$240,
LAMBDA(rEmisor,rPatron,rConcepto,rTipo,
IF(
AND(
OR(
UPPER(TRIM(rEmisor))=UPPER(TRIM(C1311)),
UPPER(TRIM(rEmisor))=""CUALQUIERA""
),
OR(
UPPER(TRIM(r"&amp;"Tipo))=""SOLO EMISOR"",
AND(
UPPER(TRIM(rTipo))=""EXACTA"",
UPPER(TRIM(D1311))=UPPER(TRIM(rPatron))
),
AND(
OR(
UPPER(TRIM(rTipo))=""CONTIENE"",
UPPER(TRIM(rTipo))=""COINCIDENCIA""
),
ISNUMBER(SEARCH(UPPER(TRIM(rPatron)),UPPER(TRIM(D1311))))
)
)
),
rConce"&amp;"pto,
""""
)
)
)&lt;&gt;""""
),
1
),
""""
)"),"TRANSPORTE")</f>
        <v>TRANSPORTE</v>
      </c>
      <c r="L1311" s="27"/>
      <c r="M1311" s="27"/>
      <c r="N1311" s="27"/>
      <c r="O1311" s="27"/>
      <c r="P1311" s="27"/>
      <c r="Q1311" s="27"/>
      <c r="R1311" s="27"/>
      <c r="S1311" s="27"/>
      <c r="T1311" s="27"/>
      <c r="U1311" s="27"/>
      <c r="V1311" s="27"/>
      <c r="W1311" s="27"/>
      <c r="X1311" s="27"/>
      <c r="Y1311" s="27"/>
    </row>
    <row r="1312">
      <c r="A1312" s="32"/>
      <c r="B1312" s="28" t="s">
        <v>29</v>
      </c>
      <c r="C1312" s="29" t="s">
        <v>172</v>
      </c>
      <c r="D1312" s="29" t="s">
        <v>1852</v>
      </c>
      <c r="E1312" s="30">
        <v>11500.0</v>
      </c>
      <c r="F1312" s="28">
        <v>0.0</v>
      </c>
      <c r="G1312" s="28" t="s">
        <v>250</v>
      </c>
      <c r="H1312" s="28">
        <f t="array" ref="H1312">INDEX(CC!C:C,MATCH(1,(CC!A:A=G1312)*(CC!B:B=I1312),0))</f>
        <v>1402</v>
      </c>
      <c r="I1312" s="28" t="s">
        <v>25</v>
      </c>
      <c r="J1312" s="31">
        <v>11500.0</v>
      </c>
      <c r="K1312" s="28" t="str">
        <f>IFERROR(__xludf.DUMMYFUNCTION("IFERROR(
INDEX(
FILTER(
MAP(
reglas!$B$2:$B$240,
reglas!$C$2:$C$240,
reglas!$D$2:$D$240,
reglas!$E$2:$E$240,
LAMBDA(rEmisor,rPatron,rConcepto,rTipo,
IF(
AND(
OR(
UPPER(TRIM(rEmisor))=UPPER(TRIM(C1312)),
UPPER(TRIM(rEmisor))=""CUALQUIERA""
),
OR(
UPPER(TRI"&amp;"M(rTipo))=""SOLO EMISOR"",
AND(
UPPER(TRIM(rTipo))=""EXACTA"",
UPPER(TRIM(AG1312))=UPPER(TRIM(rPatron))
),
AND(
OR(
UPPER(TRIM(rTipo))=""CONTIENE"",
UPPER(TRIM(rTipo))=""COINCIDENCIA""
),
ISNUMBER(SEARCH(UPPER(TRIM(rPatron)),UPPER(TRIM(D1312))))
)
)
),
rC"&amp;"oncepto,
""""
)
)
),
MAP(
reglas!$B$2:$B$240,
reglas!$C$2:$C$240,
reglas!$D$2:$D$240,
reglas!$E$2:$E$240,
LAMBDA(rEmisor,rPatron,rConcepto,rTipo,
IF(
AND(
OR(
UPPER(TRIM(rEmisor))=UPPER(TRIM(C1312)),
UPPER(TRIM(rEmisor))=""CUALQUIERA""
),
OR(
UPPER(TRIM(r"&amp;"Tipo))=""SOLO EMISOR"",
AND(
UPPER(TRIM(rTipo))=""EXACTA"",
UPPER(TRIM(D1312))=UPPER(TRIM(rPatron))
),
AND(
OR(
UPPER(TRIM(rTipo))=""CONTIENE"",
UPPER(TRIM(rTipo))=""COINCIDENCIA""
),
ISNUMBER(SEARCH(UPPER(TRIM(rPatron)),UPPER(TRIM(D1312))))
)
)
),
rConce"&amp;"pto,
""""
)
)
)&lt;&gt;""""
),
1
),
""""
)"),"TRANSPORTE")</f>
        <v>TRANSPORTE</v>
      </c>
      <c r="L1312" s="27"/>
      <c r="M1312" s="27"/>
      <c r="N1312" s="27"/>
      <c r="O1312" s="27"/>
      <c r="P1312" s="27"/>
      <c r="Q1312" s="27"/>
      <c r="R1312" s="27"/>
      <c r="S1312" s="27"/>
      <c r="T1312" s="27"/>
      <c r="U1312" s="27"/>
      <c r="V1312" s="27"/>
      <c r="W1312" s="27"/>
      <c r="X1312" s="27"/>
      <c r="Y1312" s="27"/>
    </row>
    <row r="1313">
      <c r="A1313" s="32"/>
      <c r="B1313" s="28" t="s">
        <v>29</v>
      </c>
      <c r="C1313" s="29" t="s">
        <v>172</v>
      </c>
      <c r="D1313" s="29" t="s">
        <v>1491</v>
      </c>
      <c r="E1313" s="30">
        <v>14000.0</v>
      </c>
      <c r="F1313" s="28">
        <v>0.0</v>
      </c>
      <c r="G1313" s="28" t="s">
        <v>250</v>
      </c>
      <c r="H1313" s="28">
        <f t="array" ref="H1313">INDEX(CC!C:C,MATCH(1,(CC!A:A=G1313)*(CC!B:B=I1313),0))</f>
        <v>1402</v>
      </c>
      <c r="I1313" s="28" t="s">
        <v>25</v>
      </c>
      <c r="J1313" s="31">
        <v>14000.0</v>
      </c>
      <c r="K1313" s="28" t="str">
        <f>IFERROR(__xludf.DUMMYFUNCTION("IFERROR(
INDEX(
FILTER(
MAP(
reglas!$B$2:$B$240,
reglas!$C$2:$C$240,
reglas!$D$2:$D$240,
reglas!$E$2:$E$240,
LAMBDA(rEmisor,rPatron,rConcepto,rTipo,
IF(
AND(
OR(
UPPER(TRIM(rEmisor))=UPPER(TRIM(C1313)),
UPPER(TRIM(rEmisor))=""CUALQUIERA""
),
OR(
UPPER(TRI"&amp;"M(rTipo))=""SOLO EMISOR"",
AND(
UPPER(TRIM(rTipo))=""EXACTA"",
UPPER(TRIM(AG1313))=UPPER(TRIM(rPatron))
),
AND(
OR(
UPPER(TRIM(rTipo))=""CONTIENE"",
UPPER(TRIM(rTipo))=""COINCIDENCIA""
),
ISNUMBER(SEARCH(UPPER(TRIM(rPatron)),UPPER(TRIM(D1313))))
)
)
),
rC"&amp;"oncepto,
""""
)
)
),
MAP(
reglas!$B$2:$B$240,
reglas!$C$2:$C$240,
reglas!$D$2:$D$240,
reglas!$E$2:$E$240,
LAMBDA(rEmisor,rPatron,rConcepto,rTipo,
IF(
AND(
OR(
UPPER(TRIM(rEmisor))=UPPER(TRIM(C1313)),
UPPER(TRIM(rEmisor))=""CUALQUIERA""
),
OR(
UPPER(TRIM(r"&amp;"Tipo))=""SOLO EMISOR"",
AND(
UPPER(TRIM(rTipo))=""EXACTA"",
UPPER(TRIM(D1313))=UPPER(TRIM(rPatron))
),
AND(
OR(
UPPER(TRIM(rTipo))=""CONTIENE"",
UPPER(TRIM(rTipo))=""COINCIDENCIA""
),
ISNUMBER(SEARCH(UPPER(TRIM(rPatron)),UPPER(TRIM(D1313))))
)
)
),
rConce"&amp;"pto,
""""
)
)
)&lt;&gt;""""
),
1
),
""""
)"),"TRANSPORTE")</f>
        <v>TRANSPORTE</v>
      </c>
      <c r="L1313" s="27"/>
      <c r="M1313" s="27"/>
      <c r="N1313" s="27"/>
      <c r="O1313" s="27"/>
      <c r="P1313" s="27"/>
      <c r="Q1313" s="27"/>
      <c r="R1313" s="27"/>
      <c r="S1313" s="27"/>
      <c r="T1313" s="27"/>
      <c r="U1313" s="27"/>
      <c r="V1313" s="27"/>
      <c r="W1313" s="27"/>
      <c r="X1313" s="27"/>
      <c r="Y1313" s="27"/>
    </row>
    <row r="1314">
      <c r="A1314" s="32"/>
      <c r="B1314" s="28" t="s">
        <v>29</v>
      </c>
      <c r="C1314" s="29" t="s">
        <v>172</v>
      </c>
      <c r="D1314" s="29" t="s">
        <v>1853</v>
      </c>
      <c r="E1314" s="30">
        <v>11500.0</v>
      </c>
      <c r="F1314" s="28">
        <v>0.0</v>
      </c>
      <c r="G1314" s="28" t="s">
        <v>250</v>
      </c>
      <c r="H1314" s="28">
        <f t="array" ref="H1314">INDEX(CC!C:C,MATCH(1,(CC!A:A=G1314)*(CC!B:B=I1314),0))</f>
        <v>1402</v>
      </c>
      <c r="I1314" s="28" t="s">
        <v>25</v>
      </c>
      <c r="J1314" s="31">
        <v>11500.0</v>
      </c>
      <c r="K1314" s="28" t="str">
        <f>IFERROR(__xludf.DUMMYFUNCTION("IFERROR(
INDEX(
FILTER(
MAP(
reglas!$B$2:$B$240,
reglas!$C$2:$C$240,
reglas!$D$2:$D$240,
reglas!$E$2:$E$240,
LAMBDA(rEmisor,rPatron,rConcepto,rTipo,
IF(
AND(
OR(
UPPER(TRIM(rEmisor))=UPPER(TRIM(C1314)),
UPPER(TRIM(rEmisor))=""CUALQUIERA""
),
OR(
UPPER(TRI"&amp;"M(rTipo))=""SOLO EMISOR"",
AND(
UPPER(TRIM(rTipo))=""EXACTA"",
UPPER(TRIM(AG1314))=UPPER(TRIM(rPatron))
),
AND(
OR(
UPPER(TRIM(rTipo))=""CONTIENE"",
UPPER(TRIM(rTipo))=""COINCIDENCIA""
),
ISNUMBER(SEARCH(UPPER(TRIM(rPatron)),UPPER(TRIM(D1314))))
)
)
),
rC"&amp;"oncepto,
""""
)
)
),
MAP(
reglas!$B$2:$B$240,
reglas!$C$2:$C$240,
reglas!$D$2:$D$240,
reglas!$E$2:$E$240,
LAMBDA(rEmisor,rPatron,rConcepto,rTipo,
IF(
AND(
OR(
UPPER(TRIM(rEmisor))=UPPER(TRIM(C1314)),
UPPER(TRIM(rEmisor))=""CUALQUIERA""
),
OR(
UPPER(TRIM(r"&amp;"Tipo))=""SOLO EMISOR"",
AND(
UPPER(TRIM(rTipo))=""EXACTA"",
UPPER(TRIM(D1314))=UPPER(TRIM(rPatron))
),
AND(
OR(
UPPER(TRIM(rTipo))=""CONTIENE"",
UPPER(TRIM(rTipo))=""COINCIDENCIA""
),
ISNUMBER(SEARCH(UPPER(TRIM(rPatron)),UPPER(TRIM(D1314))))
)
)
),
rConce"&amp;"pto,
""""
)
)
)&lt;&gt;""""
),
1
),
""""
)"),"TRANSPORTE")</f>
        <v>TRANSPORTE</v>
      </c>
      <c r="L1314" s="27"/>
      <c r="M1314" s="27"/>
      <c r="N1314" s="27"/>
      <c r="O1314" s="27"/>
      <c r="P1314" s="27"/>
      <c r="Q1314" s="27"/>
      <c r="R1314" s="27"/>
      <c r="S1314" s="27"/>
      <c r="T1314" s="27"/>
      <c r="U1314" s="27"/>
      <c r="V1314" s="27"/>
      <c r="W1314" s="27"/>
      <c r="X1314" s="27"/>
      <c r="Y1314" s="27"/>
    </row>
    <row r="1315">
      <c r="A1315" s="28">
        <v>1.0</v>
      </c>
      <c r="B1315" s="28" t="s">
        <v>29</v>
      </c>
      <c r="C1315" s="29" t="s">
        <v>254</v>
      </c>
      <c r="D1315" s="29" t="s">
        <v>1856</v>
      </c>
      <c r="E1315" s="28">
        <v>73.0</v>
      </c>
      <c r="F1315" s="28">
        <v>0.0</v>
      </c>
      <c r="G1315" s="28" t="s">
        <v>84</v>
      </c>
      <c r="H1315" s="28">
        <f t="array" ref="H1315">INDEX(CC!C:C,MATCH(1,(CC!A:A=G1315)*(CC!B:B=I1315),0))</f>
        <v>1002</v>
      </c>
      <c r="I1315" s="28" t="s">
        <v>25</v>
      </c>
      <c r="J1315" s="31">
        <v>73.0</v>
      </c>
      <c r="K1315" s="28" t="str">
        <f>IFERROR(__xludf.DUMMYFUNCTION("IFERROR(
INDEX(
FILTER(
MAP(
reglas!$B$2:$B$240,
reglas!$C$2:$C$240,
reglas!$D$2:$D$240,
reglas!$E$2:$E$240,
LAMBDA(rEmisor,rPatron,rConcepto,rTipo,
IF(
AND(
OR(
UPPER(TRIM(rEmisor))=UPPER(TRIM(C1315)),
UPPER(TRIM(rEmisor))=""CUALQUIERA""
),
OR(
UPPER(TRI"&amp;"M(rTipo))=""SOLO EMISOR"",
AND(
UPPER(TRIM(rTipo))=""EXACTA"",
UPPER(TRIM(AG1315))=UPPER(TRIM(rPatron))
),
AND(
OR(
UPPER(TRIM(rTipo))=""CONTIENE"",
UPPER(TRIM(rTipo))=""COINCIDENCIA""
),
ISNUMBER(SEARCH(UPPER(TRIM(rPatron)),UPPER(TRIM(D1315))))
)
)
),
rC"&amp;"oncepto,
""""
)
)
),
MAP(
reglas!$B$2:$B$240,
reglas!$C$2:$C$240,
reglas!$D$2:$D$240,
reglas!$E$2:$E$240,
LAMBDA(rEmisor,rPatron,rConcepto,rTipo,
IF(
AND(
OR(
UPPER(TRIM(rEmisor))=UPPER(TRIM(C1315)),
UPPER(TRIM(rEmisor))=""CUALQUIERA""
),
OR(
UPPER(TRIM(r"&amp;"Tipo))=""SOLO EMISOR"",
AND(
UPPER(TRIM(rTipo))=""EXACTA"",
UPPER(TRIM(D1315))=UPPER(TRIM(rPatron))
),
AND(
OR(
UPPER(TRIM(rTipo))=""CONTIENE"",
UPPER(TRIM(rTipo))=""COINCIDENCIA""
),
ISNUMBER(SEARCH(UPPER(TRIM(rPatron)),UPPER(TRIM(D1315))))
)
)
),
rConce"&amp;"pto,
""""
)
)
)&lt;&gt;""""
),
1
),
""""
)"),"SEGURIDAD")</f>
        <v>SEGURIDAD</v>
      </c>
      <c r="L1315" s="27"/>
      <c r="M1315" s="27"/>
      <c r="N1315" s="27"/>
      <c r="O1315" s="27"/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</row>
    <row r="1316">
      <c r="A1316" s="32"/>
      <c r="B1316" s="32"/>
      <c r="C1316" s="29" t="s">
        <v>254</v>
      </c>
      <c r="D1316" s="29" t="s">
        <v>1857</v>
      </c>
      <c r="E1316" s="30">
        <v>1849.0</v>
      </c>
      <c r="F1316" s="28">
        <v>462.25</v>
      </c>
      <c r="G1316" s="28" t="s">
        <v>84</v>
      </c>
      <c r="H1316" s="28">
        <f t="array" ref="H1316">INDEX(CC!C:C,MATCH(1,(CC!A:A=G1316)*(CC!B:B=I1316),0))</f>
        <v>1002</v>
      </c>
      <c r="I1316" s="28" t="s">
        <v>25</v>
      </c>
      <c r="J1316" s="31">
        <v>1386.75</v>
      </c>
      <c r="K1316" s="28" t="str">
        <f>IFERROR(__xludf.DUMMYFUNCTION("IFERROR(
INDEX(
FILTER(
MAP(
reglas!$B$2:$B$240,
reglas!$C$2:$C$240,
reglas!$D$2:$D$240,
reglas!$E$2:$E$240,
LAMBDA(rEmisor,rPatron,rConcepto,rTipo,
IF(
AND(
OR(
UPPER(TRIM(rEmisor))=UPPER(TRIM(C1316)),
UPPER(TRIM(rEmisor))=""CUALQUIERA""
),
OR(
UPPER(TRI"&amp;"M(rTipo))=""SOLO EMISOR"",
AND(
UPPER(TRIM(rTipo))=""EXACTA"",
UPPER(TRIM(AG1316))=UPPER(TRIM(rPatron))
),
AND(
OR(
UPPER(TRIM(rTipo))=""CONTIENE"",
UPPER(TRIM(rTipo))=""COINCIDENCIA""
),
ISNUMBER(SEARCH(UPPER(TRIM(rPatron)),UPPER(TRIM(D1316))))
)
)
),
rC"&amp;"oncepto,
""""
)
)
),
MAP(
reglas!$B$2:$B$240,
reglas!$C$2:$C$240,
reglas!$D$2:$D$240,
reglas!$E$2:$E$240,
LAMBDA(rEmisor,rPatron,rConcepto,rTipo,
IF(
AND(
OR(
UPPER(TRIM(rEmisor))=UPPER(TRIM(C1316)),
UPPER(TRIM(rEmisor))=""CUALQUIERA""
),
OR(
UPPER(TRIM(r"&amp;"Tipo))=""SOLO EMISOR"",
AND(
UPPER(TRIM(rTipo))=""EXACTA"",
UPPER(TRIM(D1316))=UPPER(TRIM(rPatron))
),
AND(
OR(
UPPER(TRIM(rTipo))=""CONTIENE"",
UPPER(TRIM(rTipo))=""COINCIDENCIA""
),
ISNUMBER(SEARCH(UPPER(TRIM(rPatron)),UPPER(TRIM(D1316))))
)
)
),
rConce"&amp;"pto,
""""
)
)
)&lt;&gt;""""
),
1
),
""""
)"),"SEGURIDAD")</f>
        <v>SEGURIDAD</v>
      </c>
      <c r="L1316" s="27"/>
      <c r="M1316" s="27"/>
      <c r="N1316" s="27"/>
      <c r="O1316" s="27"/>
      <c r="P1316" s="27"/>
      <c r="Q1316" s="27"/>
      <c r="R1316" s="27"/>
      <c r="S1316" s="27"/>
      <c r="T1316" s="27"/>
      <c r="U1316" s="27"/>
      <c r="V1316" s="27"/>
      <c r="W1316" s="27"/>
      <c r="X1316" s="27"/>
      <c r="Y1316" s="27"/>
    </row>
    <row r="1317">
      <c r="A1317" s="32"/>
      <c r="B1317" s="28" t="s">
        <v>29</v>
      </c>
      <c r="C1317" s="29" t="s">
        <v>213</v>
      </c>
      <c r="D1317" s="29" t="s">
        <v>1883</v>
      </c>
      <c r="E1317" s="30">
        <v>13200.0</v>
      </c>
      <c r="F1317" s="28">
        <v>0.0</v>
      </c>
      <c r="G1317" s="99" t="s">
        <v>225</v>
      </c>
      <c r="H1317" s="28">
        <f t="array" ref="H1317">INDEX(CC!C:C,MATCH(1,(CC!A:A=G1317)*(CC!B:B=I1317),0))</f>
        <v>102</v>
      </c>
      <c r="I1317" s="99" t="s">
        <v>25</v>
      </c>
      <c r="J1317" s="31">
        <v>13200.0</v>
      </c>
      <c r="K1317" s="28" t="str">
        <f>IFERROR(__xludf.DUMMYFUNCTION("IFERROR(
INDEX(
FILTER(
MAP(
reglas!$B$2:$B$240,
reglas!$C$2:$C$240,
reglas!$D$2:$D$240,
reglas!$E$2:$E$240,
LAMBDA(rEmisor,rPatron,rConcepto,rTipo,
IF(
AND(
OR(
UPPER(TRIM(rEmisor))=UPPER(TRIM(C1317)),
UPPER(TRIM(rEmisor))=""CUALQUIERA""
),
OR(
UPPER(TRI"&amp;"M(rTipo))=""SOLO EMISOR"",
AND(
UPPER(TRIM(rTipo))=""EXACTA"",
UPPER(TRIM(AG1317))=UPPER(TRIM(rPatron))
),
AND(
OR(
UPPER(TRIM(rTipo))=""CONTIENE"",
UPPER(TRIM(rTipo))=""COINCIDENCIA""
),
ISNUMBER(SEARCH(UPPER(TRIM(rPatron)),UPPER(TRIM(D1317))))
)
)
),
rC"&amp;"oncepto,
""""
)
)
),
MAP(
reglas!$B$2:$B$240,
reglas!$C$2:$C$240,
reglas!$D$2:$D$240,
reglas!$E$2:$E$240,
LAMBDA(rEmisor,rPatron,rConcepto,rTipo,
IF(
AND(
OR(
UPPER(TRIM(rEmisor))=UPPER(TRIM(C1317)),
UPPER(TRIM(rEmisor))=""CUALQUIERA""
),
OR(
UPPER(TRIM(r"&amp;"Tipo))=""SOLO EMISOR"",
AND(
UPPER(TRIM(rTipo))=""EXACTA"",
UPPER(TRIM(D1317))=UPPER(TRIM(rPatron))
),
AND(
OR(
UPPER(TRIM(rTipo))=""CONTIENE"",
UPPER(TRIM(rTipo))=""COINCIDENCIA""
),
ISNUMBER(SEARCH(UPPER(TRIM(rPatron)),UPPER(TRIM(D1317))))
)
)
),
rConce"&amp;"pto,
""""
)
)
)&lt;&gt;""""
),
1
),
""""
)"),"OTRAS ASESORIAS")</f>
        <v>OTRAS ASESORIAS</v>
      </c>
      <c r="L1317" s="27"/>
      <c r="M1317" s="27"/>
      <c r="N1317" s="27"/>
      <c r="O1317" s="27"/>
      <c r="P1317" s="27"/>
      <c r="Q1317" s="27"/>
      <c r="R1317" s="27"/>
      <c r="S1317" s="27"/>
      <c r="T1317" s="27"/>
      <c r="U1317" s="27"/>
      <c r="V1317" s="27"/>
      <c r="W1317" s="27"/>
      <c r="X1317" s="27"/>
      <c r="Y1317" s="27"/>
    </row>
    <row r="1318">
      <c r="A1318" s="32"/>
      <c r="B1318" s="28" t="s">
        <v>29</v>
      </c>
      <c r="C1318" s="29" t="s">
        <v>96</v>
      </c>
      <c r="D1318" s="29" t="s">
        <v>893</v>
      </c>
      <c r="E1318" s="30">
        <v>14861.37</v>
      </c>
      <c r="F1318" s="28">
        <v>0.0</v>
      </c>
      <c r="G1318" s="28" t="s">
        <v>74</v>
      </c>
      <c r="H1318" s="28">
        <f t="array" ref="H1318">INDEX(CC!C:C,MATCH(1,(CC!A:A=G1318)*(CC!B:B=I1318),0))</f>
        <v>1503</v>
      </c>
      <c r="I1318" s="28" t="s">
        <v>44</v>
      </c>
      <c r="J1318" s="31">
        <v>14861.37</v>
      </c>
      <c r="K1318" s="28" t="str">
        <f>IFERROR(__xludf.DUMMYFUNCTION("IFERROR(
INDEX(
FILTER(
MAP(
reglas!$B$2:$B$240,
reglas!$C$2:$C$240,
reglas!$D$2:$D$240,
reglas!$E$2:$E$240,
LAMBDA(rEmisor,rPatron,rConcepto,rTipo,
IF(
AND(
OR(
UPPER(TRIM(rEmisor))=UPPER(TRIM(C1318)),
UPPER(TRIM(rEmisor))=""CUALQUIERA""
),
OR(
UPPER(TRI"&amp;"M(rTipo))=""SOLO EMISOR"",
AND(
UPPER(TRIM(rTipo))=""EXACTA"",
UPPER(TRIM(AG1318))=UPPER(TRIM(rPatron))
),
AND(
OR(
UPPER(TRIM(rTipo))=""CONTIENE"",
UPPER(TRIM(rTipo))=""COINCIDENCIA""
),
ISNUMBER(SEARCH(UPPER(TRIM(rPatron)),UPPER(TRIM(D1318))))
)
)
),
rC"&amp;"oncepto,
""""
)
)
),
MAP(
reglas!$B$2:$B$240,
reglas!$C$2:$C$240,
reglas!$D$2:$D$240,
reglas!$E$2:$E$240,
LAMBDA(rEmisor,rPatron,rConcepto,rTipo,
IF(
AND(
OR(
UPPER(TRIM(rEmisor))=UPPER(TRIM(C1318)),
UPPER(TRIM(rEmisor))=""CUALQUIERA""
),
OR(
UPPER(TRIM(r"&amp;"Tipo))=""SOLO EMISOR"",
AND(
UPPER(TRIM(rTipo))=""EXACTA"",
UPPER(TRIM(D1318))=UPPER(TRIM(rPatron))
),
AND(
OR(
UPPER(TRIM(rTipo))=""CONTIENE"",
UPPER(TRIM(rTipo))=""COINCIDENCIA""
),
ISNUMBER(SEARCH(UPPER(TRIM(rPatron)),UPPER(TRIM(D1318))))
)
)
),
rConce"&amp;"pto,
""""
)
)
)&lt;&gt;""""
),
1
),
""""
)"),"GUIAS")</f>
        <v>GUIAS</v>
      </c>
      <c r="L1318" s="27"/>
      <c r="M1318" s="27"/>
      <c r="N1318" s="27"/>
      <c r="O1318" s="27"/>
      <c r="P1318" s="27"/>
      <c r="Q1318" s="27"/>
      <c r="R1318" s="27"/>
      <c r="S1318" s="27"/>
      <c r="T1318" s="27"/>
      <c r="U1318" s="27"/>
      <c r="V1318" s="27"/>
      <c r="W1318" s="27"/>
      <c r="X1318" s="27"/>
      <c r="Y1318" s="27"/>
    </row>
    <row r="1319">
      <c r="A1319" s="32"/>
      <c r="B1319" s="28" t="s">
        <v>29</v>
      </c>
      <c r="C1319" s="29" t="s">
        <v>278</v>
      </c>
      <c r="D1319" s="29" t="s">
        <v>560</v>
      </c>
      <c r="E1319" s="30">
        <v>3500.0</v>
      </c>
      <c r="F1319" s="28">
        <v>0.0</v>
      </c>
      <c r="G1319" s="28" t="s">
        <v>250</v>
      </c>
      <c r="H1319" s="28">
        <f t="array" ref="H1319">INDEX(CC!C:C,MATCH(1,(CC!A:A=G1319)*(CC!B:B=I1319),0))</f>
        <v>1402</v>
      </c>
      <c r="I1319" s="28" t="s">
        <v>25</v>
      </c>
      <c r="J1319" s="31">
        <v>3500.0</v>
      </c>
      <c r="K1319" s="28" t="str">
        <f>IFERROR(__xludf.DUMMYFUNCTION("IFERROR(
INDEX(
FILTER(
MAP(
reglas!$B$2:$B$240,
reglas!$C$2:$C$240,
reglas!$D$2:$D$240,
reglas!$E$2:$E$240,
LAMBDA(rEmisor,rPatron,rConcepto,rTipo,
IF(
AND(
OR(
UPPER(TRIM(rEmisor))=UPPER(TRIM(C1319)),
UPPER(TRIM(rEmisor))=""CUALQUIERA""
),
OR(
UPPER(TRI"&amp;"M(rTipo))=""SOLO EMISOR"",
AND(
UPPER(TRIM(rTipo))=""EXACTA"",
UPPER(TRIM(AG1319))=UPPER(TRIM(rPatron))
),
AND(
OR(
UPPER(TRIM(rTipo))=""CONTIENE"",
UPPER(TRIM(rTipo))=""COINCIDENCIA""
),
ISNUMBER(SEARCH(UPPER(TRIM(rPatron)),UPPER(TRIM(D1319))))
)
)
),
rC"&amp;"oncepto,
""""
)
)
),
MAP(
reglas!$B$2:$B$240,
reglas!$C$2:$C$240,
reglas!$D$2:$D$240,
reglas!$E$2:$E$240,
LAMBDA(rEmisor,rPatron,rConcepto,rTipo,
IF(
AND(
OR(
UPPER(TRIM(rEmisor))=UPPER(TRIM(C1319)),
UPPER(TRIM(rEmisor))=""CUALQUIERA""
),
OR(
UPPER(TRIM(r"&amp;"Tipo))=""SOLO EMISOR"",
AND(
UPPER(TRIM(rTipo))=""EXACTA"",
UPPER(TRIM(D1319))=UPPER(TRIM(rPatron))
),
AND(
OR(
UPPER(TRIM(rTipo))=""CONTIENE"",
UPPER(TRIM(rTipo))=""COINCIDENCIA""
),
ISNUMBER(SEARCH(UPPER(TRIM(rPatron)),UPPER(TRIM(D1319))))
)
)
),
rConce"&amp;"pto,
""""
)
)
)&lt;&gt;""""
),
1
),
""""
)"),"MANIOBRAS")</f>
        <v>MANIOBRAS</v>
      </c>
      <c r="L1319" s="27"/>
      <c r="M1319" s="27"/>
      <c r="N1319" s="27"/>
      <c r="O1319" s="27"/>
      <c r="P1319" s="27"/>
      <c r="Q1319" s="27"/>
      <c r="R1319" s="27"/>
      <c r="S1319" s="27"/>
      <c r="T1319" s="27"/>
      <c r="U1319" s="27"/>
      <c r="V1319" s="27"/>
      <c r="W1319" s="27"/>
      <c r="X1319" s="27"/>
      <c r="Y1319" s="27"/>
    </row>
    <row r="1320">
      <c r="A1320" s="28">
        <v>1.0</v>
      </c>
      <c r="B1320" s="28" t="s">
        <v>29</v>
      </c>
      <c r="C1320" s="29" t="s">
        <v>96</v>
      </c>
      <c r="D1320" s="29" t="s">
        <v>442</v>
      </c>
      <c r="E1320" s="28">
        <v>593.83</v>
      </c>
      <c r="F1320" s="28">
        <v>0.0</v>
      </c>
      <c r="G1320" s="28" t="s">
        <v>74</v>
      </c>
      <c r="H1320" s="28">
        <f t="array" ref="H1320">INDEX(CC!C:C,MATCH(1,(CC!A:A=G1320)*(CC!B:B=I1320),0))</f>
        <v>1503</v>
      </c>
      <c r="I1320" s="28" t="s">
        <v>44</v>
      </c>
      <c r="J1320" s="31">
        <v>593.83</v>
      </c>
      <c r="K1320" s="28" t="str">
        <f>IFERROR(__xludf.DUMMYFUNCTION("IFERROR(
INDEX(
FILTER(
MAP(
reglas!$B$2:$B$240,
reglas!$C$2:$C$240,
reglas!$D$2:$D$240,
reglas!$E$2:$E$240,
LAMBDA(rEmisor,rPatron,rConcepto,rTipo,
IF(
AND(
OR(
UPPER(TRIM(rEmisor))=UPPER(TRIM(C1320)),
UPPER(TRIM(rEmisor))=""CUALQUIERA""
),
OR(
UPPER(TRI"&amp;"M(rTipo))=""SOLO EMISOR"",
AND(
UPPER(TRIM(rTipo))=""EXACTA"",
UPPER(TRIM(AG1320))=UPPER(TRIM(rPatron))
),
AND(
OR(
UPPER(TRIM(rTipo))=""CONTIENE"",
UPPER(TRIM(rTipo))=""COINCIDENCIA""
),
ISNUMBER(SEARCH(UPPER(TRIM(rPatron)),UPPER(TRIM(D1320))))
)
)
),
rC"&amp;"oncepto,
""""
)
)
),
MAP(
reglas!$B$2:$B$240,
reglas!$C$2:$C$240,
reglas!$D$2:$D$240,
reglas!$E$2:$E$240,
LAMBDA(rEmisor,rPatron,rConcepto,rTipo,
IF(
AND(
OR(
UPPER(TRIM(rEmisor))=UPPER(TRIM(C1320)),
UPPER(TRIM(rEmisor))=""CUALQUIERA""
),
OR(
UPPER(TRIM(r"&amp;"Tipo))=""SOLO EMISOR"",
AND(
UPPER(TRIM(rTipo))=""EXACTA"",
UPPER(TRIM(D1320))=UPPER(TRIM(rPatron))
),
AND(
OR(
UPPER(TRIM(rTipo))=""CONTIENE"",
UPPER(TRIM(rTipo))=""COINCIDENCIA""
),
ISNUMBER(SEARCH(UPPER(TRIM(rPatron)),UPPER(TRIM(D1320))))
)
)
),
rConce"&amp;"pto,
""""
)
)
)&lt;&gt;""""
),
1
),
""""
)"),"GUIAS")</f>
        <v>GUIAS</v>
      </c>
      <c r="L1320" s="27"/>
      <c r="M1320" s="27"/>
      <c r="N1320" s="27"/>
      <c r="O1320" s="27"/>
      <c r="P1320" s="27"/>
      <c r="Q1320" s="27"/>
      <c r="R1320" s="27"/>
      <c r="S1320" s="27"/>
      <c r="T1320" s="27"/>
      <c r="U1320" s="27"/>
      <c r="V1320" s="27"/>
      <c r="W1320" s="27"/>
      <c r="X1320" s="27"/>
      <c r="Y1320" s="27"/>
    </row>
    <row r="1321">
      <c r="A1321" s="28">
        <v>1.0</v>
      </c>
      <c r="B1321" s="28" t="s">
        <v>29</v>
      </c>
      <c r="C1321" s="29" t="s">
        <v>271</v>
      </c>
      <c r="D1321" s="29" t="s">
        <v>585</v>
      </c>
      <c r="E1321" s="28">
        <v>620.03</v>
      </c>
      <c r="F1321" s="28">
        <v>0.0</v>
      </c>
      <c r="G1321" s="28" t="s">
        <v>84</v>
      </c>
      <c r="H1321" s="28">
        <f t="array" ref="H1321">INDEX(CC!C:C,MATCH(1,(CC!A:A=G1321)*(CC!B:B=I1321),0))</f>
        <v>1002</v>
      </c>
      <c r="I1321" s="28" t="s">
        <v>25</v>
      </c>
      <c r="J1321" s="31">
        <v>620.03</v>
      </c>
      <c r="K1321" s="28" t="str">
        <f>IFERROR(__xludf.DUMMYFUNCTION("IFERROR(
INDEX(
FILTER(
MAP(
reglas!$B$2:$B$240,
reglas!$C$2:$C$240,
reglas!$D$2:$D$240,
reglas!$E$2:$E$240,
LAMBDA(rEmisor,rPatron,rConcepto,rTipo,
IF(
AND(
OR(
UPPER(TRIM(rEmisor))=UPPER(TRIM(C1321)),
UPPER(TRIM(rEmisor))=""CUALQUIERA""
),
OR(
UPPER(TRI"&amp;"M(rTipo))=""SOLO EMISOR"",
AND(
UPPER(TRIM(rTipo))=""EXACTA"",
UPPER(TRIM(AG1321))=UPPER(TRIM(rPatron))
),
AND(
OR(
UPPER(TRIM(rTipo))=""CONTIENE"",
UPPER(TRIM(rTipo))=""COINCIDENCIA""
),
ISNUMBER(SEARCH(UPPER(TRIM(rPatron)),UPPER(TRIM(D1321))))
)
)
),
rC"&amp;"oncepto,
""""
)
)
),
MAP(
reglas!$B$2:$B$240,
reglas!$C$2:$C$240,
reglas!$D$2:$D$240,
reglas!$E$2:$E$240,
LAMBDA(rEmisor,rPatron,rConcepto,rTipo,
IF(
AND(
OR(
UPPER(TRIM(rEmisor))=UPPER(TRIM(C1321)),
UPPER(TRIM(rEmisor))=""CUALQUIERA""
),
OR(
UPPER(TRIM(r"&amp;"Tipo))=""SOLO EMISOR"",
AND(
UPPER(TRIM(rTipo))=""EXACTA"",
UPPER(TRIM(D1321))=UPPER(TRIM(rPatron))
),
AND(
OR(
UPPER(TRIM(rTipo))=""CONTIENE"",
UPPER(TRIM(rTipo))=""COINCIDENCIA""
),
ISNUMBER(SEARCH(UPPER(TRIM(rPatron)),UPPER(TRIM(D1321))))
)
)
),
rConce"&amp;"pto,
""""
)
)
)&lt;&gt;""""
),
1
),
""""
)"),"MANIOBRAS")</f>
        <v>MANIOBRAS</v>
      </c>
      <c r="L1321" s="27"/>
      <c r="M1321" s="27"/>
      <c r="N1321" s="27"/>
      <c r="O1321" s="27"/>
      <c r="P1321" s="27"/>
      <c r="Q1321" s="27"/>
      <c r="R1321" s="27"/>
      <c r="S1321" s="27"/>
      <c r="T1321" s="27"/>
      <c r="U1321" s="27"/>
      <c r="V1321" s="27"/>
      <c r="W1321" s="27"/>
      <c r="X1321" s="27"/>
      <c r="Y1321" s="27"/>
    </row>
    <row r="1322">
      <c r="A1322" s="32"/>
      <c r="B1322" s="32"/>
      <c r="C1322" s="29" t="s">
        <v>271</v>
      </c>
      <c r="D1322" s="29" t="s">
        <v>587</v>
      </c>
      <c r="E1322" s="28">
        <v>567.29</v>
      </c>
      <c r="F1322" s="28">
        <v>0.0</v>
      </c>
      <c r="G1322" s="28" t="s">
        <v>84</v>
      </c>
      <c r="H1322" s="28">
        <f t="array" ref="H1322">INDEX(CC!C:C,MATCH(1,(CC!A:A=G1322)*(CC!B:B=I1322),0))</f>
        <v>1002</v>
      </c>
      <c r="I1322" s="28" t="s">
        <v>25</v>
      </c>
      <c r="J1322" s="31">
        <v>567.29</v>
      </c>
      <c r="K1322" s="28" t="str">
        <f>IFERROR(__xludf.DUMMYFUNCTION("IFERROR(
INDEX(
FILTER(
MAP(
reglas!$B$2:$B$240,
reglas!$C$2:$C$240,
reglas!$D$2:$D$240,
reglas!$E$2:$E$240,
LAMBDA(rEmisor,rPatron,rConcepto,rTipo,
IF(
AND(
OR(
UPPER(TRIM(rEmisor))=UPPER(TRIM(C1322)),
UPPER(TRIM(rEmisor))=""CUALQUIERA""
),
OR(
UPPER(TRI"&amp;"M(rTipo))=""SOLO EMISOR"",
AND(
UPPER(TRIM(rTipo))=""EXACTA"",
UPPER(TRIM(AG1322))=UPPER(TRIM(rPatron))
),
AND(
OR(
UPPER(TRIM(rTipo))=""CONTIENE"",
UPPER(TRIM(rTipo))=""COINCIDENCIA""
),
ISNUMBER(SEARCH(UPPER(TRIM(rPatron)),UPPER(TRIM(D1322))))
)
)
),
rC"&amp;"oncepto,
""""
)
)
),
MAP(
reglas!$B$2:$B$240,
reglas!$C$2:$C$240,
reglas!$D$2:$D$240,
reglas!$E$2:$E$240,
LAMBDA(rEmisor,rPatron,rConcepto,rTipo,
IF(
AND(
OR(
UPPER(TRIM(rEmisor))=UPPER(TRIM(C1322)),
UPPER(TRIM(rEmisor))=""CUALQUIERA""
),
OR(
UPPER(TRIM(r"&amp;"Tipo))=""SOLO EMISOR"",
AND(
UPPER(TRIM(rTipo))=""EXACTA"",
UPPER(TRIM(D1322))=UPPER(TRIM(rPatron))
),
AND(
OR(
UPPER(TRIM(rTipo))=""CONTIENE"",
UPPER(TRIM(rTipo))=""COINCIDENCIA""
),
ISNUMBER(SEARCH(UPPER(TRIM(rPatron)),UPPER(TRIM(D1322))))
)
)
),
rConce"&amp;"pto,
""""
)
)
)&lt;&gt;""""
),
1
),
""""
)"),"MANIOBRAS")</f>
        <v>MANIOBRAS</v>
      </c>
      <c r="L1322" s="27"/>
      <c r="M1322" s="27"/>
      <c r="N1322" s="27"/>
      <c r="O1322" s="27"/>
      <c r="P1322" s="27"/>
      <c r="Q1322" s="27"/>
      <c r="R1322" s="27"/>
      <c r="S1322" s="27"/>
      <c r="T1322" s="27"/>
      <c r="U1322" s="27"/>
      <c r="V1322" s="27"/>
      <c r="W1322" s="27"/>
      <c r="X1322" s="27"/>
      <c r="Y1322" s="27"/>
    </row>
    <row r="1323">
      <c r="A1323" s="32"/>
      <c r="B1323" s="32"/>
      <c r="C1323" s="29" t="s">
        <v>271</v>
      </c>
      <c r="D1323" s="29" t="s">
        <v>589</v>
      </c>
      <c r="E1323" s="28">
        <v>620.37</v>
      </c>
      <c r="F1323" s="28">
        <v>0.0</v>
      </c>
      <c r="G1323" s="28" t="s">
        <v>84</v>
      </c>
      <c r="H1323" s="28">
        <f t="array" ref="H1323">INDEX(CC!C:C,MATCH(1,(CC!A:A=G1323)*(CC!B:B=I1323),0))</f>
        <v>1002</v>
      </c>
      <c r="I1323" s="28" t="s">
        <v>25</v>
      </c>
      <c r="J1323" s="31">
        <v>620.37</v>
      </c>
      <c r="K1323" s="28" t="str">
        <f>IFERROR(__xludf.DUMMYFUNCTION("IFERROR(
INDEX(
FILTER(
MAP(
reglas!$B$2:$B$240,
reglas!$C$2:$C$240,
reglas!$D$2:$D$240,
reglas!$E$2:$E$240,
LAMBDA(rEmisor,rPatron,rConcepto,rTipo,
IF(
AND(
OR(
UPPER(TRIM(rEmisor))=UPPER(TRIM(C1323)),
UPPER(TRIM(rEmisor))=""CUALQUIERA""
),
OR(
UPPER(TRI"&amp;"M(rTipo))=""SOLO EMISOR"",
AND(
UPPER(TRIM(rTipo))=""EXACTA"",
UPPER(TRIM(AG1323))=UPPER(TRIM(rPatron))
),
AND(
OR(
UPPER(TRIM(rTipo))=""CONTIENE"",
UPPER(TRIM(rTipo))=""COINCIDENCIA""
),
ISNUMBER(SEARCH(UPPER(TRIM(rPatron)),UPPER(TRIM(D1323))))
)
)
),
rC"&amp;"oncepto,
""""
)
)
),
MAP(
reglas!$B$2:$B$240,
reglas!$C$2:$C$240,
reglas!$D$2:$D$240,
reglas!$E$2:$E$240,
LAMBDA(rEmisor,rPatron,rConcepto,rTipo,
IF(
AND(
OR(
UPPER(TRIM(rEmisor))=UPPER(TRIM(C1323)),
UPPER(TRIM(rEmisor))=""CUALQUIERA""
),
OR(
UPPER(TRIM(r"&amp;"Tipo))=""SOLO EMISOR"",
AND(
UPPER(TRIM(rTipo))=""EXACTA"",
UPPER(TRIM(D1323))=UPPER(TRIM(rPatron))
),
AND(
OR(
UPPER(TRIM(rTipo))=""CONTIENE"",
UPPER(TRIM(rTipo))=""COINCIDENCIA""
),
ISNUMBER(SEARCH(UPPER(TRIM(rPatron)),UPPER(TRIM(D1323))))
)
)
),
rConce"&amp;"pto,
""""
)
)
)&lt;&gt;""""
),
1
),
""""
)"),"MANIOBRAS")</f>
        <v>MANIOBRAS</v>
      </c>
      <c r="L1323" s="27"/>
      <c r="M1323" s="27"/>
      <c r="N1323" s="27"/>
      <c r="O1323" s="27"/>
      <c r="P1323" s="27"/>
      <c r="Q1323" s="27"/>
      <c r="R1323" s="27"/>
      <c r="S1323" s="27"/>
      <c r="T1323" s="27"/>
      <c r="U1323" s="27"/>
      <c r="V1323" s="27"/>
      <c r="W1323" s="27"/>
      <c r="X1323" s="27"/>
      <c r="Y1323" s="27"/>
    </row>
    <row r="1324">
      <c r="A1324" s="32"/>
      <c r="B1324" s="32"/>
      <c r="C1324" s="29" t="s">
        <v>271</v>
      </c>
      <c r="D1324" s="29" t="s">
        <v>596</v>
      </c>
      <c r="E1324" s="28">
        <v>650.9</v>
      </c>
      <c r="F1324" s="28">
        <v>0.0</v>
      </c>
      <c r="G1324" s="28" t="s">
        <v>84</v>
      </c>
      <c r="H1324" s="28">
        <f t="array" ref="H1324">INDEX(CC!C:C,MATCH(1,(CC!A:A=G1324)*(CC!B:B=I1324),0))</f>
        <v>1002</v>
      </c>
      <c r="I1324" s="28" t="s">
        <v>25</v>
      </c>
      <c r="J1324" s="31">
        <v>650.9</v>
      </c>
      <c r="K1324" s="28" t="str">
        <f>IFERROR(__xludf.DUMMYFUNCTION("IFERROR(
INDEX(
FILTER(
MAP(
reglas!$B$2:$B$240,
reglas!$C$2:$C$240,
reglas!$D$2:$D$240,
reglas!$E$2:$E$240,
LAMBDA(rEmisor,rPatron,rConcepto,rTipo,
IF(
AND(
OR(
UPPER(TRIM(rEmisor))=UPPER(TRIM(C1324)),
UPPER(TRIM(rEmisor))=""CUALQUIERA""
),
OR(
UPPER(TRI"&amp;"M(rTipo))=""SOLO EMISOR"",
AND(
UPPER(TRIM(rTipo))=""EXACTA"",
UPPER(TRIM(AG1324))=UPPER(TRIM(rPatron))
),
AND(
OR(
UPPER(TRIM(rTipo))=""CONTIENE"",
UPPER(TRIM(rTipo))=""COINCIDENCIA""
),
ISNUMBER(SEARCH(UPPER(TRIM(rPatron)),UPPER(TRIM(D1324))))
)
)
),
rC"&amp;"oncepto,
""""
)
)
),
MAP(
reglas!$B$2:$B$240,
reglas!$C$2:$C$240,
reglas!$D$2:$D$240,
reglas!$E$2:$E$240,
LAMBDA(rEmisor,rPatron,rConcepto,rTipo,
IF(
AND(
OR(
UPPER(TRIM(rEmisor))=UPPER(TRIM(C1324)),
UPPER(TRIM(rEmisor))=""CUALQUIERA""
),
OR(
UPPER(TRIM(r"&amp;"Tipo))=""SOLO EMISOR"",
AND(
UPPER(TRIM(rTipo))=""EXACTA"",
UPPER(TRIM(D1324))=UPPER(TRIM(rPatron))
),
AND(
OR(
UPPER(TRIM(rTipo))=""CONTIENE"",
UPPER(TRIM(rTipo))=""COINCIDENCIA""
),
ISNUMBER(SEARCH(UPPER(TRIM(rPatron)),UPPER(TRIM(D1324))))
)
)
),
rConce"&amp;"pto,
""""
)
)
)&lt;&gt;""""
),
1
),
""""
)"),"MANIOBRAS")</f>
        <v>MANIOBRAS</v>
      </c>
      <c r="L1324" s="27"/>
      <c r="M1324" s="27"/>
      <c r="N1324" s="27"/>
      <c r="O1324" s="27"/>
      <c r="P1324" s="27"/>
      <c r="Q1324" s="27"/>
      <c r="R1324" s="27"/>
      <c r="S1324" s="27"/>
      <c r="T1324" s="27"/>
      <c r="U1324" s="27"/>
      <c r="V1324" s="27"/>
      <c r="W1324" s="27"/>
      <c r="X1324" s="27"/>
      <c r="Y1324" s="27"/>
    </row>
    <row r="1325">
      <c r="A1325" s="32"/>
      <c r="B1325" s="28" t="s">
        <v>29</v>
      </c>
      <c r="C1325" s="29" t="s">
        <v>172</v>
      </c>
      <c r="D1325" s="29" t="s">
        <v>1854</v>
      </c>
      <c r="E1325" s="30">
        <v>11500.0</v>
      </c>
      <c r="F1325" s="28">
        <v>0.0</v>
      </c>
      <c r="G1325" s="28" t="s">
        <v>250</v>
      </c>
      <c r="H1325" s="28">
        <f t="array" ref="H1325">INDEX(CC!C:C,MATCH(1,(CC!A:A=G1325)*(CC!B:B=I1325),0))</f>
        <v>1402</v>
      </c>
      <c r="I1325" s="28" t="s">
        <v>25</v>
      </c>
      <c r="J1325" s="31">
        <v>11500.0</v>
      </c>
      <c r="K1325" s="28" t="str">
        <f>IFERROR(__xludf.DUMMYFUNCTION("IFERROR(
INDEX(
FILTER(
MAP(
reglas!$B$2:$B$240,
reglas!$C$2:$C$240,
reglas!$D$2:$D$240,
reglas!$E$2:$E$240,
LAMBDA(rEmisor,rPatron,rConcepto,rTipo,
IF(
AND(
OR(
UPPER(TRIM(rEmisor))=UPPER(TRIM(C1325)),
UPPER(TRIM(rEmisor))=""CUALQUIERA""
),
OR(
UPPER(TRI"&amp;"M(rTipo))=""SOLO EMISOR"",
AND(
UPPER(TRIM(rTipo))=""EXACTA"",
UPPER(TRIM(AG1325))=UPPER(TRIM(rPatron))
),
AND(
OR(
UPPER(TRIM(rTipo))=""CONTIENE"",
UPPER(TRIM(rTipo))=""COINCIDENCIA""
),
ISNUMBER(SEARCH(UPPER(TRIM(rPatron)),UPPER(TRIM(D1325))))
)
)
),
rC"&amp;"oncepto,
""""
)
)
),
MAP(
reglas!$B$2:$B$240,
reglas!$C$2:$C$240,
reglas!$D$2:$D$240,
reglas!$E$2:$E$240,
LAMBDA(rEmisor,rPatron,rConcepto,rTipo,
IF(
AND(
OR(
UPPER(TRIM(rEmisor))=UPPER(TRIM(C1325)),
UPPER(TRIM(rEmisor))=""CUALQUIERA""
),
OR(
UPPER(TRIM(r"&amp;"Tipo))=""SOLO EMISOR"",
AND(
UPPER(TRIM(rTipo))=""EXACTA"",
UPPER(TRIM(D1325))=UPPER(TRIM(rPatron))
),
AND(
OR(
UPPER(TRIM(rTipo))=""CONTIENE"",
UPPER(TRIM(rTipo))=""COINCIDENCIA""
),
ISNUMBER(SEARCH(UPPER(TRIM(rPatron)),UPPER(TRIM(D1325))))
)
)
),
rConce"&amp;"pto,
""""
)
)
)&lt;&gt;""""
),
1
),
""""
)"),"TRANSPORTE")</f>
        <v>TRANSPORTE</v>
      </c>
      <c r="L1325" s="27"/>
      <c r="M1325" s="27"/>
      <c r="N1325" s="27"/>
      <c r="O1325" s="27"/>
      <c r="P1325" s="27"/>
      <c r="Q1325" s="27"/>
      <c r="R1325" s="27"/>
      <c r="S1325" s="27"/>
      <c r="T1325" s="27"/>
      <c r="U1325" s="27"/>
      <c r="V1325" s="27"/>
      <c r="W1325" s="27"/>
      <c r="X1325" s="27"/>
      <c r="Y1325" s="27"/>
    </row>
    <row r="1326">
      <c r="A1326" s="32"/>
      <c r="B1326" s="28" t="s">
        <v>29</v>
      </c>
      <c r="C1326" s="29" t="s">
        <v>172</v>
      </c>
      <c r="D1326" s="29" t="s">
        <v>1852</v>
      </c>
      <c r="E1326" s="30">
        <v>11500.0</v>
      </c>
      <c r="F1326" s="28">
        <v>0.0</v>
      </c>
      <c r="G1326" s="28" t="s">
        <v>250</v>
      </c>
      <c r="H1326" s="28">
        <f t="array" ref="H1326">INDEX(CC!C:C,MATCH(1,(CC!A:A=G1326)*(CC!B:B=I1326),0))</f>
        <v>1402</v>
      </c>
      <c r="I1326" s="28" t="s">
        <v>25</v>
      </c>
      <c r="J1326" s="31">
        <v>11500.0</v>
      </c>
      <c r="K1326" s="28" t="str">
        <f>IFERROR(__xludf.DUMMYFUNCTION("IFERROR(
INDEX(
FILTER(
MAP(
reglas!$B$2:$B$240,
reglas!$C$2:$C$240,
reglas!$D$2:$D$240,
reglas!$E$2:$E$240,
LAMBDA(rEmisor,rPatron,rConcepto,rTipo,
IF(
AND(
OR(
UPPER(TRIM(rEmisor))=UPPER(TRIM(C1326)),
UPPER(TRIM(rEmisor))=""CUALQUIERA""
),
OR(
UPPER(TRI"&amp;"M(rTipo))=""SOLO EMISOR"",
AND(
UPPER(TRIM(rTipo))=""EXACTA"",
UPPER(TRIM(AG1326))=UPPER(TRIM(rPatron))
),
AND(
OR(
UPPER(TRIM(rTipo))=""CONTIENE"",
UPPER(TRIM(rTipo))=""COINCIDENCIA""
),
ISNUMBER(SEARCH(UPPER(TRIM(rPatron)),UPPER(TRIM(D1326))))
)
)
),
rC"&amp;"oncepto,
""""
)
)
),
MAP(
reglas!$B$2:$B$240,
reglas!$C$2:$C$240,
reglas!$D$2:$D$240,
reglas!$E$2:$E$240,
LAMBDA(rEmisor,rPatron,rConcepto,rTipo,
IF(
AND(
OR(
UPPER(TRIM(rEmisor))=UPPER(TRIM(C1326)),
UPPER(TRIM(rEmisor))=""CUALQUIERA""
),
OR(
UPPER(TRIM(r"&amp;"Tipo))=""SOLO EMISOR"",
AND(
UPPER(TRIM(rTipo))=""EXACTA"",
UPPER(TRIM(D1326))=UPPER(TRIM(rPatron))
),
AND(
OR(
UPPER(TRIM(rTipo))=""CONTIENE"",
UPPER(TRIM(rTipo))=""COINCIDENCIA""
),
ISNUMBER(SEARCH(UPPER(TRIM(rPatron)),UPPER(TRIM(D1326))))
)
)
),
rConce"&amp;"pto,
""""
)
)
)&lt;&gt;""""
),
1
),
""""
)"),"TRANSPORTE")</f>
        <v>TRANSPORTE</v>
      </c>
      <c r="L1326" s="27"/>
      <c r="M1326" s="27"/>
      <c r="N1326" s="27"/>
      <c r="O1326" s="27"/>
      <c r="P1326" s="27"/>
      <c r="Q1326" s="27"/>
      <c r="R1326" s="27"/>
      <c r="S1326" s="27"/>
      <c r="T1326" s="27"/>
      <c r="U1326" s="27"/>
      <c r="V1326" s="27"/>
      <c r="W1326" s="27"/>
      <c r="X1326" s="27"/>
      <c r="Y1326" s="27"/>
    </row>
    <row r="1327">
      <c r="A1327" s="28">
        <v>1.0</v>
      </c>
      <c r="B1327" s="28" t="s">
        <v>29</v>
      </c>
      <c r="C1327" s="29" t="s">
        <v>271</v>
      </c>
      <c r="D1327" s="29" t="s">
        <v>585</v>
      </c>
      <c r="E1327" s="28">
        <v>620.03</v>
      </c>
      <c r="F1327" s="28">
        <v>0.0</v>
      </c>
      <c r="G1327" s="28" t="s">
        <v>84</v>
      </c>
      <c r="H1327" s="28">
        <f t="array" ref="H1327">INDEX(CC!C:C,MATCH(1,(CC!A:A=G1327)*(CC!B:B=I1327),0))</f>
        <v>1002</v>
      </c>
      <c r="I1327" s="28" t="s">
        <v>25</v>
      </c>
      <c r="J1327" s="31">
        <v>620.03</v>
      </c>
      <c r="K1327" s="28" t="str">
        <f>IFERROR(__xludf.DUMMYFUNCTION("IFERROR(
INDEX(
FILTER(
MAP(
reglas!$B$2:$B$240,
reglas!$C$2:$C$240,
reglas!$D$2:$D$240,
reglas!$E$2:$E$240,
LAMBDA(rEmisor,rPatron,rConcepto,rTipo,
IF(
AND(
OR(
UPPER(TRIM(rEmisor))=UPPER(TRIM(C1327)),
UPPER(TRIM(rEmisor))=""CUALQUIERA""
),
OR(
UPPER(TRI"&amp;"M(rTipo))=""SOLO EMISOR"",
AND(
UPPER(TRIM(rTipo))=""EXACTA"",
UPPER(TRIM(AG1327))=UPPER(TRIM(rPatron))
),
AND(
OR(
UPPER(TRIM(rTipo))=""CONTIENE"",
UPPER(TRIM(rTipo))=""COINCIDENCIA""
),
ISNUMBER(SEARCH(UPPER(TRIM(rPatron)),UPPER(TRIM(D1327))))
)
)
),
rC"&amp;"oncepto,
""""
)
)
),
MAP(
reglas!$B$2:$B$240,
reglas!$C$2:$C$240,
reglas!$D$2:$D$240,
reglas!$E$2:$E$240,
LAMBDA(rEmisor,rPatron,rConcepto,rTipo,
IF(
AND(
OR(
UPPER(TRIM(rEmisor))=UPPER(TRIM(C1327)),
UPPER(TRIM(rEmisor))=""CUALQUIERA""
),
OR(
UPPER(TRIM(r"&amp;"Tipo))=""SOLO EMISOR"",
AND(
UPPER(TRIM(rTipo))=""EXACTA"",
UPPER(TRIM(D1327))=UPPER(TRIM(rPatron))
),
AND(
OR(
UPPER(TRIM(rTipo))=""CONTIENE"",
UPPER(TRIM(rTipo))=""COINCIDENCIA""
),
ISNUMBER(SEARCH(UPPER(TRIM(rPatron)),UPPER(TRIM(D1327))))
)
)
),
rConce"&amp;"pto,
""""
)
)
)&lt;&gt;""""
),
1
),
""""
)"),"MANIOBRAS")</f>
        <v>MANIOBRAS</v>
      </c>
      <c r="L1327" s="27"/>
      <c r="M1327" s="27"/>
      <c r="N1327" s="27"/>
      <c r="O1327" s="27"/>
      <c r="P1327" s="27"/>
      <c r="Q1327" s="27"/>
      <c r="R1327" s="27"/>
      <c r="S1327" s="27"/>
      <c r="T1327" s="27"/>
      <c r="U1327" s="27"/>
      <c r="V1327" s="27"/>
      <c r="W1327" s="27"/>
      <c r="X1327" s="27"/>
      <c r="Y1327" s="27"/>
    </row>
    <row r="1328">
      <c r="A1328" s="32"/>
      <c r="B1328" s="32"/>
      <c r="C1328" s="29" t="s">
        <v>271</v>
      </c>
      <c r="D1328" s="29" t="s">
        <v>587</v>
      </c>
      <c r="E1328" s="28">
        <v>567.29</v>
      </c>
      <c r="F1328" s="28">
        <v>0.0</v>
      </c>
      <c r="G1328" s="28" t="s">
        <v>84</v>
      </c>
      <c r="H1328" s="28">
        <f t="array" ref="H1328">INDEX(CC!C:C,MATCH(1,(CC!A:A=G1328)*(CC!B:B=I1328),0))</f>
        <v>1002</v>
      </c>
      <c r="I1328" s="28" t="s">
        <v>25</v>
      </c>
      <c r="J1328" s="31">
        <v>567.29</v>
      </c>
      <c r="K1328" s="28" t="str">
        <f>IFERROR(__xludf.DUMMYFUNCTION("IFERROR(
INDEX(
FILTER(
MAP(
reglas!$B$2:$B$240,
reglas!$C$2:$C$240,
reglas!$D$2:$D$240,
reglas!$E$2:$E$240,
LAMBDA(rEmisor,rPatron,rConcepto,rTipo,
IF(
AND(
OR(
UPPER(TRIM(rEmisor))=UPPER(TRIM(C1328)),
UPPER(TRIM(rEmisor))=""CUALQUIERA""
),
OR(
UPPER(TRI"&amp;"M(rTipo))=""SOLO EMISOR"",
AND(
UPPER(TRIM(rTipo))=""EXACTA"",
UPPER(TRIM(AG1328))=UPPER(TRIM(rPatron))
),
AND(
OR(
UPPER(TRIM(rTipo))=""CONTIENE"",
UPPER(TRIM(rTipo))=""COINCIDENCIA""
),
ISNUMBER(SEARCH(UPPER(TRIM(rPatron)),UPPER(TRIM(D1328))))
)
)
),
rC"&amp;"oncepto,
""""
)
)
),
MAP(
reglas!$B$2:$B$240,
reglas!$C$2:$C$240,
reglas!$D$2:$D$240,
reglas!$E$2:$E$240,
LAMBDA(rEmisor,rPatron,rConcepto,rTipo,
IF(
AND(
OR(
UPPER(TRIM(rEmisor))=UPPER(TRIM(C1328)),
UPPER(TRIM(rEmisor))=""CUALQUIERA""
),
OR(
UPPER(TRIM(r"&amp;"Tipo))=""SOLO EMISOR"",
AND(
UPPER(TRIM(rTipo))=""EXACTA"",
UPPER(TRIM(D1328))=UPPER(TRIM(rPatron))
),
AND(
OR(
UPPER(TRIM(rTipo))=""CONTIENE"",
UPPER(TRIM(rTipo))=""COINCIDENCIA""
),
ISNUMBER(SEARCH(UPPER(TRIM(rPatron)),UPPER(TRIM(D1328))))
)
)
),
rConce"&amp;"pto,
""""
)
)
)&lt;&gt;""""
),
1
),
""""
)"),"MANIOBRAS")</f>
        <v>MANIOBRAS</v>
      </c>
      <c r="L1328" s="27"/>
      <c r="M1328" s="27"/>
      <c r="N1328" s="27"/>
      <c r="O1328" s="27"/>
      <c r="P1328" s="27"/>
      <c r="Q1328" s="27"/>
      <c r="R1328" s="27"/>
      <c r="S1328" s="27"/>
      <c r="T1328" s="27"/>
      <c r="U1328" s="27"/>
      <c r="V1328" s="27"/>
      <c r="W1328" s="27"/>
      <c r="X1328" s="27"/>
      <c r="Y1328" s="27"/>
    </row>
    <row r="1329">
      <c r="A1329" s="32"/>
      <c r="B1329" s="32"/>
      <c r="C1329" s="29" t="s">
        <v>271</v>
      </c>
      <c r="D1329" s="29" t="s">
        <v>589</v>
      </c>
      <c r="E1329" s="28">
        <v>620.37</v>
      </c>
      <c r="F1329" s="28">
        <v>0.0</v>
      </c>
      <c r="G1329" s="28" t="s">
        <v>84</v>
      </c>
      <c r="H1329" s="28">
        <f t="array" ref="H1329">INDEX(CC!C:C,MATCH(1,(CC!A:A=G1329)*(CC!B:B=I1329),0))</f>
        <v>1002</v>
      </c>
      <c r="I1329" s="28" t="s">
        <v>25</v>
      </c>
      <c r="J1329" s="31">
        <v>620.37</v>
      </c>
      <c r="K1329" s="28" t="str">
        <f>IFERROR(__xludf.DUMMYFUNCTION("IFERROR(
INDEX(
FILTER(
MAP(
reglas!$B$2:$B$240,
reglas!$C$2:$C$240,
reglas!$D$2:$D$240,
reglas!$E$2:$E$240,
LAMBDA(rEmisor,rPatron,rConcepto,rTipo,
IF(
AND(
OR(
UPPER(TRIM(rEmisor))=UPPER(TRIM(C1329)),
UPPER(TRIM(rEmisor))=""CUALQUIERA""
),
OR(
UPPER(TRI"&amp;"M(rTipo))=""SOLO EMISOR"",
AND(
UPPER(TRIM(rTipo))=""EXACTA"",
UPPER(TRIM(AG1329))=UPPER(TRIM(rPatron))
),
AND(
OR(
UPPER(TRIM(rTipo))=""CONTIENE"",
UPPER(TRIM(rTipo))=""COINCIDENCIA""
),
ISNUMBER(SEARCH(UPPER(TRIM(rPatron)),UPPER(TRIM(D1329))))
)
)
),
rC"&amp;"oncepto,
""""
)
)
),
MAP(
reglas!$B$2:$B$240,
reglas!$C$2:$C$240,
reglas!$D$2:$D$240,
reglas!$E$2:$E$240,
LAMBDA(rEmisor,rPatron,rConcepto,rTipo,
IF(
AND(
OR(
UPPER(TRIM(rEmisor))=UPPER(TRIM(C1329)),
UPPER(TRIM(rEmisor))=""CUALQUIERA""
),
OR(
UPPER(TRIM(r"&amp;"Tipo))=""SOLO EMISOR"",
AND(
UPPER(TRIM(rTipo))=""EXACTA"",
UPPER(TRIM(D1329))=UPPER(TRIM(rPatron))
),
AND(
OR(
UPPER(TRIM(rTipo))=""CONTIENE"",
UPPER(TRIM(rTipo))=""COINCIDENCIA""
),
ISNUMBER(SEARCH(UPPER(TRIM(rPatron)),UPPER(TRIM(D1329))))
)
)
),
rConce"&amp;"pto,
""""
)
)
)&lt;&gt;""""
),
1
),
""""
)"),"MANIOBRAS")</f>
        <v>MANIOBRAS</v>
      </c>
      <c r="L1329" s="27"/>
      <c r="M1329" s="27"/>
      <c r="N1329" s="27"/>
      <c r="O1329" s="27"/>
      <c r="P1329" s="27"/>
      <c r="Q1329" s="27"/>
      <c r="R1329" s="27"/>
      <c r="S1329" s="27"/>
      <c r="T1329" s="27"/>
      <c r="U1329" s="27"/>
      <c r="V1329" s="27"/>
      <c r="W1329" s="27"/>
      <c r="X1329" s="27"/>
      <c r="Y1329" s="27"/>
    </row>
    <row r="1330">
      <c r="A1330" s="32"/>
      <c r="B1330" s="32"/>
      <c r="C1330" s="29" t="s">
        <v>271</v>
      </c>
      <c r="D1330" s="29" t="s">
        <v>596</v>
      </c>
      <c r="E1330" s="28">
        <v>650.9</v>
      </c>
      <c r="F1330" s="28">
        <v>0.0</v>
      </c>
      <c r="G1330" s="28" t="s">
        <v>84</v>
      </c>
      <c r="H1330" s="28">
        <f t="array" ref="H1330">INDEX(CC!C:C,MATCH(1,(CC!A:A=G1330)*(CC!B:B=I1330),0))</f>
        <v>1002</v>
      </c>
      <c r="I1330" s="28" t="s">
        <v>25</v>
      </c>
      <c r="J1330" s="31">
        <v>650.9</v>
      </c>
      <c r="K1330" s="28" t="str">
        <f>IFERROR(__xludf.DUMMYFUNCTION("IFERROR(
INDEX(
FILTER(
MAP(
reglas!$B$2:$B$240,
reglas!$C$2:$C$240,
reglas!$D$2:$D$240,
reglas!$E$2:$E$240,
LAMBDA(rEmisor,rPatron,rConcepto,rTipo,
IF(
AND(
OR(
UPPER(TRIM(rEmisor))=UPPER(TRIM(C1330)),
UPPER(TRIM(rEmisor))=""CUALQUIERA""
),
OR(
UPPER(TRI"&amp;"M(rTipo))=""SOLO EMISOR"",
AND(
UPPER(TRIM(rTipo))=""EXACTA"",
UPPER(TRIM(AG1330))=UPPER(TRIM(rPatron))
),
AND(
OR(
UPPER(TRIM(rTipo))=""CONTIENE"",
UPPER(TRIM(rTipo))=""COINCIDENCIA""
),
ISNUMBER(SEARCH(UPPER(TRIM(rPatron)),UPPER(TRIM(D1330))))
)
)
),
rC"&amp;"oncepto,
""""
)
)
),
MAP(
reglas!$B$2:$B$240,
reglas!$C$2:$C$240,
reglas!$D$2:$D$240,
reglas!$E$2:$E$240,
LAMBDA(rEmisor,rPatron,rConcepto,rTipo,
IF(
AND(
OR(
UPPER(TRIM(rEmisor))=UPPER(TRIM(C1330)),
UPPER(TRIM(rEmisor))=""CUALQUIERA""
),
OR(
UPPER(TRIM(r"&amp;"Tipo))=""SOLO EMISOR"",
AND(
UPPER(TRIM(rTipo))=""EXACTA"",
UPPER(TRIM(D1330))=UPPER(TRIM(rPatron))
),
AND(
OR(
UPPER(TRIM(rTipo))=""CONTIENE"",
UPPER(TRIM(rTipo))=""COINCIDENCIA""
),
ISNUMBER(SEARCH(UPPER(TRIM(rPatron)),UPPER(TRIM(D1330))))
)
)
),
rConce"&amp;"pto,
""""
)
)
)&lt;&gt;""""
),
1
),
""""
)"),"MANIOBRAS")</f>
        <v>MANIOBRAS</v>
      </c>
      <c r="L1330" s="27"/>
      <c r="M1330" s="27"/>
      <c r="N1330" s="27"/>
      <c r="O1330" s="27"/>
      <c r="P1330" s="27"/>
      <c r="Q1330" s="27"/>
      <c r="R1330" s="27"/>
      <c r="S1330" s="27"/>
      <c r="T1330" s="27"/>
      <c r="U1330" s="27"/>
      <c r="V1330" s="27"/>
      <c r="W1330" s="27"/>
      <c r="X1330" s="27"/>
      <c r="Y1330" s="27"/>
    </row>
    <row r="1331">
      <c r="A1331" s="28">
        <v>1.0</v>
      </c>
      <c r="B1331" s="28" t="s">
        <v>29</v>
      </c>
      <c r="C1331" s="29" t="s">
        <v>437</v>
      </c>
      <c r="D1331" s="29" t="s">
        <v>1884</v>
      </c>
      <c r="E1331" s="30">
        <v>3391.86</v>
      </c>
      <c r="F1331" s="28">
        <v>0.0</v>
      </c>
      <c r="G1331" s="99" t="s">
        <v>250</v>
      </c>
      <c r="H1331" s="28">
        <f t="array" ref="H1331">INDEX(CC!C:C,MATCH(1,(CC!A:A=G1331)*(CC!B:B=I1331),0))</f>
        <v>1402</v>
      </c>
      <c r="I1331" s="28" t="s">
        <v>25</v>
      </c>
      <c r="J1331" s="31">
        <v>3391.86</v>
      </c>
      <c r="K1331" s="28" t="str">
        <f>IFERROR(__xludf.DUMMYFUNCTION("IFERROR(
INDEX(
FILTER(
MAP(
reglas!$B$2:$B$240,
reglas!$C$2:$C$240,
reglas!$D$2:$D$240,
reglas!$E$2:$E$240,
LAMBDA(rEmisor,rPatron,rConcepto,rTipo,
IF(
AND(
OR(
UPPER(TRIM(rEmisor))=UPPER(TRIM(C1331)),
UPPER(TRIM(rEmisor))=""CUALQUIERA""
),
OR(
UPPER(TRI"&amp;"M(rTipo))=""SOLO EMISOR"",
AND(
UPPER(TRIM(rTipo))=""EXACTA"",
UPPER(TRIM(AG1331))=UPPER(TRIM(rPatron))
),
AND(
OR(
UPPER(TRIM(rTipo))=""CONTIENE"",
UPPER(TRIM(rTipo))=""COINCIDENCIA""
),
ISNUMBER(SEARCH(UPPER(TRIM(rPatron)),UPPER(TRIM(D1331))))
)
)
),
rC"&amp;"oncepto,
""""
)
)
),
MAP(
reglas!$B$2:$B$240,
reglas!$C$2:$C$240,
reglas!$D$2:$D$240,
reglas!$E$2:$E$240,
LAMBDA(rEmisor,rPatron,rConcepto,rTipo,
IF(
AND(
OR(
UPPER(TRIM(rEmisor))=UPPER(TRIM(C1331)),
UPPER(TRIM(rEmisor))=""CUALQUIERA""
),
OR(
UPPER(TRIM(r"&amp;"Tipo))=""SOLO EMISOR"",
AND(
UPPER(TRIM(rTipo))=""EXACTA"",
UPPER(TRIM(D1331))=UPPER(TRIM(rPatron))
),
AND(
OR(
UPPER(TRIM(rTipo))=""CONTIENE"",
UPPER(TRIM(rTipo))=""COINCIDENCIA""
),
ISNUMBER(SEARCH(UPPER(TRIM(rPatron)),UPPER(TRIM(D1331))))
)
)
),
rConce"&amp;"pto,
""""
)
)
)&lt;&gt;""""
),
1
),
""""
)"),"MANIOBRAS")</f>
        <v>MANIOBRAS</v>
      </c>
      <c r="L1331" s="27"/>
      <c r="M1331" s="27"/>
      <c r="N1331" s="27"/>
      <c r="O1331" s="27"/>
      <c r="P1331" s="27"/>
      <c r="Q1331" s="27"/>
      <c r="R1331" s="27"/>
      <c r="S1331" s="27"/>
      <c r="T1331" s="27"/>
      <c r="U1331" s="27"/>
      <c r="V1331" s="27"/>
      <c r="W1331" s="27"/>
      <c r="X1331" s="27"/>
      <c r="Y1331" s="27"/>
    </row>
    <row r="1332">
      <c r="A1332" s="32"/>
      <c r="B1332" s="28" t="s">
        <v>29</v>
      </c>
      <c r="C1332" s="29" t="s">
        <v>172</v>
      </c>
      <c r="D1332" s="29" t="s">
        <v>1711</v>
      </c>
      <c r="E1332" s="30">
        <v>14000.0</v>
      </c>
      <c r="F1332" s="28">
        <v>0.0</v>
      </c>
      <c r="G1332" s="28" t="s">
        <v>250</v>
      </c>
      <c r="H1332" s="28">
        <f t="array" ref="H1332">INDEX(CC!C:C,MATCH(1,(CC!A:A=G1332)*(CC!B:B=I1332),0))</f>
        <v>1402</v>
      </c>
      <c r="I1332" s="28" t="s">
        <v>25</v>
      </c>
      <c r="J1332" s="31">
        <v>14000.0</v>
      </c>
      <c r="K1332" s="28" t="str">
        <f>IFERROR(__xludf.DUMMYFUNCTION("IFERROR(
INDEX(
FILTER(
MAP(
reglas!$B$2:$B$240,
reglas!$C$2:$C$240,
reglas!$D$2:$D$240,
reglas!$E$2:$E$240,
LAMBDA(rEmisor,rPatron,rConcepto,rTipo,
IF(
AND(
OR(
UPPER(TRIM(rEmisor))=UPPER(TRIM(C1332)),
UPPER(TRIM(rEmisor))=""CUALQUIERA""
),
OR(
UPPER(TRI"&amp;"M(rTipo))=""SOLO EMISOR"",
AND(
UPPER(TRIM(rTipo))=""EXACTA"",
UPPER(TRIM(AG1332))=UPPER(TRIM(rPatron))
),
AND(
OR(
UPPER(TRIM(rTipo))=""CONTIENE"",
UPPER(TRIM(rTipo))=""COINCIDENCIA""
),
ISNUMBER(SEARCH(UPPER(TRIM(rPatron)),UPPER(TRIM(D1332))))
)
)
),
rC"&amp;"oncepto,
""""
)
)
),
MAP(
reglas!$B$2:$B$240,
reglas!$C$2:$C$240,
reglas!$D$2:$D$240,
reglas!$E$2:$E$240,
LAMBDA(rEmisor,rPatron,rConcepto,rTipo,
IF(
AND(
OR(
UPPER(TRIM(rEmisor))=UPPER(TRIM(C1332)),
UPPER(TRIM(rEmisor))=""CUALQUIERA""
),
OR(
UPPER(TRIM(r"&amp;"Tipo))=""SOLO EMISOR"",
AND(
UPPER(TRIM(rTipo))=""EXACTA"",
UPPER(TRIM(D1332))=UPPER(TRIM(rPatron))
),
AND(
OR(
UPPER(TRIM(rTipo))=""CONTIENE"",
UPPER(TRIM(rTipo))=""COINCIDENCIA""
),
ISNUMBER(SEARCH(UPPER(TRIM(rPatron)),UPPER(TRIM(D1332))))
)
)
),
rConce"&amp;"pto,
""""
)
)
)&lt;&gt;""""
),
1
),
""""
)"),"TRANSPORTE")</f>
        <v>TRANSPORTE</v>
      </c>
      <c r="L1332" s="27"/>
      <c r="M1332" s="27"/>
      <c r="N1332" s="27"/>
      <c r="O1332" s="27"/>
      <c r="P1332" s="27"/>
      <c r="Q1332" s="27"/>
      <c r="R1332" s="27"/>
      <c r="S1332" s="27"/>
      <c r="T1332" s="27"/>
      <c r="U1332" s="27"/>
      <c r="V1332" s="27"/>
      <c r="W1332" s="27"/>
      <c r="X1332" s="27"/>
      <c r="Y1332" s="27"/>
    </row>
    <row r="1333">
      <c r="A1333" s="32"/>
      <c r="B1333" s="28" t="s">
        <v>29</v>
      </c>
      <c r="C1333" s="29" t="s">
        <v>278</v>
      </c>
      <c r="D1333" s="29" t="s">
        <v>560</v>
      </c>
      <c r="E1333" s="30">
        <v>3500.0</v>
      </c>
      <c r="F1333" s="28">
        <v>0.0</v>
      </c>
      <c r="G1333" s="28" t="s">
        <v>250</v>
      </c>
      <c r="H1333" s="28">
        <f t="array" ref="H1333">INDEX(CC!C:C,MATCH(1,(CC!A:A=G1333)*(CC!B:B=I1333),0))</f>
        <v>1402</v>
      </c>
      <c r="I1333" s="28" t="s">
        <v>25</v>
      </c>
      <c r="J1333" s="31">
        <v>3500.0</v>
      </c>
      <c r="K1333" s="28" t="str">
        <f>IFERROR(__xludf.DUMMYFUNCTION("IFERROR(
INDEX(
FILTER(
MAP(
reglas!$B$2:$B$240,
reglas!$C$2:$C$240,
reglas!$D$2:$D$240,
reglas!$E$2:$E$240,
LAMBDA(rEmisor,rPatron,rConcepto,rTipo,
IF(
AND(
OR(
UPPER(TRIM(rEmisor))=UPPER(TRIM(C1333)),
UPPER(TRIM(rEmisor))=""CUALQUIERA""
),
OR(
UPPER(TRI"&amp;"M(rTipo))=""SOLO EMISOR"",
AND(
UPPER(TRIM(rTipo))=""EXACTA"",
UPPER(TRIM(AG1333))=UPPER(TRIM(rPatron))
),
AND(
OR(
UPPER(TRIM(rTipo))=""CONTIENE"",
UPPER(TRIM(rTipo))=""COINCIDENCIA""
),
ISNUMBER(SEARCH(UPPER(TRIM(rPatron)),UPPER(TRIM(D1333))))
)
)
),
rC"&amp;"oncepto,
""""
)
)
),
MAP(
reglas!$B$2:$B$240,
reglas!$C$2:$C$240,
reglas!$D$2:$D$240,
reglas!$E$2:$E$240,
LAMBDA(rEmisor,rPatron,rConcepto,rTipo,
IF(
AND(
OR(
UPPER(TRIM(rEmisor))=UPPER(TRIM(C1333)),
UPPER(TRIM(rEmisor))=""CUALQUIERA""
),
OR(
UPPER(TRIM(r"&amp;"Tipo))=""SOLO EMISOR"",
AND(
UPPER(TRIM(rTipo))=""EXACTA"",
UPPER(TRIM(D1333))=UPPER(TRIM(rPatron))
),
AND(
OR(
UPPER(TRIM(rTipo))=""CONTIENE"",
UPPER(TRIM(rTipo))=""COINCIDENCIA""
),
ISNUMBER(SEARCH(UPPER(TRIM(rPatron)),UPPER(TRIM(D1333))))
)
)
),
rConce"&amp;"pto,
""""
)
)
)&lt;&gt;""""
),
1
),
""""
)"),"MANIOBRAS")</f>
        <v>MANIOBRAS</v>
      </c>
      <c r="L1333" s="27"/>
      <c r="M1333" s="27"/>
      <c r="N1333" s="27"/>
      <c r="O1333" s="27"/>
      <c r="P1333" s="27"/>
      <c r="Q1333" s="27"/>
      <c r="R1333" s="27"/>
      <c r="S1333" s="27"/>
      <c r="T1333" s="27"/>
      <c r="U1333" s="27"/>
      <c r="V1333" s="27"/>
      <c r="W1333" s="27"/>
      <c r="X1333" s="27"/>
      <c r="Y1333" s="27"/>
    </row>
    <row r="1334">
      <c r="A1334" s="32"/>
      <c r="B1334" s="28" t="s">
        <v>29</v>
      </c>
      <c r="C1334" s="29" t="s">
        <v>177</v>
      </c>
      <c r="D1334" s="29" t="s">
        <v>1506</v>
      </c>
      <c r="E1334" s="30">
        <v>1490.12</v>
      </c>
      <c r="F1334" s="28">
        <v>75.0</v>
      </c>
      <c r="G1334" s="28" t="s">
        <v>74</v>
      </c>
      <c r="H1334" s="28">
        <f t="array" ref="H1334">INDEX(CC!C:C,MATCH(1,(CC!A:A=G1334)*(CC!B:B=I1334),0))</f>
        <v>1502</v>
      </c>
      <c r="I1334" s="28" t="s">
        <v>25</v>
      </c>
      <c r="J1334" s="31">
        <v>1415.12</v>
      </c>
      <c r="K1334" s="28" t="str">
        <f>IFERROR(__xludf.DUMMYFUNCTION("IFERROR(
INDEX(
FILTER(
MAP(
reglas!$B$2:$B$240,
reglas!$C$2:$C$240,
reglas!$D$2:$D$240,
reglas!$E$2:$E$240,
LAMBDA(rEmisor,rPatron,rConcepto,rTipo,
IF(
AND(
OR(
UPPER(TRIM(rEmisor))=UPPER(TRIM(C1334)),
UPPER(TRIM(rEmisor))=""CUALQUIERA""
),
OR(
UPPER(TRI"&amp;"M(rTipo))=""SOLO EMISOR"",
AND(
UPPER(TRIM(rTipo))=""EXACTA"",
UPPER(TRIM(AG1334))=UPPER(TRIM(rPatron))
),
AND(
OR(
UPPER(TRIM(rTipo))=""CONTIENE"",
UPPER(TRIM(rTipo))=""COINCIDENCIA""
),
ISNUMBER(SEARCH(UPPER(TRIM(rPatron)),UPPER(TRIM(D1334))))
)
)
),
rC"&amp;"oncepto,
""""
)
)
),
MAP(
reglas!$B$2:$B$240,
reglas!$C$2:$C$240,
reglas!$D$2:$D$240,
reglas!$E$2:$E$240,
LAMBDA(rEmisor,rPatron,rConcepto,rTipo,
IF(
AND(
OR(
UPPER(TRIM(rEmisor))=UPPER(TRIM(C1334)),
UPPER(TRIM(rEmisor))=""CUALQUIERA""
),
OR(
UPPER(TRIM(r"&amp;"Tipo))=""SOLO EMISOR"",
AND(
UPPER(TRIM(rTipo))=""EXACTA"",
UPPER(TRIM(D1334))=UPPER(TRIM(rPatron))
),
AND(
OR(
UPPER(TRIM(rTipo))=""CONTIENE"",
UPPER(TRIM(rTipo))=""COINCIDENCIA""
),
ISNUMBER(SEARCH(UPPER(TRIM(rPatron)),UPPER(TRIM(D1334))))
)
)
),
rConce"&amp;"pto,
""""
)
)
)&lt;&gt;""""
),
1
),
""""
)"),"TELEFONIA FIJA")</f>
        <v>TELEFONIA FIJA</v>
      </c>
      <c r="L1334" s="27"/>
      <c r="M1334" s="27"/>
      <c r="N1334" s="27"/>
      <c r="O1334" s="27"/>
      <c r="P1334" s="27"/>
      <c r="Q1334" s="27"/>
      <c r="R1334" s="27"/>
      <c r="S1334" s="27"/>
      <c r="T1334" s="27"/>
      <c r="U1334" s="27"/>
      <c r="V1334" s="27"/>
      <c r="W1334" s="27"/>
      <c r="X1334" s="27"/>
      <c r="Y1334" s="27"/>
    </row>
    <row r="1335">
      <c r="A1335" s="32"/>
      <c r="B1335" s="28" t="s">
        <v>29</v>
      </c>
      <c r="C1335" s="29" t="s">
        <v>172</v>
      </c>
      <c r="D1335" s="29" t="s">
        <v>1681</v>
      </c>
      <c r="E1335" s="30">
        <v>14000.0</v>
      </c>
      <c r="F1335" s="28">
        <v>0.0</v>
      </c>
      <c r="G1335" s="28" t="s">
        <v>250</v>
      </c>
      <c r="H1335" s="28">
        <f t="array" ref="H1335">INDEX(CC!C:C,MATCH(1,(CC!A:A=G1335)*(CC!B:B=I1335),0))</f>
        <v>1402</v>
      </c>
      <c r="I1335" s="28" t="s">
        <v>25</v>
      </c>
      <c r="J1335" s="31">
        <v>14000.0</v>
      </c>
      <c r="K1335" s="28" t="str">
        <f>IFERROR(__xludf.DUMMYFUNCTION("IFERROR(
INDEX(
FILTER(
MAP(
reglas!$B$2:$B$240,
reglas!$C$2:$C$240,
reglas!$D$2:$D$240,
reglas!$E$2:$E$240,
LAMBDA(rEmisor,rPatron,rConcepto,rTipo,
IF(
AND(
OR(
UPPER(TRIM(rEmisor))=UPPER(TRIM(C1335)),
UPPER(TRIM(rEmisor))=""CUALQUIERA""
),
OR(
UPPER(TRI"&amp;"M(rTipo))=""SOLO EMISOR"",
AND(
UPPER(TRIM(rTipo))=""EXACTA"",
UPPER(TRIM(AG1335))=UPPER(TRIM(rPatron))
),
AND(
OR(
UPPER(TRIM(rTipo))=""CONTIENE"",
UPPER(TRIM(rTipo))=""COINCIDENCIA""
),
ISNUMBER(SEARCH(UPPER(TRIM(rPatron)),UPPER(TRIM(D1335))))
)
)
),
rC"&amp;"oncepto,
""""
)
)
),
MAP(
reglas!$B$2:$B$240,
reglas!$C$2:$C$240,
reglas!$D$2:$D$240,
reglas!$E$2:$E$240,
LAMBDA(rEmisor,rPatron,rConcepto,rTipo,
IF(
AND(
OR(
UPPER(TRIM(rEmisor))=UPPER(TRIM(C1335)),
UPPER(TRIM(rEmisor))=""CUALQUIERA""
),
OR(
UPPER(TRIM(r"&amp;"Tipo))=""SOLO EMISOR"",
AND(
UPPER(TRIM(rTipo))=""EXACTA"",
UPPER(TRIM(D1335))=UPPER(TRIM(rPatron))
),
AND(
OR(
UPPER(TRIM(rTipo))=""CONTIENE"",
UPPER(TRIM(rTipo))=""COINCIDENCIA""
),
ISNUMBER(SEARCH(UPPER(TRIM(rPatron)),UPPER(TRIM(D1335))))
)
)
),
rConce"&amp;"pto,
""""
)
)
)&lt;&gt;""""
),
1
),
""""
)"),"TRANSPORTE")</f>
        <v>TRANSPORTE</v>
      </c>
      <c r="L1335" s="27"/>
      <c r="M1335" s="27"/>
      <c r="N1335" s="27"/>
      <c r="O1335" s="27"/>
      <c r="P1335" s="27"/>
      <c r="Q1335" s="27"/>
      <c r="R1335" s="27"/>
      <c r="S1335" s="27"/>
      <c r="T1335" s="27"/>
      <c r="U1335" s="27"/>
      <c r="V1335" s="27"/>
      <c r="W1335" s="27"/>
      <c r="X1335" s="27"/>
      <c r="Y1335" s="27"/>
    </row>
    <row r="1336">
      <c r="A1336" s="32"/>
      <c r="B1336" s="28" t="s">
        <v>29</v>
      </c>
      <c r="C1336" s="29" t="s">
        <v>172</v>
      </c>
      <c r="D1336" s="29" t="s">
        <v>1852</v>
      </c>
      <c r="E1336" s="30">
        <v>11500.0</v>
      </c>
      <c r="F1336" s="28">
        <v>0.0</v>
      </c>
      <c r="G1336" s="28" t="s">
        <v>250</v>
      </c>
      <c r="H1336" s="28">
        <f t="array" ref="H1336">INDEX(CC!C:C,MATCH(1,(CC!A:A=G1336)*(CC!B:B=I1336),0))</f>
        <v>1402</v>
      </c>
      <c r="I1336" s="28" t="s">
        <v>25</v>
      </c>
      <c r="J1336" s="31">
        <v>11500.0</v>
      </c>
      <c r="K1336" s="28" t="str">
        <f>IFERROR(__xludf.DUMMYFUNCTION("IFERROR(
INDEX(
FILTER(
MAP(
reglas!$B$2:$B$240,
reglas!$C$2:$C$240,
reglas!$D$2:$D$240,
reglas!$E$2:$E$240,
LAMBDA(rEmisor,rPatron,rConcepto,rTipo,
IF(
AND(
OR(
UPPER(TRIM(rEmisor))=UPPER(TRIM(C1336)),
UPPER(TRIM(rEmisor))=""CUALQUIERA""
),
OR(
UPPER(TRI"&amp;"M(rTipo))=""SOLO EMISOR"",
AND(
UPPER(TRIM(rTipo))=""EXACTA"",
UPPER(TRIM(AG1336))=UPPER(TRIM(rPatron))
),
AND(
OR(
UPPER(TRIM(rTipo))=""CONTIENE"",
UPPER(TRIM(rTipo))=""COINCIDENCIA""
),
ISNUMBER(SEARCH(UPPER(TRIM(rPatron)),UPPER(TRIM(D1336))))
)
)
),
rC"&amp;"oncepto,
""""
)
)
),
MAP(
reglas!$B$2:$B$240,
reglas!$C$2:$C$240,
reglas!$D$2:$D$240,
reglas!$E$2:$E$240,
LAMBDA(rEmisor,rPatron,rConcepto,rTipo,
IF(
AND(
OR(
UPPER(TRIM(rEmisor))=UPPER(TRIM(C1336)),
UPPER(TRIM(rEmisor))=""CUALQUIERA""
),
OR(
UPPER(TRIM(r"&amp;"Tipo))=""SOLO EMISOR"",
AND(
UPPER(TRIM(rTipo))=""EXACTA"",
UPPER(TRIM(D1336))=UPPER(TRIM(rPatron))
),
AND(
OR(
UPPER(TRIM(rTipo))=""CONTIENE"",
UPPER(TRIM(rTipo))=""COINCIDENCIA""
),
ISNUMBER(SEARCH(UPPER(TRIM(rPatron)),UPPER(TRIM(D1336))))
)
)
),
rConce"&amp;"pto,
""""
)
)
)&lt;&gt;""""
),
1
),
""""
)"),"TRANSPORTE")</f>
        <v>TRANSPORTE</v>
      </c>
      <c r="L1336" s="27"/>
      <c r="M1336" s="27"/>
      <c r="N1336" s="27"/>
      <c r="O1336" s="27"/>
      <c r="P1336" s="27"/>
      <c r="Q1336" s="27"/>
      <c r="R1336" s="27"/>
      <c r="S1336" s="27"/>
      <c r="T1336" s="27"/>
      <c r="U1336" s="27"/>
      <c r="V1336" s="27"/>
      <c r="W1336" s="27"/>
      <c r="X1336" s="27"/>
      <c r="Y1336" s="27"/>
    </row>
    <row r="1337">
      <c r="A1337" s="32"/>
      <c r="B1337" s="28" t="s">
        <v>29</v>
      </c>
      <c r="C1337" s="29" t="s">
        <v>278</v>
      </c>
      <c r="D1337" s="29" t="s">
        <v>898</v>
      </c>
      <c r="E1337" s="30">
        <v>1000.0</v>
      </c>
      <c r="F1337" s="28">
        <v>0.0</v>
      </c>
      <c r="G1337" s="28" t="s">
        <v>250</v>
      </c>
      <c r="H1337" s="28">
        <f t="array" ref="H1337">INDEX(CC!C:C,MATCH(1,(CC!A:A=G1337)*(CC!B:B=I1337),0))</f>
        <v>1402</v>
      </c>
      <c r="I1337" s="28" t="s">
        <v>25</v>
      </c>
      <c r="J1337" s="31">
        <v>1000.0</v>
      </c>
      <c r="K1337" s="28" t="str">
        <f>IFERROR(__xludf.DUMMYFUNCTION("IFERROR(
INDEX(
FILTER(
MAP(
reglas!$B$2:$B$240,
reglas!$C$2:$C$240,
reglas!$D$2:$D$240,
reglas!$E$2:$E$240,
LAMBDA(rEmisor,rPatron,rConcepto,rTipo,
IF(
AND(
OR(
UPPER(TRIM(rEmisor))=UPPER(TRIM(C1337)),
UPPER(TRIM(rEmisor))=""CUALQUIERA""
),
OR(
UPPER(TRI"&amp;"M(rTipo))=""SOLO EMISOR"",
AND(
UPPER(TRIM(rTipo))=""EXACTA"",
UPPER(TRIM(AG1337))=UPPER(TRIM(rPatron))
),
AND(
OR(
UPPER(TRIM(rTipo))=""CONTIENE"",
UPPER(TRIM(rTipo))=""COINCIDENCIA""
),
ISNUMBER(SEARCH(UPPER(TRIM(rPatron)),UPPER(TRIM(D1337))))
)
)
),
rC"&amp;"oncepto,
""""
)
)
),
MAP(
reglas!$B$2:$B$240,
reglas!$C$2:$C$240,
reglas!$D$2:$D$240,
reglas!$E$2:$E$240,
LAMBDA(rEmisor,rPatron,rConcepto,rTipo,
IF(
AND(
OR(
UPPER(TRIM(rEmisor))=UPPER(TRIM(C1337)),
UPPER(TRIM(rEmisor))=""CUALQUIERA""
),
OR(
UPPER(TRIM(r"&amp;"Tipo))=""SOLO EMISOR"",
AND(
UPPER(TRIM(rTipo))=""EXACTA"",
UPPER(TRIM(D1337))=UPPER(TRIM(rPatron))
),
AND(
OR(
UPPER(TRIM(rTipo))=""CONTIENE"",
UPPER(TRIM(rTipo))=""COINCIDENCIA""
),
ISNUMBER(SEARCH(UPPER(TRIM(rPatron)),UPPER(TRIM(D1337))))
)
)
),
rConce"&amp;"pto,
""""
)
)
)&lt;&gt;""""
),
1
),
""""
)"),"MANIOBRAS")</f>
        <v>MANIOBRAS</v>
      </c>
      <c r="L1337" s="27"/>
      <c r="M1337" s="27"/>
      <c r="N1337" s="27"/>
      <c r="O1337" s="27"/>
      <c r="P1337" s="27"/>
      <c r="Q1337" s="27"/>
      <c r="R1337" s="27"/>
      <c r="S1337" s="27"/>
      <c r="T1337" s="27"/>
      <c r="U1337" s="27"/>
      <c r="V1337" s="27"/>
      <c r="W1337" s="27"/>
      <c r="X1337" s="27"/>
      <c r="Y1337" s="27"/>
    </row>
    <row r="1338">
      <c r="A1338" s="32"/>
      <c r="B1338" s="28" t="s">
        <v>29</v>
      </c>
      <c r="C1338" s="29" t="s">
        <v>278</v>
      </c>
      <c r="D1338" s="29" t="s">
        <v>560</v>
      </c>
      <c r="E1338" s="30">
        <v>3500.0</v>
      </c>
      <c r="F1338" s="28">
        <v>0.0</v>
      </c>
      <c r="G1338" s="28" t="s">
        <v>250</v>
      </c>
      <c r="H1338" s="28">
        <f t="array" ref="H1338">INDEX(CC!C:C,MATCH(1,(CC!A:A=G1338)*(CC!B:B=I1338),0))</f>
        <v>1402</v>
      </c>
      <c r="I1338" s="28" t="s">
        <v>25</v>
      </c>
      <c r="J1338" s="31">
        <v>3500.0</v>
      </c>
      <c r="K1338" s="28" t="str">
        <f>IFERROR(__xludf.DUMMYFUNCTION("IFERROR(
INDEX(
FILTER(
MAP(
reglas!$B$2:$B$240,
reglas!$C$2:$C$240,
reglas!$D$2:$D$240,
reglas!$E$2:$E$240,
LAMBDA(rEmisor,rPatron,rConcepto,rTipo,
IF(
AND(
OR(
UPPER(TRIM(rEmisor))=UPPER(TRIM(C1338)),
UPPER(TRIM(rEmisor))=""CUALQUIERA""
),
OR(
UPPER(TRI"&amp;"M(rTipo))=""SOLO EMISOR"",
AND(
UPPER(TRIM(rTipo))=""EXACTA"",
UPPER(TRIM(AG1338))=UPPER(TRIM(rPatron))
),
AND(
OR(
UPPER(TRIM(rTipo))=""CONTIENE"",
UPPER(TRIM(rTipo))=""COINCIDENCIA""
),
ISNUMBER(SEARCH(UPPER(TRIM(rPatron)),UPPER(TRIM(D1338))))
)
)
),
rC"&amp;"oncepto,
""""
)
)
),
MAP(
reglas!$B$2:$B$240,
reglas!$C$2:$C$240,
reglas!$D$2:$D$240,
reglas!$E$2:$E$240,
LAMBDA(rEmisor,rPatron,rConcepto,rTipo,
IF(
AND(
OR(
UPPER(TRIM(rEmisor))=UPPER(TRIM(C1338)),
UPPER(TRIM(rEmisor))=""CUALQUIERA""
),
OR(
UPPER(TRIM(r"&amp;"Tipo))=""SOLO EMISOR"",
AND(
UPPER(TRIM(rTipo))=""EXACTA"",
UPPER(TRIM(D1338))=UPPER(TRIM(rPatron))
),
AND(
OR(
UPPER(TRIM(rTipo))=""CONTIENE"",
UPPER(TRIM(rTipo))=""COINCIDENCIA""
),
ISNUMBER(SEARCH(UPPER(TRIM(rPatron)),UPPER(TRIM(D1338))))
)
)
),
rConce"&amp;"pto,
""""
)
)
)&lt;&gt;""""
),
1
),
""""
)"),"MANIOBRAS")</f>
        <v>MANIOBRAS</v>
      </c>
      <c r="L1338" s="27"/>
      <c r="M1338" s="27"/>
      <c r="N1338" s="27"/>
      <c r="O1338" s="27"/>
      <c r="P1338" s="27"/>
      <c r="Q1338" s="27"/>
      <c r="R1338" s="27"/>
      <c r="S1338" s="27"/>
      <c r="T1338" s="27"/>
      <c r="U1338" s="27"/>
      <c r="V1338" s="27"/>
      <c r="W1338" s="27"/>
      <c r="X1338" s="27"/>
      <c r="Y1338" s="27"/>
    </row>
    <row r="1339">
      <c r="A1339" s="32"/>
      <c r="B1339" s="28" t="s">
        <v>29</v>
      </c>
      <c r="C1339" s="29" t="s">
        <v>278</v>
      </c>
      <c r="D1339" s="29" t="s">
        <v>898</v>
      </c>
      <c r="E1339" s="30">
        <v>1000.0</v>
      </c>
      <c r="F1339" s="28">
        <v>0.0</v>
      </c>
      <c r="G1339" s="28" t="s">
        <v>250</v>
      </c>
      <c r="H1339" s="28">
        <f t="array" ref="H1339">INDEX(CC!C:C,MATCH(1,(CC!A:A=G1339)*(CC!B:B=I1339),0))</f>
        <v>1402</v>
      </c>
      <c r="I1339" s="28" t="s">
        <v>25</v>
      </c>
      <c r="J1339" s="31">
        <v>1000.0</v>
      </c>
      <c r="K1339" s="28" t="str">
        <f>IFERROR(__xludf.DUMMYFUNCTION("IFERROR(
INDEX(
FILTER(
MAP(
reglas!$B$2:$B$240,
reglas!$C$2:$C$240,
reglas!$D$2:$D$240,
reglas!$E$2:$E$240,
LAMBDA(rEmisor,rPatron,rConcepto,rTipo,
IF(
AND(
OR(
UPPER(TRIM(rEmisor))=UPPER(TRIM(C1339)),
UPPER(TRIM(rEmisor))=""CUALQUIERA""
),
OR(
UPPER(TRI"&amp;"M(rTipo))=""SOLO EMISOR"",
AND(
UPPER(TRIM(rTipo))=""EXACTA"",
UPPER(TRIM(AG1339))=UPPER(TRIM(rPatron))
),
AND(
OR(
UPPER(TRIM(rTipo))=""CONTIENE"",
UPPER(TRIM(rTipo))=""COINCIDENCIA""
),
ISNUMBER(SEARCH(UPPER(TRIM(rPatron)),UPPER(TRIM(D1339))))
)
)
),
rC"&amp;"oncepto,
""""
)
)
),
MAP(
reglas!$B$2:$B$240,
reglas!$C$2:$C$240,
reglas!$D$2:$D$240,
reglas!$E$2:$E$240,
LAMBDA(rEmisor,rPatron,rConcepto,rTipo,
IF(
AND(
OR(
UPPER(TRIM(rEmisor))=UPPER(TRIM(C1339)),
UPPER(TRIM(rEmisor))=""CUALQUIERA""
),
OR(
UPPER(TRIM(r"&amp;"Tipo))=""SOLO EMISOR"",
AND(
UPPER(TRIM(rTipo))=""EXACTA"",
UPPER(TRIM(D1339))=UPPER(TRIM(rPatron))
),
AND(
OR(
UPPER(TRIM(rTipo))=""CONTIENE"",
UPPER(TRIM(rTipo))=""COINCIDENCIA""
),
ISNUMBER(SEARCH(UPPER(TRIM(rPatron)),UPPER(TRIM(D1339))))
)
)
),
rConce"&amp;"pto,
""""
)
)
)&lt;&gt;""""
),
1
),
""""
)"),"MANIOBRAS")</f>
        <v>MANIOBRAS</v>
      </c>
      <c r="L1339" s="27"/>
      <c r="M1339" s="27"/>
      <c r="N1339" s="27"/>
      <c r="O1339" s="27"/>
      <c r="P1339" s="27"/>
      <c r="Q1339" s="27"/>
      <c r="R1339" s="27"/>
      <c r="S1339" s="27"/>
      <c r="T1339" s="27"/>
      <c r="U1339" s="27"/>
      <c r="V1339" s="27"/>
      <c r="W1339" s="27"/>
      <c r="X1339" s="27"/>
      <c r="Y1339" s="27"/>
    </row>
    <row r="1340">
      <c r="A1340" s="32"/>
      <c r="B1340" s="28" t="s">
        <v>29</v>
      </c>
      <c r="C1340" s="29" t="s">
        <v>278</v>
      </c>
      <c r="D1340" s="29" t="s">
        <v>560</v>
      </c>
      <c r="E1340" s="30">
        <v>3500.0</v>
      </c>
      <c r="F1340" s="28">
        <v>0.0</v>
      </c>
      <c r="G1340" s="28" t="s">
        <v>250</v>
      </c>
      <c r="H1340" s="28">
        <f t="array" ref="H1340">INDEX(CC!C:C,MATCH(1,(CC!A:A=G1340)*(CC!B:B=I1340),0))</f>
        <v>1402</v>
      </c>
      <c r="I1340" s="28" t="s">
        <v>25</v>
      </c>
      <c r="J1340" s="31">
        <v>3500.0</v>
      </c>
      <c r="K1340" s="28" t="str">
        <f>IFERROR(__xludf.DUMMYFUNCTION("IFERROR(
INDEX(
FILTER(
MAP(
reglas!$B$2:$B$240,
reglas!$C$2:$C$240,
reglas!$D$2:$D$240,
reglas!$E$2:$E$240,
LAMBDA(rEmisor,rPatron,rConcepto,rTipo,
IF(
AND(
OR(
UPPER(TRIM(rEmisor))=UPPER(TRIM(C1340)),
UPPER(TRIM(rEmisor))=""CUALQUIERA""
),
OR(
UPPER(TRI"&amp;"M(rTipo))=""SOLO EMISOR"",
AND(
UPPER(TRIM(rTipo))=""EXACTA"",
UPPER(TRIM(AG1340))=UPPER(TRIM(rPatron))
),
AND(
OR(
UPPER(TRIM(rTipo))=""CONTIENE"",
UPPER(TRIM(rTipo))=""COINCIDENCIA""
),
ISNUMBER(SEARCH(UPPER(TRIM(rPatron)),UPPER(TRIM(D1340))))
)
)
),
rC"&amp;"oncepto,
""""
)
)
),
MAP(
reglas!$B$2:$B$240,
reglas!$C$2:$C$240,
reglas!$D$2:$D$240,
reglas!$E$2:$E$240,
LAMBDA(rEmisor,rPatron,rConcepto,rTipo,
IF(
AND(
OR(
UPPER(TRIM(rEmisor))=UPPER(TRIM(C1340)),
UPPER(TRIM(rEmisor))=""CUALQUIERA""
),
OR(
UPPER(TRIM(r"&amp;"Tipo))=""SOLO EMISOR"",
AND(
UPPER(TRIM(rTipo))=""EXACTA"",
UPPER(TRIM(D1340))=UPPER(TRIM(rPatron))
),
AND(
OR(
UPPER(TRIM(rTipo))=""CONTIENE"",
UPPER(TRIM(rTipo))=""COINCIDENCIA""
),
ISNUMBER(SEARCH(UPPER(TRIM(rPatron)),UPPER(TRIM(D1340))))
)
)
),
rConce"&amp;"pto,
""""
)
)
)&lt;&gt;""""
),
1
),
""""
)"),"MANIOBRAS")</f>
        <v>MANIOBRAS</v>
      </c>
      <c r="L1340" s="27"/>
      <c r="M1340" s="27"/>
      <c r="N1340" s="27"/>
      <c r="O1340" s="27"/>
      <c r="P1340" s="27"/>
      <c r="Q1340" s="27"/>
      <c r="R1340" s="27"/>
      <c r="S1340" s="27"/>
      <c r="T1340" s="27"/>
      <c r="U1340" s="27"/>
      <c r="V1340" s="27"/>
      <c r="W1340" s="27"/>
      <c r="X1340" s="27"/>
      <c r="Y1340" s="27"/>
    </row>
    <row r="1341">
      <c r="A1341" s="32"/>
      <c r="B1341" s="28" t="s">
        <v>29</v>
      </c>
      <c r="C1341" s="29" t="s">
        <v>169</v>
      </c>
      <c r="D1341" s="29" t="s">
        <v>1885</v>
      </c>
      <c r="E1341" s="28">
        <v>305.0</v>
      </c>
      <c r="F1341" s="28">
        <v>0.0</v>
      </c>
      <c r="G1341" s="28" t="s">
        <v>250</v>
      </c>
      <c r="H1341" s="28">
        <f t="array" ref="H1341">INDEX(CC!C:C,MATCH(1,(CC!A:A=G1341)*(CC!B:B=I1341),0))</f>
        <v>1402</v>
      </c>
      <c r="I1341" s="28" t="s">
        <v>25</v>
      </c>
      <c r="J1341" s="31">
        <v>305.0</v>
      </c>
      <c r="K1341" s="28" t="str">
        <f>IFERROR(__xludf.DUMMYFUNCTION("IFERROR(
INDEX(
FILTER(
MAP(
reglas!$B$2:$B$240,
reglas!$C$2:$C$240,
reglas!$D$2:$D$240,
reglas!$E$2:$E$240,
LAMBDA(rEmisor,rPatron,rConcepto,rTipo,
IF(
AND(
OR(
UPPER(TRIM(rEmisor))=UPPER(TRIM(C1341)),
UPPER(TRIM(rEmisor))=""CUALQUIERA""
),
OR(
UPPER(TRI"&amp;"M(rTipo))=""SOLO EMISOR"",
AND(
UPPER(TRIM(rTipo))=""EXACTA"",
UPPER(TRIM(AG1341))=UPPER(TRIM(rPatron))
),
AND(
OR(
UPPER(TRIM(rTipo))=""CONTIENE"",
UPPER(TRIM(rTipo))=""COINCIDENCIA""
),
ISNUMBER(SEARCH(UPPER(TRIM(rPatron)),UPPER(TRIM(D1341))))
)
)
),
rC"&amp;"oncepto,
""""
)
)
),
MAP(
reglas!$B$2:$B$240,
reglas!$C$2:$C$240,
reglas!$D$2:$D$240,
reglas!$E$2:$E$240,
LAMBDA(rEmisor,rPatron,rConcepto,rTipo,
IF(
AND(
OR(
UPPER(TRIM(rEmisor))=UPPER(TRIM(C1341)),
UPPER(TRIM(rEmisor))=""CUALQUIERA""
),
OR(
UPPER(TRIM(r"&amp;"Tipo))=""SOLO EMISOR"",
AND(
UPPER(TRIM(rTipo))=""EXACTA"",
UPPER(TRIM(D1341))=UPPER(TRIM(rPatron))
),
AND(
OR(
UPPER(TRIM(rTipo))=""CONTIENE"",
UPPER(TRIM(rTipo))=""COINCIDENCIA""
),
ISNUMBER(SEARCH(UPPER(TRIM(rPatron)),UPPER(TRIM(D1341))))
)
)
),
rConce"&amp;"pto,
""""
)
)
)&lt;&gt;""""
),
1
),
""""
)"),"PATIO REGULADOR")</f>
        <v>PATIO REGULADOR</v>
      </c>
      <c r="L1341" s="27"/>
      <c r="M1341" s="27"/>
      <c r="N1341" s="27"/>
      <c r="O1341" s="27"/>
      <c r="P1341" s="27"/>
      <c r="Q1341" s="27"/>
      <c r="R1341" s="27"/>
      <c r="S1341" s="27"/>
      <c r="T1341" s="27"/>
      <c r="U1341" s="27"/>
      <c r="V1341" s="27"/>
      <c r="W1341" s="27"/>
      <c r="X1341" s="27"/>
      <c r="Y1341" s="27"/>
    </row>
    <row r="1342">
      <c r="A1342" s="32"/>
      <c r="B1342" s="28" t="s">
        <v>29</v>
      </c>
      <c r="C1342" s="29" t="s">
        <v>1886</v>
      </c>
      <c r="D1342" s="29" t="s">
        <v>1887</v>
      </c>
      <c r="E1342" s="30">
        <v>1200.0</v>
      </c>
      <c r="F1342" s="28">
        <v>0.0</v>
      </c>
      <c r="G1342" s="28" t="s">
        <v>395</v>
      </c>
      <c r="H1342" s="28">
        <f t="array" ref="H1342">INDEX(CC!C:C,MATCH(1,(CC!A:A=G1342)*(CC!B:B=I1342),0))</f>
        <v>1103</v>
      </c>
      <c r="I1342" s="28" t="s">
        <v>44</v>
      </c>
      <c r="J1342" s="31">
        <v>1200.0</v>
      </c>
      <c r="K1342" s="28" t="str">
        <f>IFERROR(__xludf.DUMMYFUNCTION("IFERROR(
INDEX(
FILTER(
MAP(
reglas!$B$2:$B$240,
reglas!$C$2:$C$240,
reglas!$D$2:$D$240,
reglas!$E$2:$E$240,
LAMBDA(rEmisor,rPatron,rConcepto,rTipo,
IF(
AND(
OR(
UPPER(TRIM(rEmisor))=UPPER(TRIM(C1342)),
UPPER(TRIM(rEmisor))=""CUALQUIERA""
),
OR(
UPPER(TRI"&amp;"M(rTipo))=""SOLO EMISOR"",
AND(
UPPER(TRIM(rTipo))=""EXACTA"",
UPPER(TRIM(AG1342))=UPPER(TRIM(rPatron))
),
AND(
OR(
UPPER(TRIM(rTipo))=""CONTIENE"",
UPPER(TRIM(rTipo))=""COINCIDENCIA""
),
ISNUMBER(SEARCH(UPPER(TRIM(rPatron)),UPPER(TRIM(D1342))))
)
)
),
rC"&amp;"oncepto,
""""
)
)
),
MAP(
reglas!$B$2:$B$240,
reglas!$C$2:$C$240,
reglas!$D$2:$D$240,
reglas!$E$2:$E$240,
LAMBDA(rEmisor,rPatron,rConcepto,rTipo,
IF(
AND(
OR(
UPPER(TRIM(rEmisor))=UPPER(TRIM(C1342)),
UPPER(TRIM(rEmisor))=""CUALQUIERA""
),
OR(
UPPER(TRIM(r"&amp;"Tipo))=""SOLO EMISOR"",
AND(
UPPER(TRIM(rTipo))=""EXACTA"",
UPPER(TRIM(D1342))=UPPER(TRIM(rPatron))
),
AND(
OR(
UPPER(TRIM(rTipo))=""CONTIENE"",
UPPER(TRIM(rTipo))=""COINCIDENCIA""
),
ISNUMBER(SEARCH(UPPER(TRIM(rPatron)),UPPER(TRIM(D1342))))
)
)
),
rConce"&amp;"pto,
""""
)
)
)&lt;&gt;""""
),
1
),
""""
)"),"")</f>
        <v/>
      </c>
      <c r="L1342" s="27"/>
      <c r="M1342" s="27"/>
      <c r="N1342" s="27"/>
      <c r="O1342" s="27"/>
      <c r="P1342" s="27"/>
      <c r="Q1342" s="27"/>
      <c r="R1342" s="27"/>
      <c r="S1342" s="27"/>
      <c r="T1342" s="27"/>
      <c r="U1342" s="27"/>
      <c r="V1342" s="27"/>
      <c r="W1342" s="27"/>
      <c r="X1342" s="27"/>
      <c r="Y1342" s="27"/>
    </row>
    <row r="1343">
      <c r="A1343" s="32"/>
      <c r="B1343" s="28" t="s">
        <v>29</v>
      </c>
      <c r="C1343" s="29" t="s">
        <v>278</v>
      </c>
      <c r="D1343" s="29" t="s">
        <v>560</v>
      </c>
      <c r="E1343" s="30">
        <v>3500.0</v>
      </c>
      <c r="F1343" s="28">
        <v>0.0</v>
      </c>
      <c r="G1343" s="28" t="s">
        <v>250</v>
      </c>
      <c r="H1343" s="28">
        <f t="array" ref="H1343">INDEX(CC!C:C,MATCH(1,(CC!A:A=G1343)*(CC!B:B=I1343),0))</f>
        <v>1402</v>
      </c>
      <c r="I1343" s="28" t="s">
        <v>25</v>
      </c>
      <c r="J1343" s="31">
        <v>3500.0</v>
      </c>
      <c r="K1343" s="28" t="str">
        <f>IFERROR(__xludf.DUMMYFUNCTION("IFERROR(
INDEX(
FILTER(
MAP(
reglas!$B$2:$B$240,
reglas!$C$2:$C$240,
reglas!$D$2:$D$240,
reglas!$E$2:$E$240,
LAMBDA(rEmisor,rPatron,rConcepto,rTipo,
IF(
AND(
OR(
UPPER(TRIM(rEmisor))=UPPER(TRIM(C1343)),
UPPER(TRIM(rEmisor))=""CUALQUIERA""
),
OR(
UPPER(TRI"&amp;"M(rTipo))=""SOLO EMISOR"",
AND(
UPPER(TRIM(rTipo))=""EXACTA"",
UPPER(TRIM(AG1343))=UPPER(TRIM(rPatron))
),
AND(
OR(
UPPER(TRIM(rTipo))=""CONTIENE"",
UPPER(TRIM(rTipo))=""COINCIDENCIA""
),
ISNUMBER(SEARCH(UPPER(TRIM(rPatron)),UPPER(TRIM(D1343))))
)
)
),
rC"&amp;"oncepto,
""""
)
)
),
MAP(
reglas!$B$2:$B$240,
reglas!$C$2:$C$240,
reglas!$D$2:$D$240,
reglas!$E$2:$E$240,
LAMBDA(rEmisor,rPatron,rConcepto,rTipo,
IF(
AND(
OR(
UPPER(TRIM(rEmisor))=UPPER(TRIM(C1343)),
UPPER(TRIM(rEmisor))=""CUALQUIERA""
),
OR(
UPPER(TRIM(r"&amp;"Tipo))=""SOLO EMISOR"",
AND(
UPPER(TRIM(rTipo))=""EXACTA"",
UPPER(TRIM(D1343))=UPPER(TRIM(rPatron))
),
AND(
OR(
UPPER(TRIM(rTipo))=""CONTIENE"",
UPPER(TRIM(rTipo))=""COINCIDENCIA""
),
ISNUMBER(SEARCH(UPPER(TRIM(rPatron)),UPPER(TRIM(D1343))))
)
)
),
rConce"&amp;"pto,
""""
)
)
)&lt;&gt;""""
),
1
),
""""
)"),"MANIOBRAS")</f>
        <v>MANIOBRAS</v>
      </c>
      <c r="L1343" s="27"/>
      <c r="M1343" s="27"/>
      <c r="N1343" s="27"/>
      <c r="O1343" s="27"/>
      <c r="P1343" s="27"/>
      <c r="Q1343" s="27"/>
      <c r="R1343" s="27"/>
      <c r="S1343" s="27"/>
      <c r="T1343" s="27"/>
      <c r="U1343" s="27"/>
      <c r="V1343" s="27"/>
      <c r="W1343" s="27"/>
      <c r="X1343" s="27"/>
      <c r="Y1343" s="27"/>
    </row>
    <row r="1344">
      <c r="A1344" s="32"/>
      <c r="B1344" s="28" t="s">
        <v>29</v>
      </c>
      <c r="C1344" s="29" t="s">
        <v>302</v>
      </c>
      <c r="D1344" s="29" t="s">
        <v>1888</v>
      </c>
      <c r="E1344" s="30">
        <v>31000.0</v>
      </c>
      <c r="F1344" s="28">
        <v>0.0</v>
      </c>
      <c r="G1344" s="28" t="s">
        <v>554</v>
      </c>
      <c r="H1344" s="28">
        <f t="array" ref="H1344">INDEX(CC!C:C,MATCH(1,(CC!A:A=G1344)*(CC!B:B=I1344),0))</f>
        <v>1703</v>
      </c>
      <c r="I1344" s="28" t="s">
        <v>44</v>
      </c>
      <c r="J1344" s="31">
        <v>31000.0</v>
      </c>
      <c r="K1344" s="28" t="str">
        <f>IFERROR(__xludf.DUMMYFUNCTION("IFERROR(
INDEX(
FILTER(
MAP(
reglas!$B$2:$B$240,
reglas!$C$2:$C$240,
reglas!$D$2:$D$240,
reglas!$E$2:$E$240,
LAMBDA(rEmisor,rPatron,rConcepto,rTipo,
IF(
AND(
OR(
UPPER(TRIM(rEmisor))=UPPER(TRIM(C1344)),
UPPER(TRIM(rEmisor))=""CUALQUIERA""
),
OR(
UPPER(TRI"&amp;"M(rTipo))=""SOLO EMISOR"",
AND(
UPPER(TRIM(rTipo))=""EXACTA"",
UPPER(TRIM(AG1344))=UPPER(TRIM(rPatron))
),
AND(
OR(
UPPER(TRIM(rTipo))=""CONTIENE"",
UPPER(TRIM(rTipo))=""COINCIDENCIA""
),
ISNUMBER(SEARCH(UPPER(TRIM(rPatron)),UPPER(TRIM(D1344))))
)
)
),
rC"&amp;"oncepto,
""""
)
)
),
MAP(
reglas!$B$2:$B$240,
reglas!$C$2:$C$240,
reglas!$D$2:$D$240,
reglas!$E$2:$E$240,
LAMBDA(rEmisor,rPatron,rConcepto,rTipo,
IF(
AND(
OR(
UPPER(TRIM(rEmisor))=UPPER(TRIM(C1344)),
UPPER(TRIM(rEmisor))=""CUALQUIERA""
),
OR(
UPPER(TRIM(r"&amp;"Tipo))=""SOLO EMISOR"",
AND(
UPPER(TRIM(rTipo))=""EXACTA"",
UPPER(TRIM(D1344))=UPPER(TRIM(rPatron))
),
AND(
OR(
UPPER(TRIM(rTipo))=""CONTIENE"",
UPPER(TRIM(rTipo))=""COINCIDENCIA""
),
ISNUMBER(SEARCH(UPPER(TRIM(rPatron)),UPPER(TRIM(D1344))))
)
)
),
rConce"&amp;"pto,
""""
)
)
)&lt;&gt;""""
),
1
),
""""
)"),"TRANSPORTE")</f>
        <v>TRANSPORTE</v>
      </c>
      <c r="L1344" s="27"/>
      <c r="M1344" s="27"/>
      <c r="N1344" s="27"/>
      <c r="O1344" s="27"/>
      <c r="P1344" s="27"/>
      <c r="Q1344" s="27"/>
      <c r="R1344" s="27"/>
      <c r="S1344" s="27"/>
      <c r="T1344" s="27"/>
      <c r="U1344" s="27"/>
      <c r="V1344" s="27"/>
      <c r="W1344" s="27"/>
      <c r="X1344" s="27"/>
      <c r="Y1344" s="27"/>
    </row>
    <row r="1345">
      <c r="A1345" s="28">
        <v>1.0</v>
      </c>
      <c r="B1345" s="28" t="s">
        <v>29</v>
      </c>
      <c r="C1345" s="29" t="s">
        <v>271</v>
      </c>
      <c r="D1345" s="29" t="s">
        <v>589</v>
      </c>
      <c r="E1345" s="28">
        <v>620.33</v>
      </c>
      <c r="F1345" s="28">
        <v>0.0</v>
      </c>
      <c r="G1345" s="28" t="s">
        <v>84</v>
      </c>
      <c r="H1345" s="28">
        <f t="array" ref="H1345">INDEX(CC!C:C,MATCH(1,(CC!A:A=G1345)*(CC!B:B=I1345),0))</f>
        <v>1002</v>
      </c>
      <c r="I1345" s="28" t="s">
        <v>25</v>
      </c>
      <c r="J1345" s="31">
        <v>620.33</v>
      </c>
      <c r="K1345" s="28" t="str">
        <f>IFERROR(__xludf.DUMMYFUNCTION("IFERROR(
INDEX(
FILTER(
MAP(
reglas!$B$2:$B$240,
reglas!$C$2:$C$240,
reglas!$D$2:$D$240,
reglas!$E$2:$E$240,
LAMBDA(rEmisor,rPatron,rConcepto,rTipo,
IF(
AND(
OR(
UPPER(TRIM(rEmisor))=UPPER(TRIM(C1345)),
UPPER(TRIM(rEmisor))=""CUALQUIERA""
),
OR(
UPPER(TRI"&amp;"M(rTipo))=""SOLO EMISOR"",
AND(
UPPER(TRIM(rTipo))=""EXACTA"",
UPPER(TRIM(AG1345))=UPPER(TRIM(rPatron))
),
AND(
OR(
UPPER(TRIM(rTipo))=""CONTIENE"",
UPPER(TRIM(rTipo))=""COINCIDENCIA""
),
ISNUMBER(SEARCH(UPPER(TRIM(rPatron)),UPPER(TRIM(D1345))))
)
)
),
rC"&amp;"oncepto,
""""
)
)
),
MAP(
reglas!$B$2:$B$240,
reglas!$C$2:$C$240,
reglas!$D$2:$D$240,
reglas!$E$2:$E$240,
LAMBDA(rEmisor,rPatron,rConcepto,rTipo,
IF(
AND(
OR(
UPPER(TRIM(rEmisor))=UPPER(TRIM(C1345)),
UPPER(TRIM(rEmisor))=""CUALQUIERA""
),
OR(
UPPER(TRIM(r"&amp;"Tipo))=""SOLO EMISOR"",
AND(
UPPER(TRIM(rTipo))=""EXACTA"",
UPPER(TRIM(D1345))=UPPER(TRIM(rPatron))
),
AND(
OR(
UPPER(TRIM(rTipo))=""CONTIENE"",
UPPER(TRIM(rTipo))=""COINCIDENCIA""
),
ISNUMBER(SEARCH(UPPER(TRIM(rPatron)),UPPER(TRIM(D1345))))
)
)
),
rConce"&amp;"pto,
""""
)
)
)&lt;&gt;""""
),
1
),
""""
)"),"MANIOBRAS")</f>
        <v>MANIOBRAS</v>
      </c>
      <c r="L1345" s="27"/>
      <c r="M1345" s="27"/>
      <c r="N1345" s="27"/>
      <c r="O1345" s="27"/>
      <c r="P1345" s="27"/>
      <c r="Q1345" s="27"/>
      <c r="R1345" s="27"/>
      <c r="S1345" s="27"/>
      <c r="T1345" s="27"/>
      <c r="U1345" s="27"/>
      <c r="V1345" s="27"/>
      <c r="W1345" s="27"/>
      <c r="X1345" s="27"/>
      <c r="Y1345" s="27"/>
    </row>
    <row r="1346">
      <c r="A1346" s="28">
        <v>1.0</v>
      </c>
      <c r="B1346" s="28" t="s">
        <v>29</v>
      </c>
      <c r="C1346" s="29" t="s">
        <v>271</v>
      </c>
      <c r="D1346" s="29" t="s">
        <v>589</v>
      </c>
      <c r="E1346" s="28">
        <v>620.33</v>
      </c>
      <c r="F1346" s="28">
        <v>0.0</v>
      </c>
      <c r="G1346" s="28" t="s">
        <v>84</v>
      </c>
      <c r="H1346" s="28">
        <f t="array" ref="H1346">INDEX(CC!C:C,MATCH(1,(CC!A:A=G1346)*(CC!B:B=I1346),0))</f>
        <v>1002</v>
      </c>
      <c r="I1346" s="28" t="s">
        <v>25</v>
      </c>
      <c r="J1346" s="31">
        <v>620.33</v>
      </c>
      <c r="K1346" s="28" t="str">
        <f>IFERROR(__xludf.DUMMYFUNCTION("IFERROR(
INDEX(
FILTER(
MAP(
reglas!$B$2:$B$240,
reglas!$C$2:$C$240,
reglas!$D$2:$D$240,
reglas!$E$2:$E$240,
LAMBDA(rEmisor,rPatron,rConcepto,rTipo,
IF(
AND(
OR(
UPPER(TRIM(rEmisor))=UPPER(TRIM(C1346)),
UPPER(TRIM(rEmisor))=""CUALQUIERA""
),
OR(
UPPER(TRI"&amp;"M(rTipo))=""SOLO EMISOR"",
AND(
UPPER(TRIM(rTipo))=""EXACTA"",
UPPER(TRIM(AG1346))=UPPER(TRIM(rPatron))
),
AND(
OR(
UPPER(TRIM(rTipo))=""CONTIENE"",
UPPER(TRIM(rTipo))=""COINCIDENCIA""
),
ISNUMBER(SEARCH(UPPER(TRIM(rPatron)),UPPER(TRIM(D1346))))
)
)
),
rC"&amp;"oncepto,
""""
)
)
),
MAP(
reglas!$B$2:$B$240,
reglas!$C$2:$C$240,
reglas!$D$2:$D$240,
reglas!$E$2:$E$240,
LAMBDA(rEmisor,rPatron,rConcepto,rTipo,
IF(
AND(
OR(
UPPER(TRIM(rEmisor))=UPPER(TRIM(C1346)),
UPPER(TRIM(rEmisor))=""CUALQUIERA""
),
OR(
UPPER(TRIM(r"&amp;"Tipo))=""SOLO EMISOR"",
AND(
UPPER(TRIM(rTipo))=""EXACTA"",
UPPER(TRIM(D1346))=UPPER(TRIM(rPatron))
),
AND(
OR(
UPPER(TRIM(rTipo))=""CONTIENE"",
UPPER(TRIM(rTipo))=""COINCIDENCIA""
),
ISNUMBER(SEARCH(UPPER(TRIM(rPatron)),UPPER(TRIM(D1346))))
)
)
),
rConce"&amp;"pto,
""""
)
)
)&lt;&gt;""""
),
1
),
""""
)"),"MANIOBRAS")</f>
        <v>MANIOBRAS</v>
      </c>
      <c r="L1346" s="27"/>
      <c r="M1346" s="27"/>
      <c r="N1346" s="27"/>
      <c r="O1346" s="27"/>
      <c r="P1346" s="27"/>
      <c r="Q1346" s="27"/>
      <c r="R1346" s="27"/>
      <c r="S1346" s="27"/>
      <c r="T1346" s="27"/>
      <c r="U1346" s="27"/>
      <c r="V1346" s="27"/>
      <c r="W1346" s="27"/>
      <c r="X1346" s="27"/>
      <c r="Y1346" s="27"/>
    </row>
    <row r="1347">
      <c r="A1347" s="32"/>
      <c r="B1347" s="28" t="s">
        <v>29</v>
      </c>
      <c r="C1347" s="29" t="s">
        <v>278</v>
      </c>
      <c r="D1347" s="29" t="s">
        <v>560</v>
      </c>
      <c r="E1347" s="30">
        <v>3500.0</v>
      </c>
      <c r="F1347" s="28">
        <v>0.0</v>
      </c>
      <c r="G1347" s="28" t="s">
        <v>250</v>
      </c>
      <c r="H1347" s="28">
        <f t="array" ref="H1347">INDEX(CC!C:C,MATCH(1,(CC!A:A=G1347)*(CC!B:B=I1347),0))</f>
        <v>1402</v>
      </c>
      <c r="I1347" s="28" t="s">
        <v>25</v>
      </c>
      <c r="J1347" s="31">
        <v>3500.0</v>
      </c>
      <c r="K1347" s="28" t="str">
        <f>IFERROR(__xludf.DUMMYFUNCTION("IFERROR(
INDEX(
FILTER(
MAP(
reglas!$B$2:$B$240,
reglas!$C$2:$C$240,
reglas!$D$2:$D$240,
reglas!$E$2:$E$240,
LAMBDA(rEmisor,rPatron,rConcepto,rTipo,
IF(
AND(
OR(
UPPER(TRIM(rEmisor))=UPPER(TRIM(C1347)),
UPPER(TRIM(rEmisor))=""CUALQUIERA""
),
OR(
UPPER(TRI"&amp;"M(rTipo))=""SOLO EMISOR"",
AND(
UPPER(TRIM(rTipo))=""EXACTA"",
UPPER(TRIM(AG1347))=UPPER(TRIM(rPatron))
),
AND(
OR(
UPPER(TRIM(rTipo))=""CONTIENE"",
UPPER(TRIM(rTipo))=""COINCIDENCIA""
),
ISNUMBER(SEARCH(UPPER(TRIM(rPatron)),UPPER(TRIM(D1347))))
)
)
),
rC"&amp;"oncepto,
""""
)
)
),
MAP(
reglas!$B$2:$B$240,
reglas!$C$2:$C$240,
reglas!$D$2:$D$240,
reglas!$E$2:$E$240,
LAMBDA(rEmisor,rPatron,rConcepto,rTipo,
IF(
AND(
OR(
UPPER(TRIM(rEmisor))=UPPER(TRIM(C1347)),
UPPER(TRIM(rEmisor))=""CUALQUIERA""
),
OR(
UPPER(TRIM(r"&amp;"Tipo))=""SOLO EMISOR"",
AND(
UPPER(TRIM(rTipo))=""EXACTA"",
UPPER(TRIM(D1347))=UPPER(TRIM(rPatron))
),
AND(
OR(
UPPER(TRIM(rTipo))=""CONTIENE"",
UPPER(TRIM(rTipo))=""COINCIDENCIA""
),
ISNUMBER(SEARCH(UPPER(TRIM(rPatron)),UPPER(TRIM(D1347))))
)
)
),
rConce"&amp;"pto,
""""
)
)
)&lt;&gt;""""
),
1
),
""""
)"),"MANIOBRAS")</f>
        <v>MANIOBRAS</v>
      </c>
      <c r="L1347" s="27"/>
      <c r="M1347" s="27"/>
      <c r="N1347" s="27"/>
      <c r="O1347" s="27"/>
      <c r="P1347" s="27"/>
      <c r="Q1347" s="27"/>
      <c r="R1347" s="27"/>
      <c r="S1347" s="27"/>
      <c r="T1347" s="27"/>
      <c r="U1347" s="27"/>
      <c r="V1347" s="27"/>
      <c r="W1347" s="27"/>
      <c r="X1347" s="27"/>
      <c r="Y1347" s="27"/>
    </row>
    <row r="1348">
      <c r="A1348" s="32"/>
      <c r="B1348" s="28" t="s">
        <v>29</v>
      </c>
      <c r="C1348" s="29" t="s">
        <v>278</v>
      </c>
      <c r="D1348" s="29" t="s">
        <v>560</v>
      </c>
      <c r="E1348" s="30">
        <v>3500.0</v>
      </c>
      <c r="F1348" s="28">
        <v>0.0</v>
      </c>
      <c r="G1348" s="28" t="s">
        <v>250</v>
      </c>
      <c r="H1348" s="28">
        <f t="array" ref="H1348">INDEX(CC!C:C,MATCH(1,(CC!A:A=G1348)*(CC!B:B=I1348),0))</f>
        <v>1402</v>
      </c>
      <c r="I1348" s="28" t="s">
        <v>25</v>
      </c>
      <c r="J1348" s="31">
        <v>3500.0</v>
      </c>
      <c r="K1348" s="28" t="str">
        <f>IFERROR(__xludf.DUMMYFUNCTION("IFERROR(
INDEX(
FILTER(
MAP(
reglas!$B$2:$B$240,
reglas!$C$2:$C$240,
reglas!$D$2:$D$240,
reglas!$E$2:$E$240,
LAMBDA(rEmisor,rPatron,rConcepto,rTipo,
IF(
AND(
OR(
UPPER(TRIM(rEmisor))=UPPER(TRIM(C1348)),
UPPER(TRIM(rEmisor))=""CUALQUIERA""
),
OR(
UPPER(TRI"&amp;"M(rTipo))=""SOLO EMISOR"",
AND(
UPPER(TRIM(rTipo))=""EXACTA"",
UPPER(TRIM(AG1348))=UPPER(TRIM(rPatron))
),
AND(
OR(
UPPER(TRIM(rTipo))=""CONTIENE"",
UPPER(TRIM(rTipo))=""COINCIDENCIA""
),
ISNUMBER(SEARCH(UPPER(TRIM(rPatron)),UPPER(TRIM(D1348))))
)
)
),
rC"&amp;"oncepto,
""""
)
)
),
MAP(
reglas!$B$2:$B$240,
reglas!$C$2:$C$240,
reglas!$D$2:$D$240,
reglas!$E$2:$E$240,
LAMBDA(rEmisor,rPatron,rConcepto,rTipo,
IF(
AND(
OR(
UPPER(TRIM(rEmisor))=UPPER(TRIM(C1348)),
UPPER(TRIM(rEmisor))=""CUALQUIERA""
),
OR(
UPPER(TRIM(r"&amp;"Tipo))=""SOLO EMISOR"",
AND(
UPPER(TRIM(rTipo))=""EXACTA"",
UPPER(TRIM(D1348))=UPPER(TRIM(rPatron))
),
AND(
OR(
UPPER(TRIM(rTipo))=""CONTIENE"",
UPPER(TRIM(rTipo))=""COINCIDENCIA""
),
ISNUMBER(SEARCH(UPPER(TRIM(rPatron)),UPPER(TRIM(D1348))))
)
)
),
rConce"&amp;"pto,
""""
)
)
)&lt;&gt;""""
),
1
),
""""
)"),"MANIOBRAS")</f>
        <v>MANIOBRAS</v>
      </c>
      <c r="L1348" s="27"/>
      <c r="M1348" s="27"/>
      <c r="N1348" s="27"/>
      <c r="O1348" s="27"/>
      <c r="P1348" s="27"/>
      <c r="Q1348" s="27"/>
      <c r="R1348" s="27"/>
      <c r="S1348" s="27"/>
      <c r="T1348" s="27"/>
      <c r="U1348" s="27"/>
      <c r="V1348" s="27"/>
      <c r="W1348" s="27"/>
      <c r="X1348" s="27"/>
      <c r="Y1348" s="27"/>
    </row>
    <row r="1349">
      <c r="A1349" s="28">
        <v>1.0</v>
      </c>
      <c r="B1349" s="28" t="s">
        <v>29</v>
      </c>
      <c r="C1349" s="29" t="s">
        <v>271</v>
      </c>
      <c r="D1349" s="29" t="s">
        <v>585</v>
      </c>
      <c r="E1349" s="28">
        <v>617.93</v>
      </c>
      <c r="F1349" s="28">
        <v>0.0</v>
      </c>
      <c r="G1349" s="28" t="s">
        <v>84</v>
      </c>
      <c r="H1349" s="28">
        <f t="array" ref="H1349">INDEX(CC!C:C,MATCH(1,(CC!A:A=G1349)*(CC!B:B=I1349),0))</f>
        <v>1002</v>
      </c>
      <c r="I1349" s="28" t="s">
        <v>25</v>
      </c>
      <c r="J1349" s="31">
        <v>617.93</v>
      </c>
      <c r="K1349" s="28" t="str">
        <f>IFERROR(__xludf.DUMMYFUNCTION("IFERROR(
INDEX(
FILTER(
MAP(
reglas!$B$2:$B$240,
reglas!$C$2:$C$240,
reglas!$D$2:$D$240,
reglas!$E$2:$E$240,
LAMBDA(rEmisor,rPatron,rConcepto,rTipo,
IF(
AND(
OR(
UPPER(TRIM(rEmisor))=UPPER(TRIM(C1349)),
UPPER(TRIM(rEmisor))=""CUALQUIERA""
),
OR(
UPPER(TRI"&amp;"M(rTipo))=""SOLO EMISOR"",
AND(
UPPER(TRIM(rTipo))=""EXACTA"",
UPPER(TRIM(AG1349))=UPPER(TRIM(rPatron))
),
AND(
OR(
UPPER(TRIM(rTipo))=""CONTIENE"",
UPPER(TRIM(rTipo))=""COINCIDENCIA""
),
ISNUMBER(SEARCH(UPPER(TRIM(rPatron)),UPPER(TRIM(D1349))))
)
)
),
rC"&amp;"oncepto,
""""
)
)
),
MAP(
reglas!$B$2:$B$240,
reglas!$C$2:$C$240,
reglas!$D$2:$D$240,
reglas!$E$2:$E$240,
LAMBDA(rEmisor,rPatron,rConcepto,rTipo,
IF(
AND(
OR(
UPPER(TRIM(rEmisor))=UPPER(TRIM(C1349)),
UPPER(TRIM(rEmisor))=""CUALQUIERA""
),
OR(
UPPER(TRIM(r"&amp;"Tipo))=""SOLO EMISOR"",
AND(
UPPER(TRIM(rTipo))=""EXACTA"",
UPPER(TRIM(D1349))=UPPER(TRIM(rPatron))
),
AND(
OR(
UPPER(TRIM(rTipo))=""CONTIENE"",
UPPER(TRIM(rTipo))=""COINCIDENCIA""
),
ISNUMBER(SEARCH(UPPER(TRIM(rPatron)),UPPER(TRIM(D1349))))
)
)
),
rConce"&amp;"pto,
""""
)
)
)&lt;&gt;""""
),
1
),
""""
)"),"MANIOBRAS")</f>
        <v>MANIOBRAS</v>
      </c>
      <c r="L1349" s="27"/>
      <c r="M1349" s="27"/>
      <c r="N1349" s="27"/>
      <c r="O1349" s="27"/>
      <c r="P1349" s="27"/>
      <c r="Q1349" s="27"/>
      <c r="R1349" s="27"/>
      <c r="S1349" s="27"/>
      <c r="T1349" s="27"/>
      <c r="U1349" s="27"/>
      <c r="V1349" s="27"/>
      <c r="W1349" s="27"/>
      <c r="X1349" s="27"/>
      <c r="Y1349" s="27"/>
    </row>
    <row r="1350">
      <c r="A1350" s="32"/>
      <c r="B1350" s="32"/>
      <c r="C1350" s="29" t="s">
        <v>271</v>
      </c>
      <c r="D1350" s="29" t="s">
        <v>587</v>
      </c>
      <c r="E1350" s="28">
        <v>565.37</v>
      </c>
      <c r="F1350" s="28">
        <v>0.0</v>
      </c>
      <c r="G1350" s="28" t="s">
        <v>84</v>
      </c>
      <c r="H1350" s="28">
        <f t="array" ref="H1350">INDEX(CC!C:C,MATCH(1,(CC!A:A=G1350)*(CC!B:B=I1350),0))</f>
        <v>1002</v>
      </c>
      <c r="I1350" s="28" t="s">
        <v>25</v>
      </c>
      <c r="J1350" s="31">
        <v>565.37</v>
      </c>
      <c r="K1350" s="28" t="str">
        <f>IFERROR(__xludf.DUMMYFUNCTION("IFERROR(
INDEX(
FILTER(
MAP(
reglas!$B$2:$B$240,
reglas!$C$2:$C$240,
reglas!$D$2:$D$240,
reglas!$E$2:$E$240,
LAMBDA(rEmisor,rPatron,rConcepto,rTipo,
IF(
AND(
OR(
UPPER(TRIM(rEmisor))=UPPER(TRIM(C1350)),
UPPER(TRIM(rEmisor))=""CUALQUIERA""
),
OR(
UPPER(TRI"&amp;"M(rTipo))=""SOLO EMISOR"",
AND(
UPPER(TRIM(rTipo))=""EXACTA"",
UPPER(TRIM(AG1350))=UPPER(TRIM(rPatron))
),
AND(
OR(
UPPER(TRIM(rTipo))=""CONTIENE"",
UPPER(TRIM(rTipo))=""COINCIDENCIA""
),
ISNUMBER(SEARCH(UPPER(TRIM(rPatron)),UPPER(TRIM(D1350))))
)
)
),
rC"&amp;"oncepto,
""""
)
)
),
MAP(
reglas!$B$2:$B$240,
reglas!$C$2:$C$240,
reglas!$D$2:$D$240,
reglas!$E$2:$E$240,
LAMBDA(rEmisor,rPatron,rConcepto,rTipo,
IF(
AND(
OR(
UPPER(TRIM(rEmisor))=UPPER(TRIM(C1350)),
UPPER(TRIM(rEmisor))=""CUALQUIERA""
),
OR(
UPPER(TRIM(r"&amp;"Tipo))=""SOLO EMISOR"",
AND(
UPPER(TRIM(rTipo))=""EXACTA"",
UPPER(TRIM(D1350))=UPPER(TRIM(rPatron))
),
AND(
OR(
UPPER(TRIM(rTipo))=""CONTIENE"",
UPPER(TRIM(rTipo))=""COINCIDENCIA""
),
ISNUMBER(SEARCH(UPPER(TRIM(rPatron)),UPPER(TRIM(D1350))))
)
)
),
rConce"&amp;"pto,
""""
)
)
)&lt;&gt;""""
),
1
),
""""
)"),"MANIOBRAS")</f>
        <v>MANIOBRAS</v>
      </c>
      <c r="L1350" s="27"/>
      <c r="M1350" s="27"/>
      <c r="N1350" s="27"/>
      <c r="O1350" s="27"/>
      <c r="P1350" s="27"/>
      <c r="Q1350" s="27"/>
      <c r="R1350" s="27"/>
      <c r="S1350" s="27"/>
      <c r="T1350" s="27"/>
      <c r="U1350" s="27"/>
      <c r="V1350" s="27"/>
      <c r="W1350" s="27"/>
      <c r="X1350" s="27"/>
      <c r="Y1350" s="27"/>
    </row>
    <row r="1351">
      <c r="A1351" s="32"/>
      <c r="B1351" s="32"/>
      <c r="C1351" s="29" t="s">
        <v>271</v>
      </c>
      <c r="D1351" s="29" t="s">
        <v>589</v>
      </c>
      <c r="E1351" s="28">
        <v>618.27</v>
      </c>
      <c r="F1351" s="28">
        <v>0.0</v>
      </c>
      <c r="G1351" s="28" t="s">
        <v>84</v>
      </c>
      <c r="H1351" s="28">
        <f t="array" ref="H1351">INDEX(CC!C:C,MATCH(1,(CC!A:A=G1351)*(CC!B:B=I1351),0))</f>
        <v>1002</v>
      </c>
      <c r="I1351" s="28" t="s">
        <v>25</v>
      </c>
      <c r="J1351" s="31">
        <v>618.27</v>
      </c>
      <c r="K1351" s="28" t="str">
        <f>IFERROR(__xludf.DUMMYFUNCTION("IFERROR(
INDEX(
FILTER(
MAP(
reglas!$B$2:$B$240,
reglas!$C$2:$C$240,
reglas!$D$2:$D$240,
reglas!$E$2:$E$240,
LAMBDA(rEmisor,rPatron,rConcepto,rTipo,
IF(
AND(
OR(
UPPER(TRIM(rEmisor))=UPPER(TRIM(C1351)),
UPPER(TRIM(rEmisor))=""CUALQUIERA""
),
OR(
UPPER(TRI"&amp;"M(rTipo))=""SOLO EMISOR"",
AND(
UPPER(TRIM(rTipo))=""EXACTA"",
UPPER(TRIM(AG1351))=UPPER(TRIM(rPatron))
),
AND(
OR(
UPPER(TRIM(rTipo))=""CONTIENE"",
UPPER(TRIM(rTipo))=""COINCIDENCIA""
),
ISNUMBER(SEARCH(UPPER(TRIM(rPatron)),UPPER(TRIM(D1351))))
)
)
),
rC"&amp;"oncepto,
""""
)
)
),
MAP(
reglas!$B$2:$B$240,
reglas!$C$2:$C$240,
reglas!$D$2:$D$240,
reglas!$E$2:$E$240,
LAMBDA(rEmisor,rPatron,rConcepto,rTipo,
IF(
AND(
OR(
UPPER(TRIM(rEmisor))=UPPER(TRIM(C1351)),
UPPER(TRIM(rEmisor))=""CUALQUIERA""
),
OR(
UPPER(TRIM(r"&amp;"Tipo))=""SOLO EMISOR"",
AND(
UPPER(TRIM(rTipo))=""EXACTA"",
UPPER(TRIM(D1351))=UPPER(TRIM(rPatron))
),
AND(
OR(
UPPER(TRIM(rTipo))=""CONTIENE"",
UPPER(TRIM(rTipo))=""COINCIDENCIA""
),
ISNUMBER(SEARCH(UPPER(TRIM(rPatron)),UPPER(TRIM(D1351))))
)
)
),
rConce"&amp;"pto,
""""
)
)
)&lt;&gt;""""
),
1
),
""""
)"),"MANIOBRAS")</f>
        <v>MANIOBRAS</v>
      </c>
      <c r="L1351" s="27"/>
      <c r="M1351" s="27"/>
      <c r="N1351" s="27"/>
      <c r="O1351" s="27"/>
      <c r="P1351" s="27"/>
      <c r="Q1351" s="27"/>
      <c r="R1351" s="27"/>
      <c r="S1351" s="27"/>
      <c r="T1351" s="27"/>
      <c r="U1351" s="27"/>
      <c r="V1351" s="27"/>
      <c r="W1351" s="27"/>
      <c r="X1351" s="27"/>
      <c r="Y1351" s="27"/>
    </row>
    <row r="1352">
      <c r="A1352" s="32"/>
      <c r="B1352" s="32"/>
      <c r="C1352" s="29" t="s">
        <v>271</v>
      </c>
      <c r="D1352" s="29" t="s">
        <v>596</v>
      </c>
      <c r="E1352" s="28">
        <v>648.69</v>
      </c>
      <c r="F1352" s="28">
        <v>0.0</v>
      </c>
      <c r="G1352" s="28" t="s">
        <v>84</v>
      </c>
      <c r="H1352" s="28">
        <f t="array" ref="H1352">INDEX(CC!C:C,MATCH(1,(CC!A:A=G1352)*(CC!B:B=I1352),0))</f>
        <v>1002</v>
      </c>
      <c r="I1352" s="28" t="s">
        <v>25</v>
      </c>
      <c r="J1352" s="31">
        <v>648.69</v>
      </c>
      <c r="K1352" s="28" t="str">
        <f>IFERROR(__xludf.DUMMYFUNCTION("IFERROR(
INDEX(
FILTER(
MAP(
reglas!$B$2:$B$240,
reglas!$C$2:$C$240,
reglas!$D$2:$D$240,
reglas!$E$2:$E$240,
LAMBDA(rEmisor,rPatron,rConcepto,rTipo,
IF(
AND(
OR(
UPPER(TRIM(rEmisor))=UPPER(TRIM(C1352)),
UPPER(TRIM(rEmisor))=""CUALQUIERA""
),
OR(
UPPER(TRI"&amp;"M(rTipo))=""SOLO EMISOR"",
AND(
UPPER(TRIM(rTipo))=""EXACTA"",
UPPER(TRIM(AG1352))=UPPER(TRIM(rPatron))
),
AND(
OR(
UPPER(TRIM(rTipo))=""CONTIENE"",
UPPER(TRIM(rTipo))=""COINCIDENCIA""
),
ISNUMBER(SEARCH(UPPER(TRIM(rPatron)),UPPER(TRIM(D1352))))
)
)
),
rC"&amp;"oncepto,
""""
)
)
),
MAP(
reglas!$B$2:$B$240,
reglas!$C$2:$C$240,
reglas!$D$2:$D$240,
reglas!$E$2:$E$240,
LAMBDA(rEmisor,rPatron,rConcepto,rTipo,
IF(
AND(
OR(
UPPER(TRIM(rEmisor))=UPPER(TRIM(C1352)),
UPPER(TRIM(rEmisor))=""CUALQUIERA""
),
OR(
UPPER(TRIM(r"&amp;"Tipo))=""SOLO EMISOR"",
AND(
UPPER(TRIM(rTipo))=""EXACTA"",
UPPER(TRIM(D1352))=UPPER(TRIM(rPatron))
),
AND(
OR(
UPPER(TRIM(rTipo))=""CONTIENE"",
UPPER(TRIM(rTipo))=""COINCIDENCIA""
),
ISNUMBER(SEARCH(UPPER(TRIM(rPatron)),UPPER(TRIM(D1352))))
)
)
),
rConce"&amp;"pto,
""""
)
)
)&lt;&gt;""""
),
1
),
""""
)"),"MANIOBRAS")</f>
        <v>MANIOBRAS</v>
      </c>
      <c r="L1352" s="27"/>
      <c r="M1352" s="27"/>
      <c r="N1352" s="27"/>
      <c r="O1352" s="27"/>
      <c r="P1352" s="27"/>
      <c r="Q1352" s="27"/>
      <c r="R1352" s="27"/>
      <c r="S1352" s="27"/>
      <c r="T1352" s="27"/>
      <c r="U1352" s="27"/>
      <c r="V1352" s="27"/>
      <c r="W1352" s="27"/>
      <c r="X1352" s="27"/>
      <c r="Y1352" s="27"/>
    </row>
    <row r="1353">
      <c r="A1353" s="28">
        <v>1.0</v>
      </c>
      <c r="B1353" s="28" t="s">
        <v>29</v>
      </c>
      <c r="C1353" s="29" t="s">
        <v>462</v>
      </c>
      <c r="D1353" s="29" t="s">
        <v>1889</v>
      </c>
      <c r="E1353" s="30">
        <v>1499.0</v>
      </c>
      <c r="F1353" s="28">
        <v>0.0</v>
      </c>
      <c r="G1353" s="28" t="s">
        <v>395</v>
      </c>
      <c r="H1353" s="28">
        <f t="array" ref="H1353">INDEX(CC!C:C,MATCH(1,(CC!A:A=G1353)*(CC!B:B=I1353),0))</f>
        <v>1103</v>
      </c>
      <c r="I1353" s="28" t="s">
        <v>44</v>
      </c>
      <c r="J1353" s="31">
        <v>1499.0</v>
      </c>
      <c r="K1353" s="28" t="str">
        <f>IFERROR(__xludf.DUMMYFUNCTION("IFERROR(
INDEX(
FILTER(
MAP(
reglas!$B$2:$B$240,
reglas!$C$2:$C$240,
reglas!$D$2:$D$240,
reglas!$E$2:$E$240,
LAMBDA(rEmisor,rPatron,rConcepto,rTipo,
IF(
AND(
OR(
UPPER(TRIM(rEmisor))=UPPER(TRIM(C1353)),
UPPER(TRIM(rEmisor))=""CUALQUIERA""
),
OR(
UPPER(TRI"&amp;"M(rTipo))=""SOLO EMISOR"",
AND(
UPPER(TRIM(rTipo))=""EXACTA"",
UPPER(TRIM(AG1353))=UPPER(TRIM(rPatron))
),
AND(
OR(
UPPER(TRIM(rTipo))=""CONTIENE"",
UPPER(TRIM(rTipo))=""COINCIDENCIA""
),
ISNUMBER(SEARCH(UPPER(TRIM(rPatron)),UPPER(TRIM(D1353))))
)
)
),
rC"&amp;"oncepto,
""""
)
)
),
MAP(
reglas!$B$2:$B$240,
reglas!$C$2:$C$240,
reglas!$D$2:$D$240,
reglas!$E$2:$E$240,
LAMBDA(rEmisor,rPatron,rConcepto,rTipo,
IF(
AND(
OR(
UPPER(TRIM(rEmisor))=UPPER(TRIM(C1353)),
UPPER(TRIM(rEmisor))=""CUALQUIERA""
),
OR(
UPPER(TRIM(r"&amp;"Tipo))=""SOLO EMISOR"",
AND(
UPPER(TRIM(rTipo))=""EXACTA"",
UPPER(TRIM(D1353))=UPPER(TRIM(rPatron))
),
AND(
OR(
UPPER(TRIM(rTipo))=""CONTIENE"",
UPPER(TRIM(rTipo))=""COINCIDENCIA""
),
ISNUMBER(SEARCH(UPPER(TRIM(rPatron)),UPPER(TRIM(D1353))))
)
)
),
rConce"&amp;"pto,
""""
)
)
)&lt;&gt;""""
),
1
),
""""
)"),"MANIOBRAS")</f>
        <v>MANIOBRAS</v>
      </c>
      <c r="L1353" s="27"/>
      <c r="M1353" s="27"/>
      <c r="N1353" s="27"/>
      <c r="O1353" s="27"/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</row>
    <row r="1354">
      <c r="A1354" s="32"/>
      <c r="B1354" s="28" t="s">
        <v>29</v>
      </c>
      <c r="C1354" s="29" t="s">
        <v>278</v>
      </c>
      <c r="D1354" s="29" t="s">
        <v>560</v>
      </c>
      <c r="E1354" s="30">
        <v>3500.0</v>
      </c>
      <c r="F1354" s="28">
        <v>0.0</v>
      </c>
      <c r="G1354" s="28" t="s">
        <v>250</v>
      </c>
      <c r="H1354" s="28">
        <f t="array" ref="H1354">INDEX(CC!C:C,MATCH(1,(CC!A:A=G1354)*(CC!B:B=I1354),0))</f>
        <v>1402</v>
      </c>
      <c r="I1354" s="28" t="s">
        <v>25</v>
      </c>
      <c r="J1354" s="31">
        <v>3500.0</v>
      </c>
      <c r="K1354" s="28" t="str">
        <f>IFERROR(__xludf.DUMMYFUNCTION("IFERROR(
INDEX(
FILTER(
MAP(
reglas!$B$2:$B$240,
reglas!$C$2:$C$240,
reglas!$D$2:$D$240,
reglas!$E$2:$E$240,
LAMBDA(rEmisor,rPatron,rConcepto,rTipo,
IF(
AND(
OR(
UPPER(TRIM(rEmisor))=UPPER(TRIM(C1354)),
UPPER(TRIM(rEmisor))=""CUALQUIERA""
),
OR(
UPPER(TRI"&amp;"M(rTipo))=""SOLO EMISOR"",
AND(
UPPER(TRIM(rTipo))=""EXACTA"",
UPPER(TRIM(AG1354))=UPPER(TRIM(rPatron))
),
AND(
OR(
UPPER(TRIM(rTipo))=""CONTIENE"",
UPPER(TRIM(rTipo))=""COINCIDENCIA""
),
ISNUMBER(SEARCH(UPPER(TRIM(rPatron)),UPPER(TRIM(D1354))))
)
)
),
rC"&amp;"oncepto,
""""
)
)
),
MAP(
reglas!$B$2:$B$240,
reglas!$C$2:$C$240,
reglas!$D$2:$D$240,
reglas!$E$2:$E$240,
LAMBDA(rEmisor,rPatron,rConcepto,rTipo,
IF(
AND(
OR(
UPPER(TRIM(rEmisor))=UPPER(TRIM(C1354)),
UPPER(TRIM(rEmisor))=""CUALQUIERA""
),
OR(
UPPER(TRIM(r"&amp;"Tipo))=""SOLO EMISOR"",
AND(
UPPER(TRIM(rTipo))=""EXACTA"",
UPPER(TRIM(D1354))=UPPER(TRIM(rPatron))
),
AND(
OR(
UPPER(TRIM(rTipo))=""CONTIENE"",
UPPER(TRIM(rTipo))=""COINCIDENCIA""
),
ISNUMBER(SEARCH(UPPER(TRIM(rPatron)),UPPER(TRIM(D1354))))
)
)
),
rConce"&amp;"pto,
""""
)
)
)&lt;&gt;""""
),
1
),
""""
)"),"MANIOBRAS")</f>
        <v>MANIOBRAS</v>
      </c>
      <c r="L1354" s="27"/>
      <c r="M1354" s="27"/>
      <c r="N1354" s="27"/>
      <c r="O1354" s="27"/>
      <c r="P1354" s="27"/>
      <c r="Q1354" s="27"/>
      <c r="R1354" s="27"/>
      <c r="S1354" s="27"/>
      <c r="T1354" s="27"/>
      <c r="U1354" s="27"/>
      <c r="V1354" s="27"/>
      <c r="W1354" s="27"/>
      <c r="X1354" s="27"/>
      <c r="Y1354" s="27"/>
    </row>
    <row r="1355">
      <c r="A1355" s="32"/>
      <c r="B1355" s="28" t="s">
        <v>29</v>
      </c>
      <c r="C1355" s="29" t="s">
        <v>174</v>
      </c>
      <c r="D1355" s="29" t="s">
        <v>1890</v>
      </c>
      <c r="E1355" s="30">
        <v>1800.0</v>
      </c>
      <c r="F1355" s="28">
        <v>0.0</v>
      </c>
      <c r="G1355" s="28" t="s">
        <v>74</v>
      </c>
      <c r="H1355" s="28">
        <f t="array" ref="H1355">INDEX(CC!C:C,MATCH(1,(CC!A:A=G1355)*(CC!B:B=I1355),0))</f>
        <v>1503</v>
      </c>
      <c r="I1355" s="28" t="s">
        <v>44</v>
      </c>
      <c r="J1355" s="31">
        <v>1800.0</v>
      </c>
      <c r="K1355" s="28" t="str">
        <f>IFERROR(__xludf.DUMMYFUNCTION("IFERROR(
INDEX(
FILTER(
MAP(
reglas!$B$2:$B$240,
reglas!$C$2:$C$240,
reglas!$D$2:$D$240,
reglas!$E$2:$E$240,
LAMBDA(rEmisor,rPatron,rConcepto,rTipo,
IF(
AND(
OR(
UPPER(TRIM(rEmisor))=UPPER(TRIM(C1355)),
UPPER(TRIM(rEmisor))=""CUALQUIERA""
),
OR(
UPPER(TRI"&amp;"M(rTipo))=""SOLO EMISOR"",
AND(
UPPER(TRIM(rTipo))=""EXACTA"",
UPPER(TRIM(AG1355))=UPPER(TRIM(rPatron))
),
AND(
OR(
UPPER(TRIM(rTipo))=""CONTIENE"",
UPPER(TRIM(rTipo))=""COINCIDENCIA""
),
ISNUMBER(SEARCH(UPPER(TRIM(rPatron)),UPPER(TRIM(D1355))))
)
)
),
rC"&amp;"oncepto,
""""
)
)
),
MAP(
reglas!$B$2:$B$240,
reglas!$C$2:$C$240,
reglas!$D$2:$D$240,
reglas!$E$2:$E$240,
LAMBDA(rEmisor,rPatron,rConcepto,rTipo,
IF(
AND(
OR(
UPPER(TRIM(rEmisor))=UPPER(TRIM(C1355)),
UPPER(TRIM(rEmisor))=""CUALQUIERA""
),
OR(
UPPER(TRIM(r"&amp;"Tipo))=""SOLO EMISOR"",
AND(
UPPER(TRIM(rTipo))=""EXACTA"",
UPPER(TRIM(D1355))=UPPER(TRIM(rPatron))
),
AND(
OR(
UPPER(TRIM(rTipo))=""CONTIENE"",
UPPER(TRIM(rTipo))=""COINCIDENCIA""
),
ISNUMBER(SEARCH(UPPER(TRIM(rPatron)),UPPER(TRIM(D1355))))
)
)
),
rConce"&amp;"pto,
""""
)
)
)&lt;&gt;""""
),
1
),
""""
)"),"TRANSPORTE")</f>
        <v>TRANSPORTE</v>
      </c>
      <c r="L1355" s="27"/>
      <c r="M1355" s="27"/>
      <c r="N1355" s="27"/>
      <c r="O1355" s="27"/>
      <c r="P1355" s="27"/>
      <c r="Q1355" s="27"/>
      <c r="R1355" s="27"/>
      <c r="S1355" s="27"/>
      <c r="T1355" s="27"/>
      <c r="U1355" s="27"/>
      <c r="V1355" s="27"/>
      <c r="W1355" s="27"/>
      <c r="X1355" s="27"/>
      <c r="Y1355" s="27"/>
    </row>
    <row r="1356">
      <c r="A1356" s="32"/>
      <c r="B1356" s="28" t="s">
        <v>29</v>
      </c>
      <c r="C1356" s="29" t="s">
        <v>172</v>
      </c>
      <c r="D1356" s="29" t="s">
        <v>1891</v>
      </c>
      <c r="E1356" s="30">
        <v>11500.0</v>
      </c>
      <c r="F1356" s="28">
        <v>0.0</v>
      </c>
      <c r="G1356" s="28" t="s">
        <v>250</v>
      </c>
      <c r="H1356" s="28">
        <f t="array" ref="H1356">INDEX(CC!C:C,MATCH(1,(CC!A:A=G1356)*(CC!B:B=I1356),0))</f>
        <v>1402</v>
      </c>
      <c r="I1356" s="28" t="s">
        <v>25</v>
      </c>
      <c r="J1356" s="31">
        <v>11500.0</v>
      </c>
      <c r="K1356" s="28" t="str">
        <f>IFERROR(__xludf.DUMMYFUNCTION("IFERROR(
INDEX(
FILTER(
MAP(
reglas!$B$2:$B$240,
reglas!$C$2:$C$240,
reglas!$D$2:$D$240,
reglas!$E$2:$E$240,
LAMBDA(rEmisor,rPatron,rConcepto,rTipo,
IF(
AND(
OR(
UPPER(TRIM(rEmisor))=UPPER(TRIM(C1356)),
UPPER(TRIM(rEmisor))=""CUALQUIERA""
),
OR(
UPPER(TRI"&amp;"M(rTipo))=""SOLO EMISOR"",
AND(
UPPER(TRIM(rTipo))=""EXACTA"",
UPPER(TRIM(AG1356))=UPPER(TRIM(rPatron))
),
AND(
OR(
UPPER(TRIM(rTipo))=""CONTIENE"",
UPPER(TRIM(rTipo))=""COINCIDENCIA""
),
ISNUMBER(SEARCH(UPPER(TRIM(rPatron)),UPPER(TRIM(D1356))))
)
)
),
rC"&amp;"oncepto,
""""
)
)
),
MAP(
reglas!$B$2:$B$240,
reglas!$C$2:$C$240,
reglas!$D$2:$D$240,
reglas!$E$2:$E$240,
LAMBDA(rEmisor,rPatron,rConcepto,rTipo,
IF(
AND(
OR(
UPPER(TRIM(rEmisor))=UPPER(TRIM(C1356)),
UPPER(TRIM(rEmisor))=""CUALQUIERA""
),
OR(
UPPER(TRIM(r"&amp;"Tipo))=""SOLO EMISOR"",
AND(
UPPER(TRIM(rTipo))=""EXACTA"",
UPPER(TRIM(D1356))=UPPER(TRIM(rPatron))
),
AND(
OR(
UPPER(TRIM(rTipo))=""CONTIENE"",
UPPER(TRIM(rTipo))=""COINCIDENCIA""
),
ISNUMBER(SEARCH(UPPER(TRIM(rPatron)),UPPER(TRIM(D1356))))
)
)
),
rConce"&amp;"pto,
""""
)
)
)&lt;&gt;""""
),
1
),
""""
)"),"TRANSPORTE")</f>
        <v>TRANSPORTE</v>
      </c>
      <c r="L1356" s="27"/>
      <c r="M1356" s="27"/>
      <c r="N1356" s="27"/>
      <c r="O1356" s="27"/>
      <c r="P1356" s="27"/>
      <c r="Q1356" s="27"/>
      <c r="R1356" s="27"/>
      <c r="S1356" s="27"/>
      <c r="T1356" s="27"/>
      <c r="U1356" s="27"/>
      <c r="V1356" s="27"/>
      <c r="W1356" s="27"/>
      <c r="X1356" s="27"/>
      <c r="Y1356" s="27"/>
    </row>
    <row r="1357">
      <c r="A1357" s="28">
        <v>1.0</v>
      </c>
      <c r="B1357" s="28" t="s">
        <v>29</v>
      </c>
      <c r="C1357" s="29" t="s">
        <v>271</v>
      </c>
      <c r="D1357" s="29" t="s">
        <v>585</v>
      </c>
      <c r="E1357" s="28">
        <v>617.93</v>
      </c>
      <c r="F1357" s="28">
        <v>0.0</v>
      </c>
      <c r="G1357" s="28" t="s">
        <v>84</v>
      </c>
      <c r="H1357" s="28">
        <f t="array" ref="H1357">INDEX(CC!C:C,MATCH(1,(CC!A:A=G1357)*(CC!B:B=I1357),0))</f>
        <v>1002</v>
      </c>
      <c r="I1357" s="28" t="s">
        <v>25</v>
      </c>
      <c r="J1357" s="31">
        <v>617.93</v>
      </c>
      <c r="K1357" s="28" t="str">
        <f>IFERROR(__xludf.DUMMYFUNCTION("IFERROR(
INDEX(
FILTER(
MAP(
reglas!$B$2:$B$240,
reglas!$C$2:$C$240,
reglas!$D$2:$D$240,
reglas!$E$2:$E$240,
LAMBDA(rEmisor,rPatron,rConcepto,rTipo,
IF(
AND(
OR(
UPPER(TRIM(rEmisor))=UPPER(TRIM(C1357)),
UPPER(TRIM(rEmisor))=""CUALQUIERA""
),
OR(
UPPER(TRI"&amp;"M(rTipo))=""SOLO EMISOR"",
AND(
UPPER(TRIM(rTipo))=""EXACTA"",
UPPER(TRIM(AG1357))=UPPER(TRIM(rPatron))
),
AND(
OR(
UPPER(TRIM(rTipo))=""CONTIENE"",
UPPER(TRIM(rTipo))=""COINCIDENCIA""
),
ISNUMBER(SEARCH(UPPER(TRIM(rPatron)),UPPER(TRIM(D1357))))
)
)
),
rC"&amp;"oncepto,
""""
)
)
),
MAP(
reglas!$B$2:$B$240,
reglas!$C$2:$C$240,
reglas!$D$2:$D$240,
reglas!$E$2:$E$240,
LAMBDA(rEmisor,rPatron,rConcepto,rTipo,
IF(
AND(
OR(
UPPER(TRIM(rEmisor))=UPPER(TRIM(C1357)),
UPPER(TRIM(rEmisor))=""CUALQUIERA""
),
OR(
UPPER(TRIM(r"&amp;"Tipo))=""SOLO EMISOR"",
AND(
UPPER(TRIM(rTipo))=""EXACTA"",
UPPER(TRIM(D1357))=UPPER(TRIM(rPatron))
),
AND(
OR(
UPPER(TRIM(rTipo))=""CONTIENE"",
UPPER(TRIM(rTipo))=""COINCIDENCIA""
),
ISNUMBER(SEARCH(UPPER(TRIM(rPatron)),UPPER(TRIM(D1357))))
)
)
),
rConce"&amp;"pto,
""""
)
)
)&lt;&gt;""""
),
1
),
""""
)"),"MANIOBRAS")</f>
        <v>MANIOBRAS</v>
      </c>
      <c r="L1357" s="27"/>
      <c r="M1357" s="27"/>
      <c r="N1357" s="27"/>
      <c r="O1357" s="27"/>
      <c r="P1357" s="27"/>
      <c r="Q1357" s="27"/>
      <c r="R1357" s="27"/>
      <c r="S1357" s="27"/>
      <c r="T1357" s="27"/>
      <c r="U1357" s="27"/>
      <c r="V1357" s="27"/>
      <c r="W1357" s="27"/>
      <c r="X1357" s="27"/>
      <c r="Y1357" s="27"/>
    </row>
    <row r="1358">
      <c r="A1358" s="32"/>
      <c r="B1358" s="32"/>
      <c r="C1358" s="29" t="s">
        <v>271</v>
      </c>
      <c r="D1358" s="29" t="s">
        <v>587</v>
      </c>
      <c r="E1358" s="28">
        <v>565.37</v>
      </c>
      <c r="F1358" s="28">
        <v>0.0</v>
      </c>
      <c r="G1358" s="28" t="s">
        <v>84</v>
      </c>
      <c r="H1358" s="28">
        <f t="array" ref="H1358">INDEX(CC!C:C,MATCH(1,(CC!A:A=G1358)*(CC!B:B=I1358),0))</f>
        <v>1002</v>
      </c>
      <c r="I1358" s="28" t="s">
        <v>25</v>
      </c>
      <c r="J1358" s="31">
        <v>565.37</v>
      </c>
      <c r="K1358" s="28" t="str">
        <f>IFERROR(__xludf.DUMMYFUNCTION("IFERROR(
INDEX(
FILTER(
MAP(
reglas!$B$2:$B$240,
reglas!$C$2:$C$240,
reglas!$D$2:$D$240,
reglas!$E$2:$E$240,
LAMBDA(rEmisor,rPatron,rConcepto,rTipo,
IF(
AND(
OR(
UPPER(TRIM(rEmisor))=UPPER(TRIM(C1358)),
UPPER(TRIM(rEmisor))=""CUALQUIERA""
),
OR(
UPPER(TRI"&amp;"M(rTipo))=""SOLO EMISOR"",
AND(
UPPER(TRIM(rTipo))=""EXACTA"",
UPPER(TRIM(AG1358))=UPPER(TRIM(rPatron))
),
AND(
OR(
UPPER(TRIM(rTipo))=""CONTIENE"",
UPPER(TRIM(rTipo))=""COINCIDENCIA""
),
ISNUMBER(SEARCH(UPPER(TRIM(rPatron)),UPPER(TRIM(D1358))))
)
)
),
rC"&amp;"oncepto,
""""
)
)
),
MAP(
reglas!$B$2:$B$240,
reglas!$C$2:$C$240,
reglas!$D$2:$D$240,
reglas!$E$2:$E$240,
LAMBDA(rEmisor,rPatron,rConcepto,rTipo,
IF(
AND(
OR(
UPPER(TRIM(rEmisor))=UPPER(TRIM(C1358)),
UPPER(TRIM(rEmisor))=""CUALQUIERA""
),
OR(
UPPER(TRIM(r"&amp;"Tipo))=""SOLO EMISOR"",
AND(
UPPER(TRIM(rTipo))=""EXACTA"",
UPPER(TRIM(D1358))=UPPER(TRIM(rPatron))
),
AND(
OR(
UPPER(TRIM(rTipo))=""CONTIENE"",
UPPER(TRIM(rTipo))=""COINCIDENCIA""
),
ISNUMBER(SEARCH(UPPER(TRIM(rPatron)),UPPER(TRIM(D1358))))
)
)
),
rConce"&amp;"pto,
""""
)
)
)&lt;&gt;""""
),
1
),
""""
)"),"MANIOBRAS")</f>
        <v>MANIOBRAS</v>
      </c>
      <c r="L1358" s="27"/>
      <c r="M1358" s="27"/>
      <c r="N1358" s="27"/>
      <c r="O1358" s="27"/>
      <c r="P1358" s="27"/>
      <c r="Q1358" s="27"/>
      <c r="R1358" s="27"/>
      <c r="S1358" s="27"/>
      <c r="T1358" s="27"/>
      <c r="U1358" s="27"/>
      <c r="V1358" s="27"/>
      <c r="W1358" s="27"/>
      <c r="X1358" s="27"/>
      <c r="Y1358" s="27"/>
    </row>
    <row r="1359">
      <c r="A1359" s="32"/>
      <c r="B1359" s="32"/>
      <c r="C1359" s="29" t="s">
        <v>271</v>
      </c>
      <c r="D1359" s="29" t="s">
        <v>589</v>
      </c>
      <c r="E1359" s="28">
        <v>618.27</v>
      </c>
      <c r="F1359" s="28">
        <v>0.0</v>
      </c>
      <c r="G1359" s="28" t="s">
        <v>84</v>
      </c>
      <c r="H1359" s="28">
        <f t="array" ref="H1359">INDEX(CC!C:C,MATCH(1,(CC!A:A=G1359)*(CC!B:B=I1359),0))</f>
        <v>1002</v>
      </c>
      <c r="I1359" s="28" t="s">
        <v>25</v>
      </c>
      <c r="J1359" s="31">
        <v>618.27</v>
      </c>
      <c r="K1359" s="28" t="str">
        <f>IFERROR(__xludf.DUMMYFUNCTION("IFERROR(
INDEX(
FILTER(
MAP(
reglas!$B$2:$B$240,
reglas!$C$2:$C$240,
reglas!$D$2:$D$240,
reglas!$E$2:$E$240,
LAMBDA(rEmisor,rPatron,rConcepto,rTipo,
IF(
AND(
OR(
UPPER(TRIM(rEmisor))=UPPER(TRIM(C1359)),
UPPER(TRIM(rEmisor))=""CUALQUIERA""
),
OR(
UPPER(TRI"&amp;"M(rTipo))=""SOLO EMISOR"",
AND(
UPPER(TRIM(rTipo))=""EXACTA"",
UPPER(TRIM(AG1359))=UPPER(TRIM(rPatron))
),
AND(
OR(
UPPER(TRIM(rTipo))=""CONTIENE"",
UPPER(TRIM(rTipo))=""COINCIDENCIA""
),
ISNUMBER(SEARCH(UPPER(TRIM(rPatron)),UPPER(TRIM(D1359))))
)
)
),
rC"&amp;"oncepto,
""""
)
)
),
MAP(
reglas!$B$2:$B$240,
reglas!$C$2:$C$240,
reglas!$D$2:$D$240,
reglas!$E$2:$E$240,
LAMBDA(rEmisor,rPatron,rConcepto,rTipo,
IF(
AND(
OR(
UPPER(TRIM(rEmisor))=UPPER(TRIM(C1359)),
UPPER(TRIM(rEmisor))=""CUALQUIERA""
),
OR(
UPPER(TRIM(r"&amp;"Tipo))=""SOLO EMISOR"",
AND(
UPPER(TRIM(rTipo))=""EXACTA"",
UPPER(TRIM(D1359))=UPPER(TRIM(rPatron))
),
AND(
OR(
UPPER(TRIM(rTipo))=""CONTIENE"",
UPPER(TRIM(rTipo))=""COINCIDENCIA""
),
ISNUMBER(SEARCH(UPPER(TRIM(rPatron)),UPPER(TRIM(D1359))))
)
)
),
rConce"&amp;"pto,
""""
)
)
)&lt;&gt;""""
),
1
),
""""
)"),"MANIOBRAS")</f>
        <v>MANIOBRAS</v>
      </c>
      <c r="L1359" s="27"/>
      <c r="M1359" s="27"/>
      <c r="N1359" s="27"/>
      <c r="O1359" s="27"/>
      <c r="P1359" s="27"/>
      <c r="Q1359" s="27"/>
      <c r="R1359" s="27"/>
      <c r="S1359" s="27"/>
      <c r="T1359" s="27"/>
      <c r="U1359" s="27"/>
      <c r="V1359" s="27"/>
      <c r="W1359" s="27"/>
      <c r="X1359" s="27"/>
      <c r="Y1359" s="27"/>
    </row>
    <row r="1360">
      <c r="A1360" s="32"/>
      <c r="B1360" s="32"/>
      <c r="C1360" s="29" t="s">
        <v>271</v>
      </c>
      <c r="D1360" s="29" t="s">
        <v>596</v>
      </c>
      <c r="E1360" s="28">
        <v>648.69</v>
      </c>
      <c r="F1360" s="28">
        <v>0.0</v>
      </c>
      <c r="G1360" s="28" t="s">
        <v>84</v>
      </c>
      <c r="H1360" s="28">
        <f t="array" ref="H1360">INDEX(CC!C:C,MATCH(1,(CC!A:A=G1360)*(CC!B:B=I1360),0))</f>
        <v>1002</v>
      </c>
      <c r="I1360" s="28" t="s">
        <v>25</v>
      </c>
      <c r="J1360" s="31">
        <v>648.69</v>
      </c>
      <c r="K1360" s="28" t="str">
        <f>IFERROR(__xludf.DUMMYFUNCTION("IFERROR(
INDEX(
FILTER(
MAP(
reglas!$B$2:$B$240,
reglas!$C$2:$C$240,
reglas!$D$2:$D$240,
reglas!$E$2:$E$240,
LAMBDA(rEmisor,rPatron,rConcepto,rTipo,
IF(
AND(
OR(
UPPER(TRIM(rEmisor))=UPPER(TRIM(C1360)),
UPPER(TRIM(rEmisor))=""CUALQUIERA""
),
OR(
UPPER(TRI"&amp;"M(rTipo))=""SOLO EMISOR"",
AND(
UPPER(TRIM(rTipo))=""EXACTA"",
UPPER(TRIM(AG1360))=UPPER(TRIM(rPatron))
),
AND(
OR(
UPPER(TRIM(rTipo))=""CONTIENE"",
UPPER(TRIM(rTipo))=""COINCIDENCIA""
),
ISNUMBER(SEARCH(UPPER(TRIM(rPatron)),UPPER(TRIM(D1360))))
)
)
),
rC"&amp;"oncepto,
""""
)
)
),
MAP(
reglas!$B$2:$B$240,
reglas!$C$2:$C$240,
reglas!$D$2:$D$240,
reglas!$E$2:$E$240,
LAMBDA(rEmisor,rPatron,rConcepto,rTipo,
IF(
AND(
OR(
UPPER(TRIM(rEmisor))=UPPER(TRIM(C1360)),
UPPER(TRIM(rEmisor))=""CUALQUIERA""
),
OR(
UPPER(TRIM(r"&amp;"Tipo))=""SOLO EMISOR"",
AND(
UPPER(TRIM(rTipo))=""EXACTA"",
UPPER(TRIM(D1360))=UPPER(TRIM(rPatron))
),
AND(
OR(
UPPER(TRIM(rTipo))=""CONTIENE"",
UPPER(TRIM(rTipo))=""COINCIDENCIA""
),
ISNUMBER(SEARCH(UPPER(TRIM(rPatron)),UPPER(TRIM(D1360))))
)
)
),
rConce"&amp;"pto,
""""
)
)
)&lt;&gt;""""
),
1
),
""""
)"),"MANIOBRAS")</f>
        <v>MANIOBRAS</v>
      </c>
      <c r="L1360" s="27"/>
      <c r="M1360" s="27"/>
      <c r="N1360" s="27"/>
      <c r="O1360" s="27"/>
      <c r="P1360" s="27"/>
      <c r="Q1360" s="27"/>
      <c r="R1360" s="27"/>
      <c r="S1360" s="27"/>
      <c r="T1360" s="27"/>
      <c r="U1360" s="27"/>
      <c r="V1360" s="27"/>
      <c r="W1360" s="27"/>
      <c r="X1360" s="27"/>
      <c r="Y1360" s="27"/>
    </row>
    <row r="1361">
      <c r="A1361" s="32"/>
      <c r="B1361" s="28" t="s">
        <v>29</v>
      </c>
      <c r="C1361" s="29" t="s">
        <v>172</v>
      </c>
      <c r="D1361" s="29" t="s">
        <v>1892</v>
      </c>
      <c r="E1361" s="30">
        <v>11500.0</v>
      </c>
      <c r="F1361" s="28">
        <v>0.0</v>
      </c>
      <c r="G1361" s="28" t="s">
        <v>250</v>
      </c>
      <c r="H1361" s="28">
        <f t="array" ref="H1361">INDEX(CC!C:C,MATCH(1,(CC!A:A=G1361)*(CC!B:B=I1361),0))</f>
        <v>1402</v>
      </c>
      <c r="I1361" s="28" t="s">
        <v>25</v>
      </c>
      <c r="J1361" s="31">
        <v>11500.0</v>
      </c>
      <c r="K1361" s="28" t="str">
        <f>IFERROR(__xludf.DUMMYFUNCTION("IFERROR(
INDEX(
FILTER(
MAP(
reglas!$B$2:$B$240,
reglas!$C$2:$C$240,
reglas!$D$2:$D$240,
reglas!$E$2:$E$240,
LAMBDA(rEmisor,rPatron,rConcepto,rTipo,
IF(
AND(
OR(
UPPER(TRIM(rEmisor))=UPPER(TRIM(C1361)),
UPPER(TRIM(rEmisor))=""CUALQUIERA""
),
OR(
UPPER(TRI"&amp;"M(rTipo))=""SOLO EMISOR"",
AND(
UPPER(TRIM(rTipo))=""EXACTA"",
UPPER(TRIM(AG1361))=UPPER(TRIM(rPatron))
),
AND(
OR(
UPPER(TRIM(rTipo))=""CONTIENE"",
UPPER(TRIM(rTipo))=""COINCIDENCIA""
),
ISNUMBER(SEARCH(UPPER(TRIM(rPatron)),UPPER(TRIM(D1361))))
)
)
),
rC"&amp;"oncepto,
""""
)
)
),
MAP(
reglas!$B$2:$B$240,
reglas!$C$2:$C$240,
reglas!$D$2:$D$240,
reglas!$E$2:$E$240,
LAMBDA(rEmisor,rPatron,rConcepto,rTipo,
IF(
AND(
OR(
UPPER(TRIM(rEmisor))=UPPER(TRIM(C1361)),
UPPER(TRIM(rEmisor))=""CUALQUIERA""
),
OR(
UPPER(TRIM(r"&amp;"Tipo))=""SOLO EMISOR"",
AND(
UPPER(TRIM(rTipo))=""EXACTA"",
UPPER(TRIM(D1361))=UPPER(TRIM(rPatron))
),
AND(
OR(
UPPER(TRIM(rTipo))=""CONTIENE"",
UPPER(TRIM(rTipo))=""COINCIDENCIA""
),
ISNUMBER(SEARCH(UPPER(TRIM(rPatron)),UPPER(TRIM(D1361))))
)
)
),
rConce"&amp;"pto,
""""
)
)
)&lt;&gt;""""
),
1
),
""""
)"),"TRANSPORTE")</f>
        <v>TRANSPORTE</v>
      </c>
      <c r="L1361" s="27"/>
      <c r="M1361" s="27"/>
      <c r="N1361" s="27"/>
      <c r="O1361" s="27"/>
      <c r="P1361" s="27"/>
      <c r="Q1361" s="27"/>
      <c r="R1361" s="27"/>
      <c r="S1361" s="27"/>
      <c r="T1361" s="27"/>
      <c r="U1361" s="27"/>
      <c r="V1361" s="27"/>
      <c r="W1361" s="27"/>
      <c r="X1361" s="27"/>
      <c r="Y1361" s="27"/>
    </row>
    <row r="1362">
      <c r="A1362" s="32"/>
      <c r="B1362" s="28" t="s">
        <v>29</v>
      </c>
      <c r="C1362" s="29" t="s">
        <v>172</v>
      </c>
      <c r="D1362" s="29" t="s">
        <v>1891</v>
      </c>
      <c r="E1362" s="30">
        <v>11500.0</v>
      </c>
      <c r="F1362" s="28">
        <v>0.0</v>
      </c>
      <c r="G1362" s="28" t="s">
        <v>250</v>
      </c>
      <c r="H1362" s="28">
        <f t="array" ref="H1362">INDEX(CC!C:C,MATCH(1,(CC!A:A=G1362)*(CC!B:B=I1362),0))</f>
        <v>1402</v>
      </c>
      <c r="I1362" s="28" t="s">
        <v>25</v>
      </c>
      <c r="J1362" s="31">
        <v>11500.0</v>
      </c>
      <c r="K1362" s="28" t="str">
        <f>IFERROR(__xludf.DUMMYFUNCTION("IFERROR(
INDEX(
FILTER(
MAP(
reglas!$B$2:$B$240,
reglas!$C$2:$C$240,
reglas!$D$2:$D$240,
reglas!$E$2:$E$240,
LAMBDA(rEmisor,rPatron,rConcepto,rTipo,
IF(
AND(
OR(
UPPER(TRIM(rEmisor))=UPPER(TRIM(C1362)),
UPPER(TRIM(rEmisor))=""CUALQUIERA""
),
OR(
UPPER(TRI"&amp;"M(rTipo))=""SOLO EMISOR"",
AND(
UPPER(TRIM(rTipo))=""EXACTA"",
UPPER(TRIM(AG1362))=UPPER(TRIM(rPatron))
),
AND(
OR(
UPPER(TRIM(rTipo))=""CONTIENE"",
UPPER(TRIM(rTipo))=""COINCIDENCIA""
),
ISNUMBER(SEARCH(UPPER(TRIM(rPatron)),UPPER(TRIM(D1362))))
)
)
),
rC"&amp;"oncepto,
""""
)
)
),
MAP(
reglas!$B$2:$B$240,
reglas!$C$2:$C$240,
reglas!$D$2:$D$240,
reglas!$E$2:$E$240,
LAMBDA(rEmisor,rPatron,rConcepto,rTipo,
IF(
AND(
OR(
UPPER(TRIM(rEmisor))=UPPER(TRIM(C1362)),
UPPER(TRIM(rEmisor))=""CUALQUIERA""
),
OR(
UPPER(TRIM(r"&amp;"Tipo))=""SOLO EMISOR"",
AND(
UPPER(TRIM(rTipo))=""EXACTA"",
UPPER(TRIM(D1362))=UPPER(TRIM(rPatron))
),
AND(
OR(
UPPER(TRIM(rTipo))=""CONTIENE"",
UPPER(TRIM(rTipo))=""COINCIDENCIA""
),
ISNUMBER(SEARCH(UPPER(TRIM(rPatron)),UPPER(TRIM(D1362))))
)
)
),
rConce"&amp;"pto,
""""
)
)
)&lt;&gt;""""
),
1
),
""""
)"),"TRANSPORTE")</f>
        <v>TRANSPORTE</v>
      </c>
      <c r="L1362" s="27"/>
      <c r="M1362" s="27"/>
      <c r="N1362" s="27"/>
      <c r="O1362" s="27"/>
      <c r="P1362" s="27"/>
      <c r="Q1362" s="27"/>
      <c r="R1362" s="27"/>
      <c r="S1362" s="27"/>
      <c r="T1362" s="27"/>
      <c r="U1362" s="27"/>
      <c r="V1362" s="27"/>
      <c r="W1362" s="27"/>
      <c r="X1362" s="27"/>
      <c r="Y1362" s="27"/>
    </row>
    <row r="1363">
      <c r="A1363" s="28">
        <v>1.0</v>
      </c>
      <c r="B1363" s="28" t="s">
        <v>29</v>
      </c>
      <c r="C1363" s="29" t="s">
        <v>271</v>
      </c>
      <c r="D1363" s="29" t="s">
        <v>585</v>
      </c>
      <c r="E1363" s="28">
        <v>617.93</v>
      </c>
      <c r="F1363" s="28">
        <v>0.0</v>
      </c>
      <c r="G1363" s="28" t="s">
        <v>84</v>
      </c>
      <c r="H1363" s="28">
        <f t="array" ref="H1363">INDEX(CC!C:C,MATCH(1,(CC!A:A=G1363)*(CC!B:B=I1363),0))</f>
        <v>1002</v>
      </c>
      <c r="I1363" s="28" t="s">
        <v>25</v>
      </c>
      <c r="J1363" s="31">
        <v>617.93</v>
      </c>
      <c r="K1363" s="28" t="str">
        <f>IFERROR(__xludf.DUMMYFUNCTION("IFERROR(
INDEX(
FILTER(
MAP(
reglas!$B$2:$B$240,
reglas!$C$2:$C$240,
reglas!$D$2:$D$240,
reglas!$E$2:$E$240,
LAMBDA(rEmisor,rPatron,rConcepto,rTipo,
IF(
AND(
OR(
UPPER(TRIM(rEmisor))=UPPER(TRIM(C1363)),
UPPER(TRIM(rEmisor))=""CUALQUIERA""
),
OR(
UPPER(TRI"&amp;"M(rTipo))=""SOLO EMISOR"",
AND(
UPPER(TRIM(rTipo))=""EXACTA"",
UPPER(TRIM(AG1363))=UPPER(TRIM(rPatron))
),
AND(
OR(
UPPER(TRIM(rTipo))=""CONTIENE"",
UPPER(TRIM(rTipo))=""COINCIDENCIA""
),
ISNUMBER(SEARCH(UPPER(TRIM(rPatron)),UPPER(TRIM(D1363))))
)
)
),
rC"&amp;"oncepto,
""""
)
)
),
MAP(
reglas!$B$2:$B$240,
reglas!$C$2:$C$240,
reglas!$D$2:$D$240,
reglas!$E$2:$E$240,
LAMBDA(rEmisor,rPatron,rConcepto,rTipo,
IF(
AND(
OR(
UPPER(TRIM(rEmisor))=UPPER(TRIM(C1363)),
UPPER(TRIM(rEmisor))=""CUALQUIERA""
),
OR(
UPPER(TRIM(r"&amp;"Tipo))=""SOLO EMISOR"",
AND(
UPPER(TRIM(rTipo))=""EXACTA"",
UPPER(TRIM(D1363))=UPPER(TRIM(rPatron))
),
AND(
OR(
UPPER(TRIM(rTipo))=""CONTIENE"",
UPPER(TRIM(rTipo))=""COINCIDENCIA""
),
ISNUMBER(SEARCH(UPPER(TRIM(rPatron)),UPPER(TRIM(D1363))))
)
)
),
rConce"&amp;"pto,
""""
)
)
)&lt;&gt;""""
),
1
),
""""
)"),"MANIOBRAS")</f>
        <v>MANIOBRAS</v>
      </c>
      <c r="L1363" s="27"/>
      <c r="M1363" s="27"/>
      <c r="N1363" s="27"/>
      <c r="O1363" s="27"/>
      <c r="P1363" s="27"/>
      <c r="Q1363" s="27"/>
      <c r="R1363" s="27"/>
      <c r="S1363" s="27"/>
      <c r="T1363" s="27"/>
      <c r="U1363" s="27"/>
      <c r="V1363" s="27"/>
      <c r="W1363" s="27"/>
      <c r="X1363" s="27"/>
      <c r="Y1363" s="27"/>
    </row>
    <row r="1364">
      <c r="A1364" s="32"/>
      <c r="B1364" s="32"/>
      <c r="C1364" s="29" t="s">
        <v>271</v>
      </c>
      <c r="D1364" s="29" t="s">
        <v>587</v>
      </c>
      <c r="E1364" s="28">
        <v>565.37</v>
      </c>
      <c r="F1364" s="28">
        <v>0.0</v>
      </c>
      <c r="G1364" s="28" t="s">
        <v>84</v>
      </c>
      <c r="H1364" s="28">
        <f t="array" ref="H1364">INDEX(CC!C:C,MATCH(1,(CC!A:A=G1364)*(CC!B:B=I1364),0))</f>
        <v>1002</v>
      </c>
      <c r="I1364" s="28" t="s">
        <v>25</v>
      </c>
      <c r="J1364" s="31">
        <v>565.37</v>
      </c>
      <c r="K1364" s="28" t="str">
        <f>IFERROR(__xludf.DUMMYFUNCTION("IFERROR(
INDEX(
FILTER(
MAP(
reglas!$B$2:$B$240,
reglas!$C$2:$C$240,
reglas!$D$2:$D$240,
reglas!$E$2:$E$240,
LAMBDA(rEmisor,rPatron,rConcepto,rTipo,
IF(
AND(
OR(
UPPER(TRIM(rEmisor))=UPPER(TRIM(C1364)),
UPPER(TRIM(rEmisor))=""CUALQUIERA""
),
OR(
UPPER(TRI"&amp;"M(rTipo))=""SOLO EMISOR"",
AND(
UPPER(TRIM(rTipo))=""EXACTA"",
UPPER(TRIM(AG1364))=UPPER(TRIM(rPatron))
),
AND(
OR(
UPPER(TRIM(rTipo))=""CONTIENE"",
UPPER(TRIM(rTipo))=""COINCIDENCIA""
),
ISNUMBER(SEARCH(UPPER(TRIM(rPatron)),UPPER(TRIM(D1364))))
)
)
),
rC"&amp;"oncepto,
""""
)
)
),
MAP(
reglas!$B$2:$B$240,
reglas!$C$2:$C$240,
reglas!$D$2:$D$240,
reglas!$E$2:$E$240,
LAMBDA(rEmisor,rPatron,rConcepto,rTipo,
IF(
AND(
OR(
UPPER(TRIM(rEmisor))=UPPER(TRIM(C1364)),
UPPER(TRIM(rEmisor))=""CUALQUIERA""
),
OR(
UPPER(TRIM(r"&amp;"Tipo))=""SOLO EMISOR"",
AND(
UPPER(TRIM(rTipo))=""EXACTA"",
UPPER(TRIM(D1364))=UPPER(TRIM(rPatron))
),
AND(
OR(
UPPER(TRIM(rTipo))=""CONTIENE"",
UPPER(TRIM(rTipo))=""COINCIDENCIA""
),
ISNUMBER(SEARCH(UPPER(TRIM(rPatron)),UPPER(TRIM(D1364))))
)
)
),
rConce"&amp;"pto,
""""
)
)
)&lt;&gt;""""
),
1
),
""""
)"),"MANIOBRAS")</f>
        <v>MANIOBRAS</v>
      </c>
      <c r="L1364" s="27"/>
      <c r="M1364" s="27"/>
      <c r="N1364" s="27"/>
      <c r="O1364" s="27"/>
      <c r="P1364" s="27"/>
      <c r="Q1364" s="27"/>
      <c r="R1364" s="27"/>
      <c r="S1364" s="27"/>
      <c r="T1364" s="27"/>
      <c r="U1364" s="27"/>
      <c r="V1364" s="27"/>
      <c r="W1364" s="27"/>
      <c r="X1364" s="27"/>
      <c r="Y1364" s="27"/>
    </row>
    <row r="1365">
      <c r="A1365" s="32"/>
      <c r="B1365" s="32"/>
      <c r="C1365" s="29" t="s">
        <v>271</v>
      </c>
      <c r="D1365" s="29" t="s">
        <v>586</v>
      </c>
      <c r="E1365" s="28">
        <v>618.27</v>
      </c>
      <c r="F1365" s="28">
        <v>0.0</v>
      </c>
      <c r="G1365" s="28" t="s">
        <v>84</v>
      </c>
      <c r="H1365" s="28">
        <f t="array" ref="H1365">INDEX(CC!C:C,MATCH(1,(CC!A:A=G1365)*(CC!B:B=I1365),0))</f>
        <v>1002</v>
      </c>
      <c r="I1365" s="28" t="s">
        <v>25</v>
      </c>
      <c r="J1365" s="31">
        <v>618.27</v>
      </c>
      <c r="K1365" s="28" t="str">
        <f>IFERROR(__xludf.DUMMYFUNCTION("IFERROR(
INDEX(
FILTER(
MAP(
reglas!$B$2:$B$240,
reglas!$C$2:$C$240,
reglas!$D$2:$D$240,
reglas!$E$2:$E$240,
LAMBDA(rEmisor,rPatron,rConcepto,rTipo,
IF(
AND(
OR(
UPPER(TRIM(rEmisor))=UPPER(TRIM(C1365)),
UPPER(TRIM(rEmisor))=""CUALQUIERA""
),
OR(
UPPER(TRI"&amp;"M(rTipo))=""SOLO EMISOR"",
AND(
UPPER(TRIM(rTipo))=""EXACTA"",
UPPER(TRIM(AG1365))=UPPER(TRIM(rPatron))
),
AND(
OR(
UPPER(TRIM(rTipo))=""CONTIENE"",
UPPER(TRIM(rTipo))=""COINCIDENCIA""
),
ISNUMBER(SEARCH(UPPER(TRIM(rPatron)),UPPER(TRIM(D1365))))
)
)
),
rC"&amp;"oncepto,
""""
)
)
),
MAP(
reglas!$B$2:$B$240,
reglas!$C$2:$C$240,
reglas!$D$2:$D$240,
reglas!$E$2:$E$240,
LAMBDA(rEmisor,rPatron,rConcepto,rTipo,
IF(
AND(
OR(
UPPER(TRIM(rEmisor))=UPPER(TRIM(C1365)),
UPPER(TRIM(rEmisor))=""CUALQUIERA""
),
OR(
UPPER(TRIM(r"&amp;"Tipo))=""SOLO EMISOR"",
AND(
UPPER(TRIM(rTipo))=""EXACTA"",
UPPER(TRIM(D1365))=UPPER(TRIM(rPatron))
),
AND(
OR(
UPPER(TRIM(rTipo))=""CONTIENE"",
UPPER(TRIM(rTipo))=""COINCIDENCIA""
),
ISNUMBER(SEARCH(UPPER(TRIM(rPatron)),UPPER(TRIM(D1365))))
)
)
),
rConce"&amp;"pto,
""""
)
)
)&lt;&gt;""""
),
1
),
""""
)"),"MANIOBRAS")</f>
        <v>MANIOBRAS</v>
      </c>
      <c r="L1365" s="27"/>
      <c r="M1365" s="27"/>
      <c r="N1365" s="27"/>
      <c r="O1365" s="27"/>
      <c r="P1365" s="27"/>
      <c r="Q1365" s="27"/>
      <c r="R1365" s="27"/>
      <c r="S1365" s="27"/>
      <c r="T1365" s="27"/>
      <c r="U1365" s="27"/>
      <c r="V1365" s="27"/>
      <c r="W1365" s="27"/>
      <c r="X1365" s="27"/>
      <c r="Y1365" s="27"/>
    </row>
    <row r="1366">
      <c r="A1366" s="32"/>
      <c r="B1366" s="32"/>
      <c r="C1366" s="29" t="s">
        <v>271</v>
      </c>
      <c r="D1366" s="29" t="s">
        <v>589</v>
      </c>
      <c r="E1366" s="28">
        <v>618.27</v>
      </c>
      <c r="F1366" s="28">
        <v>0.0</v>
      </c>
      <c r="G1366" s="28" t="s">
        <v>84</v>
      </c>
      <c r="H1366" s="28">
        <f t="array" ref="H1366">INDEX(CC!C:C,MATCH(1,(CC!A:A=G1366)*(CC!B:B=I1366),0))</f>
        <v>1002</v>
      </c>
      <c r="I1366" s="28" t="s">
        <v>25</v>
      </c>
      <c r="J1366" s="31">
        <v>618.27</v>
      </c>
      <c r="K1366" s="28" t="str">
        <f>IFERROR(__xludf.DUMMYFUNCTION("IFERROR(
INDEX(
FILTER(
MAP(
reglas!$B$2:$B$240,
reglas!$C$2:$C$240,
reglas!$D$2:$D$240,
reglas!$E$2:$E$240,
LAMBDA(rEmisor,rPatron,rConcepto,rTipo,
IF(
AND(
OR(
UPPER(TRIM(rEmisor))=UPPER(TRIM(C1366)),
UPPER(TRIM(rEmisor))=""CUALQUIERA""
),
OR(
UPPER(TRI"&amp;"M(rTipo))=""SOLO EMISOR"",
AND(
UPPER(TRIM(rTipo))=""EXACTA"",
UPPER(TRIM(AG1366))=UPPER(TRIM(rPatron))
),
AND(
OR(
UPPER(TRIM(rTipo))=""CONTIENE"",
UPPER(TRIM(rTipo))=""COINCIDENCIA""
),
ISNUMBER(SEARCH(UPPER(TRIM(rPatron)),UPPER(TRIM(D1366))))
)
)
),
rC"&amp;"oncepto,
""""
)
)
),
MAP(
reglas!$B$2:$B$240,
reglas!$C$2:$C$240,
reglas!$D$2:$D$240,
reglas!$E$2:$E$240,
LAMBDA(rEmisor,rPatron,rConcepto,rTipo,
IF(
AND(
OR(
UPPER(TRIM(rEmisor))=UPPER(TRIM(C1366)),
UPPER(TRIM(rEmisor))=""CUALQUIERA""
),
OR(
UPPER(TRIM(r"&amp;"Tipo))=""SOLO EMISOR"",
AND(
UPPER(TRIM(rTipo))=""EXACTA"",
UPPER(TRIM(D1366))=UPPER(TRIM(rPatron))
),
AND(
OR(
UPPER(TRIM(rTipo))=""CONTIENE"",
UPPER(TRIM(rTipo))=""COINCIDENCIA""
),
ISNUMBER(SEARCH(UPPER(TRIM(rPatron)),UPPER(TRIM(D1366))))
)
)
),
rConce"&amp;"pto,
""""
)
)
)&lt;&gt;""""
),
1
),
""""
)"),"MANIOBRAS")</f>
        <v>MANIOBRAS</v>
      </c>
      <c r="L1366" s="27"/>
      <c r="M1366" s="27"/>
      <c r="N1366" s="27"/>
      <c r="O1366" s="27"/>
      <c r="P1366" s="27"/>
      <c r="Q1366" s="27"/>
      <c r="R1366" s="27"/>
      <c r="S1366" s="27"/>
      <c r="T1366" s="27"/>
      <c r="U1366" s="27"/>
      <c r="V1366" s="27"/>
      <c r="W1366" s="27"/>
      <c r="X1366" s="27"/>
      <c r="Y1366" s="27"/>
    </row>
    <row r="1367">
      <c r="A1367" s="32"/>
      <c r="B1367" s="32"/>
      <c r="C1367" s="29" t="s">
        <v>271</v>
      </c>
      <c r="D1367" s="29" t="s">
        <v>593</v>
      </c>
      <c r="E1367" s="28">
        <v>351.05</v>
      </c>
      <c r="F1367" s="28">
        <v>0.0</v>
      </c>
      <c r="G1367" s="28" t="s">
        <v>84</v>
      </c>
      <c r="H1367" s="28">
        <f t="array" ref="H1367">INDEX(CC!C:C,MATCH(1,(CC!A:A=G1367)*(CC!B:B=I1367),0))</f>
        <v>1002</v>
      </c>
      <c r="I1367" s="28" t="s">
        <v>25</v>
      </c>
      <c r="J1367" s="31">
        <v>351.05</v>
      </c>
      <c r="K1367" s="28" t="str">
        <f>IFERROR(__xludf.DUMMYFUNCTION("IFERROR(
INDEX(
FILTER(
MAP(
reglas!$B$2:$B$240,
reglas!$C$2:$C$240,
reglas!$D$2:$D$240,
reglas!$E$2:$E$240,
LAMBDA(rEmisor,rPatron,rConcepto,rTipo,
IF(
AND(
OR(
UPPER(TRIM(rEmisor))=UPPER(TRIM(C1367)),
UPPER(TRIM(rEmisor))=""CUALQUIERA""
),
OR(
UPPER(TRI"&amp;"M(rTipo))=""SOLO EMISOR"",
AND(
UPPER(TRIM(rTipo))=""EXACTA"",
UPPER(TRIM(AG1367))=UPPER(TRIM(rPatron))
),
AND(
OR(
UPPER(TRIM(rTipo))=""CONTIENE"",
UPPER(TRIM(rTipo))=""COINCIDENCIA""
),
ISNUMBER(SEARCH(UPPER(TRIM(rPatron)),UPPER(TRIM(D1367))))
)
)
),
rC"&amp;"oncepto,
""""
)
)
),
MAP(
reglas!$B$2:$B$240,
reglas!$C$2:$C$240,
reglas!$D$2:$D$240,
reglas!$E$2:$E$240,
LAMBDA(rEmisor,rPatron,rConcepto,rTipo,
IF(
AND(
OR(
UPPER(TRIM(rEmisor))=UPPER(TRIM(C1367)),
UPPER(TRIM(rEmisor))=""CUALQUIERA""
),
OR(
UPPER(TRIM(r"&amp;"Tipo))=""SOLO EMISOR"",
AND(
UPPER(TRIM(rTipo))=""EXACTA"",
UPPER(TRIM(D1367))=UPPER(TRIM(rPatron))
),
AND(
OR(
UPPER(TRIM(rTipo))=""CONTIENE"",
UPPER(TRIM(rTipo))=""COINCIDENCIA""
),
ISNUMBER(SEARCH(UPPER(TRIM(rPatron)),UPPER(TRIM(D1367))))
)
)
),
rConce"&amp;"pto,
""""
)
)
)&lt;&gt;""""
),
1
),
""""
)"),"MANIOBRAS")</f>
        <v>MANIOBRAS</v>
      </c>
      <c r="L1367" s="27"/>
      <c r="M1367" s="27"/>
      <c r="N1367" s="27"/>
      <c r="O1367" s="27"/>
      <c r="P1367" s="27"/>
      <c r="Q1367" s="27"/>
      <c r="R1367" s="27"/>
      <c r="S1367" s="27"/>
      <c r="T1367" s="27"/>
      <c r="U1367" s="27"/>
      <c r="V1367" s="27"/>
      <c r="W1367" s="27"/>
      <c r="X1367" s="27"/>
      <c r="Y1367" s="27"/>
    </row>
    <row r="1368">
      <c r="A1368" s="32"/>
      <c r="B1368" s="32"/>
      <c r="C1368" s="29" t="s">
        <v>271</v>
      </c>
      <c r="D1368" s="29" t="s">
        <v>596</v>
      </c>
      <c r="E1368" s="28">
        <v>648.69</v>
      </c>
      <c r="F1368" s="28">
        <v>0.0</v>
      </c>
      <c r="G1368" s="28" t="s">
        <v>84</v>
      </c>
      <c r="H1368" s="28">
        <f t="array" ref="H1368">INDEX(CC!C:C,MATCH(1,(CC!A:A=G1368)*(CC!B:B=I1368),0))</f>
        <v>1002</v>
      </c>
      <c r="I1368" s="28" t="s">
        <v>25</v>
      </c>
      <c r="J1368" s="31">
        <v>648.69</v>
      </c>
      <c r="K1368" s="28" t="str">
        <f>IFERROR(__xludf.DUMMYFUNCTION("IFERROR(
INDEX(
FILTER(
MAP(
reglas!$B$2:$B$240,
reglas!$C$2:$C$240,
reglas!$D$2:$D$240,
reglas!$E$2:$E$240,
LAMBDA(rEmisor,rPatron,rConcepto,rTipo,
IF(
AND(
OR(
UPPER(TRIM(rEmisor))=UPPER(TRIM(C1368)),
UPPER(TRIM(rEmisor))=""CUALQUIERA""
),
OR(
UPPER(TRI"&amp;"M(rTipo))=""SOLO EMISOR"",
AND(
UPPER(TRIM(rTipo))=""EXACTA"",
UPPER(TRIM(AG1368))=UPPER(TRIM(rPatron))
),
AND(
OR(
UPPER(TRIM(rTipo))=""CONTIENE"",
UPPER(TRIM(rTipo))=""COINCIDENCIA""
),
ISNUMBER(SEARCH(UPPER(TRIM(rPatron)),UPPER(TRIM(D1368))))
)
)
),
rC"&amp;"oncepto,
""""
)
)
),
MAP(
reglas!$B$2:$B$240,
reglas!$C$2:$C$240,
reglas!$D$2:$D$240,
reglas!$E$2:$E$240,
LAMBDA(rEmisor,rPatron,rConcepto,rTipo,
IF(
AND(
OR(
UPPER(TRIM(rEmisor))=UPPER(TRIM(C1368)),
UPPER(TRIM(rEmisor))=""CUALQUIERA""
),
OR(
UPPER(TRIM(r"&amp;"Tipo))=""SOLO EMISOR"",
AND(
UPPER(TRIM(rTipo))=""EXACTA"",
UPPER(TRIM(D1368))=UPPER(TRIM(rPatron))
),
AND(
OR(
UPPER(TRIM(rTipo))=""CONTIENE"",
UPPER(TRIM(rTipo))=""COINCIDENCIA""
),
ISNUMBER(SEARCH(UPPER(TRIM(rPatron)),UPPER(TRIM(D1368))))
)
)
),
rConce"&amp;"pto,
""""
)
)
)&lt;&gt;""""
),
1
),
""""
)"),"MANIOBRAS")</f>
        <v>MANIOBRAS</v>
      </c>
      <c r="L1368" s="27"/>
      <c r="M1368" s="27"/>
      <c r="N1368" s="27"/>
      <c r="O1368" s="27"/>
      <c r="P1368" s="27"/>
      <c r="Q1368" s="27"/>
      <c r="R1368" s="27"/>
      <c r="S1368" s="27"/>
      <c r="T1368" s="27"/>
      <c r="U1368" s="27"/>
      <c r="V1368" s="27"/>
      <c r="W1368" s="27"/>
      <c r="X1368" s="27"/>
      <c r="Y1368" s="27"/>
    </row>
    <row r="1369">
      <c r="A1369" s="32"/>
      <c r="B1369" s="28" t="s">
        <v>29</v>
      </c>
      <c r="C1369" s="29" t="s">
        <v>278</v>
      </c>
      <c r="D1369" s="29" t="s">
        <v>560</v>
      </c>
      <c r="E1369" s="30">
        <v>3500.0</v>
      </c>
      <c r="F1369" s="28">
        <v>0.0</v>
      </c>
      <c r="G1369" s="28" t="s">
        <v>250</v>
      </c>
      <c r="H1369" s="28">
        <f t="array" ref="H1369">INDEX(CC!C:C,MATCH(1,(CC!A:A=G1369)*(CC!B:B=I1369),0))</f>
        <v>1402</v>
      </c>
      <c r="I1369" s="28" t="s">
        <v>25</v>
      </c>
      <c r="J1369" s="31">
        <v>3500.0</v>
      </c>
      <c r="K1369" s="28" t="str">
        <f>IFERROR(__xludf.DUMMYFUNCTION("IFERROR(
INDEX(
FILTER(
MAP(
reglas!$B$2:$B$240,
reglas!$C$2:$C$240,
reglas!$D$2:$D$240,
reglas!$E$2:$E$240,
LAMBDA(rEmisor,rPatron,rConcepto,rTipo,
IF(
AND(
OR(
UPPER(TRIM(rEmisor))=UPPER(TRIM(C1369)),
UPPER(TRIM(rEmisor))=""CUALQUIERA""
),
OR(
UPPER(TRI"&amp;"M(rTipo))=""SOLO EMISOR"",
AND(
UPPER(TRIM(rTipo))=""EXACTA"",
UPPER(TRIM(AG1369))=UPPER(TRIM(rPatron))
),
AND(
OR(
UPPER(TRIM(rTipo))=""CONTIENE"",
UPPER(TRIM(rTipo))=""COINCIDENCIA""
),
ISNUMBER(SEARCH(UPPER(TRIM(rPatron)),UPPER(TRIM(D1369))))
)
)
),
rC"&amp;"oncepto,
""""
)
)
),
MAP(
reglas!$B$2:$B$240,
reglas!$C$2:$C$240,
reglas!$D$2:$D$240,
reglas!$E$2:$E$240,
LAMBDA(rEmisor,rPatron,rConcepto,rTipo,
IF(
AND(
OR(
UPPER(TRIM(rEmisor))=UPPER(TRIM(C1369)),
UPPER(TRIM(rEmisor))=""CUALQUIERA""
),
OR(
UPPER(TRIM(r"&amp;"Tipo))=""SOLO EMISOR"",
AND(
UPPER(TRIM(rTipo))=""EXACTA"",
UPPER(TRIM(D1369))=UPPER(TRIM(rPatron))
),
AND(
OR(
UPPER(TRIM(rTipo))=""CONTIENE"",
UPPER(TRIM(rTipo))=""COINCIDENCIA""
),
ISNUMBER(SEARCH(UPPER(TRIM(rPatron)),UPPER(TRIM(D1369))))
)
)
),
rConce"&amp;"pto,
""""
)
)
)&lt;&gt;""""
),
1
),
""""
)"),"MANIOBRAS")</f>
        <v>MANIOBRAS</v>
      </c>
      <c r="L1369" s="27"/>
      <c r="M1369" s="27"/>
      <c r="N1369" s="27"/>
      <c r="O1369" s="27"/>
      <c r="P1369" s="27"/>
      <c r="Q1369" s="27"/>
      <c r="R1369" s="27"/>
      <c r="S1369" s="27"/>
      <c r="T1369" s="27"/>
      <c r="U1369" s="27"/>
      <c r="V1369" s="27"/>
      <c r="W1369" s="27"/>
      <c r="X1369" s="27"/>
      <c r="Y1369" s="27"/>
    </row>
    <row r="1370">
      <c r="A1370" s="32"/>
      <c r="B1370" s="28" t="s">
        <v>29</v>
      </c>
      <c r="C1370" s="29" t="s">
        <v>172</v>
      </c>
      <c r="D1370" s="29" t="s">
        <v>1892</v>
      </c>
      <c r="E1370" s="30">
        <v>11500.0</v>
      </c>
      <c r="F1370" s="28">
        <v>0.0</v>
      </c>
      <c r="G1370" s="28" t="s">
        <v>250</v>
      </c>
      <c r="H1370" s="28">
        <f t="array" ref="H1370">INDEX(CC!C:C,MATCH(1,(CC!A:A=G1370)*(CC!B:B=I1370),0))</f>
        <v>1402</v>
      </c>
      <c r="I1370" s="28" t="s">
        <v>25</v>
      </c>
      <c r="J1370" s="31">
        <v>11500.0</v>
      </c>
      <c r="K1370" s="28" t="str">
        <f>IFERROR(__xludf.DUMMYFUNCTION("IFERROR(
INDEX(
FILTER(
MAP(
reglas!$B$2:$B$240,
reglas!$C$2:$C$240,
reglas!$D$2:$D$240,
reglas!$E$2:$E$240,
LAMBDA(rEmisor,rPatron,rConcepto,rTipo,
IF(
AND(
OR(
UPPER(TRIM(rEmisor))=UPPER(TRIM(C1370)),
UPPER(TRIM(rEmisor))=""CUALQUIERA""
),
OR(
UPPER(TRI"&amp;"M(rTipo))=""SOLO EMISOR"",
AND(
UPPER(TRIM(rTipo))=""EXACTA"",
UPPER(TRIM(AG1370))=UPPER(TRIM(rPatron))
),
AND(
OR(
UPPER(TRIM(rTipo))=""CONTIENE"",
UPPER(TRIM(rTipo))=""COINCIDENCIA""
),
ISNUMBER(SEARCH(UPPER(TRIM(rPatron)),UPPER(TRIM(D1370))))
)
)
),
rC"&amp;"oncepto,
""""
)
)
),
MAP(
reglas!$B$2:$B$240,
reglas!$C$2:$C$240,
reglas!$D$2:$D$240,
reglas!$E$2:$E$240,
LAMBDA(rEmisor,rPatron,rConcepto,rTipo,
IF(
AND(
OR(
UPPER(TRIM(rEmisor))=UPPER(TRIM(C1370)),
UPPER(TRIM(rEmisor))=""CUALQUIERA""
),
OR(
UPPER(TRIM(r"&amp;"Tipo))=""SOLO EMISOR"",
AND(
UPPER(TRIM(rTipo))=""EXACTA"",
UPPER(TRIM(D1370))=UPPER(TRIM(rPatron))
),
AND(
OR(
UPPER(TRIM(rTipo))=""CONTIENE"",
UPPER(TRIM(rTipo))=""COINCIDENCIA""
),
ISNUMBER(SEARCH(UPPER(TRIM(rPatron)),UPPER(TRIM(D1370))))
)
)
),
rConce"&amp;"pto,
""""
)
)
)&lt;&gt;""""
),
1
),
""""
)"),"TRANSPORTE")</f>
        <v>TRANSPORTE</v>
      </c>
      <c r="L1370" s="27"/>
      <c r="M1370" s="27"/>
      <c r="N1370" s="27"/>
      <c r="O1370" s="27"/>
      <c r="P1370" s="27"/>
      <c r="Q1370" s="27"/>
      <c r="R1370" s="27"/>
      <c r="S1370" s="27"/>
      <c r="T1370" s="27"/>
      <c r="U1370" s="27"/>
      <c r="V1370" s="27"/>
      <c r="W1370" s="27"/>
      <c r="X1370" s="27"/>
      <c r="Y1370" s="27"/>
    </row>
    <row r="1371">
      <c r="A1371" s="32"/>
      <c r="B1371" s="28" t="s">
        <v>29</v>
      </c>
      <c r="C1371" s="29" t="s">
        <v>172</v>
      </c>
      <c r="D1371" s="29" t="s">
        <v>1891</v>
      </c>
      <c r="E1371" s="30">
        <v>11500.0</v>
      </c>
      <c r="F1371" s="28">
        <v>0.0</v>
      </c>
      <c r="G1371" s="28" t="s">
        <v>250</v>
      </c>
      <c r="H1371" s="28">
        <f t="array" ref="H1371">INDEX(CC!C:C,MATCH(1,(CC!A:A=G1371)*(CC!B:B=I1371),0))</f>
        <v>1402</v>
      </c>
      <c r="I1371" s="28" t="s">
        <v>25</v>
      </c>
      <c r="J1371" s="31">
        <v>11500.0</v>
      </c>
      <c r="K1371" s="28" t="str">
        <f>IFERROR(__xludf.DUMMYFUNCTION("IFERROR(
INDEX(
FILTER(
MAP(
reglas!$B$2:$B$240,
reglas!$C$2:$C$240,
reglas!$D$2:$D$240,
reglas!$E$2:$E$240,
LAMBDA(rEmisor,rPatron,rConcepto,rTipo,
IF(
AND(
OR(
UPPER(TRIM(rEmisor))=UPPER(TRIM(C1371)),
UPPER(TRIM(rEmisor))=""CUALQUIERA""
),
OR(
UPPER(TRI"&amp;"M(rTipo))=""SOLO EMISOR"",
AND(
UPPER(TRIM(rTipo))=""EXACTA"",
UPPER(TRIM(AG1371))=UPPER(TRIM(rPatron))
),
AND(
OR(
UPPER(TRIM(rTipo))=""CONTIENE"",
UPPER(TRIM(rTipo))=""COINCIDENCIA""
),
ISNUMBER(SEARCH(UPPER(TRIM(rPatron)),UPPER(TRIM(D1371))))
)
)
),
rC"&amp;"oncepto,
""""
)
)
),
MAP(
reglas!$B$2:$B$240,
reglas!$C$2:$C$240,
reglas!$D$2:$D$240,
reglas!$E$2:$E$240,
LAMBDA(rEmisor,rPatron,rConcepto,rTipo,
IF(
AND(
OR(
UPPER(TRIM(rEmisor))=UPPER(TRIM(C1371)),
UPPER(TRIM(rEmisor))=""CUALQUIERA""
),
OR(
UPPER(TRIM(r"&amp;"Tipo))=""SOLO EMISOR"",
AND(
UPPER(TRIM(rTipo))=""EXACTA"",
UPPER(TRIM(D1371))=UPPER(TRIM(rPatron))
),
AND(
OR(
UPPER(TRIM(rTipo))=""CONTIENE"",
UPPER(TRIM(rTipo))=""COINCIDENCIA""
),
ISNUMBER(SEARCH(UPPER(TRIM(rPatron)),UPPER(TRIM(D1371))))
)
)
),
rConce"&amp;"pto,
""""
)
)
)&lt;&gt;""""
),
1
),
""""
)"),"TRANSPORTE")</f>
        <v>TRANSPORTE</v>
      </c>
      <c r="L1371" s="27"/>
      <c r="M1371" s="27"/>
      <c r="N1371" s="27"/>
      <c r="O1371" s="27"/>
      <c r="P1371" s="27"/>
      <c r="Q1371" s="27"/>
      <c r="R1371" s="27"/>
      <c r="S1371" s="27"/>
      <c r="T1371" s="27"/>
      <c r="U1371" s="27"/>
      <c r="V1371" s="27"/>
      <c r="W1371" s="27"/>
      <c r="X1371" s="27"/>
      <c r="Y1371" s="27"/>
    </row>
    <row r="1372">
      <c r="A1372" s="28">
        <v>1.0</v>
      </c>
      <c r="B1372" s="28" t="s">
        <v>29</v>
      </c>
      <c r="C1372" s="29" t="s">
        <v>271</v>
      </c>
      <c r="D1372" s="29" t="s">
        <v>587</v>
      </c>
      <c r="E1372" s="28">
        <v>565.37</v>
      </c>
      <c r="F1372" s="28">
        <v>0.0</v>
      </c>
      <c r="G1372" s="28" t="s">
        <v>84</v>
      </c>
      <c r="H1372" s="28">
        <f t="array" ref="H1372">INDEX(CC!C:C,MATCH(1,(CC!A:A=G1372)*(CC!B:B=I1372),0))</f>
        <v>1002</v>
      </c>
      <c r="I1372" s="28" t="s">
        <v>25</v>
      </c>
      <c r="J1372" s="31">
        <v>565.37</v>
      </c>
      <c r="K1372" s="28" t="str">
        <f>IFERROR(__xludf.DUMMYFUNCTION("IFERROR(
INDEX(
FILTER(
MAP(
reglas!$B$2:$B$240,
reglas!$C$2:$C$240,
reglas!$D$2:$D$240,
reglas!$E$2:$E$240,
LAMBDA(rEmisor,rPatron,rConcepto,rTipo,
IF(
AND(
OR(
UPPER(TRIM(rEmisor))=UPPER(TRIM(C1372)),
UPPER(TRIM(rEmisor))=""CUALQUIERA""
),
OR(
UPPER(TRI"&amp;"M(rTipo))=""SOLO EMISOR"",
AND(
UPPER(TRIM(rTipo))=""EXACTA"",
UPPER(TRIM(AG1372))=UPPER(TRIM(rPatron))
),
AND(
OR(
UPPER(TRIM(rTipo))=""CONTIENE"",
UPPER(TRIM(rTipo))=""COINCIDENCIA""
),
ISNUMBER(SEARCH(UPPER(TRIM(rPatron)),UPPER(TRIM(D1372))))
)
)
),
rC"&amp;"oncepto,
""""
)
)
),
MAP(
reglas!$B$2:$B$240,
reglas!$C$2:$C$240,
reglas!$D$2:$D$240,
reglas!$E$2:$E$240,
LAMBDA(rEmisor,rPatron,rConcepto,rTipo,
IF(
AND(
OR(
UPPER(TRIM(rEmisor))=UPPER(TRIM(C1372)),
UPPER(TRIM(rEmisor))=""CUALQUIERA""
),
OR(
UPPER(TRIM(r"&amp;"Tipo))=""SOLO EMISOR"",
AND(
UPPER(TRIM(rTipo))=""EXACTA"",
UPPER(TRIM(D1372))=UPPER(TRIM(rPatron))
),
AND(
OR(
UPPER(TRIM(rTipo))=""CONTIENE"",
UPPER(TRIM(rTipo))=""COINCIDENCIA""
),
ISNUMBER(SEARCH(UPPER(TRIM(rPatron)),UPPER(TRIM(D1372))))
)
)
),
rConce"&amp;"pto,
""""
)
)
)&lt;&gt;""""
),
1
),
""""
)"),"MANIOBRAS")</f>
        <v>MANIOBRAS</v>
      </c>
      <c r="L1372" s="27"/>
      <c r="M1372" s="27"/>
      <c r="N1372" s="27"/>
      <c r="O1372" s="27"/>
      <c r="P1372" s="27"/>
      <c r="Q1372" s="27"/>
      <c r="R1372" s="27"/>
      <c r="S1372" s="27"/>
      <c r="T1372" s="27"/>
      <c r="U1372" s="27"/>
      <c r="V1372" s="27"/>
      <c r="W1372" s="27"/>
      <c r="X1372" s="27"/>
      <c r="Y1372" s="27"/>
    </row>
    <row r="1373">
      <c r="A1373" s="32"/>
      <c r="B1373" s="32"/>
      <c r="C1373" s="29" t="s">
        <v>271</v>
      </c>
      <c r="D1373" s="29" t="s">
        <v>589</v>
      </c>
      <c r="E1373" s="28">
        <v>618.27</v>
      </c>
      <c r="F1373" s="28">
        <v>0.0</v>
      </c>
      <c r="G1373" s="28" t="s">
        <v>84</v>
      </c>
      <c r="H1373" s="28">
        <f t="array" ref="H1373">INDEX(CC!C:C,MATCH(1,(CC!A:A=G1373)*(CC!B:B=I1373),0))</f>
        <v>1002</v>
      </c>
      <c r="I1373" s="28" t="s">
        <v>25</v>
      </c>
      <c r="J1373" s="31">
        <v>618.27</v>
      </c>
      <c r="K1373" s="28" t="str">
        <f>IFERROR(__xludf.DUMMYFUNCTION("IFERROR(
INDEX(
FILTER(
MAP(
reglas!$B$2:$B$240,
reglas!$C$2:$C$240,
reglas!$D$2:$D$240,
reglas!$E$2:$E$240,
LAMBDA(rEmisor,rPatron,rConcepto,rTipo,
IF(
AND(
OR(
UPPER(TRIM(rEmisor))=UPPER(TRIM(C1373)),
UPPER(TRIM(rEmisor))=""CUALQUIERA""
),
OR(
UPPER(TRI"&amp;"M(rTipo))=""SOLO EMISOR"",
AND(
UPPER(TRIM(rTipo))=""EXACTA"",
UPPER(TRIM(AG1373))=UPPER(TRIM(rPatron))
),
AND(
OR(
UPPER(TRIM(rTipo))=""CONTIENE"",
UPPER(TRIM(rTipo))=""COINCIDENCIA""
),
ISNUMBER(SEARCH(UPPER(TRIM(rPatron)),UPPER(TRIM(D1373))))
)
)
),
rC"&amp;"oncepto,
""""
)
)
),
MAP(
reglas!$B$2:$B$240,
reglas!$C$2:$C$240,
reglas!$D$2:$D$240,
reglas!$E$2:$E$240,
LAMBDA(rEmisor,rPatron,rConcepto,rTipo,
IF(
AND(
OR(
UPPER(TRIM(rEmisor))=UPPER(TRIM(C1373)),
UPPER(TRIM(rEmisor))=""CUALQUIERA""
),
OR(
UPPER(TRIM(r"&amp;"Tipo))=""SOLO EMISOR"",
AND(
UPPER(TRIM(rTipo))=""EXACTA"",
UPPER(TRIM(D1373))=UPPER(TRIM(rPatron))
),
AND(
OR(
UPPER(TRIM(rTipo))=""CONTIENE"",
UPPER(TRIM(rTipo))=""COINCIDENCIA""
),
ISNUMBER(SEARCH(UPPER(TRIM(rPatron)),UPPER(TRIM(D1373))))
)
)
),
rConce"&amp;"pto,
""""
)
)
)&lt;&gt;""""
),
1
),
""""
)"),"MANIOBRAS")</f>
        <v>MANIOBRAS</v>
      </c>
      <c r="L1373" s="27"/>
      <c r="M1373" s="27"/>
      <c r="N1373" s="27"/>
      <c r="O1373" s="27"/>
      <c r="P1373" s="27"/>
      <c r="Q1373" s="27"/>
      <c r="R1373" s="27"/>
      <c r="S1373" s="27"/>
      <c r="T1373" s="27"/>
      <c r="U1373" s="27"/>
      <c r="V1373" s="27"/>
      <c r="W1373" s="27"/>
      <c r="X1373" s="27"/>
      <c r="Y1373" s="27"/>
    </row>
    <row r="1374">
      <c r="A1374" s="32"/>
      <c r="B1374" s="32"/>
      <c r="C1374" s="29" t="s">
        <v>271</v>
      </c>
      <c r="D1374" s="29" t="s">
        <v>596</v>
      </c>
      <c r="E1374" s="28">
        <v>648.69</v>
      </c>
      <c r="F1374" s="28">
        <v>0.0</v>
      </c>
      <c r="G1374" s="28" t="s">
        <v>84</v>
      </c>
      <c r="H1374" s="28">
        <f t="array" ref="H1374">INDEX(CC!C:C,MATCH(1,(CC!A:A=G1374)*(CC!B:B=I1374),0))</f>
        <v>1002</v>
      </c>
      <c r="I1374" s="28" t="s">
        <v>25</v>
      </c>
      <c r="J1374" s="31">
        <v>648.69</v>
      </c>
      <c r="K1374" s="28" t="str">
        <f>IFERROR(__xludf.DUMMYFUNCTION("IFERROR(
INDEX(
FILTER(
MAP(
reglas!$B$2:$B$240,
reglas!$C$2:$C$240,
reglas!$D$2:$D$240,
reglas!$E$2:$E$240,
LAMBDA(rEmisor,rPatron,rConcepto,rTipo,
IF(
AND(
OR(
UPPER(TRIM(rEmisor))=UPPER(TRIM(C1374)),
UPPER(TRIM(rEmisor))=""CUALQUIERA""
),
OR(
UPPER(TRI"&amp;"M(rTipo))=""SOLO EMISOR"",
AND(
UPPER(TRIM(rTipo))=""EXACTA"",
UPPER(TRIM(AG1374))=UPPER(TRIM(rPatron))
),
AND(
OR(
UPPER(TRIM(rTipo))=""CONTIENE"",
UPPER(TRIM(rTipo))=""COINCIDENCIA""
),
ISNUMBER(SEARCH(UPPER(TRIM(rPatron)),UPPER(TRIM(D1374))))
)
)
),
rC"&amp;"oncepto,
""""
)
)
),
MAP(
reglas!$B$2:$B$240,
reglas!$C$2:$C$240,
reglas!$D$2:$D$240,
reglas!$E$2:$E$240,
LAMBDA(rEmisor,rPatron,rConcepto,rTipo,
IF(
AND(
OR(
UPPER(TRIM(rEmisor))=UPPER(TRIM(C1374)),
UPPER(TRIM(rEmisor))=""CUALQUIERA""
),
OR(
UPPER(TRIM(r"&amp;"Tipo))=""SOLO EMISOR"",
AND(
UPPER(TRIM(rTipo))=""EXACTA"",
UPPER(TRIM(D1374))=UPPER(TRIM(rPatron))
),
AND(
OR(
UPPER(TRIM(rTipo))=""CONTIENE"",
UPPER(TRIM(rTipo))=""COINCIDENCIA""
),
ISNUMBER(SEARCH(UPPER(TRIM(rPatron)),UPPER(TRIM(D1374))))
)
)
),
rConce"&amp;"pto,
""""
)
)
)&lt;&gt;""""
),
1
),
""""
)"),"MANIOBRAS")</f>
        <v>MANIOBRAS</v>
      </c>
      <c r="L1374" s="27"/>
      <c r="M1374" s="27"/>
      <c r="N1374" s="27"/>
      <c r="O1374" s="27"/>
      <c r="P1374" s="27"/>
      <c r="Q1374" s="27"/>
      <c r="R1374" s="27"/>
      <c r="S1374" s="27"/>
      <c r="T1374" s="27"/>
      <c r="U1374" s="27"/>
      <c r="V1374" s="27"/>
      <c r="W1374" s="27"/>
      <c r="X1374" s="27"/>
      <c r="Y1374" s="27"/>
    </row>
    <row r="1375">
      <c r="A1375" s="28">
        <v>1.0</v>
      </c>
      <c r="B1375" s="28" t="s">
        <v>29</v>
      </c>
      <c r="C1375" s="29" t="s">
        <v>271</v>
      </c>
      <c r="D1375" s="29" t="s">
        <v>585</v>
      </c>
      <c r="E1375" s="28">
        <v>617.93</v>
      </c>
      <c r="F1375" s="28">
        <v>0.0</v>
      </c>
      <c r="G1375" s="28" t="s">
        <v>84</v>
      </c>
      <c r="H1375" s="28">
        <f t="array" ref="H1375">INDEX(CC!C:C,MATCH(1,(CC!A:A=G1375)*(CC!B:B=I1375),0))</f>
        <v>1002</v>
      </c>
      <c r="I1375" s="28" t="s">
        <v>25</v>
      </c>
      <c r="J1375" s="31">
        <v>617.93</v>
      </c>
      <c r="K1375" s="28" t="str">
        <f>IFERROR(__xludf.DUMMYFUNCTION("IFERROR(
INDEX(
FILTER(
MAP(
reglas!$B$2:$B$240,
reglas!$C$2:$C$240,
reglas!$D$2:$D$240,
reglas!$E$2:$E$240,
LAMBDA(rEmisor,rPatron,rConcepto,rTipo,
IF(
AND(
OR(
UPPER(TRIM(rEmisor))=UPPER(TRIM(C1375)),
UPPER(TRIM(rEmisor))=""CUALQUIERA""
),
OR(
UPPER(TRI"&amp;"M(rTipo))=""SOLO EMISOR"",
AND(
UPPER(TRIM(rTipo))=""EXACTA"",
UPPER(TRIM(AG1375))=UPPER(TRIM(rPatron))
),
AND(
OR(
UPPER(TRIM(rTipo))=""CONTIENE"",
UPPER(TRIM(rTipo))=""COINCIDENCIA""
),
ISNUMBER(SEARCH(UPPER(TRIM(rPatron)),UPPER(TRIM(D1375))))
)
)
),
rC"&amp;"oncepto,
""""
)
)
),
MAP(
reglas!$B$2:$B$240,
reglas!$C$2:$C$240,
reglas!$D$2:$D$240,
reglas!$E$2:$E$240,
LAMBDA(rEmisor,rPatron,rConcepto,rTipo,
IF(
AND(
OR(
UPPER(TRIM(rEmisor))=UPPER(TRIM(C1375)),
UPPER(TRIM(rEmisor))=""CUALQUIERA""
),
OR(
UPPER(TRIM(r"&amp;"Tipo))=""SOLO EMISOR"",
AND(
UPPER(TRIM(rTipo))=""EXACTA"",
UPPER(TRIM(D1375))=UPPER(TRIM(rPatron))
),
AND(
OR(
UPPER(TRIM(rTipo))=""CONTIENE"",
UPPER(TRIM(rTipo))=""COINCIDENCIA""
),
ISNUMBER(SEARCH(UPPER(TRIM(rPatron)),UPPER(TRIM(D1375))))
)
)
),
rConce"&amp;"pto,
""""
)
)
)&lt;&gt;""""
),
1
),
""""
)"),"MANIOBRAS")</f>
        <v>MANIOBRAS</v>
      </c>
      <c r="L1375" s="27"/>
      <c r="M1375" s="27"/>
      <c r="N1375" s="27"/>
      <c r="O1375" s="27"/>
      <c r="P1375" s="27"/>
      <c r="Q1375" s="27"/>
      <c r="R1375" s="27"/>
      <c r="S1375" s="27"/>
      <c r="T1375" s="27"/>
      <c r="U1375" s="27"/>
      <c r="V1375" s="27"/>
      <c r="W1375" s="27"/>
      <c r="X1375" s="27"/>
      <c r="Y1375" s="27"/>
    </row>
    <row r="1376">
      <c r="A1376" s="32"/>
      <c r="B1376" s="32"/>
      <c r="C1376" s="29" t="s">
        <v>271</v>
      </c>
      <c r="D1376" s="29" t="s">
        <v>587</v>
      </c>
      <c r="E1376" s="28">
        <v>565.37</v>
      </c>
      <c r="F1376" s="28">
        <v>0.0</v>
      </c>
      <c r="G1376" s="28" t="s">
        <v>84</v>
      </c>
      <c r="H1376" s="28">
        <f t="array" ref="H1376">INDEX(CC!C:C,MATCH(1,(CC!A:A=G1376)*(CC!B:B=I1376),0))</f>
        <v>1002</v>
      </c>
      <c r="I1376" s="28" t="s">
        <v>25</v>
      </c>
      <c r="J1376" s="31">
        <v>565.37</v>
      </c>
      <c r="K1376" s="28" t="str">
        <f>IFERROR(__xludf.DUMMYFUNCTION("IFERROR(
INDEX(
FILTER(
MAP(
reglas!$B$2:$B$240,
reglas!$C$2:$C$240,
reglas!$D$2:$D$240,
reglas!$E$2:$E$240,
LAMBDA(rEmisor,rPatron,rConcepto,rTipo,
IF(
AND(
OR(
UPPER(TRIM(rEmisor))=UPPER(TRIM(C1376)),
UPPER(TRIM(rEmisor))=""CUALQUIERA""
),
OR(
UPPER(TRI"&amp;"M(rTipo))=""SOLO EMISOR"",
AND(
UPPER(TRIM(rTipo))=""EXACTA"",
UPPER(TRIM(AG1376))=UPPER(TRIM(rPatron))
),
AND(
OR(
UPPER(TRIM(rTipo))=""CONTIENE"",
UPPER(TRIM(rTipo))=""COINCIDENCIA""
),
ISNUMBER(SEARCH(UPPER(TRIM(rPatron)),UPPER(TRIM(D1376))))
)
)
),
rC"&amp;"oncepto,
""""
)
)
),
MAP(
reglas!$B$2:$B$240,
reglas!$C$2:$C$240,
reglas!$D$2:$D$240,
reglas!$E$2:$E$240,
LAMBDA(rEmisor,rPatron,rConcepto,rTipo,
IF(
AND(
OR(
UPPER(TRIM(rEmisor))=UPPER(TRIM(C1376)),
UPPER(TRIM(rEmisor))=""CUALQUIERA""
),
OR(
UPPER(TRIM(r"&amp;"Tipo))=""SOLO EMISOR"",
AND(
UPPER(TRIM(rTipo))=""EXACTA"",
UPPER(TRIM(D1376))=UPPER(TRIM(rPatron))
),
AND(
OR(
UPPER(TRIM(rTipo))=""CONTIENE"",
UPPER(TRIM(rTipo))=""COINCIDENCIA""
),
ISNUMBER(SEARCH(UPPER(TRIM(rPatron)),UPPER(TRIM(D1376))))
)
)
),
rConce"&amp;"pto,
""""
)
)
)&lt;&gt;""""
),
1
),
""""
)"),"MANIOBRAS")</f>
        <v>MANIOBRAS</v>
      </c>
      <c r="L1376" s="27"/>
      <c r="M1376" s="27"/>
      <c r="N1376" s="27"/>
      <c r="O1376" s="27"/>
      <c r="P1376" s="27"/>
      <c r="Q1376" s="27"/>
      <c r="R1376" s="27"/>
      <c r="S1376" s="27"/>
      <c r="T1376" s="27"/>
      <c r="U1376" s="27"/>
      <c r="V1376" s="27"/>
      <c r="W1376" s="27"/>
      <c r="X1376" s="27"/>
      <c r="Y1376" s="27"/>
    </row>
    <row r="1377">
      <c r="A1377" s="32"/>
      <c r="B1377" s="32"/>
      <c r="C1377" s="29" t="s">
        <v>271</v>
      </c>
      <c r="D1377" s="29" t="s">
        <v>586</v>
      </c>
      <c r="E1377" s="28">
        <v>675.4</v>
      </c>
      <c r="F1377" s="28">
        <v>0.0</v>
      </c>
      <c r="G1377" s="28" t="s">
        <v>84</v>
      </c>
      <c r="H1377" s="28">
        <f t="array" ref="H1377">INDEX(CC!C:C,MATCH(1,(CC!A:A=G1377)*(CC!B:B=I1377),0))</f>
        <v>1002</v>
      </c>
      <c r="I1377" s="28" t="s">
        <v>25</v>
      </c>
      <c r="J1377" s="31">
        <v>675.4</v>
      </c>
      <c r="K1377" s="28" t="str">
        <f>IFERROR(__xludf.DUMMYFUNCTION("IFERROR(
INDEX(
FILTER(
MAP(
reglas!$B$2:$B$240,
reglas!$C$2:$C$240,
reglas!$D$2:$D$240,
reglas!$E$2:$E$240,
LAMBDA(rEmisor,rPatron,rConcepto,rTipo,
IF(
AND(
OR(
UPPER(TRIM(rEmisor))=UPPER(TRIM(C1377)),
UPPER(TRIM(rEmisor))=""CUALQUIERA""
),
OR(
UPPER(TRI"&amp;"M(rTipo))=""SOLO EMISOR"",
AND(
UPPER(TRIM(rTipo))=""EXACTA"",
UPPER(TRIM(AG1377))=UPPER(TRIM(rPatron))
),
AND(
OR(
UPPER(TRIM(rTipo))=""CONTIENE"",
UPPER(TRIM(rTipo))=""COINCIDENCIA""
),
ISNUMBER(SEARCH(UPPER(TRIM(rPatron)),UPPER(TRIM(D1377))))
)
)
),
rC"&amp;"oncepto,
""""
)
)
),
MAP(
reglas!$B$2:$B$240,
reglas!$C$2:$C$240,
reglas!$D$2:$D$240,
reglas!$E$2:$E$240,
LAMBDA(rEmisor,rPatron,rConcepto,rTipo,
IF(
AND(
OR(
UPPER(TRIM(rEmisor))=UPPER(TRIM(C1377)),
UPPER(TRIM(rEmisor))=""CUALQUIERA""
),
OR(
UPPER(TRIM(r"&amp;"Tipo))=""SOLO EMISOR"",
AND(
UPPER(TRIM(rTipo))=""EXACTA"",
UPPER(TRIM(D1377))=UPPER(TRIM(rPatron))
),
AND(
OR(
UPPER(TRIM(rTipo))=""CONTIENE"",
UPPER(TRIM(rTipo))=""COINCIDENCIA""
),
ISNUMBER(SEARCH(UPPER(TRIM(rPatron)),UPPER(TRIM(D1377))))
)
)
),
rConce"&amp;"pto,
""""
)
)
)&lt;&gt;""""
),
1
),
""""
)"),"MANIOBRAS")</f>
        <v>MANIOBRAS</v>
      </c>
      <c r="L1377" s="27"/>
      <c r="M1377" s="27"/>
      <c r="N1377" s="27"/>
      <c r="O1377" s="27"/>
      <c r="P1377" s="27"/>
      <c r="Q1377" s="27"/>
      <c r="R1377" s="27"/>
      <c r="S1377" s="27"/>
      <c r="T1377" s="27"/>
      <c r="U1377" s="27"/>
      <c r="V1377" s="27"/>
      <c r="W1377" s="27"/>
      <c r="X1377" s="27"/>
      <c r="Y1377" s="27"/>
    </row>
    <row r="1378">
      <c r="A1378" s="32"/>
      <c r="B1378" s="32"/>
      <c r="C1378" s="29" t="s">
        <v>271</v>
      </c>
      <c r="D1378" s="29" t="s">
        <v>589</v>
      </c>
      <c r="E1378" s="28">
        <v>758.05</v>
      </c>
      <c r="F1378" s="28">
        <v>0.0</v>
      </c>
      <c r="G1378" s="28" t="s">
        <v>84</v>
      </c>
      <c r="H1378" s="28">
        <f t="array" ref="H1378">INDEX(CC!C:C,MATCH(1,(CC!A:A=G1378)*(CC!B:B=I1378),0))</f>
        <v>1002</v>
      </c>
      <c r="I1378" s="28" t="s">
        <v>25</v>
      </c>
      <c r="J1378" s="31">
        <v>758.05</v>
      </c>
      <c r="K1378" s="28" t="str">
        <f>IFERROR(__xludf.DUMMYFUNCTION("IFERROR(
INDEX(
FILTER(
MAP(
reglas!$B$2:$B$240,
reglas!$C$2:$C$240,
reglas!$D$2:$D$240,
reglas!$E$2:$E$240,
LAMBDA(rEmisor,rPatron,rConcepto,rTipo,
IF(
AND(
OR(
UPPER(TRIM(rEmisor))=UPPER(TRIM(C1378)),
UPPER(TRIM(rEmisor))=""CUALQUIERA""
),
OR(
UPPER(TRI"&amp;"M(rTipo))=""SOLO EMISOR"",
AND(
UPPER(TRIM(rTipo))=""EXACTA"",
UPPER(TRIM(AG1378))=UPPER(TRIM(rPatron))
),
AND(
OR(
UPPER(TRIM(rTipo))=""CONTIENE"",
UPPER(TRIM(rTipo))=""COINCIDENCIA""
),
ISNUMBER(SEARCH(UPPER(TRIM(rPatron)),UPPER(TRIM(D1378))))
)
)
),
rC"&amp;"oncepto,
""""
)
)
),
MAP(
reglas!$B$2:$B$240,
reglas!$C$2:$C$240,
reglas!$D$2:$D$240,
reglas!$E$2:$E$240,
LAMBDA(rEmisor,rPatron,rConcepto,rTipo,
IF(
AND(
OR(
UPPER(TRIM(rEmisor))=UPPER(TRIM(C1378)),
UPPER(TRIM(rEmisor))=""CUALQUIERA""
),
OR(
UPPER(TRIM(r"&amp;"Tipo))=""SOLO EMISOR"",
AND(
UPPER(TRIM(rTipo))=""EXACTA"",
UPPER(TRIM(D1378))=UPPER(TRIM(rPatron))
),
AND(
OR(
UPPER(TRIM(rTipo))=""CONTIENE"",
UPPER(TRIM(rTipo))=""COINCIDENCIA""
),
ISNUMBER(SEARCH(UPPER(TRIM(rPatron)),UPPER(TRIM(D1378))))
)
)
),
rConce"&amp;"pto,
""""
)
)
)&lt;&gt;""""
),
1
),
""""
)"),"MANIOBRAS")</f>
        <v>MANIOBRAS</v>
      </c>
      <c r="L1378" s="27"/>
      <c r="M1378" s="27"/>
      <c r="N1378" s="27"/>
      <c r="O1378" s="27"/>
      <c r="P1378" s="27"/>
      <c r="Q1378" s="27"/>
      <c r="R1378" s="27"/>
      <c r="S1378" s="27"/>
      <c r="T1378" s="27"/>
      <c r="U1378" s="27"/>
      <c r="V1378" s="27"/>
      <c r="W1378" s="27"/>
      <c r="X1378" s="27"/>
      <c r="Y1378" s="27"/>
    </row>
    <row r="1379">
      <c r="A1379" s="32"/>
      <c r="B1379" s="32"/>
      <c r="C1379" s="29" t="s">
        <v>271</v>
      </c>
      <c r="D1379" s="29" t="s">
        <v>593</v>
      </c>
      <c r="E1379" s="28">
        <v>868.75</v>
      </c>
      <c r="F1379" s="28">
        <v>0.0</v>
      </c>
      <c r="G1379" s="28" t="s">
        <v>84</v>
      </c>
      <c r="H1379" s="28">
        <f t="array" ref="H1379">INDEX(CC!C:C,MATCH(1,(CC!A:A=G1379)*(CC!B:B=I1379),0))</f>
        <v>1002</v>
      </c>
      <c r="I1379" s="28" t="s">
        <v>25</v>
      </c>
      <c r="J1379" s="31">
        <v>868.75</v>
      </c>
      <c r="K1379" s="28" t="str">
        <f>IFERROR(__xludf.DUMMYFUNCTION("IFERROR(
INDEX(
FILTER(
MAP(
reglas!$B$2:$B$240,
reglas!$C$2:$C$240,
reglas!$D$2:$D$240,
reglas!$E$2:$E$240,
LAMBDA(rEmisor,rPatron,rConcepto,rTipo,
IF(
AND(
OR(
UPPER(TRIM(rEmisor))=UPPER(TRIM(C1379)),
UPPER(TRIM(rEmisor))=""CUALQUIERA""
),
OR(
UPPER(TRI"&amp;"M(rTipo))=""SOLO EMISOR"",
AND(
UPPER(TRIM(rTipo))=""EXACTA"",
UPPER(TRIM(AG1379))=UPPER(TRIM(rPatron))
),
AND(
OR(
UPPER(TRIM(rTipo))=""CONTIENE"",
UPPER(TRIM(rTipo))=""COINCIDENCIA""
),
ISNUMBER(SEARCH(UPPER(TRIM(rPatron)),UPPER(TRIM(D1379))))
)
)
),
rC"&amp;"oncepto,
""""
)
)
),
MAP(
reglas!$B$2:$B$240,
reglas!$C$2:$C$240,
reglas!$D$2:$D$240,
reglas!$E$2:$E$240,
LAMBDA(rEmisor,rPatron,rConcepto,rTipo,
IF(
AND(
OR(
UPPER(TRIM(rEmisor))=UPPER(TRIM(C1379)),
UPPER(TRIM(rEmisor))=""CUALQUIERA""
),
OR(
UPPER(TRIM(r"&amp;"Tipo))=""SOLO EMISOR"",
AND(
UPPER(TRIM(rTipo))=""EXACTA"",
UPPER(TRIM(D1379))=UPPER(TRIM(rPatron))
),
AND(
OR(
UPPER(TRIM(rTipo))=""CONTIENE"",
UPPER(TRIM(rTipo))=""COINCIDENCIA""
),
ISNUMBER(SEARCH(UPPER(TRIM(rPatron)),UPPER(TRIM(D1379))))
)
)
),
rConce"&amp;"pto,
""""
)
)
)&lt;&gt;""""
),
1
),
""""
)"),"MANIOBRAS")</f>
        <v>MANIOBRAS</v>
      </c>
      <c r="L1379" s="27"/>
      <c r="M1379" s="27"/>
      <c r="N1379" s="27"/>
      <c r="O1379" s="27"/>
      <c r="P1379" s="27"/>
      <c r="Q1379" s="27"/>
      <c r="R1379" s="27"/>
      <c r="S1379" s="27"/>
      <c r="T1379" s="27"/>
      <c r="U1379" s="27"/>
      <c r="V1379" s="27"/>
      <c r="W1379" s="27"/>
      <c r="X1379" s="27"/>
      <c r="Y1379" s="27"/>
    </row>
    <row r="1380">
      <c r="A1380" s="32"/>
      <c r="B1380" s="32"/>
      <c r="C1380" s="29" t="s">
        <v>271</v>
      </c>
      <c r="D1380" s="29" t="s">
        <v>596</v>
      </c>
      <c r="E1380" s="28">
        <v>648.69</v>
      </c>
      <c r="F1380" s="28">
        <v>0.0</v>
      </c>
      <c r="G1380" s="28" t="s">
        <v>84</v>
      </c>
      <c r="H1380" s="28">
        <f t="array" ref="H1380">INDEX(CC!C:C,MATCH(1,(CC!A:A=G1380)*(CC!B:B=I1380),0))</f>
        <v>1002</v>
      </c>
      <c r="I1380" s="28" t="s">
        <v>25</v>
      </c>
      <c r="J1380" s="31">
        <v>648.69</v>
      </c>
      <c r="K1380" s="28" t="str">
        <f>IFERROR(__xludf.DUMMYFUNCTION("IFERROR(
INDEX(
FILTER(
MAP(
reglas!$B$2:$B$240,
reglas!$C$2:$C$240,
reglas!$D$2:$D$240,
reglas!$E$2:$E$240,
LAMBDA(rEmisor,rPatron,rConcepto,rTipo,
IF(
AND(
OR(
UPPER(TRIM(rEmisor))=UPPER(TRIM(C1380)),
UPPER(TRIM(rEmisor))=""CUALQUIERA""
),
OR(
UPPER(TRI"&amp;"M(rTipo))=""SOLO EMISOR"",
AND(
UPPER(TRIM(rTipo))=""EXACTA"",
UPPER(TRIM(AG1380))=UPPER(TRIM(rPatron))
),
AND(
OR(
UPPER(TRIM(rTipo))=""CONTIENE"",
UPPER(TRIM(rTipo))=""COINCIDENCIA""
),
ISNUMBER(SEARCH(UPPER(TRIM(rPatron)),UPPER(TRIM(D1380))))
)
)
),
rC"&amp;"oncepto,
""""
)
)
),
MAP(
reglas!$B$2:$B$240,
reglas!$C$2:$C$240,
reglas!$D$2:$D$240,
reglas!$E$2:$E$240,
LAMBDA(rEmisor,rPatron,rConcepto,rTipo,
IF(
AND(
OR(
UPPER(TRIM(rEmisor))=UPPER(TRIM(C1380)),
UPPER(TRIM(rEmisor))=""CUALQUIERA""
),
OR(
UPPER(TRIM(r"&amp;"Tipo))=""SOLO EMISOR"",
AND(
UPPER(TRIM(rTipo))=""EXACTA"",
UPPER(TRIM(D1380))=UPPER(TRIM(rPatron))
),
AND(
OR(
UPPER(TRIM(rTipo))=""CONTIENE"",
UPPER(TRIM(rTipo))=""COINCIDENCIA""
),
ISNUMBER(SEARCH(UPPER(TRIM(rPatron)),UPPER(TRIM(D1380))))
)
)
),
rConce"&amp;"pto,
""""
)
)
)&lt;&gt;""""
),
1
),
""""
)"),"MANIOBRAS")</f>
        <v>MANIOBRAS</v>
      </c>
      <c r="L1380" s="27"/>
      <c r="M1380" s="27"/>
      <c r="N1380" s="27"/>
      <c r="O1380" s="27"/>
      <c r="P1380" s="27"/>
      <c r="Q1380" s="27"/>
      <c r="R1380" s="27"/>
      <c r="S1380" s="27"/>
      <c r="T1380" s="27"/>
      <c r="U1380" s="27"/>
      <c r="V1380" s="27"/>
      <c r="W1380" s="27"/>
      <c r="X1380" s="27"/>
      <c r="Y1380" s="27"/>
    </row>
    <row r="1381">
      <c r="A1381" s="28">
        <v>1.0</v>
      </c>
      <c r="B1381" s="28" t="s">
        <v>29</v>
      </c>
      <c r="C1381" s="29" t="s">
        <v>271</v>
      </c>
      <c r="D1381" s="29" t="s">
        <v>585</v>
      </c>
      <c r="E1381" s="28">
        <v>617.93</v>
      </c>
      <c r="F1381" s="28">
        <v>0.0</v>
      </c>
      <c r="G1381" s="28" t="s">
        <v>84</v>
      </c>
      <c r="H1381" s="28">
        <f t="array" ref="H1381">INDEX(CC!C:C,MATCH(1,(CC!A:A=G1381)*(CC!B:B=I1381),0))</f>
        <v>1002</v>
      </c>
      <c r="I1381" s="28" t="s">
        <v>25</v>
      </c>
      <c r="J1381" s="31">
        <v>617.93</v>
      </c>
      <c r="K1381" s="28" t="str">
        <f>IFERROR(__xludf.DUMMYFUNCTION("IFERROR(
INDEX(
FILTER(
MAP(
reglas!$B$2:$B$240,
reglas!$C$2:$C$240,
reglas!$D$2:$D$240,
reglas!$E$2:$E$240,
LAMBDA(rEmisor,rPatron,rConcepto,rTipo,
IF(
AND(
OR(
UPPER(TRIM(rEmisor))=UPPER(TRIM(C1381)),
UPPER(TRIM(rEmisor))=""CUALQUIERA""
),
OR(
UPPER(TRI"&amp;"M(rTipo))=""SOLO EMISOR"",
AND(
UPPER(TRIM(rTipo))=""EXACTA"",
UPPER(TRIM(AG1381))=UPPER(TRIM(rPatron))
),
AND(
OR(
UPPER(TRIM(rTipo))=""CONTIENE"",
UPPER(TRIM(rTipo))=""COINCIDENCIA""
),
ISNUMBER(SEARCH(UPPER(TRIM(rPatron)),UPPER(TRIM(D1381))))
)
)
),
rC"&amp;"oncepto,
""""
)
)
),
MAP(
reglas!$B$2:$B$240,
reglas!$C$2:$C$240,
reglas!$D$2:$D$240,
reglas!$E$2:$E$240,
LAMBDA(rEmisor,rPatron,rConcepto,rTipo,
IF(
AND(
OR(
UPPER(TRIM(rEmisor))=UPPER(TRIM(C1381)),
UPPER(TRIM(rEmisor))=""CUALQUIERA""
),
OR(
UPPER(TRIM(r"&amp;"Tipo))=""SOLO EMISOR"",
AND(
UPPER(TRIM(rTipo))=""EXACTA"",
UPPER(TRIM(D1381))=UPPER(TRIM(rPatron))
),
AND(
OR(
UPPER(TRIM(rTipo))=""CONTIENE"",
UPPER(TRIM(rTipo))=""COINCIDENCIA""
),
ISNUMBER(SEARCH(UPPER(TRIM(rPatron)),UPPER(TRIM(D1381))))
)
)
),
rConce"&amp;"pto,
""""
)
)
)&lt;&gt;""""
),
1
),
""""
)"),"MANIOBRAS")</f>
        <v>MANIOBRAS</v>
      </c>
      <c r="L1381" s="27"/>
      <c r="M1381" s="27"/>
      <c r="N1381" s="27"/>
      <c r="O1381" s="27"/>
      <c r="P1381" s="27"/>
      <c r="Q1381" s="27"/>
      <c r="R1381" s="27"/>
      <c r="S1381" s="27"/>
      <c r="T1381" s="27"/>
      <c r="U1381" s="27"/>
      <c r="V1381" s="27"/>
      <c r="W1381" s="27"/>
      <c r="X1381" s="27"/>
      <c r="Y1381" s="27"/>
    </row>
    <row r="1382">
      <c r="A1382" s="32"/>
      <c r="B1382" s="32"/>
      <c r="C1382" s="29" t="s">
        <v>271</v>
      </c>
      <c r="D1382" s="29" t="s">
        <v>587</v>
      </c>
      <c r="E1382" s="28">
        <v>565.37</v>
      </c>
      <c r="F1382" s="28">
        <v>0.0</v>
      </c>
      <c r="G1382" s="28" t="s">
        <v>84</v>
      </c>
      <c r="H1382" s="28">
        <f t="array" ref="H1382">INDEX(CC!C:C,MATCH(1,(CC!A:A=G1382)*(CC!B:B=I1382),0))</f>
        <v>1002</v>
      </c>
      <c r="I1382" s="28" t="s">
        <v>25</v>
      </c>
      <c r="J1382" s="31">
        <v>565.37</v>
      </c>
      <c r="K1382" s="28" t="str">
        <f>IFERROR(__xludf.DUMMYFUNCTION("IFERROR(
INDEX(
FILTER(
MAP(
reglas!$B$2:$B$240,
reglas!$C$2:$C$240,
reglas!$D$2:$D$240,
reglas!$E$2:$E$240,
LAMBDA(rEmisor,rPatron,rConcepto,rTipo,
IF(
AND(
OR(
UPPER(TRIM(rEmisor))=UPPER(TRIM(C1382)),
UPPER(TRIM(rEmisor))=""CUALQUIERA""
),
OR(
UPPER(TRI"&amp;"M(rTipo))=""SOLO EMISOR"",
AND(
UPPER(TRIM(rTipo))=""EXACTA"",
UPPER(TRIM(AG1382))=UPPER(TRIM(rPatron))
),
AND(
OR(
UPPER(TRIM(rTipo))=""CONTIENE"",
UPPER(TRIM(rTipo))=""COINCIDENCIA""
),
ISNUMBER(SEARCH(UPPER(TRIM(rPatron)),UPPER(TRIM(D1382))))
)
)
),
rC"&amp;"oncepto,
""""
)
)
),
MAP(
reglas!$B$2:$B$240,
reglas!$C$2:$C$240,
reglas!$D$2:$D$240,
reglas!$E$2:$E$240,
LAMBDA(rEmisor,rPatron,rConcepto,rTipo,
IF(
AND(
OR(
UPPER(TRIM(rEmisor))=UPPER(TRIM(C1382)),
UPPER(TRIM(rEmisor))=""CUALQUIERA""
),
OR(
UPPER(TRIM(r"&amp;"Tipo))=""SOLO EMISOR"",
AND(
UPPER(TRIM(rTipo))=""EXACTA"",
UPPER(TRIM(D1382))=UPPER(TRIM(rPatron))
),
AND(
OR(
UPPER(TRIM(rTipo))=""CONTIENE"",
UPPER(TRIM(rTipo))=""COINCIDENCIA""
),
ISNUMBER(SEARCH(UPPER(TRIM(rPatron)),UPPER(TRIM(D1382))))
)
)
),
rConce"&amp;"pto,
""""
)
)
)&lt;&gt;""""
),
1
),
""""
)"),"MANIOBRAS")</f>
        <v>MANIOBRAS</v>
      </c>
      <c r="L1382" s="27"/>
      <c r="M1382" s="27"/>
      <c r="N1382" s="27"/>
      <c r="O1382" s="27"/>
      <c r="P1382" s="27"/>
      <c r="Q1382" s="27"/>
      <c r="R1382" s="27"/>
      <c r="S1382" s="27"/>
      <c r="T1382" s="27"/>
      <c r="U1382" s="27"/>
      <c r="V1382" s="27"/>
      <c r="W1382" s="27"/>
      <c r="X1382" s="27"/>
      <c r="Y1382" s="27"/>
    </row>
    <row r="1383">
      <c r="A1383" s="32"/>
      <c r="B1383" s="32"/>
      <c r="C1383" s="29" t="s">
        <v>271</v>
      </c>
      <c r="D1383" s="29" t="s">
        <v>589</v>
      </c>
      <c r="E1383" s="28">
        <v>618.27</v>
      </c>
      <c r="F1383" s="28">
        <v>0.0</v>
      </c>
      <c r="G1383" s="28" t="s">
        <v>84</v>
      </c>
      <c r="H1383" s="28">
        <f t="array" ref="H1383">INDEX(CC!C:C,MATCH(1,(CC!A:A=G1383)*(CC!B:B=I1383),0))</f>
        <v>1002</v>
      </c>
      <c r="I1383" s="28" t="s">
        <v>25</v>
      </c>
      <c r="J1383" s="31">
        <v>618.27</v>
      </c>
      <c r="K1383" s="28" t="str">
        <f>IFERROR(__xludf.DUMMYFUNCTION("IFERROR(
INDEX(
FILTER(
MAP(
reglas!$B$2:$B$240,
reglas!$C$2:$C$240,
reglas!$D$2:$D$240,
reglas!$E$2:$E$240,
LAMBDA(rEmisor,rPatron,rConcepto,rTipo,
IF(
AND(
OR(
UPPER(TRIM(rEmisor))=UPPER(TRIM(C1383)),
UPPER(TRIM(rEmisor))=""CUALQUIERA""
),
OR(
UPPER(TRI"&amp;"M(rTipo))=""SOLO EMISOR"",
AND(
UPPER(TRIM(rTipo))=""EXACTA"",
UPPER(TRIM(AG1383))=UPPER(TRIM(rPatron))
),
AND(
OR(
UPPER(TRIM(rTipo))=""CONTIENE"",
UPPER(TRIM(rTipo))=""COINCIDENCIA""
),
ISNUMBER(SEARCH(UPPER(TRIM(rPatron)),UPPER(TRIM(D1383))))
)
)
),
rC"&amp;"oncepto,
""""
)
)
),
MAP(
reglas!$B$2:$B$240,
reglas!$C$2:$C$240,
reglas!$D$2:$D$240,
reglas!$E$2:$E$240,
LAMBDA(rEmisor,rPatron,rConcepto,rTipo,
IF(
AND(
OR(
UPPER(TRIM(rEmisor))=UPPER(TRIM(C1383)),
UPPER(TRIM(rEmisor))=""CUALQUIERA""
),
OR(
UPPER(TRIM(r"&amp;"Tipo))=""SOLO EMISOR"",
AND(
UPPER(TRIM(rTipo))=""EXACTA"",
UPPER(TRIM(D1383))=UPPER(TRIM(rPatron))
),
AND(
OR(
UPPER(TRIM(rTipo))=""CONTIENE"",
UPPER(TRIM(rTipo))=""COINCIDENCIA""
),
ISNUMBER(SEARCH(UPPER(TRIM(rPatron)),UPPER(TRIM(D1383))))
)
)
),
rConce"&amp;"pto,
""""
)
)
)&lt;&gt;""""
),
1
),
""""
)"),"MANIOBRAS")</f>
        <v>MANIOBRAS</v>
      </c>
      <c r="L1383" s="27"/>
      <c r="M1383" s="27"/>
      <c r="N1383" s="27"/>
      <c r="O1383" s="27"/>
      <c r="P1383" s="27"/>
      <c r="Q1383" s="27"/>
      <c r="R1383" s="27"/>
      <c r="S1383" s="27"/>
      <c r="T1383" s="27"/>
      <c r="U1383" s="27"/>
      <c r="V1383" s="27"/>
      <c r="W1383" s="27"/>
      <c r="X1383" s="27"/>
      <c r="Y1383" s="27"/>
    </row>
    <row r="1384">
      <c r="A1384" s="32"/>
      <c r="B1384" s="32"/>
      <c r="C1384" s="29" t="s">
        <v>271</v>
      </c>
      <c r="D1384" s="29" t="s">
        <v>596</v>
      </c>
      <c r="E1384" s="28">
        <v>648.69</v>
      </c>
      <c r="F1384" s="28">
        <v>0.0</v>
      </c>
      <c r="G1384" s="28" t="s">
        <v>84</v>
      </c>
      <c r="H1384" s="28">
        <f t="array" ref="H1384">INDEX(CC!C:C,MATCH(1,(CC!A:A=G1384)*(CC!B:B=I1384),0))</f>
        <v>1002</v>
      </c>
      <c r="I1384" s="28" t="s">
        <v>25</v>
      </c>
      <c r="J1384" s="31">
        <v>648.69</v>
      </c>
      <c r="K1384" s="28" t="str">
        <f>IFERROR(__xludf.DUMMYFUNCTION("IFERROR(
INDEX(
FILTER(
MAP(
reglas!$B$2:$B$240,
reglas!$C$2:$C$240,
reglas!$D$2:$D$240,
reglas!$E$2:$E$240,
LAMBDA(rEmisor,rPatron,rConcepto,rTipo,
IF(
AND(
OR(
UPPER(TRIM(rEmisor))=UPPER(TRIM(C1384)),
UPPER(TRIM(rEmisor))=""CUALQUIERA""
),
OR(
UPPER(TRI"&amp;"M(rTipo))=""SOLO EMISOR"",
AND(
UPPER(TRIM(rTipo))=""EXACTA"",
UPPER(TRIM(AG1384))=UPPER(TRIM(rPatron))
),
AND(
OR(
UPPER(TRIM(rTipo))=""CONTIENE"",
UPPER(TRIM(rTipo))=""COINCIDENCIA""
),
ISNUMBER(SEARCH(UPPER(TRIM(rPatron)),UPPER(TRIM(D1384))))
)
)
),
rC"&amp;"oncepto,
""""
)
)
),
MAP(
reglas!$B$2:$B$240,
reglas!$C$2:$C$240,
reglas!$D$2:$D$240,
reglas!$E$2:$E$240,
LAMBDA(rEmisor,rPatron,rConcepto,rTipo,
IF(
AND(
OR(
UPPER(TRIM(rEmisor))=UPPER(TRIM(C1384)),
UPPER(TRIM(rEmisor))=""CUALQUIERA""
),
OR(
UPPER(TRIM(r"&amp;"Tipo))=""SOLO EMISOR"",
AND(
UPPER(TRIM(rTipo))=""EXACTA"",
UPPER(TRIM(D1384))=UPPER(TRIM(rPatron))
),
AND(
OR(
UPPER(TRIM(rTipo))=""CONTIENE"",
UPPER(TRIM(rTipo))=""COINCIDENCIA""
),
ISNUMBER(SEARCH(UPPER(TRIM(rPatron)),UPPER(TRIM(D1384))))
)
)
),
rConce"&amp;"pto,
""""
)
)
)&lt;&gt;""""
),
1
),
""""
)"),"MANIOBRAS")</f>
        <v>MANIOBRAS</v>
      </c>
      <c r="L1384" s="27"/>
      <c r="M1384" s="27"/>
      <c r="N1384" s="27"/>
      <c r="O1384" s="27"/>
      <c r="P1384" s="27"/>
      <c r="Q1384" s="27"/>
      <c r="R1384" s="27"/>
      <c r="S1384" s="27"/>
      <c r="T1384" s="27"/>
      <c r="U1384" s="27"/>
      <c r="V1384" s="27"/>
      <c r="W1384" s="27"/>
      <c r="X1384" s="27"/>
      <c r="Y1384" s="27"/>
    </row>
    <row r="1385">
      <c r="A1385" s="32"/>
      <c r="B1385" s="28" t="s">
        <v>29</v>
      </c>
      <c r="C1385" s="29" t="s">
        <v>278</v>
      </c>
      <c r="D1385" s="29" t="s">
        <v>560</v>
      </c>
      <c r="E1385" s="30">
        <v>3500.0</v>
      </c>
      <c r="F1385" s="28">
        <v>0.0</v>
      </c>
      <c r="G1385" s="28" t="s">
        <v>250</v>
      </c>
      <c r="H1385" s="28">
        <f t="array" ref="H1385">INDEX(CC!C:C,MATCH(1,(CC!A:A=G1385)*(CC!B:B=I1385),0))</f>
        <v>1402</v>
      </c>
      <c r="I1385" s="28" t="s">
        <v>25</v>
      </c>
      <c r="J1385" s="31">
        <v>3500.0</v>
      </c>
      <c r="K1385" s="28" t="str">
        <f>IFERROR(__xludf.DUMMYFUNCTION("IFERROR(
INDEX(
FILTER(
MAP(
reglas!$B$2:$B$240,
reglas!$C$2:$C$240,
reglas!$D$2:$D$240,
reglas!$E$2:$E$240,
LAMBDA(rEmisor,rPatron,rConcepto,rTipo,
IF(
AND(
OR(
UPPER(TRIM(rEmisor))=UPPER(TRIM(C1385)),
UPPER(TRIM(rEmisor))=""CUALQUIERA""
),
OR(
UPPER(TRI"&amp;"M(rTipo))=""SOLO EMISOR"",
AND(
UPPER(TRIM(rTipo))=""EXACTA"",
UPPER(TRIM(AG1385))=UPPER(TRIM(rPatron))
),
AND(
OR(
UPPER(TRIM(rTipo))=""CONTIENE"",
UPPER(TRIM(rTipo))=""COINCIDENCIA""
),
ISNUMBER(SEARCH(UPPER(TRIM(rPatron)),UPPER(TRIM(D1385))))
)
)
),
rC"&amp;"oncepto,
""""
)
)
),
MAP(
reglas!$B$2:$B$240,
reglas!$C$2:$C$240,
reglas!$D$2:$D$240,
reglas!$E$2:$E$240,
LAMBDA(rEmisor,rPatron,rConcepto,rTipo,
IF(
AND(
OR(
UPPER(TRIM(rEmisor))=UPPER(TRIM(C1385)),
UPPER(TRIM(rEmisor))=""CUALQUIERA""
),
OR(
UPPER(TRIM(r"&amp;"Tipo))=""SOLO EMISOR"",
AND(
UPPER(TRIM(rTipo))=""EXACTA"",
UPPER(TRIM(D1385))=UPPER(TRIM(rPatron))
),
AND(
OR(
UPPER(TRIM(rTipo))=""CONTIENE"",
UPPER(TRIM(rTipo))=""COINCIDENCIA""
),
ISNUMBER(SEARCH(UPPER(TRIM(rPatron)),UPPER(TRIM(D1385))))
)
)
),
rConce"&amp;"pto,
""""
)
)
)&lt;&gt;""""
),
1
),
""""
)"),"MANIOBRAS")</f>
        <v>MANIOBRAS</v>
      </c>
      <c r="L1385" s="27"/>
      <c r="M1385" s="27"/>
      <c r="N1385" s="27"/>
      <c r="O1385" s="27"/>
      <c r="P1385" s="27"/>
      <c r="Q1385" s="27"/>
      <c r="R1385" s="27"/>
      <c r="S1385" s="27"/>
      <c r="T1385" s="27"/>
      <c r="U1385" s="27"/>
      <c r="V1385" s="27"/>
      <c r="W1385" s="27"/>
      <c r="X1385" s="27"/>
      <c r="Y1385" s="27"/>
    </row>
    <row r="1386">
      <c r="A1386" s="28">
        <v>1.0</v>
      </c>
      <c r="B1386" s="28" t="s">
        <v>29</v>
      </c>
      <c r="C1386" s="29" t="s">
        <v>271</v>
      </c>
      <c r="D1386" s="29" t="s">
        <v>589</v>
      </c>
      <c r="E1386" s="28">
        <v>760.58</v>
      </c>
      <c r="F1386" s="28">
        <v>0.0</v>
      </c>
      <c r="G1386" s="28" t="s">
        <v>84</v>
      </c>
      <c r="H1386" s="28">
        <f t="array" ref="H1386">INDEX(CC!C:C,MATCH(1,(CC!A:A=G1386)*(CC!B:B=I1386),0))</f>
        <v>1002</v>
      </c>
      <c r="I1386" s="28" t="s">
        <v>25</v>
      </c>
      <c r="J1386" s="31">
        <v>760.58</v>
      </c>
      <c r="K1386" s="28" t="str">
        <f>IFERROR(__xludf.DUMMYFUNCTION("IFERROR(
INDEX(
FILTER(
MAP(
reglas!$B$2:$B$240,
reglas!$C$2:$C$240,
reglas!$D$2:$D$240,
reglas!$E$2:$E$240,
LAMBDA(rEmisor,rPatron,rConcepto,rTipo,
IF(
AND(
OR(
UPPER(TRIM(rEmisor))=UPPER(TRIM(C1386)),
UPPER(TRIM(rEmisor))=""CUALQUIERA""
),
OR(
UPPER(TRI"&amp;"M(rTipo))=""SOLO EMISOR"",
AND(
UPPER(TRIM(rTipo))=""EXACTA"",
UPPER(TRIM(AG1386))=UPPER(TRIM(rPatron))
),
AND(
OR(
UPPER(TRIM(rTipo))=""CONTIENE"",
UPPER(TRIM(rTipo))=""COINCIDENCIA""
),
ISNUMBER(SEARCH(UPPER(TRIM(rPatron)),UPPER(TRIM(D1386))))
)
)
),
rC"&amp;"oncepto,
""""
)
)
),
MAP(
reglas!$B$2:$B$240,
reglas!$C$2:$C$240,
reglas!$D$2:$D$240,
reglas!$E$2:$E$240,
LAMBDA(rEmisor,rPatron,rConcepto,rTipo,
IF(
AND(
OR(
UPPER(TRIM(rEmisor))=UPPER(TRIM(C1386)),
UPPER(TRIM(rEmisor))=""CUALQUIERA""
),
OR(
UPPER(TRIM(r"&amp;"Tipo))=""SOLO EMISOR"",
AND(
UPPER(TRIM(rTipo))=""EXACTA"",
UPPER(TRIM(D1386))=UPPER(TRIM(rPatron))
),
AND(
OR(
UPPER(TRIM(rTipo))=""CONTIENE"",
UPPER(TRIM(rTipo))=""COINCIDENCIA""
),
ISNUMBER(SEARCH(UPPER(TRIM(rPatron)),UPPER(TRIM(D1386))))
)
)
),
rConce"&amp;"pto,
""""
)
)
)&lt;&gt;""""
),
1
),
""""
)"),"MANIOBRAS")</f>
        <v>MANIOBRAS</v>
      </c>
      <c r="L1386" s="27"/>
      <c r="M1386" s="27"/>
      <c r="N1386" s="27"/>
      <c r="O1386" s="27"/>
      <c r="P1386" s="27"/>
      <c r="Q1386" s="27"/>
      <c r="R1386" s="27"/>
      <c r="S1386" s="27"/>
      <c r="T1386" s="27"/>
      <c r="U1386" s="27"/>
      <c r="V1386" s="27"/>
      <c r="W1386" s="27"/>
      <c r="X1386" s="27"/>
      <c r="Y1386" s="27"/>
    </row>
    <row r="1387">
      <c r="A1387" s="28">
        <v>1.0</v>
      </c>
      <c r="B1387" s="28" t="s">
        <v>29</v>
      </c>
      <c r="C1387" s="29" t="s">
        <v>271</v>
      </c>
      <c r="D1387" s="29" t="s">
        <v>585</v>
      </c>
      <c r="E1387" s="28">
        <v>617.93</v>
      </c>
      <c r="F1387" s="28">
        <v>0.0</v>
      </c>
      <c r="G1387" s="28" t="s">
        <v>84</v>
      </c>
      <c r="H1387" s="28">
        <f t="array" ref="H1387">INDEX(CC!C:C,MATCH(1,(CC!A:A=G1387)*(CC!B:B=I1387),0))</f>
        <v>1002</v>
      </c>
      <c r="I1387" s="28" t="s">
        <v>25</v>
      </c>
      <c r="J1387" s="31">
        <v>617.93</v>
      </c>
      <c r="K1387" s="28" t="str">
        <f>IFERROR(__xludf.DUMMYFUNCTION("IFERROR(
INDEX(
FILTER(
MAP(
reglas!$B$2:$B$240,
reglas!$C$2:$C$240,
reglas!$D$2:$D$240,
reglas!$E$2:$E$240,
LAMBDA(rEmisor,rPatron,rConcepto,rTipo,
IF(
AND(
OR(
UPPER(TRIM(rEmisor))=UPPER(TRIM(C1387)),
UPPER(TRIM(rEmisor))=""CUALQUIERA""
),
OR(
UPPER(TRI"&amp;"M(rTipo))=""SOLO EMISOR"",
AND(
UPPER(TRIM(rTipo))=""EXACTA"",
UPPER(TRIM(AG1387))=UPPER(TRIM(rPatron))
),
AND(
OR(
UPPER(TRIM(rTipo))=""CONTIENE"",
UPPER(TRIM(rTipo))=""COINCIDENCIA""
),
ISNUMBER(SEARCH(UPPER(TRIM(rPatron)),UPPER(TRIM(D1387))))
)
)
),
rC"&amp;"oncepto,
""""
)
)
),
MAP(
reglas!$B$2:$B$240,
reglas!$C$2:$C$240,
reglas!$D$2:$D$240,
reglas!$E$2:$E$240,
LAMBDA(rEmisor,rPatron,rConcepto,rTipo,
IF(
AND(
OR(
UPPER(TRIM(rEmisor))=UPPER(TRIM(C1387)),
UPPER(TRIM(rEmisor))=""CUALQUIERA""
),
OR(
UPPER(TRIM(r"&amp;"Tipo))=""SOLO EMISOR"",
AND(
UPPER(TRIM(rTipo))=""EXACTA"",
UPPER(TRIM(D1387))=UPPER(TRIM(rPatron))
),
AND(
OR(
UPPER(TRIM(rTipo))=""CONTIENE"",
UPPER(TRIM(rTipo))=""COINCIDENCIA""
),
ISNUMBER(SEARCH(UPPER(TRIM(rPatron)),UPPER(TRIM(D1387))))
)
)
),
rConce"&amp;"pto,
""""
)
)
)&lt;&gt;""""
),
1
),
""""
)"),"MANIOBRAS")</f>
        <v>MANIOBRAS</v>
      </c>
      <c r="L1387" s="27"/>
      <c r="M1387" s="27"/>
      <c r="N1387" s="27"/>
      <c r="O1387" s="27"/>
      <c r="P1387" s="27"/>
      <c r="Q1387" s="27"/>
      <c r="R1387" s="27"/>
      <c r="S1387" s="27"/>
      <c r="T1387" s="27"/>
      <c r="U1387" s="27"/>
      <c r="V1387" s="27"/>
      <c r="W1387" s="27"/>
      <c r="X1387" s="27"/>
      <c r="Y1387" s="27"/>
    </row>
    <row r="1388">
      <c r="A1388" s="32"/>
      <c r="B1388" s="32"/>
      <c r="C1388" s="29" t="s">
        <v>271</v>
      </c>
      <c r="D1388" s="29" t="s">
        <v>587</v>
      </c>
      <c r="E1388" s="28">
        <v>565.37</v>
      </c>
      <c r="F1388" s="28">
        <v>0.0</v>
      </c>
      <c r="G1388" s="28" t="s">
        <v>84</v>
      </c>
      <c r="H1388" s="28">
        <f t="array" ref="H1388">INDEX(CC!C:C,MATCH(1,(CC!A:A=G1388)*(CC!B:B=I1388),0))</f>
        <v>1002</v>
      </c>
      <c r="I1388" s="28" t="s">
        <v>25</v>
      </c>
      <c r="J1388" s="31">
        <v>565.37</v>
      </c>
      <c r="K1388" s="28" t="str">
        <f>IFERROR(__xludf.DUMMYFUNCTION("IFERROR(
INDEX(
FILTER(
MAP(
reglas!$B$2:$B$240,
reglas!$C$2:$C$240,
reglas!$D$2:$D$240,
reglas!$E$2:$E$240,
LAMBDA(rEmisor,rPatron,rConcepto,rTipo,
IF(
AND(
OR(
UPPER(TRIM(rEmisor))=UPPER(TRIM(C1388)),
UPPER(TRIM(rEmisor))=""CUALQUIERA""
),
OR(
UPPER(TRI"&amp;"M(rTipo))=""SOLO EMISOR"",
AND(
UPPER(TRIM(rTipo))=""EXACTA"",
UPPER(TRIM(AG1388))=UPPER(TRIM(rPatron))
),
AND(
OR(
UPPER(TRIM(rTipo))=""CONTIENE"",
UPPER(TRIM(rTipo))=""COINCIDENCIA""
),
ISNUMBER(SEARCH(UPPER(TRIM(rPatron)),UPPER(TRIM(D1388))))
)
)
),
rC"&amp;"oncepto,
""""
)
)
),
MAP(
reglas!$B$2:$B$240,
reglas!$C$2:$C$240,
reglas!$D$2:$D$240,
reglas!$E$2:$E$240,
LAMBDA(rEmisor,rPatron,rConcepto,rTipo,
IF(
AND(
OR(
UPPER(TRIM(rEmisor))=UPPER(TRIM(C1388)),
UPPER(TRIM(rEmisor))=""CUALQUIERA""
),
OR(
UPPER(TRIM(r"&amp;"Tipo))=""SOLO EMISOR"",
AND(
UPPER(TRIM(rTipo))=""EXACTA"",
UPPER(TRIM(D1388))=UPPER(TRIM(rPatron))
),
AND(
OR(
UPPER(TRIM(rTipo))=""CONTIENE"",
UPPER(TRIM(rTipo))=""COINCIDENCIA""
),
ISNUMBER(SEARCH(UPPER(TRIM(rPatron)),UPPER(TRIM(D1388))))
)
)
),
rConce"&amp;"pto,
""""
)
)
)&lt;&gt;""""
),
1
),
""""
)"),"MANIOBRAS")</f>
        <v>MANIOBRAS</v>
      </c>
      <c r="L1388" s="27"/>
      <c r="M1388" s="27"/>
      <c r="N1388" s="27"/>
      <c r="O1388" s="27"/>
      <c r="P1388" s="27"/>
      <c r="Q1388" s="27"/>
      <c r="R1388" s="27"/>
      <c r="S1388" s="27"/>
      <c r="T1388" s="27"/>
      <c r="U1388" s="27"/>
      <c r="V1388" s="27"/>
      <c r="W1388" s="27"/>
      <c r="X1388" s="27"/>
      <c r="Y1388" s="27"/>
    </row>
    <row r="1389">
      <c r="A1389" s="32"/>
      <c r="B1389" s="32"/>
      <c r="C1389" s="29" t="s">
        <v>271</v>
      </c>
      <c r="D1389" s="29" t="s">
        <v>589</v>
      </c>
      <c r="E1389" s="28">
        <v>618.27</v>
      </c>
      <c r="F1389" s="28">
        <v>0.0</v>
      </c>
      <c r="G1389" s="28" t="s">
        <v>84</v>
      </c>
      <c r="H1389" s="28">
        <f t="array" ref="H1389">INDEX(CC!C:C,MATCH(1,(CC!A:A=G1389)*(CC!B:B=I1389),0))</f>
        <v>1002</v>
      </c>
      <c r="I1389" s="28" t="s">
        <v>25</v>
      </c>
      <c r="J1389" s="31">
        <v>618.27</v>
      </c>
      <c r="K1389" s="28" t="str">
        <f>IFERROR(__xludf.DUMMYFUNCTION("IFERROR(
INDEX(
FILTER(
MAP(
reglas!$B$2:$B$240,
reglas!$C$2:$C$240,
reglas!$D$2:$D$240,
reglas!$E$2:$E$240,
LAMBDA(rEmisor,rPatron,rConcepto,rTipo,
IF(
AND(
OR(
UPPER(TRIM(rEmisor))=UPPER(TRIM(C1389)),
UPPER(TRIM(rEmisor))=""CUALQUIERA""
),
OR(
UPPER(TRI"&amp;"M(rTipo))=""SOLO EMISOR"",
AND(
UPPER(TRIM(rTipo))=""EXACTA"",
UPPER(TRIM(AG1389))=UPPER(TRIM(rPatron))
),
AND(
OR(
UPPER(TRIM(rTipo))=""CONTIENE"",
UPPER(TRIM(rTipo))=""COINCIDENCIA""
),
ISNUMBER(SEARCH(UPPER(TRIM(rPatron)),UPPER(TRIM(D1389))))
)
)
),
rC"&amp;"oncepto,
""""
)
)
),
MAP(
reglas!$B$2:$B$240,
reglas!$C$2:$C$240,
reglas!$D$2:$D$240,
reglas!$E$2:$E$240,
LAMBDA(rEmisor,rPatron,rConcepto,rTipo,
IF(
AND(
OR(
UPPER(TRIM(rEmisor))=UPPER(TRIM(C1389)),
UPPER(TRIM(rEmisor))=""CUALQUIERA""
),
OR(
UPPER(TRIM(r"&amp;"Tipo))=""SOLO EMISOR"",
AND(
UPPER(TRIM(rTipo))=""EXACTA"",
UPPER(TRIM(D1389))=UPPER(TRIM(rPatron))
),
AND(
OR(
UPPER(TRIM(rTipo))=""CONTIENE"",
UPPER(TRIM(rTipo))=""COINCIDENCIA""
),
ISNUMBER(SEARCH(UPPER(TRIM(rPatron)),UPPER(TRIM(D1389))))
)
)
),
rConce"&amp;"pto,
""""
)
)
)&lt;&gt;""""
),
1
),
""""
)"),"MANIOBRAS")</f>
        <v>MANIOBRAS</v>
      </c>
      <c r="L1389" s="27"/>
      <c r="M1389" s="27"/>
      <c r="N1389" s="27"/>
      <c r="O1389" s="27"/>
      <c r="P1389" s="27"/>
      <c r="Q1389" s="27"/>
      <c r="R1389" s="27"/>
      <c r="S1389" s="27"/>
      <c r="T1389" s="27"/>
      <c r="U1389" s="27"/>
      <c r="V1389" s="27"/>
      <c r="W1389" s="27"/>
      <c r="X1389" s="27"/>
      <c r="Y1389" s="27"/>
    </row>
    <row r="1390">
      <c r="A1390" s="32"/>
      <c r="B1390" s="32"/>
      <c r="C1390" s="29" t="s">
        <v>271</v>
      </c>
      <c r="D1390" s="29" t="s">
        <v>596</v>
      </c>
      <c r="E1390" s="28">
        <v>648.69</v>
      </c>
      <c r="F1390" s="28">
        <v>0.0</v>
      </c>
      <c r="G1390" s="28" t="s">
        <v>84</v>
      </c>
      <c r="H1390" s="28">
        <f t="array" ref="H1390">INDEX(CC!C:C,MATCH(1,(CC!A:A=G1390)*(CC!B:B=I1390),0))</f>
        <v>1002</v>
      </c>
      <c r="I1390" s="28" t="s">
        <v>25</v>
      </c>
      <c r="J1390" s="31">
        <v>648.69</v>
      </c>
      <c r="K1390" s="28" t="str">
        <f>IFERROR(__xludf.DUMMYFUNCTION("IFERROR(
INDEX(
FILTER(
MAP(
reglas!$B$2:$B$240,
reglas!$C$2:$C$240,
reglas!$D$2:$D$240,
reglas!$E$2:$E$240,
LAMBDA(rEmisor,rPatron,rConcepto,rTipo,
IF(
AND(
OR(
UPPER(TRIM(rEmisor))=UPPER(TRIM(C1390)),
UPPER(TRIM(rEmisor))=""CUALQUIERA""
),
OR(
UPPER(TRI"&amp;"M(rTipo))=""SOLO EMISOR"",
AND(
UPPER(TRIM(rTipo))=""EXACTA"",
UPPER(TRIM(AG1390))=UPPER(TRIM(rPatron))
),
AND(
OR(
UPPER(TRIM(rTipo))=""CONTIENE"",
UPPER(TRIM(rTipo))=""COINCIDENCIA""
),
ISNUMBER(SEARCH(UPPER(TRIM(rPatron)),UPPER(TRIM(D1390))))
)
)
),
rC"&amp;"oncepto,
""""
)
)
),
MAP(
reglas!$B$2:$B$240,
reglas!$C$2:$C$240,
reglas!$D$2:$D$240,
reglas!$E$2:$E$240,
LAMBDA(rEmisor,rPatron,rConcepto,rTipo,
IF(
AND(
OR(
UPPER(TRIM(rEmisor))=UPPER(TRIM(C1390)),
UPPER(TRIM(rEmisor))=""CUALQUIERA""
),
OR(
UPPER(TRIM(r"&amp;"Tipo))=""SOLO EMISOR"",
AND(
UPPER(TRIM(rTipo))=""EXACTA"",
UPPER(TRIM(D1390))=UPPER(TRIM(rPatron))
),
AND(
OR(
UPPER(TRIM(rTipo))=""CONTIENE"",
UPPER(TRIM(rTipo))=""COINCIDENCIA""
),
ISNUMBER(SEARCH(UPPER(TRIM(rPatron)),UPPER(TRIM(D1390))))
)
)
),
rConce"&amp;"pto,
""""
)
)
)&lt;&gt;""""
),
1
),
""""
)"),"MANIOBRAS")</f>
        <v>MANIOBRAS</v>
      </c>
      <c r="L1390" s="27"/>
      <c r="M1390" s="27"/>
      <c r="N1390" s="27"/>
      <c r="O1390" s="27"/>
      <c r="P1390" s="27"/>
      <c r="Q1390" s="27"/>
      <c r="R1390" s="27"/>
      <c r="S1390" s="27"/>
      <c r="T1390" s="27"/>
      <c r="U1390" s="27"/>
      <c r="V1390" s="27"/>
      <c r="W1390" s="27"/>
      <c r="X1390" s="27"/>
      <c r="Y1390" s="27"/>
    </row>
    <row r="1391">
      <c r="A1391" s="28">
        <v>1.0</v>
      </c>
      <c r="B1391" s="28" t="s">
        <v>29</v>
      </c>
      <c r="C1391" s="29" t="s">
        <v>437</v>
      </c>
      <c r="D1391" s="29" t="s">
        <v>1893</v>
      </c>
      <c r="E1391" s="30">
        <v>3391.66</v>
      </c>
      <c r="F1391" s="28">
        <v>0.0</v>
      </c>
      <c r="G1391" s="99" t="s">
        <v>250</v>
      </c>
      <c r="H1391" s="28">
        <f t="array" ref="H1391">INDEX(CC!C:C,MATCH(1,(CC!A:A=G1391)*(CC!B:B=I1391),0))</f>
        <v>1402</v>
      </c>
      <c r="I1391" s="28" t="s">
        <v>25</v>
      </c>
      <c r="J1391" s="31">
        <v>3391.66</v>
      </c>
      <c r="K1391" s="28" t="str">
        <f>IFERROR(__xludf.DUMMYFUNCTION("IFERROR(
INDEX(
FILTER(
MAP(
reglas!$B$2:$B$240,
reglas!$C$2:$C$240,
reglas!$D$2:$D$240,
reglas!$E$2:$E$240,
LAMBDA(rEmisor,rPatron,rConcepto,rTipo,
IF(
AND(
OR(
UPPER(TRIM(rEmisor))=UPPER(TRIM(C1391)),
UPPER(TRIM(rEmisor))=""CUALQUIERA""
),
OR(
UPPER(TRI"&amp;"M(rTipo))=""SOLO EMISOR"",
AND(
UPPER(TRIM(rTipo))=""EXACTA"",
UPPER(TRIM(AG1391))=UPPER(TRIM(rPatron))
),
AND(
OR(
UPPER(TRIM(rTipo))=""CONTIENE"",
UPPER(TRIM(rTipo))=""COINCIDENCIA""
),
ISNUMBER(SEARCH(UPPER(TRIM(rPatron)),UPPER(TRIM(D1391))))
)
)
),
rC"&amp;"oncepto,
""""
)
)
),
MAP(
reglas!$B$2:$B$240,
reglas!$C$2:$C$240,
reglas!$D$2:$D$240,
reglas!$E$2:$E$240,
LAMBDA(rEmisor,rPatron,rConcepto,rTipo,
IF(
AND(
OR(
UPPER(TRIM(rEmisor))=UPPER(TRIM(C1391)),
UPPER(TRIM(rEmisor))=""CUALQUIERA""
),
OR(
UPPER(TRIM(r"&amp;"Tipo))=""SOLO EMISOR"",
AND(
UPPER(TRIM(rTipo))=""EXACTA"",
UPPER(TRIM(D1391))=UPPER(TRIM(rPatron))
),
AND(
OR(
UPPER(TRIM(rTipo))=""CONTIENE"",
UPPER(TRIM(rTipo))=""COINCIDENCIA""
),
ISNUMBER(SEARCH(UPPER(TRIM(rPatron)),UPPER(TRIM(D1391))))
)
)
),
rConce"&amp;"pto,
""""
)
)
)&lt;&gt;""""
),
1
),
""""
)"),"MANIOBRAS")</f>
        <v>MANIOBRAS</v>
      </c>
      <c r="L1391" s="27"/>
      <c r="M1391" s="27"/>
      <c r="N1391" s="27"/>
      <c r="O1391" s="27"/>
      <c r="P1391" s="27"/>
      <c r="Q1391" s="27"/>
      <c r="R1391" s="27"/>
      <c r="S1391" s="27"/>
      <c r="T1391" s="27"/>
      <c r="U1391" s="27"/>
      <c r="V1391" s="27"/>
      <c r="W1391" s="27"/>
      <c r="X1391" s="27"/>
      <c r="Y1391" s="27"/>
    </row>
    <row r="1392">
      <c r="A1392" s="32"/>
      <c r="B1392" s="28" t="s">
        <v>29</v>
      </c>
      <c r="C1392" s="29" t="s">
        <v>278</v>
      </c>
      <c r="D1392" s="29" t="s">
        <v>560</v>
      </c>
      <c r="E1392" s="30">
        <v>3500.0</v>
      </c>
      <c r="F1392" s="28">
        <v>0.0</v>
      </c>
      <c r="G1392" s="28" t="s">
        <v>250</v>
      </c>
      <c r="H1392" s="28">
        <f t="array" ref="H1392">INDEX(CC!C:C,MATCH(1,(CC!A:A=G1392)*(CC!B:B=I1392),0))</f>
        <v>1402</v>
      </c>
      <c r="I1392" s="28" t="s">
        <v>25</v>
      </c>
      <c r="J1392" s="31">
        <v>3500.0</v>
      </c>
      <c r="K1392" s="28" t="str">
        <f>IFERROR(__xludf.DUMMYFUNCTION("IFERROR(
INDEX(
FILTER(
MAP(
reglas!$B$2:$B$240,
reglas!$C$2:$C$240,
reglas!$D$2:$D$240,
reglas!$E$2:$E$240,
LAMBDA(rEmisor,rPatron,rConcepto,rTipo,
IF(
AND(
OR(
UPPER(TRIM(rEmisor))=UPPER(TRIM(C1392)),
UPPER(TRIM(rEmisor))=""CUALQUIERA""
),
OR(
UPPER(TRI"&amp;"M(rTipo))=""SOLO EMISOR"",
AND(
UPPER(TRIM(rTipo))=""EXACTA"",
UPPER(TRIM(AG1392))=UPPER(TRIM(rPatron))
),
AND(
OR(
UPPER(TRIM(rTipo))=""CONTIENE"",
UPPER(TRIM(rTipo))=""COINCIDENCIA""
),
ISNUMBER(SEARCH(UPPER(TRIM(rPatron)),UPPER(TRIM(D1392))))
)
)
),
rC"&amp;"oncepto,
""""
)
)
),
MAP(
reglas!$B$2:$B$240,
reglas!$C$2:$C$240,
reglas!$D$2:$D$240,
reglas!$E$2:$E$240,
LAMBDA(rEmisor,rPatron,rConcepto,rTipo,
IF(
AND(
OR(
UPPER(TRIM(rEmisor))=UPPER(TRIM(C1392)),
UPPER(TRIM(rEmisor))=""CUALQUIERA""
),
OR(
UPPER(TRIM(r"&amp;"Tipo))=""SOLO EMISOR"",
AND(
UPPER(TRIM(rTipo))=""EXACTA"",
UPPER(TRIM(D1392))=UPPER(TRIM(rPatron))
),
AND(
OR(
UPPER(TRIM(rTipo))=""CONTIENE"",
UPPER(TRIM(rTipo))=""COINCIDENCIA""
),
ISNUMBER(SEARCH(UPPER(TRIM(rPatron)),UPPER(TRIM(D1392))))
)
)
),
rConce"&amp;"pto,
""""
)
)
)&lt;&gt;""""
),
1
),
""""
)"),"MANIOBRAS")</f>
        <v>MANIOBRAS</v>
      </c>
      <c r="L1392" s="27"/>
      <c r="M1392" s="27"/>
      <c r="N1392" s="27"/>
      <c r="O1392" s="27"/>
      <c r="P1392" s="27"/>
      <c r="Q1392" s="27"/>
      <c r="R1392" s="27"/>
      <c r="S1392" s="27"/>
      <c r="T1392" s="27"/>
      <c r="U1392" s="27"/>
      <c r="V1392" s="27"/>
      <c r="W1392" s="27"/>
      <c r="X1392" s="27"/>
      <c r="Y1392" s="27"/>
    </row>
    <row r="1393">
      <c r="A1393" s="32"/>
      <c r="B1393" s="28" t="s">
        <v>29</v>
      </c>
      <c r="C1393" s="29" t="s">
        <v>278</v>
      </c>
      <c r="D1393" s="29" t="s">
        <v>560</v>
      </c>
      <c r="E1393" s="30">
        <v>3500.0</v>
      </c>
      <c r="F1393" s="28">
        <v>0.0</v>
      </c>
      <c r="G1393" s="28" t="s">
        <v>250</v>
      </c>
      <c r="H1393" s="28">
        <f t="array" ref="H1393">INDEX(CC!C:C,MATCH(1,(CC!A:A=G1393)*(CC!B:B=I1393),0))</f>
        <v>1402</v>
      </c>
      <c r="I1393" s="28" t="s">
        <v>25</v>
      </c>
      <c r="J1393" s="31">
        <v>3500.0</v>
      </c>
      <c r="K1393" s="28" t="str">
        <f>IFERROR(__xludf.DUMMYFUNCTION("IFERROR(
INDEX(
FILTER(
MAP(
reglas!$B$2:$B$240,
reglas!$C$2:$C$240,
reglas!$D$2:$D$240,
reglas!$E$2:$E$240,
LAMBDA(rEmisor,rPatron,rConcepto,rTipo,
IF(
AND(
OR(
UPPER(TRIM(rEmisor))=UPPER(TRIM(C1393)),
UPPER(TRIM(rEmisor))=""CUALQUIERA""
),
OR(
UPPER(TRI"&amp;"M(rTipo))=""SOLO EMISOR"",
AND(
UPPER(TRIM(rTipo))=""EXACTA"",
UPPER(TRIM(AG1393))=UPPER(TRIM(rPatron))
),
AND(
OR(
UPPER(TRIM(rTipo))=""CONTIENE"",
UPPER(TRIM(rTipo))=""COINCIDENCIA""
),
ISNUMBER(SEARCH(UPPER(TRIM(rPatron)),UPPER(TRIM(D1393))))
)
)
),
rC"&amp;"oncepto,
""""
)
)
),
MAP(
reglas!$B$2:$B$240,
reglas!$C$2:$C$240,
reglas!$D$2:$D$240,
reglas!$E$2:$E$240,
LAMBDA(rEmisor,rPatron,rConcepto,rTipo,
IF(
AND(
OR(
UPPER(TRIM(rEmisor))=UPPER(TRIM(C1393)),
UPPER(TRIM(rEmisor))=""CUALQUIERA""
),
OR(
UPPER(TRIM(r"&amp;"Tipo))=""SOLO EMISOR"",
AND(
UPPER(TRIM(rTipo))=""EXACTA"",
UPPER(TRIM(D1393))=UPPER(TRIM(rPatron))
),
AND(
OR(
UPPER(TRIM(rTipo))=""CONTIENE"",
UPPER(TRIM(rTipo))=""COINCIDENCIA""
),
ISNUMBER(SEARCH(UPPER(TRIM(rPatron)),UPPER(TRIM(D1393))))
)
)
),
rConce"&amp;"pto,
""""
)
)
)&lt;&gt;""""
),
1
),
""""
)"),"MANIOBRAS")</f>
        <v>MANIOBRAS</v>
      </c>
      <c r="L1393" s="27"/>
      <c r="M1393" s="27"/>
      <c r="N1393" s="27"/>
      <c r="O1393" s="27"/>
      <c r="P1393" s="27"/>
      <c r="Q1393" s="27"/>
      <c r="R1393" s="27"/>
      <c r="S1393" s="27"/>
      <c r="T1393" s="27"/>
      <c r="U1393" s="27"/>
      <c r="V1393" s="27"/>
      <c r="W1393" s="27"/>
      <c r="X1393" s="27"/>
      <c r="Y1393" s="27"/>
    </row>
    <row r="1394">
      <c r="A1394" s="32"/>
      <c r="B1394" s="28" t="s">
        <v>29</v>
      </c>
      <c r="C1394" s="29" t="s">
        <v>259</v>
      </c>
      <c r="D1394" s="29" t="s">
        <v>969</v>
      </c>
      <c r="E1394" s="30">
        <v>5172.41</v>
      </c>
      <c r="F1394" s="28">
        <v>0.0</v>
      </c>
      <c r="G1394" s="28" t="s">
        <v>581</v>
      </c>
      <c r="H1394" s="28">
        <f t="array" ref="H1394">INDEX(CC!C:C,MATCH(1,(CC!A:A=G1394)*(CC!B:B=I1394),0))</f>
        <v>202</v>
      </c>
      <c r="I1394" s="28" t="s">
        <v>25</v>
      </c>
      <c r="J1394" s="31">
        <v>5172.41</v>
      </c>
      <c r="K1394" s="28" t="str">
        <f>IFERROR(__xludf.DUMMYFUNCTION("IFERROR(
INDEX(
FILTER(
MAP(
reglas!$B$2:$B$240,
reglas!$C$2:$C$240,
reglas!$D$2:$D$240,
reglas!$E$2:$E$240,
LAMBDA(rEmisor,rPatron,rConcepto,rTipo,
IF(
AND(
OR(
UPPER(TRIM(rEmisor))=UPPER(TRIM(C1394)),
UPPER(TRIM(rEmisor))=""CUALQUIERA""
),
OR(
UPPER(TRI"&amp;"M(rTipo))=""SOLO EMISOR"",
AND(
UPPER(TRIM(rTipo))=""EXACTA"",
UPPER(TRIM(AG1394))=UPPER(TRIM(rPatron))
),
AND(
OR(
UPPER(TRIM(rTipo))=""CONTIENE"",
UPPER(TRIM(rTipo))=""COINCIDENCIA""
),
ISNUMBER(SEARCH(UPPER(TRIM(rPatron)),UPPER(TRIM(D1394))))
)
)
),
rC"&amp;"oncepto,
""""
)
)
),
MAP(
reglas!$B$2:$B$240,
reglas!$C$2:$C$240,
reglas!$D$2:$D$240,
reglas!$E$2:$E$240,
LAMBDA(rEmisor,rPatron,rConcepto,rTipo,
IF(
AND(
OR(
UPPER(TRIM(rEmisor))=UPPER(TRIM(C1394)),
UPPER(TRIM(rEmisor))=""CUALQUIERA""
),
OR(
UPPER(TRIM(r"&amp;"Tipo))=""SOLO EMISOR"",
AND(
UPPER(TRIM(rTipo))=""EXACTA"",
UPPER(TRIM(D1394))=UPPER(TRIM(rPatron))
),
AND(
OR(
UPPER(TRIM(rTipo))=""CONTIENE"",
UPPER(TRIM(rTipo))=""COINCIDENCIA""
),
ISNUMBER(SEARCH(UPPER(TRIM(rPatron)),UPPER(TRIM(D1394))))
)
)
),
rConce"&amp;"pto,
""""
)
)
)&lt;&gt;""""
),
1
),
""""
)"),"COMBUSTIBLES Y LUBRICANTES")</f>
        <v>COMBUSTIBLES Y LUBRICANTES</v>
      </c>
      <c r="L1394" s="27"/>
      <c r="M1394" s="27"/>
      <c r="N1394" s="27"/>
      <c r="O1394" s="27"/>
      <c r="P1394" s="27"/>
      <c r="Q1394" s="27"/>
      <c r="R1394" s="27"/>
      <c r="S1394" s="27"/>
      <c r="T1394" s="27"/>
      <c r="U1394" s="27"/>
      <c r="V1394" s="27"/>
      <c r="W1394" s="27"/>
      <c r="X1394" s="27"/>
      <c r="Y1394" s="27"/>
    </row>
    <row r="1395">
      <c r="A1395" s="28">
        <v>1.0</v>
      </c>
      <c r="B1395" s="28" t="s">
        <v>29</v>
      </c>
      <c r="C1395" s="29" t="s">
        <v>271</v>
      </c>
      <c r="D1395" s="29" t="s">
        <v>585</v>
      </c>
      <c r="E1395" s="28">
        <v>617.93</v>
      </c>
      <c r="F1395" s="28">
        <v>0.0</v>
      </c>
      <c r="G1395" s="28" t="s">
        <v>84</v>
      </c>
      <c r="H1395" s="28">
        <f t="array" ref="H1395">INDEX(CC!C:C,MATCH(1,(CC!A:A=G1395)*(CC!B:B=I1395),0))</f>
        <v>1002</v>
      </c>
      <c r="I1395" s="28" t="s">
        <v>25</v>
      </c>
      <c r="J1395" s="31">
        <v>617.93</v>
      </c>
      <c r="K1395" s="28" t="str">
        <f>IFERROR(__xludf.DUMMYFUNCTION("IFERROR(
INDEX(
FILTER(
MAP(
reglas!$B$2:$B$240,
reglas!$C$2:$C$240,
reglas!$D$2:$D$240,
reglas!$E$2:$E$240,
LAMBDA(rEmisor,rPatron,rConcepto,rTipo,
IF(
AND(
OR(
UPPER(TRIM(rEmisor))=UPPER(TRIM(C1395)),
UPPER(TRIM(rEmisor))=""CUALQUIERA""
),
OR(
UPPER(TRI"&amp;"M(rTipo))=""SOLO EMISOR"",
AND(
UPPER(TRIM(rTipo))=""EXACTA"",
UPPER(TRIM(AG1395))=UPPER(TRIM(rPatron))
),
AND(
OR(
UPPER(TRIM(rTipo))=""CONTIENE"",
UPPER(TRIM(rTipo))=""COINCIDENCIA""
),
ISNUMBER(SEARCH(UPPER(TRIM(rPatron)),UPPER(TRIM(D1395))))
)
)
),
rC"&amp;"oncepto,
""""
)
)
),
MAP(
reglas!$B$2:$B$240,
reglas!$C$2:$C$240,
reglas!$D$2:$D$240,
reglas!$E$2:$E$240,
LAMBDA(rEmisor,rPatron,rConcepto,rTipo,
IF(
AND(
OR(
UPPER(TRIM(rEmisor))=UPPER(TRIM(C1395)),
UPPER(TRIM(rEmisor))=""CUALQUIERA""
),
OR(
UPPER(TRIM(r"&amp;"Tipo))=""SOLO EMISOR"",
AND(
UPPER(TRIM(rTipo))=""EXACTA"",
UPPER(TRIM(D1395))=UPPER(TRIM(rPatron))
),
AND(
OR(
UPPER(TRIM(rTipo))=""CONTIENE"",
UPPER(TRIM(rTipo))=""COINCIDENCIA""
),
ISNUMBER(SEARCH(UPPER(TRIM(rPatron)),UPPER(TRIM(D1395))))
)
)
),
rConce"&amp;"pto,
""""
)
)
)&lt;&gt;""""
),
1
),
""""
)"),"MANIOBRAS")</f>
        <v>MANIOBRAS</v>
      </c>
      <c r="L1395" s="27"/>
      <c r="M1395" s="27"/>
      <c r="N1395" s="27"/>
      <c r="O1395" s="27"/>
      <c r="P1395" s="27"/>
      <c r="Q1395" s="27"/>
      <c r="R1395" s="27"/>
      <c r="S1395" s="27"/>
      <c r="T1395" s="27"/>
      <c r="U1395" s="27"/>
      <c r="V1395" s="27"/>
      <c r="W1395" s="27"/>
      <c r="X1395" s="27"/>
      <c r="Y1395" s="27"/>
    </row>
    <row r="1396">
      <c r="A1396" s="32"/>
      <c r="B1396" s="32"/>
      <c r="C1396" s="29" t="s">
        <v>271</v>
      </c>
      <c r="D1396" s="29" t="s">
        <v>586</v>
      </c>
      <c r="E1396" s="28">
        <v>618.27</v>
      </c>
      <c r="F1396" s="28">
        <v>0.0</v>
      </c>
      <c r="G1396" s="28" t="s">
        <v>84</v>
      </c>
      <c r="H1396" s="28">
        <f t="array" ref="H1396">INDEX(CC!C:C,MATCH(1,(CC!A:A=G1396)*(CC!B:B=I1396),0))</f>
        <v>1002</v>
      </c>
      <c r="I1396" s="28" t="s">
        <v>25</v>
      </c>
      <c r="J1396" s="31">
        <v>618.27</v>
      </c>
      <c r="K1396" s="28" t="str">
        <f>IFERROR(__xludf.DUMMYFUNCTION("IFERROR(
INDEX(
FILTER(
MAP(
reglas!$B$2:$B$240,
reglas!$C$2:$C$240,
reglas!$D$2:$D$240,
reglas!$E$2:$E$240,
LAMBDA(rEmisor,rPatron,rConcepto,rTipo,
IF(
AND(
OR(
UPPER(TRIM(rEmisor))=UPPER(TRIM(C1396)),
UPPER(TRIM(rEmisor))=""CUALQUIERA""
),
OR(
UPPER(TRI"&amp;"M(rTipo))=""SOLO EMISOR"",
AND(
UPPER(TRIM(rTipo))=""EXACTA"",
UPPER(TRIM(AG1396))=UPPER(TRIM(rPatron))
),
AND(
OR(
UPPER(TRIM(rTipo))=""CONTIENE"",
UPPER(TRIM(rTipo))=""COINCIDENCIA""
),
ISNUMBER(SEARCH(UPPER(TRIM(rPatron)),UPPER(TRIM(D1396))))
)
)
),
rC"&amp;"oncepto,
""""
)
)
),
MAP(
reglas!$B$2:$B$240,
reglas!$C$2:$C$240,
reglas!$D$2:$D$240,
reglas!$E$2:$E$240,
LAMBDA(rEmisor,rPatron,rConcepto,rTipo,
IF(
AND(
OR(
UPPER(TRIM(rEmisor))=UPPER(TRIM(C1396)),
UPPER(TRIM(rEmisor))=""CUALQUIERA""
),
OR(
UPPER(TRIM(r"&amp;"Tipo))=""SOLO EMISOR"",
AND(
UPPER(TRIM(rTipo))=""EXACTA"",
UPPER(TRIM(D1396))=UPPER(TRIM(rPatron))
),
AND(
OR(
UPPER(TRIM(rTipo))=""CONTIENE"",
UPPER(TRIM(rTipo))=""COINCIDENCIA""
),
ISNUMBER(SEARCH(UPPER(TRIM(rPatron)),UPPER(TRIM(D1396))))
)
)
),
rConce"&amp;"pto,
""""
)
)
)&lt;&gt;""""
),
1
),
""""
)"),"MANIOBRAS")</f>
        <v>MANIOBRAS</v>
      </c>
      <c r="L1396" s="27"/>
      <c r="M1396" s="27"/>
      <c r="N1396" s="27"/>
      <c r="O1396" s="27"/>
      <c r="P1396" s="27"/>
      <c r="Q1396" s="27"/>
      <c r="R1396" s="27"/>
      <c r="S1396" s="27"/>
      <c r="T1396" s="27"/>
      <c r="U1396" s="27"/>
      <c r="V1396" s="27"/>
      <c r="W1396" s="27"/>
      <c r="X1396" s="27"/>
      <c r="Y1396" s="27"/>
    </row>
    <row r="1397">
      <c r="A1397" s="32"/>
      <c r="B1397" s="32"/>
      <c r="C1397" s="29" t="s">
        <v>271</v>
      </c>
      <c r="D1397" s="29" t="s">
        <v>587</v>
      </c>
      <c r="E1397" s="28">
        <v>565.37</v>
      </c>
      <c r="F1397" s="28">
        <v>0.0</v>
      </c>
      <c r="G1397" s="28" t="s">
        <v>84</v>
      </c>
      <c r="H1397" s="28">
        <f t="array" ref="H1397">INDEX(CC!C:C,MATCH(1,(CC!A:A=G1397)*(CC!B:B=I1397),0))</f>
        <v>1002</v>
      </c>
      <c r="I1397" s="28" t="s">
        <v>25</v>
      </c>
      <c r="J1397" s="31">
        <v>565.37</v>
      </c>
      <c r="K1397" s="28" t="str">
        <f>IFERROR(__xludf.DUMMYFUNCTION("IFERROR(
INDEX(
FILTER(
MAP(
reglas!$B$2:$B$240,
reglas!$C$2:$C$240,
reglas!$D$2:$D$240,
reglas!$E$2:$E$240,
LAMBDA(rEmisor,rPatron,rConcepto,rTipo,
IF(
AND(
OR(
UPPER(TRIM(rEmisor))=UPPER(TRIM(C1397)),
UPPER(TRIM(rEmisor))=""CUALQUIERA""
),
OR(
UPPER(TRI"&amp;"M(rTipo))=""SOLO EMISOR"",
AND(
UPPER(TRIM(rTipo))=""EXACTA"",
UPPER(TRIM(AG1397))=UPPER(TRIM(rPatron))
),
AND(
OR(
UPPER(TRIM(rTipo))=""CONTIENE"",
UPPER(TRIM(rTipo))=""COINCIDENCIA""
),
ISNUMBER(SEARCH(UPPER(TRIM(rPatron)),UPPER(TRIM(D1397))))
)
)
),
rC"&amp;"oncepto,
""""
)
)
),
MAP(
reglas!$B$2:$B$240,
reglas!$C$2:$C$240,
reglas!$D$2:$D$240,
reglas!$E$2:$E$240,
LAMBDA(rEmisor,rPatron,rConcepto,rTipo,
IF(
AND(
OR(
UPPER(TRIM(rEmisor))=UPPER(TRIM(C1397)),
UPPER(TRIM(rEmisor))=""CUALQUIERA""
),
OR(
UPPER(TRIM(r"&amp;"Tipo))=""SOLO EMISOR"",
AND(
UPPER(TRIM(rTipo))=""EXACTA"",
UPPER(TRIM(D1397))=UPPER(TRIM(rPatron))
),
AND(
OR(
UPPER(TRIM(rTipo))=""CONTIENE"",
UPPER(TRIM(rTipo))=""COINCIDENCIA""
),
ISNUMBER(SEARCH(UPPER(TRIM(rPatron)),UPPER(TRIM(D1397))))
)
)
),
rConce"&amp;"pto,
""""
)
)
)&lt;&gt;""""
),
1
),
""""
)"),"MANIOBRAS")</f>
        <v>MANIOBRAS</v>
      </c>
      <c r="L1397" s="27"/>
      <c r="M1397" s="27"/>
      <c r="N1397" s="27"/>
      <c r="O1397" s="27"/>
      <c r="P1397" s="27"/>
      <c r="Q1397" s="27"/>
      <c r="R1397" s="27"/>
      <c r="S1397" s="27"/>
      <c r="T1397" s="27"/>
      <c r="U1397" s="27"/>
      <c r="V1397" s="27"/>
      <c r="W1397" s="27"/>
      <c r="X1397" s="27"/>
      <c r="Y1397" s="27"/>
    </row>
    <row r="1398">
      <c r="A1398" s="32"/>
      <c r="B1398" s="32"/>
      <c r="C1398" s="29" t="s">
        <v>271</v>
      </c>
      <c r="D1398" s="29" t="s">
        <v>589</v>
      </c>
      <c r="E1398" s="28">
        <v>748.07</v>
      </c>
      <c r="F1398" s="28">
        <v>0.0</v>
      </c>
      <c r="G1398" s="28" t="s">
        <v>84</v>
      </c>
      <c r="H1398" s="28">
        <f t="array" ref="H1398">INDEX(CC!C:C,MATCH(1,(CC!A:A=G1398)*(CC!B:B=I1398),0))</f>
        <v>1002</v>
      </c>
      <c r="I1398" s="28" t="s">
        <v>25</v>
      </c>
      <c r="J1398" s="31">
        <v>748.07</v>
      </c>
      <c r="K1398" s="28" t="str">
        <f>IFERROR(__xludf.DUMMYFUNCTION("IFERROR(
INDEX(
FILTER(
MAP(
reglas!$B$2:$B$240,
reglas!$C$2:$C$240,
reglas!$D$2:$D$240,
reglas!$E$2:$E$240,
LAMBDA(rEmisor,rPatron,rConcepto,rTipo,
IF(
AND(
OR(
UPPER(TRIM(rEmisor))=UPPER(TRIM(C1398)),
UPPER(TRIM(rEmisor))=""CUALQUIERA""
),
OR(
UPPER(TRI"&amp;"M(rTipo))=""SOLO EMISOR"",
AND(
UPPER(TRIM(rTipo))=""EXACTA"",
UPPER(TRIM(AG1398))=UPPER(TRIM(rPatron))
),
AND(
OR(
UPPER(TRIM(rTipo))=""CONTIENE"",
UPPER(TRIM(rTipo))=""COINCIDENCIA""
),
ISNUMBER(SEARCH(UPPER(TRIM(rPatron)),UPPER(TRIM(D1398))))
)
)
),
rC"&amp;"oncepto,
""""
)
)
),
MAP(
reglas!$B$2:$B$240,
reglas!$C$2:$C$240,
reglas!$D$2:$D$240,
reglas!$E$2:$E$240,
LAMBDA(rEmisor,rPatron,rConcepto,rTipo,
IF(
AND(
OR(
UPPER(TRIM(rEmisor))=UPPER(TRIM(C1398)),
UPPER(TRIM(rEmisor))=""CUALQUIERA""
),
OR(
UPPER(TRIM(r"&amp;"Tipo))=""SOLO EMISOR"",
AND(
UPPER(TRIM(rTipo))=""EXACTA"",
UPPER(TRIM(D1398))=UPPER(TRIM(rPatron))
),
AND(
OR(
UPPER(TRIM(rTipo))=""CONTIENE"",
UPPER(TRIM(rTipo))=""COINCIDENCIA""
),
ISNUMBER(SEARCH(UPPER(TRIM(rPatron)),UPPER(TRIM(D1398))))
)
)
),
rConce"&amp;"pto,
""""
)
)
)&lt;&gt;""""
),
1
),
""""
)"),"MANIOBRAS")</f>
        <v>MANIOBRAS</v>
      </c>
      <c r="L1398" s="27"/>
      <c r="M1398" s="27"/>
      <c r="N1398" s="27"/>
      <c r="O1398" s="27"/>
      <c r="P1398" s="27"/>
      <c r="Q1398" s="27"/>
      <c r="R1398" s="27"/>
      <c r="S1398" s="27"/>
      <c r="T1398" s="27"/>
      <c r="U1398" s="27"/>
      <c r="V1398" s="27"/>
      <c r="W1398" s="27"/>
      <c r="X1398" s="27"/>
      <c r="Y1398" s="27"/>
    </row>
    <row r="1399">
      <c r="A1399" s="32"/>
      <c r="B1399" s="32"/>
      <c r="C1399" s="29" t="s">
        <v>271</v>
      </c>
      <c r="D1399" s="29" t="s">
        <v>593</v>
      </c>
      <c r="E1399" s="28">
        <v>464.29</v>
      </c>
      <c r="F1399" s="28">
        <v>0.0</v>
      </c>
      <c r="G1399" s="28" t="s">
        <v>84</v>
      </c>
      <c r="H1399" s="28">
        <f t="array" ref="H1399">INDEX(CC!C:C,MATCH(1,(CC!A:A=G1399)*(CC!B:B=I1399),0))</f>
        <v>1002</v>
      </c>
      <c r="I1399" s="28" t="s">
        <v>25</v>
      </c>
      <c r="J1399" s="31">
        <v>464.29</v>
      </c>
      <c r="K1399" s="28" t="str">
        <f>IFERROR(__xludf.DUMMYFUNCTION("IFERROR(
INDEX(
FILTER(
MAP(
reglas!$B$2:$B$240,
reglas!$C$2:$C$240,
reglas!$D$2:$D$240,
reglas!$E$2:$E$240,
LAMBDA(rEmisor,rPatron,rConcepto,rTipo,
IF(
AND(
OR(
UPPER(TRIM(rEmisor))=UPPER(TRIM(C1399)),
UPPER(TRIM(rEmisor))=""CUALQUIERA""
),
OR(
UPPER(TRI"&amp;"M(rTipo))=""SOLO EMISOR"",
AND(
UPPER(TRIM(rTipo))=""EXACTA"",
UPPER(TRIM(AG1399))=UPPER(TRIM(rPatron))
),
AND(
OR(
UPPER(TRIM(rTipo))=""CONTIENE"",
UPPER(TRIM(rTipo))=""COINCIDENCIA""
),
ISNUMBER(SEARCH(UPPER(TRIM(rPatron)),UPPER(TRIM(D1399))))
)
)
),
rC"&amp;"oncepto,
""""
)
)
),
MAP(
reglas!$B$2:$B$240,
reglas!$C$2:$C$240,
reglas!$D$2:$D$240,
reglas!$E$2:$E$240,
LAMBDA(rEmisor,rPatron,rConcepto,rTipo,
IF(
AND(
OR(
UPPER(TRIM(rEmisor))=UPPER(TRIM(C1399)),
UPPER(TRIM(rEmisor))=""CUALQUIERA""
),
OR(
UPPER(TRIM(r"&amp;"Tipo))=""SOLO EMISOR"",
AND(
UPPER(TRIM(rTipo))=""EXACTA"",
UPPER(TRIM(D1399))=UPPER(TRIM(rPatron))
),
AND(
OR(
UPPER(TRIM(rTipo))=""CONTIENE"",
UPPER(TRIM(rTipo))=""COINCIDENCIA""
),
ISNUMBER(SEARCH(UPPER(TRIM(rPatron)),UPPER(TRIM(D1399))))
)
)
),
rConce"&amp;"pto,
""""
)
)
)&lt;&gt;""""
),
1
),
""""
)"),"MANIOBRAS")</f>
        <v>MANIOBRAS</v>
      </c>
      <c r="L1399" s="27"/>
      <c r="M1399" s="27"/>
      <c r="N1399" s="27"/>
      <c r="O1399" s="27"/>
      <c r="P1399" s="27"/>
      <c r="Q1399" s="27"/>
      <c r="R1399" s="27"/>
      <c r="S1399" s="27"/>
      <c r="T1399" s="27"/>
      <c r="U1399" s="27"/>
      <c r="V1399" s="27"/>
      <c r="W1399" s="27"/>
      <c r="X1399" s="27"/>
      <c r="Y1399" s="27"/>
    </row>
    <row r="1400">
      <c r="A1400" s="32"/>
      <c r="B1400" s="32"/>
      <c r="C1400" s="29" t="s">
        <v>271</v>
      </c>
      <c r="D1400" s="29" t="s">
        <v>596</v>
      </c>
      <c r="E1400" s="28">
        <v>648.69</v>
      </c>
      <c r="F1400" s="28">
        <v>0.0</v>
      </c>
      <c r="G1400" s="28" t="s">
        <v>84</v>
      </c>
      <c r="H1400" s="28">
        <f t="array" ref="H1400">INDEX(CC!C:C,MATCH(1,(CC!A:A=G1400)*(CC!B:B=I1400),0))</f>
        <v>1002</v>
      </c>
      <c r="I1400" s="28" t="s">
        <v>25</v>
      </c>
      <c r="J1400" s="31">
        <v>648.69</v>
      </c>
      <c r="K1400" s="28" t="str">
        <f>IFERROR(__xludf.DUMMYFUNCTION("IFERROR(
INDEX(
FILTER(
MAP(
reglas!$B$2:$B$240,
reglas!$C$2:$C$240,
reglas!$D$2:$D$240,
reglas!$E$2:$E$240,
LAMBDA(rEmisor,rPatron,rConcepto,rTipo,
IF(
AND(
OR(
UPPER(TRIM(rEmisor))=UPPER(TRIM(C1400)),
UPPER(TRIM(rEmisor))=""CUALQUIERA""
),
OR(
UPPER(TRI"&amp;"M(rTipo))=""SOLO EMISOR"",
AND(
UPPER(TRIM(rTipo))=""EXACTA"",
UPPER(TRIM(AG1400))=UPPER(TRIM(rPatron))
),
AND(
OR(
UPPER(TRIM(rTipo))=""CONTIENE"",
UPPER(TRIM(rTipo))=""COINCIDENCIA""
),
ISNUMBER(SEARCH(UPPER(TRIM(rPatron)),UPPER(TRIM(D1400))))
)
)
),
rC"&amp;"oncepto,
""""
)
)
),
MAP(
reglas!$B$2:$B$240,
reglas!$C$2:$C$240,
reglas!$D$2:$D$240,
reglas!$E$2:$E$240,
LAMBDA(rEmisor,rPatron,rConcepto,rTipo,
IF(
AND(
OR(
UPPER(TRIM(rEmisor))=UPPER(TRIM(C1400)),
UPPER(TRIM(rEmisor))=""CUALQUIERA""
),
OR(
UPPER(TRIM(r"&amp;"Tipo))=""SOLO EMISOR"",
AND(
UPPER(TRIM(rTipo))=""EXACTA"",
UPPER(TRIM(D1400))=UPPER(TRIM(rPatron))
),
AND(
OR(
UPPER(TRIM(rTipo))=""CONTIENE"",
UPPER(TRIM(rTipo))=""COINCIDENCIA""
),
ISNUMBER(SEARCH(UPPER(TRIM(rPatron)),UPPER(TRIM(D1400))))
)
)
),
rConce"&amp;"pto,
""""
)
)
)&lt;&gt;""""
),
1
),
""""
)"),"MANIOBRAS")</f>
        <v>MANIOBRAS</v>
      </c>
      <c r="L1400" s="27"/>
      <c r="M1400" s="27"/>
      <c r="N1400" s="27"/>
      <c r="O1400" s="27"/>
      <c r="P1400" s="27"/>
      <c r="Q1400" s="27"/>
      <c r="R1400" s="27"/>
      <c r="S1400" s="27"/>
      <c r="T1400" s="27"/>
      <c r="U1400" s="27"/>
      <c r="V1400" s="27"/>
      <c r="W1400" s="27"/>
      <c r="X1400" s="27"/>
      <c r="Y1400" s="27"/>
    </row>
    <row r="1401">
      <c r="A1401" s="32"/>
      <c r="B1401" s="28" t="s">
        <v>29</v>
      </c>
      <c r="C1401" s="29" t="s">
        <v>331</v>
      </c>
      <c r="D1401" s="29" t="s">
        <v>33</v>
      </c>
      <c r="E1401" s="28">
        <v>0.01</v>
      </c>
      <c r="F1401" s="28">
        <v>0.0</v>
      </c>
      <c r="G1401" s="28" t="s">
        <v>385</v>
      </c>
      <c r="H1401" s="28">
        <f t="array" ref="H1401">INDEX(CC!C:C,MATCH(1,(CC!A:A=G1401)*(CC!B:B=I1401),0))</f>
        <v>502</v>
      </c>
      <c r="I1401" s="28" t="s">
        <v>25</v>
      </c>
      <c r="J1401" s="31">
        <v>0.01</v>
      </c>
      <c r="K1401" s="28" t="str">
        <f>IFERROR(__xludf.DUMMYFUNCTION("IFERROR(
INDEX(
FILTER(
MAP(
reglas!$B$2:$B$240,
reglas!$C$2:$C$240,
reglas!$D$2:$D$240,
reglas!$E$2:$E$240,
LAMBDA(rEmisor,rPatron,rConcepto,rTipo,
IF(
AND(
OR(
UPPER(TRIM(rEmisor))=UPPER(TRIM(C1401)),
UPPER(TRIM(rEmisor))=""CUALQUIERA""
),
OR(
UPPER(TRI"&amp;"M(rTipo))=""SOLO EMISOR"",
AND(
UPPER(TRIM(rTipo))=""EXACTA"",
UPPER(TRIM(AG1401))=UPPER(TRIM(rPatron))
),
AND(
OR(
UPPER(TRIM(rTipo))=""CONTIENE"",
UPPER(TRIM(rTipo))=""COINCIDENCIA""
),
ISNUMBER(SEARCH(UPPER(TRIM(rPatron)),UPPER(TRIM(D1401))))
)
)
),
rC"&amp;"oncepto,
""""
)
)
),
MAP(
reglas!$B$2:$B$240,
reglas!$C$2:$C$240,
reglas!$D$2:$D$240,
reglas!$E$2:$E$240,
LAMBDA(rEmisor,rPatron,rConcepto,rTipo,
IF(
AND(
OR(
UPPER(TRIM(rEmisor))=UPPER(TRIM(C1401)),
UPPER(TRIM(rEmisor))=""CUALQUIERA""
),
OR(
UPPER(TRIM(r"&amp;"Tipo))=""SOLO EMISOR"",
AND(
UPPER(TRIM(rTipo))=""EXACTA"",
UPPER(TRIM(D1401))=UPPER(TRIM(rPatron))
),
AND(
OR(
UPPER(TRIM(rTipo))=""CONTIENE"",
UPPER(TRIM(rTipo))=""COINCIDENCIA""
),
ISNUMBER(SEARCH(UPPER(TRIM(rPatron)),UPPER(TRIM(D1401))))
)
)
),
rConce"&amp;"pto,
""""
)
)
)&lt;&gt;""""
),
1
),
""""
)"),"N/A")</f>
        <v>N/A</v>
      </c>
      <c r="L1401" s="27"/>
      <c r="M1401" s="27"/>
      <c r="N1401" s="27"/>
      <c r="O1401" s="27"/>
      <c r="P1401" s="27"/>
      <c r="Q1401" s="27"/>
      <c r="R1401" s="27"/>
      <c r="S1401" s="27"/>
      <c r="T1401" s="27"/>
      <c r="U1401" s="27"/>
      <c r="V1401" s="27"/>
      <c r="W1401" s="27"/>
      <c r="X1401" s="27"/>
      <c r="Y1401" s="27"/>
    </row>
    <row r="1402">
      <c r="A1402" s="32"/>
      <c r="B1402" s="28" t="s">
        <v>29</v>
      </c>
      <c r="C1402" s="29" t="s">
        <v>174</v>
      </c>
      <c r="D1402" s="29" t="s">
        <v>1894</v>
      </c>
      <c r="E1402" s="30">
        <v>3500.0</v>
      </c>
      <c r="F1402" s="28">
        <v>0.0</v>
      </c>
      <c r="G1402" s="28" t="s">
        <v>55</v>
      </c>
      <c r="H1402" s="28">
        <f t="array" ref="H1402">INDEX(CC!C:C,MATCH(1,(CC!A:A=G1402)*(CC!B:B=I1402),0))</f>
        <v>903</v>
      </c>
      <c r="I1402" s="28" t="s">
        <v>44</v>
      </c>
      <c r="J1402" s="31">
        <v>3500.0</v>
      </c>
      <c r="K1402" s="28" t="str">
        <f>IFERROR(__xludf.DUMMYFUNCTION("IFERROR(
INDEX(
FILTER(
MAP(
reglas!$B$2:$B$240,
reglas!$C$2:$C$240,
reglas!$D$2:$D$240,
reglas!$E$2:$E$240,
LAMBDA(rEmisor,rPatron,rConcepto,rTipo,
IF(
AND(
OR(
UPPER(TRIM(rEmisor))=UPPER(TRIM(C1402)),
UPPER(TRIM(rEmisor))=""CUALQUIERA""
),
OR(
UPPER(TRI"&amp;"M(rTipo))=""SOLO EMISOR"",
AND(
UPPER(TRIM(rTipo))=""EXACTA"",
UPPER(TRIM(AG1402))=UPPER(TRIM(rPatron))
),
AND(
OR(
UPPER(TRIM(rTipo))=""CONTIENE"",
UPPER(TRIM(rTipo))=""COINCIDENCIA""
),
ISNUMBER(SEARCH(UPPER(TRIM(rPatron)),UPPER(TRIM(D1402))))
)
)
),
rC"&amp;"oncepto,
""""
)
)
),
MAP(
reglas!$B$2:$B$240,
reglas!$C$2:$C$240,
reglas!$D$2:$D$240,
reglas!$E$2:$E$240,
LAMBDA(rEmisor,rPatron,rConcepto,rTipo,
IF(
AND(
OR(
UPPER(TRIM(rEmisor))=UPPER(TRIM(C1402)),
UPPER(TRIM(rEmisor))=""CUALQUIERA""
),
OR(
UPPER(TRIM(r"&amp;"Tipo))=""SOLO EMISOR"",
AND(
UPPER(TRIM(rTipo))=""EXACTA"",
UPPER(TRIM(D1402))=UPPER(TRIM(rPatron))
),
AND(
OR(
UPPER(TRIM(rTipo))=""CONTIENE"",
UPPER(TRIM(rTipo))=""COINCIDENCIA""
),
ISNUMBER(SEARCH(UPPER(TRIM(rPatron)),UPPER(TRIM(D1402))))
)
)
),
rConce"&amp;"pto,
""""
)
)
)&lt;&gt;""""
),
1
),
""""
)"),"TRANSPORTE")</f>
        <v>TRANSPORTE</v>
      </c>
      <c r="L1402" s="27"/>
      <c r="M1402" s="27"/>
      <c r="N1402" s="27"/>
      <c r="O1402" s="27"/>
      <c r="P1402" s="27"/>
      <c r="Q1402" s="27"/>
      <c r="R1402" s="27"/>
      <c r="S1402" s="27"/>
      <c r="T1402" s="27"/>
      <c r="U1402" s="27"/>
      <c r="V1402" s="27"/>
      <c r="W1402" s="27"/>
      <c r="X1402" s="27"/>
      <c r="Y1402" s="27"/>
    </row>
    <row r="1403">
      <c r="A1403" s="32"/>
      <c r="B1403" s="28" t="s">
        <v>29</v>
      </c>
      <c r="C1403" s="29" t="s">
        <v>278</v>
      </c>
      <c r="D1403" s="29" t="s">
        <v>560</v>
      </c>
      <c r="E1403" s="30">
        <v>3500.0</v>
      </c>
      <c r="F1403" s="28">
        <v>0.0</v>
      </c>
      <c r="G1403" s="28" t="s">
        <v>250</v>
      </c>
      <c r="H1403" s="28">
        <f t="array" ref="H1403">INDEX(CC!C:C,MATCH(1,(CC!A:A=G1403)*(CC!B:B=I1403),0))</f>
        <v>1402</v>
      </c>
      <c r="I1403" s="28" t="s">
        <v>25</v>
      </c>
      <c r="J1403" s="31">
        <v>3500.0</v>
      </c>
      <c r="K1403" s="28" t="str">
        <f>IFERROR(__xludf.DUMMYFUNCTION("IFERROR(
INDEX(
FILTER(
MAP(
reglas!$B$2:$B$240,
reglas!$C$2:$C$240,
reglas!$D$2:$D$240,
reglas!$E$2:$E$240,
LAMBDA(rEmisor,rPatron,rConcepto,rTipo,
IF(
AND(
OR(
UPPER(TRIM(rEmisor))=UPPER(TRIM(C1403)),
UPPER(TRIM(rEmisor))=""CUALQUIERA""
),
OR(
UPPER(TRI"&amp;"M(rTipo))=""SOLO EMISOR"",
AND(
UPPER(TRIM(rTipo))=""EXACTA"",
UPPER(TRIM(AG1403))=UPPER(TRIM(rPatron))
),
AND(
OR(
UPPER(TRIM(rTipo))=""CONTIENE"",
UPPER(TRIM(rTipo))=""COINCIDENCIA""
),
ISNUMBER(SEARCH(UPPER(TRIM(rPatron)),UPPER(TRIM(D1403))))
)
)
),
rC"&amp;"oncepto,
""""
)
)
),
MAP(
reglas!$B$2:$B$240,
reglas!$C$2:$C$240,
reglas!$D$2:$D$240,
reglas!$E$2:$E$240,
LAMBDA(rEmisor,rPatron,rConcepto,rTipo,
IF(
AND(
OR(
UPPER(TRIM(rEmisor))=UPPER(TRIM(C1403)),
UPPER(TRIM(rEmisor))=""CUALQUIERA""
),
OR(
UPPER(TRIM(r"&amp;"Tipo))=""SOLO EMISOR"",
AND(
UPPER(TRIM(rTipo))=""EXACTA"",
UPPER(TRIM(D1403))=UPPER(TRIM(rPatron))
),
AND(
OR(
UPPER(TRIM(rTipo))=""CONTIENE"",
UPPER(TRIM(rTipo))=""COINCIDENCIA""
),
ISNUMBER(SEARCH(UPPER(TRIM(rPatron)),UPPER(TRIM(D1403))))
)
)
),
rConce"&amp;"pto,
""""
)
)
)&lt;&gt;""""
),
1
),
""""
)"),"MANIOBRAS")</f>
        <v>MANIOBRAS</v>
      </c>
      <c r="L1403" s="27"/>
      <c r="M1403" s="27"/>
      <c r="N1403" s="27"/>
      <c r="O1403" s="27"/>
      <c r="P1403" s="27"/>
      <c r="Q1403" s="27"/>
      <c r="R1403" s="27"/>
      <c r="S1403" s="27"/>
      <c r="T1403" s="27"/>
      <c r="U1403" s="27"/>
      <c r="V1403" s="27"/>
      <c r="W1403" s="27"/>
      <c r="X1403" s="27"/>
      <c r="Y1403" s="27"/>
    </row>
    <row r="1404">
      <c r="A1404" s="32"/>
      <c r="B1404" s="28" t="s">
        <v>29</v>
      </c>
      <c r="C1404" s="29" t="s">
        <v>331</v>
      </c>
      <c r="D1404" s="29" t="s">
        <v>33</v>
      </c>
      <c r="E1404" s="28">
        <v>0.01</v>
      </c>
      <c r="F1404" s="28">
        <v>0.0</v>
      </c>
      <c r="G1404" s="28" t="s">
        <v>385</v>
      </c>
      <c r="H1404" s="28">
        <f t="array" ref="H1404">INDEX(CC!C:C,MATCH(1,(CC!A:A=G1404)*(CC!B:B=I1404),0))</f>
        <v>502</v>
      </c>
      <c r="I1404" s="28" t="s">
        <v>25</v>
      </c>
      <c r="J1404" s="31">
        <v>0.01</v>
      </c>
      <c r="K1404" s="28" t="str">
        <f>IFERROR(__xludf.DUMMYFUNCTION("IFERROR(
INDEX(
FILTER(
MAP(
reglas!$B$2:$B$240,
reglas!$C$2:$C$240,
reglas!$D$2:$D$240,
reglas!$E$2:$E$240,
LAMBDA(rEmisor,rPatron,rConcepto,rTipo,
IF(
AND(
OR(
UPPER(TRIM(rEmisor))=UPPER(TRIM(C1404)),
UPPER(TRIM(rEmisor))=""CUALQUIERA""
),
OR(
UPPER(TRI"&amp;"M(rTipo))=""SOLO EMISOR"",
AND(
UPPER(TRIM(rTipo))=""EXACTA"",
UPPER(TRIM(AG1404))=UPPER(TRIM(rPatron))
),
AND(
OR(
UPPER(TRIM(rTipo))=""CONTIENE"",
UPPER(TRIM(rTipo))=""COINCIDENCIA""
),
ISNUMBER(SEARCH(UPPER(TRIM(rPatron)),UPPER(TRIM(D1404))))
)
)
),
rC"&amp;"oncepto,
""""
)
)
),
MAP(
reglas!$B$2:$B$240,
reglas!$C$2:$C$240,
reglas!$D$2:$D$240,
reglas!$E$2:$E$240,
LAMBDA(rEmisor,rPatron,rConcepto,rTipo,
IF(
AND(
OR(
UPPER(TRIM(rEmisor))=UPPER(TRIM(C1404)),
UPPER(TRIM(rEmisor))=""CUALQUIERA""
),
OR(
UPPER(TRIM(r"&amp;"Tipo))=""SOLO EMISOR"",
AND(
UPPER(TRIM(rTipo))=""EXACTA"",
UPPER(TRIM(D1404))=UPPER(TRIM(rPatron))
),
AND(
OR(
UPPER(TRIM(rTipo))=""CONTIENE"",
UPPER(TRIM(rTipo))=""COINCIDENCIA""
),
ISNUMBER(SEARCH(UPPER(TRIM(rPatron)),UPPER(TRIM(D1404))))
)
)
),
rConce"&amp;"pto,
""""
)
)
)&lt;&gt;""""
),
1
),
""""
)"),"N/A")</f>
        <v>N/A</v>
      </c>
      <c r="L1404" s="27"/>
      <c r="M1404" s="27"/>
      <c r="N1404" s="27"/>
      <c r="O1404" s="27"/>
      <c r="P1404" s="27"/>
      <c r="Q1404" s="27"/>
      <c r="R1404" s="27"/>
      <c r="S1404" s="27"/>
      <c r="T1404" s="27"/>
      <c r="U1404" s="27"/>
      <c r="V1404" s="27"/>
      <c r="W1404" s="27"/>
      <c r="X1404" s="27"/>
      <c r="Y1404" s="27"/>
    </row>
    <row r="1405">
      <c r="A1405" s="32"/>
      <c r="B1405" s="28" t="s">
        <v>29</v>
      </c>
      <c r="C1405" s="29" t="s">
        <v>483</v>
      </c>
      <c r="D1405" s="29" t="s">
        <v>1895</v>
      </c>
      <c r="E1405" s="30">
        <v>21500.0</v>
      </c>
      <c r="F1405" s="28">
        <v>0.0</v>
      </c>
      <c r="G1405" s="28" t="s">
        <v>551</v>
      </c>
      <c r="H1405" s="28">
        <f t="array" ref="H1405">INDEX(CC!C:C,MATCH(1,(CC!A:A=G1405)*(CC!B:B=I1405),0))</f>
        <v>1203</v>
      </c>
      <c r="I1405" s="28" t="s">
        <v>44</v>
      </c>
      <c r="J1405" s="31">
        <v>21500.0</v>
      </c>
      <c r="K1405" s="28" t="str">
        <f>IFERROR(__xludf.DUMMYFUNCTION("IFERROR(
INDEX(
FILTER(
MAP(
reglas!$B$2:$B$240,
reglas!$C$2:$C$240,
reglas!$D$2:$D$240,
reglas!$E$2:$E$240,
LAMBDA(rEmisor,rPatron,rConcepto,rTipo,
IF(
AND(
OR(
UPPER(TRIM(rEmisor))=UPPER(TRIM(C1405)),
UPPER(TRIM(rEmisor))=""CUALQUIERA""
),
OR(
UPPER(TRI"&amp;"M(rTipo))=""SOLO EMISOR"",
AND(
UPPER(TRIM(rTipo))=""EXACTA"",
UPPER(TRIM(AG1405))=UPPER(TRIM(rPatron))
),
AND(
OR(
UPPER(TRIM(rTipo))=""CONTIENE"",
UPPER(TRIM(rTipo))=""COINCIDENCIA""
),
ISNUMBER(SEARCH(UPPER(TRIM(rPatron)),UPPER(TRIM(D1405))))
)
)
),
rC"&amp;"oncepto,
""""
)
)
),
MAP(
reglas!$B$2:$B$240,
reglas!$C$2:$C$240,
reglas!$D$2:$D$240,
reglas!$E$2:$E$240,
LAMBDA(rEmisor,rPatron,rConcepto,rTipo,
IF(
AND(
OR(
UPPER(TRIM(rEmisor))=UPPER(TRIM(C1405)),
UPPER(TRIM(rEmisor))=""CUALQUIERA""
),
OR(
UPPER(TRIM(r"&amp;"Tipo))=""SOLO EMISOR"",
AND(
UPPER(TRIM(rTipo))=""EXACTA"",
UPPER(TRIM(D1405))=UPPER(TRIM(rPatron))
),
AND(
OR(
UPPER(TRIM(rTipo))=""CONTIENE"",
UPPER(TRIM(rTipo))=""COINCIDENCIA""
),
ISNUMBER(SEARCH(UPPER(TRIM(rPatron)),UPPER(TRIM(D1405))))
)
)
),
rConce"&amp;"pto,
""""
)
)
)&lt;&gt;""""
),
1
),
""""
)"),"CARTA DE LABORATORIO")</f>
        <v>CARTA DE LABORATORIO</v>
      </c>
      <c r="L1405" s="27"/>
      <c r="M1405" s="27"/>
      <c r="N1405" s="27"/>
      <c r="O1405" s="27"/>
      <c r="P1405" s="27"/>
      <c r="Q1405" s="27"/>
      <c r="R1405" s="27"/>
      <c r="S1405" s="27"/>
      <c r="T1405" s="27"/>
      <c r="U1405" s="27"/>
      <c r="V1405" s="27"/>
      <c r="W1405" s="27"/>
      <c r="X1405" s="27"/>
      <c r="Y1405" s="27"/>
    </row>
    <row r="1406">
      <c r="A1406" s="32"/>
      <c r="B1406" s="32"/>
      <c r="C1406" s="29" t="s">
        <v>483</v>
      </c>
      <c r="D1406" s="29" t="s">
        <v>1896</v>
      </c>
      <c r="E1406" s="30">
        <v>2450.0</v>
      </c>
      <c r="F1406" s="28">
        <v>0.0</v>
      </c>
      <c r="G1406" s="28" t="s">
        <v>551</v>
      </c>
      <c r="H1406" s="28">
        <f t="array" ref="H1406">INDEX(CC!C:C,MATCH(1,(CC!A:A=G1406)*(CC!B:B=I1406),0))</f>
        <v>1203</v>
      </c>
      <c r="I1406" s="28" t="s">
        <v>44</v>
      </c>
      <c r="J1406" s="31">
        <v>2450.0</v>
      </c>
      <c r="K1406" s="28" t="str">
        <f>IFERROR(__xludf.DUMMYFUNCTION("IFERROR(
INDEX(
FILTER(
MAP(
reglas!$B$2:$B$240,
reglas!$C$2:$C$240,
reglas!$D$2:$D$240,
reglas!$E$2:$E$240,
LAMBDA(rEmisor,rPatron,rConcepto,rTipo,
IF(
AND(
OR(
UPPER(TRIM(rEmisor))=UPPER(TRIM(C1406)),
UPPER(TRIM(rEmisor))=""CUALQUIERA""
),
OR(
UPPER(TRI"&amp;"M(rTipo))=""SOLO EMISOR"",
AND(
UPPER(TRIM(rTipo))=""EXACTA"",
UPPER(TRIM(AG1406))=UPPER(TRIM(rPatron))
),
AND(
OR(
UPPER(TRIM(rTipo))=""CONTIENE"",
UPPER(TRIM(rTipo))=""COINCIDENCIA""
),
ISNUMBER(SEARCH(UPPER(TRIM(rPatron)),UPPER(TRIM(D1406))))
)
)
),
rC"&amp;"oncepto,
""""
)
)
),
MAP(
reglas!$B$2:$B$240,
reglas!$C$2:$C$240,
reglas!$D$2:$D$240,
reglas!$E$2:$E$240,
LAMBDA(rEmisor,rPatron,rConcepto,rTipo,
IF(
AND(
OR(
UPPER(TRIM(rEmisor))=UPPER(TRIM(C1406)),
UPPER(TRIM(rEmisor))=""CUALQUIERA""
),
OR(
UPPER(TRIM(r"&amp;"Tipo))=""SOLO EMISOR"",
AND(
UPPER(TRIM(rTipo))=""EXACTA"",
UPPER(TRIM(D1406))=UPPER(TRIM(rPatron))
),
AND(
OR(
UPPER(TRIM(rTipo))=""CONTIENE"",
UPPER(TRIM(rTipo))=""COINCIDENCIA""
),
ISNUMBER(SEARCH(UPPER(TRIM(rPatron)),UPPER(TRIM(D1406))))
)
)
),
rConce"&amp;"pto,
""""
)
)
)&lt;&gt;""""
),
1
),
""""
)"),"CARTA DE LABORATORIO")</f>
        <v>CARTA DE LABORATORIO</v>
      </c>
      <c r="L1406" s="27"/>
      <c r="M1406" s="27"/>
      <c r="N1406" s="27"/>
      <c r="O1406" s="27"/>
      <c r="P1406" s="27"/>
      <c r="Q1406" s="27"/>
      <c r="R1406" s="27"/>
      <c r="S1406" s="27"/>
      <c r="T1406" s="27"/>
      <c r="U1406" s="27"/>
      <c r="V1406" s="27"/>
      <c r="W1406" s="27"/>
      <c r="X1406" s="27"/>
      <c r="Y1406" s="27"/>
    </row>
    <row r="1407">
      <c r="A1407" s="32"/>
      <c r="B1407" s="28" t="s">
        <v>29</v>
      </c>
      <c r="C1407" s="29" t="s">
        <v>172</v>
      </c>
      <c r="D1407" s="29" t="s">
        <v>1891</v>
      </c>
      <c r="E1407" s="30">
        <v>11500.0</v>
      </c>
      <c r="F1407" s="28">
        <v>0.0</v>
      </c>
      <c r="G1407" s="28" t="s">
        <v>250</v>
      </c>
      <c r="H1407" s="28">
        <f t="array" ref="H1407">INDEX(CC!C:C,MATCH(1,(CC!A:A=G1407)*(CC!B:B=I1407),0))</f>
        <v>1402</v>
      </c>
      <c r="I1407" s="28" t="s">
        <v>25</v>
      </c>
      <c r="J1407" s="31">
        <v>11500.0</v>
      </c>
      <c r="K1407" s="28" t="str">
        <f>IFERROR(__xludf.DUMMYFUNCTION("IFERROR(
INDEX(
FILTER(
MAP(
reglas!$B$2:$B$240,
reglas!$C$2:$C$240,
reglas!$D$2:$D$240,
reglas!$E$2:$E$240,
LAMBDA(rEmisor,rPatron,rConcepto,rTipo,
IF(
AND(
OR(
UPPER(TRIM(rEmisor))=UPPER(TRIM(C1407)),
UPPER(TRIM(rEmisor))=""CUALQUIERA""
),
OR(
UPPER(TRI"&amp;"M(rTipo))=""SOLO EMISOR"",
AND(
UPPER(TRIM(rTipo))=""EXACTA"",
UPPER(TRIM(AG1407))=UPPER(TRIM(rPatron))
),
AND(
OR(
UPPER(TRIM(rTipo))=""CONTIENE"",
UPPER(TRIM(rTipo))=""COINCIDENCIA""
),
ISNUMBER(SEARCH(UPPER(TRIM(rPatron)),UPPER(TRIM(D1407))))
)
)
),
rC"&amp;"oncepto,
""""
)
)
),
MAP(
reglas!$B$2:$B$240,
reglas!$C$2:$C$240,
reglas!$D$2:$D$240,
reglas!$E$2:$E$240,
LAMBDA(rEmisor,rPatron,rConcepto,rTipo,
IF(
AND(
OR(
UPPER(TRIM(rEmisor))=UPPER(TRIM(C1407)),
UPPER(TRIM(rEmisor))=""CUALQUIERA""
),
OR(
UPPER(TRIM(r"&amp;"Tipo))=""SOLO EMISOR"",
AND(
UPPER(TRIM(rTipo))=""EXACTA"",
UPPER(TRIM(D1407))=UPPER(TRIM(rPatron))
),
AND(
OR(
UPPER(TRIM(rTipo))=""CONTIENE"",
UPPER(TRIM(rTipo))=""COINCIDENCIA""
),
ISNUMBER(SEARCH(UPPER(TRIM(rPatron)),UPPER(TRIM(D1407))))
)
)
),
rConce"&amp;"pto,
""""
)
)
)&lt;&gt;""""
),
1
),
""""
)"),"TRANSPORTE")</f>
        <v>TRANSPORTE</v>
      </c>
      <c r="L1407" s="27"/>
      <c r="M1407" s="27"/>
      <c r="N1407" s="27"/>
      <c r="O1407" s="27"/>
      <c r="P1407" s="27"/>
      <c r="Q1407" s="27"/>
      <c r="R1407" s="27"/>
      <c r="S1407" s="27"/>
      <c r="T1407" s="27"/>
      <c r="U1407" s="27"/>
      <c r="V1407" s="27"/>
      <c r="W1407" s="27"/>
      <c r="X1407" s="27"/>
      <c r="Y1407" s="27"/>
    </row>
    <row r="1408">
      <c r="A1408" s="32"/>
      <c r="B1408" s="28" t="s">
        <v>29</v>
      </c>
      <c r="C1408" s="29" t="s">
        <v>331</v>
      </c>
      <c r="D1408" s="29" t="s">
        <v>33</v>
      </c>
      <c r="E1408" s="28">
        <v>0.01</v>
      </c>
      <c r="F1408" s="28">
        <v>0.0</v>
      </c>
      <c r="G1408" s="28" t="s">
        <v>385</v>
      </c>
      <c r="H1408" s="28">
        <f t="array" ref="H1408">INDEX(CC!C:C,MATCH(1,(CC!A:A=G1408)*(CC!B:B=I1408),0))</f>
        <v>502</v>
      </c>
      <c r="I1408" s="28" t="s">
        <v>25</v>
      </c>
      <c r="J1408" s="31">
        <v>0.01</v>
      </c>
      <c r="K1408" s="28" t="str">
        <f>IFERROR(__xludf.DUMMYFUNCTION("IFERROR(
INDEX(
FILTER(
MAP(
reglas!$B$2:$B$240,
reglas!$C$2:$C$240,
reglas!$D$2:$D$240,
reglas!$E$2:$E$240,
LAMBDA(rEmisor,rPatron,rConcepto,rTipo,
IF(
AND(
OR(
UPPER(TRIM(rEmisor))=UPPER(TRIM(C1408)),
UPPER(TRIM(rEmisor))=""CUALQUIERA""
),
OR(
UPPER(TRI"&amp;"M(rTipo))=""SOLO EMISOR"",
AND(
UPPER(TRIM(rTipo))=""EXACTA"",
UPPER(TRIM(AG1408))=UPPER(TRIM(rPatron))
),
AND(
OR(
UPPER(TRIM(rTipo))=""CONTIENE"",
UPPER(TRIM(rTipo))=""COINCIDENCIA""
),
ISNUMBER(SEARCH(UPPER(TRIM(rPatron)),UPPER(TRIM(D1408))))
)
)
),
rC"&amp;"oncepto,
""""
)
)
),
MAP(
reglas!$B$2:$B$240,
reglas!$C$2:$C$240,
reglas!$D$2:$D$240,
reglas!$E$2:$E$240,
LAMBDA(rEmisor,rPatron,rConcepto,rTipo,
IF(
AND(
OR(
UPPER(TRIM(rEmisor))=UPPER(TRIM(C1408)),
UPPER(TRIM(rEmisor))=""CUALQUIERA""
),
OR(
UPPER(TRIM(r"&amp;"Tipo))=""SOLO EMISOR"",
AND(
UPPER(TRIM(rTipo))=""EXACTA"",
UPPER(TRIM(D1408))=UPPER(TRIM(rPatron))
),
AND(
OR(
UPPER(TRIM(rTipo))=""CONTIENE"",
UPPER(TRIM(rTipo))=""COINCIDENCIA""
),
ISNUMBER(SEARCH(UPPER(TRIM(rPatron)),UPPER(TRIM(D1408))))
)
)
),
rConce"&amp;"pto,
""""
)
)
)&lt;&gt;""""
),
1
),
""""
)"),"N/A")</f>
        <v>N/A</v>
      </c>
      <c r="L1408" s="27"/>
      <c r="M1408" s="27"/>
      <c r="N1408" s="27"/>
      <c r="O1408" s="27"/>
      <c r="P1408" s="27"/>
      <c r="Q1408" s="27"/>
      <c r="R1408" s="27"/>
      <c r="S1408" s="27"/>
      <c r="T1408" s="27"/>
      <c r="U1408" s="27"/>
      <c r="V1408" s="27"/>
      <c r="W1408" s="27"/>
      <c r="X1408" s="27"/>
      <c r="Y1408" s="27"/>
    </row>
    <row r="1409">
      <c r="A1409" s="32"/>
      <c r="B1409" s="28" t="s">
        <v>29</v>
      </c>
      <c r="C1409" s="29" t="s">
        <v>172</v>
      </c>
      <c r="D1409" s="29" t="s">
        <v>1891</v>
      </c>
      <c r="E1409" s="30">
        <v>11500.0</v>
      </c>
      <c r="F1409" s="28">
        <v>0.0</v>
      </c>
      <c r="G1409" s="28" t="s">
        <v>250</v>
      </c>
      <c r="H1409" s="28">
        <f t="array" ref="H1409">INDEX(CC!C:C,MATCH(1,(CC!A:A=G1409)*(CC!B:B=I1409),0))</f>
        <v>1402</v>
      </c>
      <c r="I1409" s="28" t="s">
        <v>25</v>
      </c>
      <c r="J1409" s="31">
        <v>11500.0</v>
      </c>
      <c r="K1409" s="28" t="str">
        <f>IFERROR(__xludf.DUMMYFUNCTION("IFERROR(
INDEX(
FILTER(
MAP(
reglas!$B$2:$B$240,
reglas!$C$2:$C$240,
reglas!$D$2:$D$240,
reglas!$E$2:$E$240,
LAMBDA(rEmisor,rPatron,rConcepto,rTipo,
IF(
AND(
OR(
UPPER(TRIM(rEmisor))=UPPER(TRIM(C1409)),
UPPER(TRIM(rEmisor))=""CUALQUIERA""
),
OR(
UPPER(TRI"&amp;"M(rTipo))=""SOLO EMISOR"",
AND(
UPPER(TRIM(rTipo))=""EXACTA"",
UPPER(TRIM(AG1409))=UPPER(TRIM(rPatron))
),
AND(
OR(
UPPER(TRIM(rTipo))=""CONTIENE"",
UPPER(TRIM(rTipo))=""COINCIDENCIA""
),
ISNUMBER(SEARCH(UPPER(TRIM(rPatron)),UPPER(TRIM(D1409))))
)
)
),
rC"&amp;"oncepto,
""""
)
)
),
MAP(
reglas!$B$2:$B$240,
reglas!$C$2:$C$240,
reglas!$D$2:$D$240,
reglas!$E$2:$E$240,
LAMBDA(rEmisor,rPatron,rConcepto,rTipo,
IF(
AND(
OR(
UPPER(TRIM(rEmisor))=UPPER(TRIM(C1409)),
UPPER(TRIM(rEmisor))=""CUALQUIERA""
),
OR(
UPPER(TRIM(r"&amp;"Tipo))=""SOLO EMISOR"",
AND(
UPPER(TRIM(rTipo))=""EXACTA"",
UPPER(TRIM(D1409))=UPPER(TRIM(rPatron))
),
AND(
OR(
UPPER(TRIM(rTipo))=""CONTIENE"",
UPPER(TRIM(rTipo))=""COINCIDENCIA""
),
ISNUMBER(SEARCH(UPPER(TRIM(rPatron)),UPPER(TRIM(D1409))))
)
)
),
rConce"&amp;"pto,
""""
)
)
)&lt;&gt;""""
),
1
),
""""
)"),"TRANSPORTE")</f>
        <v>TRANSPORTE</v>
      </c>
      <c r="L1409" s="27"/>
      <c r="M1409" s="27"/>
      <c r="N1409" s="27"/>
      <c r="O1409" s="27"/>
      <c r="P1409" s="27"/>
      <c r="Q1409" s="27"/>
      <c r="R1409" s="27"/>
      <c r="S1409" s="27"/>
      <c r="T1409" s="27"/>
      <c r="U1409" s="27"/>
      <c r="V1409" s="27"/>
      <c r="W1409" s="27"/>
      <c r="X1409" s="27"/>
      <c r="Y1409" s="27"/>
    </row>
    <row r="1410">
      <c r="A1410" s="32"/>
      <c r="B1410" s="28" t="s">
        <v>29</v>
      </c>
      <c r="C1410" s="29" t="s">
        <v>172</v>
      </c>
      <c r="D1410" s="29" t="s">
        <v>1897</v>
      </c>
      <c r="E1410" s="30">
        <v>11500.0</v>
      </c>
      <c r="F1410" s="28">
        <v>0.0</v>
      </c>
      <c r="G1410" s="28" t="s">
        <v>250</v>
      </c>
      <c r="H1410" s="28">
        <f t="array" ref="H1410">INDEX(CC!C:C,MATCH(1,(CC!A:A=G1410)*(CC!B:B=I1410),0))</f>
        <v>1402</v>
      </c>
      <c r="I1410" s="28" t="s">
        <v>25</v>
      </c>
      <c r="J1410" s="31">
        <v>11500.0</v>
      </c>
      <c r="K1410" s="28" t="str">
        <f>IFERROR(__xludf.DUMMYFUNCTION("IFERROR(
INDEX(
FILTER(
MAP(
reglas!$B$2:$B$240,
reglas!$C$2:$C$240,
reglas!$D$2:$D$240,
reglas!$E$2:$E$240,
LAMBDA(rEmisor,rPatron,rConcepto,rTipo,
IF(
AND(
OR(
UPPER(TRIM(rEmisor))=UPPER(TRIM(C1410)),
UPPER(TRIM(rEmisor))=""CUALQUIERA""
),
OR(
UPPER(TRI"&amp;"M(rTipo))=""SOLO EMISOR"",
AND(
UPPER(TRIM(rTipo))=""EXACTA"",
UPPER(TRIM(AG1410))=UPPER(TRIM(rPatron))
),
AND(
OR(
UPPER(TRIM(rTipo))=""CONTIENE"",
UPPER(TRIM(rTipo))=""COINCIDENCIA""
),
ISNUMBER(SEARCH(UPPER(TRIM(rPatron)),UPPER(TRIM(D1410))))
)
)
),
rC"&amp;"oncepto,
""""
)
)
),
MAP(
reglas!$B$2:$B$240,
reglas!$C$2:$C$240,
reglas!$D$2:$D$240,
reglas!$E$2:$E$240,
LAMBDA(rEmisor,rPatron,rConcepto,rTipo,
IF(
AND(
OR(
UPPER(TRIM(rEmisor))=UPPER(TRIM(C1410)),
UPPER(TRIM(rEmisor))=""CUALQUIERA""
),
OR(
UPPER(TRIM(r"&amp;"Tipo))=""SOLO EMISOR"",
AND(
UPPER(TRIM(rTipo))=""EXACTA"",
UPPER(TRIM(D1410))=UPPER(TRIM(rPatron))
),
AND(
OR(
UPPER(TRIM(rTipo))=""CONTIENE"",
UPPER(TRIM(rTipo))=""COINCIDENCIA""
),
ISNUMBER(SEARCH(UPPER(TRIM(rPatron)),UPPER(TRIM(D1410))))
)
)
),
rConce"&amp;"pto,
""""
)
)
)&lt;&gt;""""
),
1
),
""""
)"),"TRANSPORTE")</f>
        <v>TRANSPORTE</v>
      </c>
      <c r="L1410" s="27"/>
      <c r="M1410" s="27"/>
      <c r="N1410" s="27"/>
      <c r="O1410" s="27"/>
      <c r="P1410" s="27"/>
      <c r="Q1410" s="27"/>
      <c r="R1410" s="27"/>
      <c r="S1410" s="27"/>
      <c r="T1410" s="27"/>
      <c r="U1410" s="27"/>
      <c r="V1410" s="27"/>
      <c r="W1410" s="27"/>
      <c r="X1410" s="27"/>
      <c r="Y1410" s="27"/>
    </row>
    <row r="1411">
      <c r="A1411" s="32"/>
      <c r="B1411" s="28" t="s">
        <v>29</v>
      </c>
      <c r="C1411" s="29" t="s">
        <v>272</v>
      </c>
      <c r="D1411" s="29" t="s">
        <v>73</v>
      </c>
      <c r="E1411" s="30">
        <v>1062.6</v>
      </c>
      <c r="F1411" s="28">
        <v>0.0</v>
      </c>
      <c r="G1411" s="28" t="s">
        <v>55</v>
      </c>
      <c r="H1411" s="28">
        <f t="array" ref="H1411">INDEX(CC!C:C,MATCH(1,(CC!A:A=G1411)*(CC!B:B=I1411),0))</f>
        <v>903</v>
      </c>
      <c r="I1411" s="28" t="s">
        <v>44</v>
      </c>
      <c r="J1411" s="31">
        <v>1062.6</v>
      </c>
      <c r="K1411" s="28" t="str">
        <f>IFERROR(__xludf.DUMMYFUNCTION("IFERROR(
INDEX(
FILTER(
MAP(
reglas!$B$2:$B$240,
reglas!$C$2:$C$240,
reglas!$D$2:$D$240,
reglas!$E$2:$E$240,
LAMBDA(rEmisor,rPatron,rConcepto,rTipo,
IF(
AND(
OR(
UPPER(TRIM(rEmisor))=UPPER(TRIM(C1411)),
UPPER(TRIM(rEmisor))=""CUALQUIERA""
),
OR(
UPPER(TRI"&amp;"M(rTipo))=""SOLO EMISOR"",
AND(
UPPER(TRIM(rTipo))=""EXACTA"",
UPPER(TRIM(AG1411))=UPPER(TRIM(rPatron))
),
AND(
OR(
UPPER(TRIM(rTipo))=""CONTIENE"",
UPPER(TRIM(rTipo))=""COINCIDENCIA""
),
ISNUMBER(SEARCH(UPPER(TRIM(rPatron)),UPPER(TRIM(D1411))))
)
)
),
rC"&amp;"oncepto,
""""
)
)
),
MAP(
reglas!$B$2:$B$240,
reglas!$C$2:$C$240,
reglas!$D$2:$D$240,
reglas!$E$2:$E$240,
LAMBDA(rEmisor,rPatron,rConcepto,rTipo,
IF(
AND(
OR(
UPPER(TRIM(rEmisor))=UPPER(TRIM(C1411)),
UPPER(TRIM(rEmisor))=""CUALQUIERA""
),
OR(
UPPER(TRIM(r"&amp;"Tipo))=""SOLO EMISOR"",
AND(
UPPER(TRIM(rTipo))=""EXACTA"",
UPPER(TRIM(D1411))=UPPER(TRIM(rPatron))
),
AND(
OR(
UPPER(TRIM(rTipo))=""CONTIENE"",
UPPER(TRIM(rTipo))=""COINCIDENCIA""
),
ISNUMBER(SEARCH(UPPER(TRIM(rPatron)),UPPER(TRIM(D1411))))
)
)
),
rConce"&amp;"pto,
""""
)
)
)&lt;&gt;""""
),
1
),
""""
)"),"MANIOBRAS")</f>
        <v>MANIOBRAS</v>
      </c>
      <c r="L1411" s="27"/>
      <c r="M1411" s="27"/>
      <c r="N1411" s="27"/>
      <c r="O1411" s="27"/>
      <c r="P1411" s="27"/>
      <c r="Q1411" s="27"/>
      <c r="R1411" s="27"/>
      <c r="S1411" s="27"/>
      <c r="T1411" s="27"/>
      <c r="U1411" s="27"/>
      <c r="V1411" s="27"/>
      <c r="W1411" s="27"/>
      <c r="X1411" s="27"/>
      <c r="Y1411" s="27"/>
    </row>
    <row r="1412">
      <c r="A1412" s="32"/>
      <c r="B1412" s="32"/>
      <c r="C1412" s="29" t="s">
        <v>272</v>
      </c>
      <c r="D1412" s="29" t="s">
        <v>1038</v>
      </c>
      <c r="E1412" s="30">
        <v>4477.89</v>
      </c>
      <c r="F1412" s="28">
        <v>0.0</v>
      </c>
      <c r="G1412" s="28" t="s">
        <v>55</v>
      </c>
      <c r="H1412" s="28">
        <f t="array" ref="H1412">INDEX(CC!C:C,MATCH(1,(CC!A:A=G1412)*(CC!B:B=I1412),0))</f>
        <v>903</v>
      </c>
      <c r="I1412" s="28" t="s">
        <v>44</v>
      </c>
      <c r="J1412" s="31">
        <v>4477.89</v>
      </c>
      <c r="K1412" s="28" t="str">
        <f>IFERROR(__xludf.DUMMYFUNCTION("IFERROR(
INDEX(
FILTER(
MAP(
reglas!$B$2:$B$240,
reglas!$C$2:$C$240,
reglas!$D$2:$D$240,
reglas!$E$2:$E$240,
LAMBDA(rEmisor,rPatron,rConcepto,rTipo,
IF(
AND(
OR(
UPPER(TRIM(rEmisor))=UPPER(TRIM(C1412)),
UPPER(TRIM(rEmisor))=""CUALQUIERA""
),
OR(
UPPER(TRI"&amp;"M(rTipo))=""SOLO EMISOR"",
AND(
UPPER(TRIM(rTipo))=""EXACTA"",
UPPER(TRIM(AG1412))=UPPER(TRIM(rPatron))
),
AND(
OR(
UPPER(TRIM(rTipo))=""CONTIENE"",
UPPER(TRIM(rTipo))=""COINCIDENCIA""
),
ISNUMBER(SEARCH(UPPER(TRIM(rPatron)),UPPER(TRIM(D1412))))
)
)
),
rC"&amp;"oncepto,
""""
)
)
),
MAP(
reglas!$B$2:$B$240,
reglas!$C$2:$C$240,
reglas!$D$2:$D$240,
reglas!$E$2:$E$240,
LAMBDA(rEmisor,rPatron,rConcepto,rTipo,
IF(
AND(
OR(
UPPER(TRIM(rEmisor))=UPPER(TRIM(C1412)),
UPPER(TRIM(rEmisor))=""CUALQUIERA""
),
OR(
UPPER(TRIM(r"&amp;"Tipo))=""SOLO EMISOR"",
AND(
UPPER(TRIM(rTipo))=""EXACTA"",
UPPER(TRIM(D1412))=UPPER(TRIM(rPatron))
),
AND(
OR(
UPPER(TRIM(rTipo))=""CONTIENE"",
UPPER(TRIM(rTipo))=""COINCIDENCIA""
),
ISNUMBER(SEARCH(UPPER(TRIM(rPatron)),UPPER(TRIM(D1412))))
)
)
),
rConce"&amp;"pto,
""""
)
)
)&lt;&gt;""""
),
1
),
""""
)"),"MANIOBRAS")</f>
        <v>MANIOBRAS</v>
      </c>
      <c r="L1412" s="27"/>
      <c r="M1412" s="27"/>
      <c r="N1412" s="27"/>
      <c r="O1412" s="27"/>
      <c r="P1412" s="27"/>
      <c r="Q1412" s="27"/>
      <c r="R1412" s="27"/>
      <c r="S1412" s="27"/>
      <c r="T1412" s="27"/>
      <c r="U1412" s="27"/>
      <c r="V1412" s="27"/>
      <c r="W1412" s="27"/>
      <c r="X1412" s="27"/>
      <c r="Y1412" s="27"/>
    </row>
    <row r="1413">
      <c r="A1413" s="32"/>
      <c r="B1413" s="32"/>
      <c r="C1413" s="29" t="s">
        <v>272</v>
      </c>
      <c r="D1413" s="29" t="s">
        <v>77</v>
      </c>
      <c r="E1413" s="30">
        <v>1248.43</v>
      </c>
      <c r="F1413" s="28">
        <v>0.0</v>
      </c>
      <c r="G1413" s="28" t="s">
        <v>55</v>
      </c>
      <c r="H1413" s="28">
        <f t="array" ref="H1413">INDEX(CC!C:C,MATCH(1,(CC!A:A=G1413)*(CC!B:B=I1413),0))</f>
        <v>903</v>
      </c>
      <c r="I1413" s="28" t="s">
        <v>44</v>
      </c>
      <c r="J1413" s="31">
        <v>1248.43</v>
      </c>
      <c r="K1413" s="28" t="str">
        <f>IFERROR(__xludf.DUMMYFUNCTION("IFERROR(
INDEX(
FILTER(
MAP(
reglas!$B$2:$B$240,
reglas!$C$2:$C$240,
reglas!$D$2:$D$240,
reglas!$E$2:$E$240,
LAMBDA(rEmisor,rPatron,rConcepto,rTipo,
IF(
AND(
OR(
UPPER(TRIM(rEmisor))=UPPER(TRIM(C1413)),
UPPER(TRIM(rEmisor))=""CUALQUIERA""
),
OR(
UPPER(TRI"&amp;"M(rTipo))=""SOLO EMISOR"",
AND(
UPPER(TRIM(rTipo))=""EXACTA"",
UPPER(TRIM(AG1413))=UPPER(TRIM(rPatron))
),
AND(
OR(
UPPER(TRIM(rTipo))=""CONTIENE"",
UPPER(TRIM(rTipo))=""COINCIDENCIA""
),
ISNUMBER(SEARCH(UPPER(TRIM(rPatron)),UPPER(TRIM(D1413))))
)
)
),
rC"&amp;"oncepto,
""""
)
)
),
MAP(
reglas!$B$2:$B$240,
reglas!$C$2:$C$240,
reglas!$D$2:$D$240,
reglas!$E$2:$E$240,
LAMBDA(rEmisor,rPatron,rConcepto,rTipo,
IF(
AND(
OR(
UPPER(TRIM(rEmisor))=UPPER(TRIM(C1413)),
UPPER(TRIM(rEmisor))=""CUALQUIERA""
),
OR(
UPPER(TRIM(r"&amp;"Tipo))=""SOLO EMISOR"",
AND(
UPPER(TRIM(rTipo))=""EXACTA"",
UPPER(TRIM(D1413))=UPPER(TRIM(rPatron))
),
AND(
OR(
UPPER(TRIM(rTipo))=""CONTIENE"",
UPPER(TRIM(rTipo))=""COINCIDENCIA""
),
ISNUMBER(SEARCH(UPPER(TRIM(rPatron)),UPPER(TRIM(D1413))))
)
)
),
rConce"&amp;"pto,
""""
)
)
)&lt;&gt;""""
),
1
),
""""
)"),"MANIOBRAS")</f>
        <v>MANIOBRAS</v>
      </c>
      <c r="L1413" s="27"/>
      <c r="M1413" s="27"/>
      <c r="N1413" s="27"/>
      <c r="O1413" s="27"/>
      <c r="P1413" s="27"/>
      <c r="Q1413" s="27"/>
      <c r="R1413" s="27"/>
      <c r="S1413" s="27"/>
      <c r="T1413" s="27"/>
      <c r="U1413" s="27"/>
      <c r="V1413" s="27"/>
      <c r="W1413" s="27"/>
      <c r="X1413" s="27"/>
      <c r="Y1413" s="27"/>
    </row>
    <row r="1414">
      <c r="A1414" s="32"/>
      <c r="B1414" s="32"/>
      <c r="C1414" s="29" t="s">
        <v>272</v>
      </c>
      <c r="D1414" s="29" t="s">
        <v>1619</v>
      </c>
      <c r="E1414" s="28">
        <v>514.05</v>
      </c>
      <c r="F1414" s="28">
        <v>0.0</v>
      </c>
      <c r="G1414" s="28" t="s">
        <v>55</v>
      </c>
      <c r="H1414" s="28">
        <f t="array" ref="H1414">INDEX(CC!C:C,MATCH(1,(CC!A:A=G1414)*(CC!B:B=I1414),0))</f>
        <v>903</v>
      </c>
      <c r="I1414" s="28" t="s">
        <v>44</v>
      </c>
      <c r="J1414" s="31">
        <v>514.05</v>
      </c>
      <c r="K1414" s="28" t="str">
        <f>IFERROR(__xludf.DUMMYFUNCTION("IFERROR(
INDEX(
FILTER(
MAP(
reglas!$B$2:$B$240,
reglas!$C$2:$C$240,
reglas!$D$2:$D$240,
reglas!$E$2:$E$240,
LAMBDA(rEmisor,rPatron,rConcepto,rTipo,
IF(
AND(
OR(
UPPER(TRIM(rEmisor))=UPPER(TRIM(C1414)),
UPPER(TRIM(rEmisor))=""CUALQUIERA""
),
OR(
UPPER(TRI"&amp;"M(rTipo))=""SOLO EMISOR"",
AND(
UPPER(TRIM(rTipo))=""EXACTA"",
UPPER(TRIM(AG1414))=UPPER(TRIM(rPatron))
),
AND(
OR(
UPPER(TRIM(rTipo))=""CONTIENE"",
UPPER(TRIM(rTipo))=""COINCIDENCIA""
),
ISNUMBER(SEARCH(UPPER(TRIM(rPatron)),UPPER(TRIM(D1414))))
)
)
),
rC"&amp;"oncepto,
""""
)
)
),
MAP(
reglas!$B$2:$B$240,
reglas!$C$2:$C$240,
reglas!$D$2:$D$240,
reglas!$E$2:$E$240,
LAMBDA(rEmisor,rPatron,rConcepto,rTipo,
IF(
AND(
OR(
UPPER(TRIM(rEmisor))=UPPER(TRIM(C1414)),
UPPER(TRIM(rEmisor))=""CUALQUIERA""
),
OR(
UPPER(TRIM(r"&amp;"Tipo))=""SOLO EMISOR"",
AND(
UPPER(TRIM(rTipo))=""EXACTA"",
UPPER(TRIM(D1414))=UPPER(TRIM(rPatron))
),
AND(
OR(
UPPER(TRIM(rTipo))=""CONTIENE"",
UPPER(TRIM(rTipo))=""COINCIDENCIA""
),
ISNUMBER(SEARCH(UPPER(TRIM(rPatron)),UPPER(TRIM(D1414))))
)
)
),
rConce"&amp;"pto,
""""
)
)
)&lt;&gt;""""
),
1
),
""""
)"),"MANIOBRAS")</f>
        <v>MANIOBRAS</v>
      </c>
      <c r="L1414" s="27"/>
      <c r="M1414" s="27"/>
      <c r="N1414" s="27"/>
      <c r="O1414" s="27"/>
      <c r="P1414" s="27"/>
      <c r="Q1414" s="27"/>
      <c r="R1414" s="27"/>
      <c r="S1414" s="27"/>
      <c r="T1414" s="27"/>
      <c r="U1414" s="27"/>
      <c r="V1414" s="27"/>
      <c r="W1414" s="27"/>
      <c r="X1414" s="27"/>
      <c r="Y1414" s="27"/>
    </row>
    <row r="1415">
      <c r="A1415" s="32"/>
      <c r="B1415" s="28" t="s">
        <v>29</v>
      </c>
      <c r="C1415" s="29" t="s">
        <v>278</v>
      </c>
      <c r="D1415" s="29" t="s">
        <v>560</v>
      </c>
      <c r="E1415" s="30">
        <v>3500.0</v>
      </c>
      <c r="F1415" s="28">
        <v>0.0</v>
      </c>
      <c r="G1415" s="28" t="s">
        <v>250</v>
      </c>
      <c r="H1415" s="28">
        <f t="array" ref="H1415">INDEX(CC!C:C,MATCH(1,(CC!A:A=G1415)*(CC!B:B=I1415),0))</f>
        <v>1402</v>
      </c>
      <c r="I1415" s="28" t="s">
        <v>25</v>
      </c>
      <c r="J1415" s="31">
        <v>3500.0</v>
      </c>
      <c r="K1415" s="28" t="str">
        <f>IFERROR(__xludf.DUMMYFUNCTION("IFERROR(
INDEX(
FILTER(
MAP(
reglas!$B$2:$B$240,
reglas!$C$2:$C$240,
reglas!$D$2:$D$240,
reglas!$E$2:$E$240,
LAMBDA(rEmisor,rPatron,rConcepto,rTipo,
IF(
AND(
OR(
UPPER(TRIM(rEmisor))=UPPER(TRIM(C1415)),
UPPER(TRIM(rEmisor))=""CUALQUIERA""
),
OR(
UPPER(TRI"&amp;"M(rTipo))=""SOLO EMISOR"",
AND(
UPPER(TRIM(rTipo))=""EXACTA"",
UPPER(TRIM(AG1415))=UPPER(TRIM(rPatron))
),
AND(
OR(
UPPER(TRIM(rTipo))=""CONTIENE"",
UPPER(TRIM(rTipo))=""COINCIDENCIA""
),
ISNUMBER(SEARCH(UPPER(TRIM(rPatron)),UPPER(TRIM(D1415))))
)
)
),
rC"&amp;"oncepto,
""""
)
)
),
MAP(
reglas!$B$2:$B$240,
reglas!$C$2:$C$240,
reglas!$D$2:$D$240,
reglas!$E$2:$E$240,
LAMBDA(rEmisor,rPatron,rConcepto,rTipo,
IF(
AND(
OR(
UPPER(TRIM(rEmisor))=UPPER(TRIM(C1415)),
UPPER(TRIM(rEmisor))=""CUALQUIERA""
),
OR(
UPPER(TRIM(r"&amp;"Tipo))=""SOLO EMISOR"",
AND(
UPPER(TRIM(rTipo))=""EXACTA"",
UPPER(TRIM(D1415))=UPPER(TRIM(rPatron))
),
AND(
OR(
UPPER(TRIM(rTipo))=""CONTIENE"",
UPPER(TRIM(rTipo))=""COINCIDENCIA""
),
ISNUMBER(SEARCH(UPPER(TRIM(rPatron)),UPPER(TRIM(D1415))))
)
)
),
rConce"&amp;"pto,
""""
)
)
)&lt;&gt;""""
),
1
),
""""
)"),"MANIOBRAS")</f>
        <v>MANIOBRAS</v>
      </c>
      <c r="L1415" s="27"/>
      <c r="M1415" s="27"/>
      <c r="N1415" s="27"/>
      <c r="O1415" s="27"/>
      <c r="P1415" s="27"/>
      <c r="Q1415" s="27"/>
      <c r="R1415" s="27"/>
      <c r="S1415" s="27"/>
      <c r="T1415" s="27"/>
      <c r="U1415" s="27"/>
      <c r="V1415" s="27"/>
      <c r="W1415" s="27"/>
      <c r="X1415" s="27"/>
      <c r="Y1415" s="27"/>
    </row>
    <row r="1416">
      <c r="A1416" s="28">
        <v>1.0</v>
      </c>
      <c r="B1416" s="28" t="s">
        <v>29</v>
      </c>
      <c r="C1416" s="29" t="s">
        <v>271</v>
      </c>
      <c r="D1416" s="29" t="s">
        <v>585</v>
      </c>
      <c r="E1416" s="28">
        <v>617.93</v>
      </c>
      <c r="F1416" s="28">
        <v>0.0</v>
      </c>
      <c r="G1416" s="28" t="s">
        <v>84</v>
      </c>
      <c r="H1416" s="28">
        <f t="array" ref="H1416">INDEX(CC!C:C,MATCH(1,(CC!A:A=G1416)*(CC!B:B=I1416),0))</f>
        <v>1002</v>
      </c>
      <c r="I1416" s="28" t="s">
        <v>25</v>
      </c>
      <c r="J1416" s="31">
        <v>617.93</v>
      </c>
      <c r="K1416" s="28" t="str">
        <f>IFERROR(__xludf.DUMMYFUNCTION("IFERROR(
INDEX(
FILTER(
MAP(
reglas!$B$2:$B$240,
reglas!$C$2:$C$240,
reglas!$D$2:$D$240,
reglas!$E$2:$E$240,
LAMBDA(rEmisor,rPatron,rConcepto,rTipo,
IF(
AND(
OR(
UPPER(TRIM(rEmisor))=UPPER(TRIM(C1416)),
UPPER(TRIM(rEmisor))=""CUALQUIERA""
),
OR(
UPPER(TRI"&amp;"M(rTipo))=""SOLO EMISOR"",
AND(
UPPER(TRIM(rTipo))=""EXACTA"",
UPPER(TRIM(AG1416))=UPPER(TRIM(rPatron))
),
AND(
OR(
UPPER(TRIM(rTipo))=""CONTIENE"",
UPPER(TRIM(rTipo))=""COINCIDENCIA""
),
ISNUMBER(SEARCH(UPPER(TRIM(rPatron)),UPPER(TRIM(D1416))))
)
)
),
rC"&amp;"oncepto,
""""
)
)
),
MAP(
reglas!$B$2:$B$240,
reglas!$C$2:$C$240,
reglas!$D$2:$D$240,
reglas!$E$2:$E$240,
LAMBDA(rEmisor,rPatron,rConcepto,rTipo,
IF(
AND(
OR(
UPPER(TRIM(rEmisor))=UPPER(TRIM(C1416)),
UPPER(TRIM(rEmisor))=""CUALQUIERA""
),
OR(
UPPER(TRIM(r"&amp;"Tipo))=""SOLO EMISOR"",
AND(
UPPER(TRIM(rTipo))=""EXACTA"",
UPPER(TRIM(D1416))=UPPER(TRIM(rPatron))
),
AND(
OR(
UPPER(TRIM(rTipo))=""CONTIENE"",
UPPER(TRIM(rTipo))=""COINCIDENCIA""
),
ISNUMBER(SEARCH(UPPER(TRIM(rPatron)),UPPER(TRIM(D1416))))
)
)
),
rConce"&amp;"pto,
""""
)
)
)&lt;&gt;""""
),
1
),
""""
)"),"MANIOBRAS")</f>
        <v>MANIOBRAS</v>
      </c>
      <c r="L1416" s="27"/>
      <c r="M1416" s="27"/>
      <c r="N1416" s="27"/>
      <c r="O1416" s="27"/>
      <c r="P1416" s="27"/>
      <c r="Q1416" s="27"/>
      <c r="R1416" s="27"/>
      <c r="S1416" s="27"/>
      <c r="T1416" s="27"/>
      <c r="U1416" s="27"/>
      <c r="V1416" s="27"/>
      <c r="W1416" s="27"/>
      <c r="X1416" s="27"/>
      <c r="Y1416" s="27"/>
    </row>
    <row r="1417">
      <c r="A1417" s="32"/>
      <c r="B1417" s="32"/>
      <c r="C1417" s="29" t="s">
        <v>271</v>
      </c>
      <c r="D1417" s="29" t="s">
        <v>587</v>
      </c>
      <c r="E1417" s="28">
        <v>565.37</v>
      </c>
      <c r="F1417" s="28">
        <v>0.0</v>
      </c>
      <c r="G1417" s="28" t="s">
        <v>84</v>
      </c>
      <c r="H1417" s="28">
        <f t="array" ref="H1417">INDEX(CC!C:C,MATCH(1,(CC!A:A=G1417)*(CC!B:B=I1417),0))</f>
        <v>1002</v>
      </c>
      <c r="I1417" s="28" t="s">
        <v>25</v>
      </c>
      <c r="J1417" s="31">
        <v>565.37</v>
      </c>
      <c r="K1417" s="28" t="str">
        <f>IFERROR(__xludf.DUMMYFUNCTION("IFERROR(
INDEX(
FILTER(
MAP(
reglas!$B$2:$B$240,
reglas!$C$2:$C$240,
reglas!$D$2:$D$240,
reglas!$E$2:$E$240,
LAMBDA(rEmisor,rPatron,rConcepto,rTipo,
IF(
AND(
OR(
UPPER(TRIM(rEmisor))=UPPER(TRIM(C1417)),
UPPER(TRIM(rEmisor))=""CUALQUIERA""
),
OR(
UPPER(TRI"&amp;"M(rTipo))=""SOLO EMISOR"",
AND(
UPPER(TRIM(rTipo))=""EXACTA"",
UPPER(TRIM(AG1417))=UPPER(TRIM(rPatron))
),
AND(
OR(
UPPER(TRIM(rTipo))=""CONTIENE"",
UPPER(TRIM(rTipo))=""COINCIDENCIA""
),
ISNUMBER(SEARCH(UPPER(TRIM(rPatron)),UPPER(TRIM(D1417))))
)
)
),
rC"&amp;"oncepto,
""""
)
)
),
MAP(
reglas!$B$2:$B$240,
reglas!$C$2:$C$240,
reglas!$D$2:$D$240,
reglas!$E$2:$E$240,
LAMBDA(rEmisor,rPatron,rConcepto,rTipo,
IF(
AND(
OR(
UPPER(TRIM(rEmisor))=UPPER(TRIM(C1417)),
UPPER(TRIM(rEmisor))=""CUALQUIERA""
),
OR(
UPPER(TRIM(r"&amp;"Tipo))=""SOLO EMISOR"",
AND(
UPPER(TRIM(rTipo))=""EXACTA"",
UPPER(TRIM(D1417))=UPPER(TRIM(rPatron))
),
AND(
OR(
UPPER(TRIM(rTipo))=""CONTIENE"",
UPPER(TRIM(rTipo))=""COINCIDENCIA""
),
ISNUMBER(SEARCH(UPPER(TRIM(rPatron)),UPPER(TRIM(D1417))))
)
)
),
rConce"&amp;"pto,
""""
)
)
)&lt;&gt;""""
),
1
),
""""
)"),"MANIOBRAS")</f>
        <v>MANIOBRAS</v>
      </c>
      <c r="L1417" s="27"/>
      <c r="M1417" s="27"/>
      <c r="N1417" s="27"/>
      <c r="O1417" s="27"/>
      <c r="P1417" s="27"/>
      <c r="Q1417" s="27"/>
      <c r="R1417" s="27"/>
      <c r="S1417" s="27"/>
      <c r="T1417" s="27"/>
      <c r="U1417" s="27"/>
      <c r="V1417" s="27"/>
      <c r="W1417" s="27"/>
      <c r="X1417" s="27"/>
      <c r="Y1417" s="27"/>
    </row>
    <row r="1418">
      <c r="A1418" s="32"/>
      <c r="B1418" s="32"/>
      <c r="C1418" s="29" t="s">
        <v>271</v>
      </c>
      <c r="D1418" s="29" t="s">
        <v>589</v>
      </c>
      <c r="E1418" s="28">
        <v>618.27</v>
      </c>
      <c r="F1418" s="28">
        <v>0.0</v>
      </c>
      <c r="G1418" s="28" t="s">
        <v>84</v>
      </c>
      <c r="H1418" s="28">
        <f t="array" ref="H1418">INDEX(CC!C:C,MATCH(1,(CC!A:A=G1418)*(CC!B:B=I1418),0))</f>
        <v>1002</v>
      </c>
      <c r="I1418" s="28" t="s">
        <v>25</v>
      </c>
      <c r="J1418" s="31">
        <v>618.27</v>
      </c>
      <c r="K1418" s="28" t="str">
        <f>IFERROR(__xludf.DUMMYFUNCTION("IFERROR(
INDEX(
FILTER(
MAP(
reglas!$B$2:$B$240,
reglas!$C$2:$C$240,
reglas!$D$2:$D$240,
reglas!$E$2:$E$240,
LAMBDA(rEmisor,rPatron,rConcepto,rTipo,
IF(
AND(
OR(
UPPER(TRIM(rEmisor))=UPPER(TRIM(C1418)),
UPPER(TRIM(rEmisor))=""CUALQUIERA""
),
OR(
UPPER(TRI"&amp;"M(rTipo))=""SOLO EMISOR"",
AND(
UPPER(TRIM(rTipo))=""EXACTA"",
UPPER(TRIM(AG1418))=UPPER(TRIM(rPatron))
),
AND(
OR(
UPPER(TRIM(rTipo))=""CONTIENE"",
UPPER(TRIM(rTipo))=""COINCIDENCIA""
),
ISNUMBER(SEARCH(UPPER(TRIM(rPatron)),UPPER(TRIM(D1418))))
)
)
),
rC"&amp;"oncepto,
""""
)
)
),
MAP(
reglas!$B$2:$B$240,
reglas!$C$2:$C$240,
reglas!$D$2:$D$240,
reglas!$E$2:$E$240,
LAMBDA(rEmisor,rPatron,rConcepto,rTipo,
IF(
AND(
OR(
UPPER(TRIM(rEmisor))=UPPER(TRIM(C1418)),
UPPER(TRIM(rEmisor))=""CUALQUIERA""
),
OR(
UPPER(TRIM(r"&amp;"Tipo))=""SOLO EMISOR"",
AND(
UPPER(TRIM(rTipo))=""EXACTA"",
UPPER(TRIM(D1418))=UPPER(TRIM(rPatron))
),
AND(
OR(
UPPER(TRIM(rTipo))=""CONTIENE"",
UPPER(TRIM(rTipo))=""COINCIDENCIA""
),
ISNUMBER(SEARCH(UPPER(TRIM(rPatron)),UPPER(TRIM(D1418))))
)
)
),
rConce"&amp;"pto,
""""
)
)
)&lt;&gt;""""
),
1
),
""""
)"),"MANIOBRAS")</f>
        <v>MANIOBRAS</v>
      </c>
      <c r="L1418" s="27"/>
      <c r="M1418" s="27"/>
      <c r="N1418" s="27"/>
      <c r="O1418" s="27"/>
      <c r="P1418" s="27"/>
      <c r="Q1418" s="27"/>
      <c r="R1418" s="27"/>
      <c r="S1418" s="27"/>
      <c r="T1418" s="27"/>
      <c r="U1418" s="27"/>
      <c r="V1418" s="27"/>
      <c r="W1418" s="27"/>
      <c r="X1418" s="27"/>
      <c r="Y1418" s="27"/>
    </row>
    <row r="1419">
      <c r="A1419" s="32"/>
      <c r="B1419" s="32"/>
      <c r="C1419" s="29" t="s">
        <v>271</v>
      </c>
      <c r="D1419" s="29" t="s">
        <v>596</v>
      </c>
      <c r="E1419" s="28">
        <v>648.69</v>
      </c>
      <c r="F1419" s="28">
        <v>0.0</v>
      </c>
      <c r="G1419" s="28" t="s">
        <v>84</v>
      </c>
      <c r="H1419" s="28">
        <f t="array" ref="H1419">INDEX(CC!C:C,MATCH(1,(CC!A:A=G1419)*(CC!B:B=I1419),0))</f>
        <v>1002</v>
      </c>
      <c r="I1419" s="28" t="s">
        <v>25</v>
      </c>
      <c r="J1419" s="31">
        <v>648.69</v>
      </c>
      <c r="K1419" s="28" t="str">
        <f>IFERROR(__xludf.DUMMYFUNCTION("IFERROR(
INDEX(
FILTER(
MAP(
reglas!$B$2:$B$240,
reglas!$C$2:$C$240,
reglas!$D$2:$D$240,
reglas!$E$2:$E$240,
LAMBDA(rEmisor,rPatron,rConcepto,rTipo,
IF(
AND(
OR(
UPPER(TRIM(rEmisor))=UPPER(TRIM(C1419)),
UPPER(TRIM(rEmisor))=""CUALQUIERA""
),
OR(
UPPER(TRI"&amp;"M(rTipo))=""SOLO EMISOR"",
AND(
UPPER(TRIM(rTipo))=""EXACTA"",
UPPER(TRIM(AG1419))=UPPER(TRIM(rPatron))
),
AND(
OR(
UPPER(TRIM(rTipo))=""CONTIENE"",
UPPER(TRIM(rTipo))=""COINCIDENCIA""
),
ISNUMBER(SEARCH(UPPER(TRIM(rPatron)),UPPER(TRIM(D1419))))
)
)
),
rC"&amp;"oncepto,
""""
)
)
),
MAP(
reglas!$B$2:$B$240,
reglas!$C$2:$C$240,
reglas!$D$2:$D$240,
reglas!$E$2:$E$240,
LAMBDA(rEmisor,rPatron,rConcepto,rTipo,
IF(
AND(
OR(
UPPER(TRIM(rEmisor))=UPPER(TRIM(C1419)),
UPPER(TRIM(rEmisor))=""CUALQUIERA""
),
OR(
UPPER(TRIM(r"&amp;"Tipo))=""SOLO EMISOR"",
AND(
UPPER(TRIM(rTipo))=""EXACTA"",
UPPER(TRIM(D1419))=UPPER(TRIM(rPatron))
),
AND(
OR(
UPPER(TRIM(rTipo))=""CONTIENE"",
UPPER(TRIM(rTipo))=""COINCIDENCIA""
),
ISNUMBER(SEARCH(UPPER(TRIM(rPatron)),UPPER(TRIM(D1419))))
)
)
),
rConce"&amp;"pto,
""""
)
)
)&lt;&gt;""""
),
1
),
""""
)"),"MANIOBRAS")</f>
        <v>MANIOBRAS</v>
      </c>
      <c r="L1419" s="27"/>
      <c r="M1419" s="27"/>
      <c r="N1419" s="27"/>
      <c r="O1419" s="27"/>
      <c r="P1419" s="27"/>
      <c r="Q1419" s="27"/>
      <c r="R1419" s="27"/>
      <c r="S1419" s="27"/>
      <c r="T1419" s="27"/>
      <c r="U1419" s="27"/>
      <c r="V1419" s="27"/>
      <c r="W1419" s="27"/>
      <c r="X1419" s="27"/>
      <c r="Y1419" s="27"/>
    </row>
    <row r="1420">
      <c r="A1420" s="32"/>
      <c r="B1420" s="28" t="s">
        <v>29</v>
      </c>
      <c r="C1420" s="29" t="s">
        <v>172</v>
      </c>
      <c r="D1420" s="29" t="s">
        <v>1891</v>
      </c>
      <c r="E1420" s="30">
        <v>11500.0</v>
      </c>
      <c r="F1420" s="28">
        <v>0.0</v>
      </c>
      <c r="G1420" s="28" t="s">
        <v>250</v>
      </c>
      <c r="H1420" s="28">
        <f t="array" ref="H1420">INDEX(CC!C:C,MATCH(1,(CC!A:A=G1420)*(CC!B:B=I1420),0))</f>
        <v>1402</v>
      </c>
      <c r="I1420" s="28" t="s">
        <v>25</v>
      </c>
      <c r="J1420" s="31">
        <v>11500.0</v>
      </c>
      <c r="K1420" s="28" t="str">
        <f>IFERROR(__xludf.DUMMYFUNCTION("IFERROR(
INDEX(
FILTER(
MAP(
reglas!$B$2:$B$240,
reglas!$C$2:$C$240,
reglas!$D$2:$D$240,
reglas!$E$2:$E$240,
LAMBDA(rEmisor,rPatron,rConcepto,rTipo,
IF(
AND(
OR(
UPPER(TRIM(rEmisor))=UPPER(TRIM(C1420)),
UPPER(TRIM(rEmisor))=""CUALQUIERA""
),
OR(
UPPER(TRI"&amp;"M(rTipo))=""SOLO EMISOR"",
AND(
UPPER(TRIM(rTipo))=""EXACTA"",
UPPER(TRIM(AG1420))=UPPER(TRIM(rPatron))
),
AND(
OR(
UPPER(TRIM(rTipo))=""CONTIENE"",
UPPER(TRIM(rTipo))=""COINCIDENCIA""
),
ISNUMBER(SEARCH(UPPER(TRIM(rPatron)),UPPER(TRIM(D1420))))
)
)
),
rC"&amp;"oncepto,
""""
)
)
),
MAP(
reglas!$B$2:$B$240,
reglas!$C$2:$C$240,
reglas!$D$2:$D$240,
reglas!$E$2:$E$240,
LAMBDA(rEmisor,rPatron,rConcepto,rTipo,
IF(
AND(
OR(
UPPER(TRIM(rEmisor))=UPPER(TRIM(C1420)),
UPPER(TRIM(rEmisor))=""CUALQUIERA""
),
OR(
UPPER(TRIM(r"&amp;"Tipo))=""SOLO EMISOR"",
AND(
UPPER(TRIM(rTipo))=""EXACTA"",
UPPER(TRIM(D1420))=UPPER(TRIM(rPatron))
),
AND(
OR(
UPPER(TRIM(rTipo))=""CONTIENE"",
UPPER(TRIM(rTipo))=""COINCIDENCIA""
),
ISNUMBER(SEARCH(UPPER(TRIM(rPatron)),UPPER(TRIM(D1420))))
)
)
),
rConce"&amp;"pto,
""""
)
)
)&lt;&gt;""""
),
1
),
""""
)"),"TRANSPORTE")</f>
        <v>TRANSPORTE</v>
      </c>
      <c r="L1420" s="27"/>
      <c r="M1420" s="27"/>
      <c r="N1420" s="27"/>
      <c r="O1420" s="27"/>
      <c r="P1420" s="27"/>
      <c r="Q1420" s="27"/>
      <c r="R1420" s="27"/>
      <c r="S1420" s="27"/>
      <c r="T1420" s="27"/>
      <c r="U1420" s="27"/>
      <c r="V1420" s="27"/>
      <c r="W1420" s="27"/>
      <c r="X1420" s="27"/>
      <c r="Y1420" s="27"/>
    </row>
    <row r="1421">
      <c r="A1421" s="32"/>
      <c r="B1421" s="28" t="s">
        <v>29</v>
      </c>
      <c r="C1421" s="29" t="s">
        <v>172</v>
      </c>
      <c r="D1421" s="29" t="s">
        <v>1898</v>
      </c>
      <c r="E1421" s="30">
        <v>11500.0</v>
      </c>
      <c r="F1421" s="28">
        <v>0.0</v>
      </c>
      <c r="G1421" s="28" t="s">
        <v>250</v>
      </c>
      <c r="H1421" s="28">
        <f t="array" ref="H1421">INDEX(CC!C:C,MATCH(1,(CC!A:A=G1421)*(CC!B:B=I1421),0))</f>
        <v>1402</v>
      </c>
      <c r="I1421" s="28" t="s">
        <v>25</v>
      </c>
      <c r="J1421" s="31">
        <v>11500.0</v>
      </c>
      <c r="K1421" s="28" t="str">
        <f>IFERROR(__xludf.DUMMYFUNCTION("IFERROR(
INDEX(
FILTER(
MAP(
reglas!$B$2:$B$240,
reglas!$C$2:$C$240,
reglas!$D$2:$D$240,
reglas!$E$2:$E$240,
LAMBDA(rEmisor,rPatron,rConcepto,rTipo,
IF(
AND(
OR(
UPPER(TRIM(rEmisor))=UPPER(TRIM(C1421)),
UPPER(TRIM(rEmisor))=""CUALQUIERA""
),
OR(
UPPER(TRI"&amp;"M(rTipo))=""SOLO EMISOR"",
AND(
UPPER(TRIM(rTipo))=""EXACTA"",
UPPER(TRIM(AG1421))=UPPER(TRIM(rPatron))
),
AND(
OR(
UPPER(TRIM(rTipo))=""CONTIENE"",
UPPER(TRIM(rTipo))=""COINCIDENCIA""
),
ISNUMBER(SEARCH(UPPER(TRIM(rPatron)),UPPER(TRIM(D1421))))
)
)
),
rC"&amp;"oncepto,
""""
)
)
),
MAP(
reglas!$B$2:$B$240,
reglas!$C$2:$C$240,
reglas!$D$2:$D$240,
reglas!$E$2:$E$240,
LAMBDA(rEmisor,rPatron,rConcepto,rTipo,
IF(
AND(
OR(
UPPER(TRIM(rEmisor))=UPPER(TRIM(C1421)),
UPPER(TRIM(rEmisor))=""CUALQUIERA""
),
OR(
UPPER(TRIM(r"&amp;"Tipo))=""SOLO EMISOR"",
AND(
UPPER(TRIM(rTipo))=""EXACTA"",
UPPER(TRIM(D1421))=UPPER(TRIM(rPatron))
),
AND(
OR(
UPPER(TRIM(rTipo))=""CONTIENE"",
UPPER(TRIM(rTipo))=""COINCIDENCIA""
),
ISNUMBER(SEARCH(UPPER(TRIM(rPatron)),UPPER(TRIM(D1421))))
)
)
),
rConce"&amp;"pto,
""""
)
)
)&lt;&gt;""""
),
1
),
""""
)"),"TRANSPORTE")</f>
        <v>TRANSPORTE</v>
      </c>
      <c r="L1421" s="27"/>
      <c r="M1421" s="27"/>
      <c r="N1421" s="27"/>
      <c r="O1421" s="27"/>
      <c r="P1421" s="27"/>
      <c r="Q1421" s="27"/>
      <c r="R1421" s="27"/>
      <c r="S1421" s="27"/>
      <c r="T1421" s="27"/>
      <c r="U1421" s="27"/>
      <c r="V1421" s="27"/>
      <c r="W1421" s="27"/>
      <c r="X1421" s="27"/>
      <c r="Y1421" s="27"/>
    </row>
    <row r="1422">
      <c r="A1422" s="28">
        <v>1.0</v>
      </c>
      <c r="B1422" s="28" t="s">
        <v>29</v>
      </c>
      <c r="C1422" s="29" t="s">
        <v>355</v>
      </c>
      <c r="D1422" s="29" t="s">
        <v>1872</v>
      </c>
      <c r="E1422" s="30">
        <v>1488.91</v>
      </c>
      <c r="F1422" s="28">
        <v>0.0</v>
      </c>
      <c r="G1422" s="28" t="s">
        <v>551</v>
      </c>
      <c r="H1422" s="28">
        <f t="array" ref="H1422">INDEX(CC!C:C,MATCH(1,(CC!A:A=G1422)*(CC!B:B=I1422),0))</f>
        <v>1203</v>
      </c>
      <c r="I1422" s="28" t="s">
        <v>44</v>
      </c>
      <c r="J1422" s="31">
        <v>1488.91</v>
      </c>
      <c r="K1422" s="28" t="str">
        <f>IFERROR(__xludf.DUMMYFUNCTION("IFERROR(
INDEX(
FILTER(
MAP(
reglas!$B$2:$B$240,
reglas!$C$2:$C$240,
reglas!$D$2:$D$240,
reglas!$E$2:$E$240,
LAMBDA(rEmisor,rPatron,rConcepto,rTipo,
IF(
AND(
OR(
UPPER(TRIM(rEmisor))=UPPER(TRIM(C1422)),
UPPER(TRIM(rEmisor))=""CUALQUIERA""
),
OR(
UPPER(TRI"&amp;"M(rTipo))=""SOLO EMISOR"",
AND(
UPPER(TRIM(rTipo))=""EXACTA"",
UPPER(TRIM(AG1422))=UPPER(TRIM(rPatron))
),
AND(
OR(
UPPER(TRIM(rTipo))=""CONTIENE"",
UPPER(TRIM(rTipo))=""COINCIDENCIA""
),
ISNUMBER(SEARCH(UPPER(TRIM(rPatron)),UPPER(TRIM(D1422))))
)
)
),
rC"&amp;"oncepto,
""""
)
)
),
MAP(
reglas!$B$2:$B$240,
reglas!$C$2:$C$240,
reglas!$D$2:$D$240,
reglas!$E$2:$E$240,
LAMBDA(rEmisor,rPatron,rConcepto,rTipo,
IF(
AND(
OR(
UPPER(TRIM(rEmisor))=UPPER(TRIM(C1422)),
UPPER(TRIM(rEmisor))=""CUALQUIERA""
),
OR(
UPPER(TRIM(r"&amp;"Tipo))=""SOLO EMISOR"",
AND(
UPPER(TRIM(rTipo))=""EXACTA"",
UPPER(TRIM(D1422))=UPPER(TRIM(rPatron))
),
AND(
OR(
UPPER(TRIM(rTipo))=""CONTIENE"",
UPPER(TRIM(rTipo))=""COINCIDENCIA""
),
ISNUMBER(SEARCH(UPPER(TRIM(rPatron)),UPPER(TRIM(D1422))))
)
)
),
rConce"&amp;"pto,
""""
)
)
)&lt;&gt;""""
),
1
),
""""
)"),"")</f>
        <v/>
      </c>
      <c r="L1422" s="27"/>
      <c r="M1422" s="27"/>
      <c r="N1422" s="27"/>
      <c r="O1422" s="27"/>
      <c r="P1422" s="27"/>
      <c r="Q1422" s="27"/>
      <c r="R1422" s="27"/>
      <c r="S1422" s="27"/>
      <c r="T1422" s="27"/>
      <c r="U1422" s="27"/>
      <c r="V1422" s="27"/>
      <c r="W1422" s="27"/>
      <c r="X1422" s="27"/>
      <c r="Y1422" s="27"/>
    </row>
    <row r="1423">
      <c r="A1423" s="32"/>
      <c r="B1423" s="32"/>
      <c r="C1423" s="29" t="s">
        <v>355</v>
      </c>
      <c r="D1423" s="29" t="s">
        <v>1873</v>
      </c>
      <c r="E1423" s="30">
        <v>5481.81</v>
      </c>
      <c r="F1423" s="28">
        <v>0.0</v>
      </c>
      <c r="G1423" s="28" t="s">
        <v>551</v>
      </c>
      <c r="H1423" s="28">
        <f t="array" ref="H1423">INDEX(CC!C:C,MATCH(1,(CC!A:A=G1423)*(CC!B:B=I1423),0))</f>
        <v>1203</v>
      </c>
      <c r="I1423" s="28" t="s">
        <v>44</v>
      </c>
      <c r="J1423" s="31">
        <v>5481.81</v>
      </c>
      <c r="K1423" s="28" t="str">
        <f>IFERROR(__xludf.DUMMYFUNCTION("IFERROR(
INDEX(
FILTER(
MAP(
reglas!$B$2:$B$240,
reglas!$C$2:$C$240,
reglas!$D$2:$D$240,
reglas!$E$2:$E$240,
LAMBDA(rEmisor,rPatron,rConcepto,rTipo,
IF(
AND(
OR(
UPPER(TRIM(rEmisor))=UPPER(TRIM(C1423)),
UPPER(TRIM(rEmisor))=""CUALQUIERA""
),
OR(
UPPER(TRI"&amp;"M(rTipo))=""SOLO EMISOR"",
AND(
UPPER(TRIM(rTipo))=""EXACTA"",
UPPER(TRIM(AG1423))=UPPER(TRIM(rPatron))
),
AND(
OR(
UPPER(TRIM(rTipo))=""CONTIENE"",
UPPER(TRIM(rTipo))=""COINCIDENCIA""
),
ISNUMBER(SEARCH(UPPER(TRIM(rPatron)),UPPER(TRIM(D1423))))
)
)
),
rC"&amp;"oncepto,
""""
)
)
),
MAP(
reglas!$B$2:$B$240,
reglas!$C$2:$C$240,
reglas!$D$2:$D$240,
reglas!$E$2:$E$240,
LAMBDA(rEmisor,rPatron,rConcepto,rTipo,
IF(
AND(
OR(
UPPER(TRIM(rEmisor))=UPPER(TRIM(C1423)),
UPPER(TRIM(rEmisor))=""CUALQUIERA""
),
OR(
UPPER(TRIM(r"&amp;"Tipo))=""SOLO EMISOR"",
AND(
UPPER(TRIM(rTipo))=""EXACTA"",
UPPER(TRIM(D1423))=UPPER(TRIM(rPatron))
),
AND(
OR(
UPPER(TRIM(rTipo))=""CONTIENE"",
UPPER(TRIM(rTipo))=""COINCIDENCIA""
),
ISNUMBER(SEARCH(UPPER(TRIM(rPatron)),UPPER(TRIM(D1423))))
)
)
),
rConce"&amp;"pto,
""""
)
)
)&lt;&gt;""""
),
1
),
""""
)"),"")</f>
        <v/>
      </c>
      <c r="L1423" s="27"/>
      <c r="M1423" s="27"/>
      <c r="N1423" s="27"/>
      <c r="O1423" s="27"/>
      <c r="P1423" s="27"/>
      <c r="Q1423" s="27"/>
      <c r="R1423" s="27"/>
      <c r="S1423" s="27"/>
      <c r="T1423" s="27"/>
      <c r="U1423" s="27"/>
      <c r="V1423" s="27"/>
      <c r="W1423" s="27"/>
      <c r="X1423" s="27"/>
      <c r="Y1423" s="27"/>
    </row>
    <row r="1424">
      <c r="A1424" s="28">
        <v>1.0</v>
      </c>
      <c r="B1424" s="28" t="s">
        <v>29</v>
      </c>
      <c r="C1424" s="29" t="s">
        <v>271</v>
      </c>
      <c r="D1424" s="29" t="s">
        <v>585</v>
      </c>
      <c r="E1424" s="28">
        <v>617.93</v>
      </c>
      <c r="F1424" s="28">
        <v>0.0</v>
      </c>
      <c r="G1424" s="28" t="s">
        <v>84</v>
      </c>
      <c r="H1424" s="28">
        <f t="array" ref="H1424">INDEX(CC!C:C,MATCH(1,(CC!A:A=G1424)*(CC!B:B=I1424),0))</f>
        <v>1002</v>
      </c>
      <c r="I1424" s="28" t="s">
        <v>25</v>
      </c>
      <c r="J1424" s="31">
        <v>617.93</v>
      </c>
      <c r="K1424" s="28" t="str">
        <f>IFERROR(__xludf.DUMMYFUNCTION("IFERROR(
INDEX(
FILTER(
MAP(
reglas!$B$2:$B$240,
reglas!$C$2:$C$240,
reglas!$D$2:$D$240,
reglas!$E$2:$E$240,
LAMBDA(rEmisor,rPatron,rConcepto,rTipo,
IF(
AND(
OR(
UPPER(TRIM(rEmisor))=UPPER(TRIM(C1424)),
UPPER(TRIM(rEmisor))=""CUALQUIERA""
),
OR(
UPPER(TRI"&amp;"M(rTipo))=""SOLO EMISOR"",
AND(
UPPER(TRIM(rTipo))=""EXACTA"",
UPPER(TRIM(AG1424))=UPPER(TRIM(rPatron))
),
AND(
OR(
UPPER(TRIM(rTipo))=""CONTIENE"",
UPPER(TRIM(rTipo))=""COINCIDENCIA""
),
ISNUMBER(SEARCH(UPPER(TRIM(rPatron)),UPPER(TRIM(D1424))))
)
)
),
rC"&amp;"oncepto,
""""
)
)
),
MAP(
reglas!$B$2:$B$240,
reglas!$C$2:$C$240,
reglas!$D$2:$D$240,
reglas!$E$2:$E$240,
LAMBDA(rEmisor,rPatron,rConcepto,rTipo,
IF(
AND(
OR(
UPPER(TRIM(rEmisor))=UPPER(TRIM(C1424)),
UPPER(TRIM(rEmisor))=""CUALQUIERA""
),
OR(
UPPER(TRIM(r"&amp;"Tipo))=""SOLO EMISOR"",
AND(
UPPER(TRIM(rTipo))=""EXACTA"",
UPPER(TRIM(D1424))=UPPER(TRIM(rPatron))
),
AND(
OR(
UPPER(TRIM(rTipo))=""CONTIENE"",
UPPER(TRIM(rTipo))=""COINCIDENCIA""
),
ISNUMBER(SEARCH(UPPER(TRIM(rPatron)),UPPER(TRIM(D1424))))
)
)
),
rConce"&amp;"pto,
""""
)
)
)&lt;&gt;""""
),
1
),
""""
)"),"MANIOBRAS")</f>
        <v>MANIOBRAS</v>
      </c>
      <c r="L1424" s="27"/>
      <c r="M1424" s="27"/>
      <c r="N1424" s="27"/>
      <c r="O1424" s="27"/>
      <c r="P1424" s="27"/>
      <c r="Q1424" s="27"/>
      <c r="R1424" s="27"/>
      <c r="S1424" s="27"/>
      <c r="T1424" s="27"/>
      <c r="U1424" s="27"/>
      <c r="V1424" s="27"/>
      <c r="W1424" s="27"/>
      <c r="X1424" s="27"/>
      <c r="Y1424" s="27"/>
    </row>
    <row r="1425">
      <c r="A1425" s="32"/>
      <c r="B1425" s="32"/>
      <c r="C1425" s="29" t="s">
        <v>271</v>
      </c>
      <c r="D1425" s="29" t="s">
        <v>587</v>
      </c>
      <c r="E1425" s="28">
        <v>565.37</v>
      </c>
      <c r="F1425" s="28">
        <v>0.0</v>
      </c>
      <c r="G1425" s="28" t="s">
        <v>84</v>
      </c>
      <c r="H1425" s="28">
        <f t="array" ref="H1425">INDEX(CC!C:C,MATCH(1,(CC!A:A=G1425)*(CC!B:B=I1425),0))</f>
        <v>1002</v>
      </c>
      <c r="I1425" s="28" t="s">
        <v>25</v>
      </c>
      <c r="J1425" s="31">
        <v>565.37</v>
      </c>
      <c r="K1425" s="28" t="str">
        <f>IFERROR(__xludf.DUMMYFUNCTION("IFERROR(
INDEX(
FILTER(
MAP(
reglas!$B$2:$B$240,
reglas!$C$2:$C$240,
reglas!$D$2:$D$240,
reglas!$E$2:$E$240,
LAMBDA(rEmisor,rPatron,rConcepto,rTipo,
IF(
AND(
OR(
UPPER(TRIM(rEmisor))=UPPER(TRIM(C1425)),
UPPER(TRIM(rEmisor))=""CUALQUIERA""
),
OR(
UPPER(TRI"&amp;"M(rTipo))=""SOLO EMISOR"",
AND(
UPPER(TRIM(rTipo))=""EXACTA"",
UPPER(TRIM(AG1425))=UPPER(TRIM(rPatron))
),
AND(
OR(
UPPER(TRIM(rTipo))=""CONTIENE"",
UPPER(TRIM(rTipo))=""COINCIDENCIA""
),
ISNUMBER(SEARCH(UPPER(TRIM(rPatron)),UPPER(TRIM(D1425))))
)
)
),
rC"&amp;"oncepto,
""""
)
)
),
MAP(
reglas!$B$2:$B$240,
reglas!$C$2:$C$240,
reglas!$D$2:$D$240,
reglas!$E$2:$E$240,
LAMBDA(rEmisor,rPatron,rConcepto,rTipo,
IF(
AND(
OR(
UPPER(TRIM(rEmisor))=UPPER(TRIM(C1425)),
UPPER(TRIM(rEmisor))=""CUALQUIERA""
),
OR(
UPPER(TRIM(r"&amp;"Tipo))=""SOLO EMISOR"",
AND(
UPPER(TRIM(rTipo))=""EXACTA"",
UPPER(TRIM(D1425))=UPPER(TRIM(rPatron))
),
AND(
OR(
UPPER(TRIM(rTipo))=""CONTIENE"",
UPPER(TRIM(rTipo))=""COINCIDENCIA""
),
ISNUMBER(SEARCH(UPPER(TRIM(rPatron)),UPPER(TRIM(D1425))))
)
)
),
rConce"&amp;"pto,
""""
)
)
)&lt;&gt;""""
),
1
),
""""
)"),"MANIOBRAS")</f>
        <v>MANIOBRAS</v>
      </c>
      <c r="L1425" s="27"/>
      <c r="M1425" s="27"/>
      <c r="N1425" s="27"/>
      <c r="O1425" s="27"/>
      <c r="P1425" s="27"/>
      <c r="Q1425" s="27"/>
      <c r="R1425" s="27"/>
      <c r="S1425" s="27"/>
      <c r="T1425" s="27"/>
      <c r="U1425" s="27"/>
      <c r="V1425" s="27"/>
      <c r="W1425" s="27"/>
      <c r="X1425" s="27"/>
      <c r="Y1425" s="27"/>
    </row>
    <row r="1426">
      <c r="A1426" s="32"/>
      <c r="B1426" s="32"/>
      <c r="C1426" s="29" t="s">
        <v>271</v>
      </c>
      <c r="D1426" s="29" t="s">
        <v>586</v>
      </c>
      <c r="E1426" s="28">
        <v>618.27</v>
      </c>
      <c r="F1426" s="28">
        <v>0.0</v>
      </c>
      <c r="G1426" s="28" t="s">
        <v>84</v>
      </c>
      <c r="H1426" s="28">
        <f t="array" ref="H1426">INDEX(CC!C:C,MATCH(1,(CC!A:A=G1426)*(CC!B:B=I1426),0))</f>
        <v>1002</v>
      </c>
      <c r="I1426" s="28" t="s">
        <v>25</v>
      </c>
      <c r="J1426" s="31">
        <v>618.27</v>
      </c>
      <c r="K1426" s="28" t="str">
        <f>IFERROR(__xludf.DUMMYFUNCTION("IFERROR(
INDEX(
FILTER(
MAP(
reglas!$B$2:$B$240,
reglas!$C$2:$C$240,
reglas!$D$2:$D$240,
reglas!$E$2:$E$240,
LAMBDA(rEmisor,rPatron,rConcepto,rTipo,
IF(
AND(
OR(
UPPER(TRIM(rEmisor))=UPPER(TRIM(C1426)),
UPPER(TRIM(rEmisor))=""CUALQUIERA""
),
OR(
UPPER(TRI"&amp;"M(rTipo))=""SOLO EMISOR"",
AND(
UPPER(TRIM(rTipo))=""EXACTA"",
UPPER(TRIM(AG1426))=UPPER(TRIM(rPatron))
),
AND(
OR(
UPPER(TRIM(rTipo))=""CONTIENE"",
UPPER(TRIM(rTipo))=""COINCIDENCIA""
),
ISNUMBER(SEARCH(UPPER(TRIM(rPatron)),UPPER(TRIM(D1426))))
)
)
),
rC"&amp;"oncepto,
""""
)
)
),
MAP(
reglas!$B$2:$B$240,
reglas!$C$2:$C$240,
reglas!$D$2:$D$240,
reglas!$E$2:$E$240,
LAMBDA(rEmisor,rPatron,rConcepto,rTipo,
IF(
AND(
OR(
UPPER(TRIM(rEmisor))=UPPER(TRIM(C1426)),
UPPER(TRIM(rEmisor))=""CUALQUIERA""
),
OR(
UPPER(TRIM(r"&amp;"Tipo))=""SOLO EMISOR"",
AND(
UPPER(TRIM(rTipo))=""EXACTA"",
UPPER(TRIM(D1426))=UPPER(TRIM(rPatron))
),
AND(
OR(
UPPER(TRIM(rTipo))=""CONTIENE"",
UPPER(TRIM(rTipo))=""COINCIDENCIA""
),
ISNUMBER(SEARCH(UPPER(TRIM(rPatron)),UPPER(TRIM(D1426))))
)
)
),
rConce"&amp;"pto,
""""
)
)
)&lt;&gt;""""
),
1
),
""""
)"),"MANIOBRAS")</f>
        <v>MANIOBRAS</v>
      </c>
      <c r="L1426" s="27"/>
      <c r="M1426" s="27"/>
      <c r="N1426" s="27"/>
      <c r="O1426" s="27"/>
      <c r="P1426" s="27"/>
      <c r="Q1426" s="27"/>
      <c r="R1426" s="27"/>
      <c r="S1426" s="27"/>
      <c r="T1426" s="27"/>
      <c r="U1426" s="27"/>
      <c r="V1426" s="27"/>
      <c r="W1426" s="27"/>
      <c r="X1426" s="27"/>
      <c r="Y1426" s="27"/>
    </row>
    <row r="1427">
      <c r="A1427" s="32"/>
      <c r="B1427" s="32"/>
      <c r="C1427" s="29" t="s">
        <v>271</v>
      </c>
      <c r="D1427" s="29" t="s">
        <v>589</v>
      </c>
      <c r="E1427" s="28">
        <v>758.05</v>
      </c>
      <c r="F1427" s="28">
        <v>0.0</v>
      </c>
      <c r="G1427" s="28" t="s">
        <v>84</v>
      </c>
      <c r="H1427" s="28">
        <f t="array" ref="H1427">INDEX(CC!C:C,MATCH(1,(CC!A:A=G1427)*(CC!B:B=I1427),0))</f>
        <v>1002</v>
      </c>
      <c r="I1427" s="28" t="s">
        <v>25</v>
      </c>
      <c r="J1427" s="31">
        <v>758.05</v>
      </c>
      <c r="K1427" s="28" t="str">
        <f>IFERROR(__xludf.DUMMYFUNCTION("IFERROR(
INDEX(
FILTER(
MAP(
reglas!$B$2:$B$240,
reglas!$C$2:$C$240,
reglas!$D$2:$D$240,
reglas!$E$2:$E$240,
LAMBDA(rEmisor,rPatron,rConcepto,rTipo,
IF(
AND(
OR(
UPPER(TRIM(rEmisor))=UPPER(TRIM(C1427)),
UPPER(TRIM(rEmisor))=""CUALQUIERA""
),
OR(
UPPER(TRI"&amp;"M(rTipo))=""SOLO EMISOR"",
AND(
UPPER(TRIM(rTipo))=""EXACTA"",
UPPER(TRIM(AG1427))=UPPER(TRIM(rPatron))
),
AND(
OR(
UPPER(TRIM(rTipo))=""CONTIENE"",
UPPER(TRIM(rTipo))=""COINCIDENCIA""
),
ISNUMBER(SEARCH(UPPER(TRIM(rPatron)),UPPER(TRIM(D1427))))
)
)
),
rC"&amp;"oncepto,
""""
)
)
),
MAP(
reglas!$B$2:$B$240,
reglas!$C$2:$C$240,
reglas!$D$2:$D$240,
reglas!$E$2:$E$240,
LAMBDA(rEmisor,rPatron,rConcepto,rTipo,
IF(
AND(
OR(
UPPER(TRIM(rEmisor))=UPPER(TRIM(C1427)),
UPPER(TRIM(rEmisor))=""CUALQUIERA""
),
OR(
UPPER(TRIM(r"&amp;"Tipo))=""SOLO EMISOR"",
AND(
UPPER(TRIM(rTipo))=""EXACTA"",
UPPER(TRIM(D1427))=UPPER(TRIM(rPatron))
),
AND(
OR(
UPPER(TRIM(rTipo))=""CONTIENE"",
UPPER(TRIM(rTipo))=""COINCIDENCIA""
),
ISNUMBER(SEARCH(UPPER(TRIM(rPatron)),UPPER(TRIM(D1427))))
)
)
),
rConce"&amp;"pto,
""""
)
)
)&lt;&gt;""""
),
1
),
""""
)"),"MANIOBRAS")</f>
        <v>MANIOBRAS</v>
      </c>
      <c r="L1427" s="27"/>
      <c r="M1427" s="27"/>
      <c r="N1427" s="27"/>
      <c r="O1427" s="27"/>
      <c r="P1427" s="27"/>
      <c r="Q1427" s="27"/>
      <c r="R1427" s="27"/>
      <c r="S1427" s="27"/>
      <c r="T1427" s="27"/>
      <c r="U1427" s="27"/>
      <c r="V1427" s="27"/>
      <c r="W1427" s="27"/>
      <c r="X1427" s="27"/>
      <c r="Y1427" s="27"/>
    </row>
    <row r="1428">
      <c r="A1428" s="32"/>
      <c r="B1428" s="32"/>
      <c r="C1428" s="29" t="s">
        <v>271</v>
      </c>
      <c r="D1428" s="29" t="s">
        <v>593</v>
      </c>
      <c r="E1428" s="28">
        <v>868.75</v>
      </c>
      <c r="F1428" s="28">
        <v>0.0</v>
      </c>
      <c r="G1428" s="28" t="s">
        <v>84</v>
      </c>
      <c r="H1428" s="28">
        <f t="array" ref="H1428">INDEX(CC!C:C,MATCH(1,(CC!A:A=G1428)*(CC!B:B=I1428),0))</f>
        <v>1002</v>
      </c>
      <c r="I1428" s="28" t="s">
        <v>25</v>
      </c>
      <c r="J1428" s="31">
        <v>868.75</v>
      </c>
      <c r="K1428" s="28" t="str">
        <f>IFERROR(__xludf.DUMMYFUNCTION("IFERROR(
INDEX(
FILTER(
MAP(
reglas!$B$2:$B$240,
reglas!$C$2:$C$240,
reglas!$D$2:$D$240,
reglas!$E$2:$E$240,
LAMBDA(rEmisor,rPatron,rConcepto,rTipo,
IF(
AND(
OR(
UPPER(TRIM(rEmisor))=UPPER(TRIM(C1428)),
UPPER(TRIM(rEmisor))=""CUALQUIERA""
),
OR(
UPPER(TRI"&amp;"M(rTipo))=""SOLO EMISOR"",
AND(
UPPER(TRIM(rTipo))=""EXACTA"",
UPPER(TRIM(AG1428))=UPPER(TRIM(rPatron))
),
AND(
OR(
UPPER(TRIM(rTipo))=""CONTIENE"",
UPPER(TRIM(rTipo))=""COINCIDENCIA""
),
ISNUMBER(SEARCH(UPPER(TRIM(rPatron)),UPPER(TRIM(D1428))))
)
)
),
rC"&amp;"oncepto,
""""
)
)
),
MAP(
reglas!$B$2:$B$240,
reglas!$C$2:$C$240,
reglas!$D$2:$D$240,
reglas!$E$2:$E$240,
LAMBDA(rEmisor,rPatron,rConcepto,rTipo,
IF(
AND(
OR(
UPPER(TRIM(rEmisor))=UPPER(TRIM(C1428)),
UPPER(TRIM(rEmisor))=""CUALQUIERA""
),
OR(
UPPER(TRIM(r"&amp;"Tipo))=""SOLO EMISOR"",
AND(
UPPER(TRIM(rTipo))=""EXACTA"",
UPPER(TRIM(D1428))=UPPER(TRIM(rPatron))
),
AND(
OR(
UPPER(TRIM(rTipo))=""CONTIENE"",
UPPER(TRIM(rTipo))=""COINCIDENCIA""
),
ISNUMBER(SEARCH(UPPER(TRIM(rPatron)),UPPER(TRIM(D1428))))
)
)
),
rConce"&amp;"pto,
""""
)
)
)&lt;&gt;""""
),
1
),
""""
)"),"MANIOBRAS")</f>
        <v>MANIOBRAS</v>
      </c>
      <c r="L1428" s="27"/>
      <c r="M1428" s="27"/>
      <c r="N1428" s="27"/>
      <c r="O1428" s="27"/>
      <c r="P1428" s="27"/>
      <c r="Q1428" s="27"/>
      <c r="R1428" s="27"/>
      <c r="S1428" s="27"/>
      <c r="T1428" s="27"/>
      <c r="U1428" s="27"/>
      <c r="V1428" s="27"/>
      <c r="W1428" s="27"/>
      <c r="X1428" s="27"/>
      <c r="Y1428" s="27"/>
    </row>
    <row r="1429">
      <c r="A1429" s="32"/>
      <c r="B1429" s="32"/>
      <c r="C1429" s="29" t="s">
        <v>271</v>
      </c>
      <c r="D1429" s="29" t="s">
        <v>596</v>
      </c>
      <c r="E1429" s="28">
        <v>648.69</v>
      </c>
      <c r="F1429" s="28">
        <v>0.0</v>
      </c>
      <c r="G1429" s="28" t="s">
        <v>84</v>
      </c>
      <c r="H1429" s="28">
        <f t="array" ref="H1429">INDEX(CC!C:C,MATCH(1,(CC!A:A=G1429)*(CC!B:B=I1429),0))</f>
        <v>1002</v>
      </c>
      <c r="I1429" s="28" t="s">
        <v>25</v>
      </c>
      <c r="J1429" s="31">
        <v>648.69</v>
      </c>
      <c r="K1429" s="28" t="str">
        <f>IFERROR(__xludf.DUMMYFUNCTION("IFERROR(
INDEX(
FILTER(
MAP(
reglas!$B$2:$B$240,
reglas!$C$2:$C$240,
reglas!$D$2:$D$240,
reglas!$E$2:$E$240,
LAMBDA(rEmisor,rPatron,rConcepto,rTipo,
IF(
AND(
OR(
UPPER(TRIM(rEmisor))=UPPER(TRIM(C1429)),
UPPER(TRIM(rEmisor))=""CUALQUIERA""
),
OR(
UPPER(TRI"&amp;"M(rTipo))=""SOLO EMISOR"",
AND(
UPPER(TRIM(rTipo))=""EXACTA"",
UPPER(TRIM(AG1429))=UPPER(TRIM(rPatron))
),
AND(
OR(
UPPER(TRIM(rTipo))=""CONTIENE"",
UPPER(TRIM(rTipo))=""COINCIDENCIA""
),
ISNUMBER(SEARCH(UPPER(TRIM(rPatron)),UPPER(TRIM(D1429))))
)
)
),
rC"&amp;"oncepto,
""""
)
)
),
MAP(
reglas!$B$2:$B$240,
reglas!$C$2:$C$240,
reglas!$D$2:$D$240,
reglas!$E$2:$E$240,
LAMBDA(rEmisor,rPatron,rConcepto,rTipo,
IF(
AND(
OR(
UPPER(TRIM(rEmisor))=UPPER(TRIM(C1429)),
UPPER(TRIM(rEmisor))=""CUALQUIERA""
),
OR(
UPPER(TRIM(r"&amp;"Tipo))=""SOLO EMISOR"",
AND(
UPPER(TRIM(rTipo))=""EXACTA"",
UPPER(TRIM(D1429))=UPPER(TRIM(rPatron))
),
AND(
OR(
UPPER(TRIM(rTipo))=""CONTIENE"",
UPPER(TRIM(rTipo))=""COINCIDENCIA""
),
ISNUMBER(SEARCH(UPPER(TRIM(rPatron)),UPPER(TRIM(D1429))))
)
)
),
rConce"&amp;"pto,
""""
)
)
)&lt;&gt;""""
),
1
),
""""
)"),"MANIOBRAS")</f>
        <v>MANIOBRAS</v>
      </c>
      <c r="L1429" s="27"/>
      <c r="M1429" s="27"/>
      <c r="N1429" s="27"/>
      <c r="O1429" s="27"/>
      <c r="P1429" s="27"/>
      <c r="Q1429" s="27"/>
      <c r="R1429" s="27"/>
      <c r="S1429" s="27"/>
      <c r="T1429" s="27"/>
      <c r="U1429" s="27"/>
      <c r="V1429" s="27"/>
      <c r="W1429" s="27"/>
      <c r="X1429" s="27"/>
      <c r="Y1429" s="27"/>
    </row>
    <row r="1430">
      <c r="A1430" s="32"/>
      <c r="B1430" s="28" t="s">
        <v>29</v>
      </c>
      <c r="C1430" s="29" t="s">
        <v>163</v>
      </c>
      <c r="D1430" s="29" t="s">
        <v>166</v>
      </c>
      <c r="E1430" s="28">
        <v>87.91</v>
      </c>
      <c r="F1430" s="28">
        <v>0.0</v>
      </c>
      <c r="G1430" s="28" t="s">
        <v>55</v>
      </c>
      <c r="H1430" s="28">
        <f t="array" ref="H1430">INDEX(CC!C:C,MATCH(1,(CC!A:A=G1430)*(CC!B:B=I1430),0))</f>
        <v>902</v>
      </c>
      <c r="I1430" s="28" t="s">
        <v>25</v>
      </c>
      <c r="J1430" s="31">
        <v>87.91</v>
      </c>
      <c r="K1430" s="28" t="str">
        <f>IFERROR(__xludf.DUMMYFUNCTION("IFERROR(
INDEX(
FILTER(
MAP(
reglas!$B$2:$B$240,
reglas!$C$2:$C$240,
reglas!$D$2:$D$240,
reglas!$E$2:$E$240,
LAMBDA(rEmisor,rPatron,rConcepto,rTipo,
IF(
AND(
OR(
UPPER(TRIM(rEmisor))=UPPER(TRIM(C1430)),
UPPER(TRIM(rEmisor))=""CUALQUIERA""
),
OR(
UPPER(TRI"&amp;"M(rTipo))=""SOLO EMISOR"",
AND(
UPPER(TRIM(rTipo))=""EXACTA"",
UPPER(TRIM(AG1430))=UPPER(TRIM(rPatron))
),
AND(
OR(
UPPER(TRIM(rTipo))=""CONTIENE"",
UPPER(TRIM(rTipo))=""COINCIDENCIA""
),
ISNUMBER(SEARCH(UPPER(TRIM(rPatron)),UPPER(TRIM(D1430))))
)
)
),
rC"&amp;"oncepto,
""""
)
)
),
MAP(
reglas!$B$2:$B$240,
reglas!$C$2:$C$240,
reglas!$D$2:$D$240,
reglas!$E$2:$E$240,
LAMBDA(rEmisor,rPatron,rConcepto,rTipo,
IF(
AND(
OR(
UPPER(TRIM(rEmisor))=UPPER(TRIM(C1430)),
UPPER(TRIM(rEmisor))=""CUALQUIERA""
),
OR(
UPPER(TRIM(r"&amp;"Tipo))=""SOLO EMISOR"",
AND(
UPPER(TRIM(rTipo))=""EXACTA"",
UPPER(TRIM(D1430))=UPPER(TRIM(rPatron))
),
AND(
OR(
UPPER(TRIM(rTipo))=""CONTIENE"",
UPPER(TRIM(rTipo))=""COINCIDENCIA""
),
ISNUMBER(SEARCH(UPPER(TRIM(rPatron)),UPPER(TRIM(D1430))))
)
)
),
rConce"&amp;"pto,
""""
)
)
)&lt;&gt;""""
),
1
),
""""
)"),"ARRENDAMIENTO")</f>
        <v>ARRENDAMIENTO</v>
      </c>
      <c r="L1430" s="27"/>
      <c r="M1430" s="27"/>
      <c r="N1430" s="27"/>
      <c r="O1430" s="27"/>
      <c r="P1430" s="27"/>
      <c r="Q1430" s="27"/>
      <c r="R1430" s="27"/>
      <c r="S1430" s="27"/>
      <c r="T1430" s="27"/>
      <c r="U1430" s="27"/>
      <c r="V1430" s="27"/>
      <c r="W1430" s="27"/>
      <c r="X1430" s="27"/>
      <c r="Y1430" s="27"/>
    </row>
    <row r="1431">
      <c r="A1431" s="32"/>
      <c r="B1431" s="28" t="s">
        <v>29</v>
      </c>
      <c r="C1431" s="29" t="s">
        <v>278</v>
      </c>
      <c r="D1431" s="29" t="s">
        <v>560</v>
      </c>
      <c r="E1431" s="30">
        <v>3500.0</v>
      </c>
      <c r="F1431" s="28">
        <v>0.0</v>
      </c>
      <c r="G1431" s="28" t="s">
        <v>250</v>
      </c>
      <c r="H1431" s="28">
        <f t="array" ref="H1431">INDEX(CC!C:C,MATCH(1,(CC!A:A=G1431)*(CC!B:B=I1431),0))</f>
        <v>1402</v>
      </c>
      <c r="I1431" s="28" t="s">
        <v>25</v>
      </c>
      <c r="J1431" s="31">
        <v>3500.0</v>
      </c>
      <c r="K1431" s="28" t="str">
        <f>IFERROR(__xludf.DUMMYFUNCTION("IFERROR(
INDEX(
FILTER(
MAP(
reglas!$B$2:$B$240,
reglas!$C$2:$C$240,
reglas!$D$2:$D$240,
reglas!$E$2:$E$240,
LAMBDA(rEmisor,rPatron,rConcepto,rTipo,
IF(
AND(
OR(
UPPER(TRIM(rEmisor))=UPPER(TRIM(C1431)),
UPPER(TRIM(rEmisor))=""CUALQUIERA""
),
OR(
UPPER(TRI"&amp;"M(rTipo))=""SOLO EMISOR"",
AND(
UPPER(TRIM(rTipo))=""EXACTA"",
UPPER(TRIM(AG1431))=UPPER(TRIM(rPatron))
),
AND(
OR(
UPPER(TRIM(rTipo))=""CONTIENE"",
UPPER(TRIM(rTipo))=""COINCIDENCIA""
),
ISNUMBER(SEARCH(UPPER(TRIM(rPatron)),UPPER(TRIM(D1431))))
)
)
),
rC"&amp;"oncepto,
""""
)
)
),
MAP(
reglas!$B$2:$B$240,
reglas!$C$2:$C$240,
reglas!$D$2:$D$240,
reglas!$E$2:$E$240,
LAMBDA(rEmisor,rPatron,rConcepto,rTipo,
IF(
AND(
OR(
UPPER(TRIM(rEmisor))=UPPER(TRIM(C1431)),
UPPER(TRIM(rEmisor))=""CUALQUIERA""
),
OR(
UPPER(TRIM(r"&amp;"Tipo))=""SOLO EMISOR"",
AND(
UPPER(TRIM(rTipo))=""EXACTA"",
UPPER(TRIM(D1431))=UPPER(TRIM(rPatron))
),
AND(
OR(
UPPER(TRIM(rTipo))=""CONTIENE"",
UPPER(TRIM(rTipo))=""COINCIDENCIA""
),
ISNUMBER(SEARCH(UPPER(TRIM(rPatron)),UPPER(TRIM(D1431))))
)
)
),
rConce"&amp;"pto,
""""
)
)
)&lt;&gt;""""
),
1
),
""""
)"),"MANIOBRAS")</f>
        <v>MANIOBRAS</v>
      </c>
      <c r="L1431" s="27"/>
      <c r="M1431" s="27"/>
      <c r="N1431" s="27"/>
      <c r="O1431" s="27"/>
      <c r="P1431" s="27"/>
      <c r="Q1431" s="27"/>
      <c r="R1431" s="27"/>
      <c r="S1431" s="27"/>
      <c r="T1431" s="27"/>
      <c r="U1431" s="27"/>
      <c r="V1431" s="27"/>
      <c r="W1431" s="27"/>
      <c r="X1431" s="27"/>
      <c r="Y1431" s="27"/>
    </row>
    <row r="1432">
      <c r="A1432" s="28">
        <v>1.0</v>
      </c>
      <c r="B1432" s="28" t="s">
        <v>29</v>
      </c>
      <c r="C1432" s="29" t="s">
        <v>271</v>
      </c>
      <c r="D1432" s="29" t="s">
        <v>585</v>
      </c>
      <c r="E1432" s="28">
        <v>617.93</v>
      </c>
      <c r="F1432" s="28">
        <v>0.0</v>
      </c>
      <c r="G1432" s="28" t="s">
        <v>84</v>
      </c>
      <c r="H1432" s="28">
        <f t="array" ref="H1432">INDEX(CC!C:C,MATCH(1,(CC!A:A=G1432)*(CC!B:B=I1432),0))</f>
        <v>1002</v>
      </c>
      <c r="I1432" s="28" t="s">
        <v>25</v>
      </c>
      <c r="J1432" s="31">
        <v>617.93</v>
      </c>
      <c r="K1432" s="28" t="str">
        <f>IFERROR(__xludf.DUMMYFUNCTION("IFERROR(
INDEX(
FILTER(
MAP(
reglas!$B$2:$B$240,
reglas!$C$2:$C$240,
reglas!$D$2:$D$240,
reglas!$E$2:$E$240,
LAMBDA(rEmisor,rPatron,rConcepto,rTipo,
IF(
AND(
OR(
UPPER(TRIM(rEmisor))=UPPER(TRIM(C1432)),
UPPER(TRIM(rEmisor))=""CUALQUIERA""
),
OR(
UPPER(TRI"&amp;"M(rTipo))=""SOLO EMISOR"",
AND(
UPPER(TRIM(rTipo))=""EXACTA"",
UPPER(TRIM(AG1432))=UPPER(TRIM(rPatron))
),
AND(
OR(
UPPER(TRIM(rTipo))=""CONTIENE"",
UPPER(TRIM(rTipo))=""COINCIDENCIA""
),
ISNUMBER(SEARCH(UPPER(TRIM(rPatron)),UPPER(TRIM(D1432))))
)
)
),
rC"&amp;"oncepto,
""""
)
)
),
MAP(
reglas!$B$2:$B$240,
reglas!$C$2:$C$240,
reglas!$D$2:$D$240,
reglas!$E$2:$E$240,
LAMBDA(rEmisor,rPatron,rConcepto,rTipo,
IF(
AND(
OR(
UPPER(TRIM(rEmisor))=UPPER(TRIM(C1432)),
UPPER(TRIM(rEmisor))=""CUALQUIERA""
),
OR(
UPPER(TRIM(r"&amp;"Tipo))=""SOLO EMISOR"",
AND(
UPPER(TRIM(rTipo))=""EXACTA"",
UPPER(TRIM(D1432))=UPPER(TRIM(rPatron))
),
AND(
OR(
UPPER(TRIM(rTipo))=""CONTIENE"",
UPPER(TRIM(rTipo))=""COINCIDENCIA""
),
ISNUMBER(SEARCH(UPPER(TRIM(rPatron)),UPPER(TRIM(D1432))))
)
)
),
rConce"&amp;"pto,
""""
)
)
)&lt;&gt;""""
),
1
),
""""
)"),"MANIOBRAS")</f>
        <v>MANIOBRAS</v>
      </c>
      <c r="L1432" s="27"/>
      <c r="M1432" s="27"/>
      <c r="N1432" s="27"/>
      <c r="O1432" s="27"/>
      <c r="P1432" s="27"/>
      <c r="Q1432" s="27"/>
      <c r="R1432" s="27"/>
      <c r="S1432" s="27"/>
      <c r="T1432" s="27"/>
      <c r="U1432" s="27"/>
      <c r="V1432" s="27"/>
      <c r="W1432" s="27"/>
      <c r="X1432" s="27"/>
      <c r="Y1432" s="27"/>
    </row>
    <row r="1433">
      <c r="A1433" s="32"/>
      <c r="B1433" s="32"/>
      <c r="C1433" s="29" t="s">
        <v>271</v>
      </c>
      <c r="D1433" s="29" t="s">
        <v>587</v>
      </c>
      <c r="E1433" s="28">
        <v>565.37</v>
      </c>
      <c r="F1433" s="28">
        <v>0.0</v>
      </c>
      <c r="G1433" s="28" t="s">
        <v>84</v>
      </c>
      <c r="H1433" s="28">
        <f t="array" ref="H1433">INDEX(CC!C:C,MATCH(1,(CC!A:A=G1433)*(CC!B:B=I1433),0))</f>
        <v>1002</v>
      </c>
      <c r="I1433" s="28" t="s">
        <v>25</v>
      </c>
      <c r="J1433" s="31">
        <v>565.37</v>
      </c>
      <c r="K1433" s="28" t="str">
        <f>IFERROR(__xludf.DUMMYFUNCTION("IFERROR(
INDEX(
FILTER(
MAP(
reglas!$B$2:$B$240,
reglas!$C$2:$C$240,
reglas!$D$2:$D$240,
reglas!$E$2:$E$240,
LAMBDA(rEmisor,rPatron,rConcepto,rTipo,
IF(
AND(
OR(
UPPER(TRIM(rEmisor))=UPPER(TRIM(C1433)),
UPPER(TRIM(rEmisor))=""CUALQUIERA""
),
OR(
UPPER(TRI"&amp;"M(rTipo))=""SOLO EMISOR"",
AND(
UPPER(TRIM(rTipo))=""EXACTA"",
UPPER(TRIM(AG1433))=UPPER(TRIM(rPatron))
),
AND(
OR(
UPPER(TRIM(rTipo))=""CONTIENE"",
UPPER(TRIM(rTipo))=""COINCIDENCIA""
),
ISNUMBER(SEARCH(UPPER(TRIM(rPatron)),UPPER(TRIM(D1433))))
)
)
),
rC"&amp;"oncepto,
""""
)
)
),
MAP(
reglas!$B$2:$B$240,
reglas!$C$2:$C$240,
reglas!$D$2:$D$240,
reglas!$E$2:$E$240,
LAMBDA(rEmisor,rPatron,rConcepto,rTipo,
IF(
AND(
OR(
UPPER(TRIM(rEmisor))=UPPER(TRIM(C1433)),
UPPER(TRIM(rEmisor))=""CUALQUIERA""
),
OR(
UPPER(TRIM(r"&amp;"Tipo))=""SOLO EMISOR"",
AND(
UPPER(TRIM(rTipo))=""EXACTA"",
UPPER(TRIM(D1433))=UPPER(TRIM(rPatron))
),
AND(
OR(
UPPER(TRIM(rTipo))=""CONTIENE"",
UPPER(TRIM(rTipo))=""COINCIDENCIA""
),
ISNUMBER(SEARCH(UPPER(TRIM(rPatron)),UPPER(TRIM(D1433))))
)
)
),
rConce"&amp;"pto,
""""
)
)
)&lt;&gt;""""
),
1
),
""""
)"),"MANIOBRAS")</f>
        <v>MANIOBRAS</v>
      </c>
      <c r="L1433" s="27"/>
      <c r="M1433" s="27"/>
      <c r="N1433" s="27"/>
      <c r="O1433" s="27"/>
      <c r="P1433" s="27"/>
      <c r="Q1433" s="27"/>
      <c r="R1433" s="27"/>
      <c r="S1433" s="27"/>
      <c r="T1433" s="27"/>
      <c r="U1433" s="27"/>
      <c r="V1433" s="27"/>
      <c r="W1433" s="27"/>
      <c r="X1433" s="27"/>
      <c r="Y1433" s="27"/>
    </row>
    <row r="1434">
      <c r="A1434" s="32"/>
      <c r="B1434" s="32"/>
      <c r="C1434" s="29" t="s">
        <v>271</v>
      </c>
      <c r="D1434" s="29" t="s">
        <v>589</v>
      </c>
      <c r="E1434" s="28">
        <v>618.27</v>
      </c>
      <c r="F1434" s="28">
        <v>0.0</v>
      </c>
      <c r="G1434" s="28" t="s">
        <v>84</v>
      </c>
      <c r="H1434" s="28">
        <f t="array" ref="H1434">INDEX(CC!C:C,MATCH(1,(CC!A:A=G1434)*(CC!B:B=I1434),0))</f>
        <v>1002</v>
      </c>
      <c r="I1434" s="28" t="s">
        <v>25</v>
      </c>
      <c r="J1434" s="31">
        <v>618.27</v>
      </c>
      <c r="K1434" s="28" t="str">
        <f>IFERROR(__xludf.DUMMYFUNCTION("IFERROR(
INDEX(
FILTER(
MAP(
reglas!$B$2:$B$240,
reglas!$C$2:$C$240,
reglas!$D$2:$D$240,
reglas!$E$2:$E$240,
LAMBDA(rEmisor,rPatron,rConcepto,rTipo,
IF(
AND(
OR(
UPPER(TRIM(rEmisor))=UPPER(TRIM(C1434)),
UPPER(TRIM(rEmisor))=""CUALQUIERA""
),
OR(
UPPER(TRI"&amp;"M(rTipo))=""SOLO EMISOR"",
AND(
UPPER(TRIM(rTipo))=""EXACTA"",
UPPER(TRIM(AG1434))=UPPER(TRIM(rPatron))
),
AND(
OR(
UPPER(TRIM(rTipo))=""CONTIENE"",
UPPER(TRIM(rTipo))=""COINCIDENCIA""
),
ISNUMBER(SEARCH(UPPER(TRIM(rPatron)),UPPER(TRIM(D1434))))
)
)
),
rC"&amp;"oncepto,
""""
)
)
),
MAP(
reglas!$B$2:$B$240,
reglas!$C$2:$C$240,
reglas!$D$2:$D$240,
reglas!$E$2:$E$240,
LAMBDA(rEmisor,rPatron,rConcepto,rTipo,
IF(
AND(
OR(
UPPER(TRIM(rEmisor))=UPPER(TRIM(C1434)),
UPPER(TRIM(rEmisor))=""CUALQUIERA""
),
OR(
UPPER(TRIM(r"&amp;"Tipo))=""SOLO EMISOR"",
AND(
UPPER(TRIM(rTipo))=""EXACTA"",
UPPER(TRIM(D1434))=UPPER(TRIM(rPatron))
),
AND(
OR(
UPPER(TRIM(rTipo))=""CONTIENE"",
UPPER(TRIM(rTipo))=""COINCIDENCIA""
),
ISNUMBER(SEARCH(UPPER(TRIM(rPatron)),UPPER(TRIM(D1434))))
)
)
),
rConce"&amp;"pto,
""""
)
)
)&lt;&gt;""""
),
1
),
""""
)"),"MANIOBRAS")</f>
        <v>MANIOBRAS</v>
      </c>
      <c r="L1434" s="27"/>
      <c r="M1434" s="27"/>
      <c r="N1434" s="27"/>
      <c r="O1434" s="27"/>
      <c r="P1434" s="27"/>
      <c r="Q1434" s="27"/>
      <c r="R1434" s="27"/>
      <c r="S1434" s="27"/>
      <c r="T1434" s="27"/>
      <c r="U1434" s="27"/>
      <c r="V1434" s="27"/>
      <c r="W1434" s="27"/>
      <c r="X1434" s="27"/>
      <c r="Y1434" s="27"/>
    </row>
    <row r="1435">
      <c r="A1435" s="32"/>
      <c r="B1435" s="32"/>
      <c r="C1435" s="29" t="s">
        <v>271</v>
      </c>
      <c r="D1435" s="29" t="s">
        <v>596</v>
      </c>
      <c r="E1435" s="28">
        <v>648.69</v>
      </c>
      <c r="F1435" s="28">
        <v>0.0</v>
      </c>
      <c r="G1435" s="28" t="s">
        <v>84</v>
      </c>
      <c r="H1435" s="28">
        <f t="array" ref="H1435">INDEX(CC!C:C,MATCH(1,(CC!A:A=G1435)*(CC!B:B=I1435),0))</f>
        <v>1002</v>
      </c>
      <c r="I1435" s="28" t="s">
        <v>25</v>
      </c>
      <c r="J1435" s="31">
        <v>648.69</v>
      </c>
      <c r="K1435" s="28" t="str">
        <f>IFERROR(__xludf.DUMMYFUNCTION("IFERROR(
INDEX(
FILTER(
MAP(
reglas!$B$2:$B$240,
reglas!$C$2:$C$240,
reglas!$D$2:$D$240,
reglas!$E$2:$E$240,
LAMBDA(rEmisor,rPatron,rConcepto,rTipo,
IF(
AND(
OR(
UPPER(TRIM(rEmisor))=UPPER(TRIM(C1435)),
UPPER(TRIM(rEmisor))=""CUALQUIERA""
),
OR(
UPPER(TRI"&amp;"M(rTipo))=""SOLO EMISOR"",
AND(
UPPER(TRIM(rTipo))=""EXACTA"",
UPPER(TRIM(AG1435))=UPPER(TRIM(rPatron))
),
AND(
OR(
UPPER(TRIM(rTipo))=""CONTIENE"",
UPPER(TRIM(rTipo))=""COINCIDENCIA""
),
ISNUMBER(SEARCH(UPPER(TRIM(rPatron)),UPPER(TRIM(D1435))))
)
)
),
rC"&amp;"oncepto,
""""
)
)
),
MAP(
reglas!$B$2:$B$240,
reglas!$C$2:$C$240,
reglas!$D$2:$D$240,
reglas!$E$2:$E$240,
LAMBDA(rEmisor,rPatron,rConcepto,rTipo,
IF(
AND(
OR(
UPPER(TRIM(rEmisor))=UPPER(TRIM(C1435)),
UPPER(TRIM(rEmisor))=""CUALQUIERA""
),
OR(
UPPER(TRIM(r"&amp;"Tipo))=""SOLO EMISOR"",
AND(
UPPER(TRIM(rTipo))=""EXACTA"",
UPPER(TRIM(D1435))=UPPER(TRIM(rPatron))
),
AND(
OR(
UPPER(TRIM(rTipo))=""CONTIENE"",
UPPER(TRIM(rTipo))=""COINCIDENCIA""
),
ISNUMBER(SEARCH(UPPER(TRIM(rPatron)),UPPER(TRIM(D1435))))
)
)
),
rConce"&amp;"pto,
""""
)
)
)&lt;&gt;""""
),
1
),
""""
)"),"MANIOBRAS")</f>
        <v>MANIOBRAS</v>
      </c>
      <c r="L1435" s="27"/>
      <c r="M1435" s="27"/>
      <c r="N1435" s="27"/>
      <c r="O1435" s="27"/>
      <c r="P1435" s="27"/>
      <c r="Q1435" s="27"/>
      <c r="R1435" s="27"/>
      <c r="S1435" s="27"/>
      <c r="T1435" s="27"/>
      <c r="U1435" s="27"/>
      <c r="V1435" s="27"/>
      <c r="W1435" s="27"/>
      <c r="X1435" s="27"/>
      <c r="Y1435" s="27"/>
    </row>
    <row r="1436">
      <c r="A1436" s="32"/>
      <c r="B1436" s="28" t="s">
        <v>29</v>
      </c>
      <c r="C1436" s="29" t="s">
        <v>172</v>
      </c>
      <c r="D1436" s="29" t="s">
        <v>1892</v>
      </c>
      <c r="E1436" s="30">
        <v>11500.0</v>
      </c>
      <c r="F1436" s="28">
        <v>0.0</v>
      </c>
      <c r="G1436" s="28" t="s">
        <v>250</v>
      </c>
      <c r="H1436" s="28">
        <f t="array" ref="H1436">INDEX(CC!C:C,MATCH(1,(CC!A:A=G1436)*(CC!B:B=I1436),0))</f>
        <v>1402</v>
      </c>
      <c r="I1436" s="28" t="s">
        <v>25</v>
      </c>
      <c r="J1436" s="31">
        <v>11500.0</v>
      </c>
      <c r="K1436" s="28" t="str">
        <f>IFERROR(__xludf.DUMMYFUNCTION("IFERROR(
INDEX(
FILTER(
MAP(
reglas!$B$2:$B$240,
reglas!$C$2:$C$240,
reglas!$D$2:$D$240,
reglas!$E$2:$E$240,
LAMBDA(rEmisor,rPatron,rConcepto,rTipo,
IF(
AND(
OR(
UPPER(TRIM(rEmisor))=UPPER(TRIM(C1436)),
UPPER(TRIM(rEmisor))=""CUALQUIERA""
),
OR(
UPPER(TRI"&amp;"M(rTipo))=""SOLO EMISOR"",
AND(
UPPER(TRIM(rTipo))=""EXACTA"",
UPPER(TRIM(AG1436))=UPPER(TRIM(rPatron))
),
AND(
OR(
UPPER(TRIM(rTipo))=""CONTIENE"",
UPPER(TRIM(rTipo))=""COINCIDENCIA""
),
ISNUMBER(SEARCH(UPPER(TRIM(rPatron)),UPPER(TRIM(D1436))))
)
)
),
rC"&amp;"oncepto,
""""
)
)
),
MAP(
reglas!$B$2:$B$240,
reglas!$C$2:$C$240,
reglas!$D$2:$D$240,
reglas!$E$2:$E$240,
LAMBDA(rEmisor,rPatron,rConcepto,rTipo,
IF(
AND(
OR(
UPPER(TRIM(rEmisor))=UPPER(TRIM(C1436)),
UPPER(TRIM(rEmisor))=""CUALQUIERA""
),
OR(
UPPER(TRIM(r"&amp;"Tipo))=""SOLO EMISOR"",
AND(
UPPER(TRIM(rTipo))=""EXACTA"",
UPPER(TRIM(D1436))=UPPER(TRIM(rPatron))
),
AND(
OR(
UPPER(TRIM(rTipo))=""CONTIENE"",
UPPER(TRIM(rTipo))=""COINCIDENCIA""
),
ISNUMBER(SEARCH(UPPER(TRIM(rPatron)),UPPER(TRIM(D1436))))
)
)
),
rConce"&amp;"pto,
""""
)
)
)&lt;&gt;""""
),
1
),
""""
)"),"TRANSPORTE")</f>
        <v>TRANSPORTE</v>
      </c>
      <c r="L1436" s="27"/>
      <c r="M1436" s="27"/>
      <c r="N1436" s="27"/>
      <c r="O1436" s="27"/>
      <c r="P1436" s="27"/>
      <c r="Q1436" s="27"/>
      <c r="R1436" s="27"/>
      <c r="S1436" s="27"/>
      <c r="T1436" s="27"/>
      <c r="U1436" s="27"/>
      <c r="V1436" s="27"/>
      <c r="W1436" s="27"/>
      <c r="X1436" s="27"/>
      <c r="Y1436" s="27"/>
    </row>
    <row r="1437">
      <c r="A1437" s="28">
        <v>1.0</v>
      </c>
      <c r="B1437" s="28" t="s">
        <v>29</v>
      </c>
      <c r="C1437" s="29" t="s">
        <v>271</v>
      </c>
      <c r="D1437" s="29" t="s">
        <v>585</v>
      </c>
      <c r="E1437" s="28">
        <v>617.93</v>
      </c>
      <c r="F1437" s="28">
        <v>0.0</v>
      </c>
      <c r="G1437" s="28" t="s">
        <v>84</v>
      </c>
      <c r="H1437" s="28">
        <f t="array" ref="H1437">INDEX(CC!C:C,MATCH(1,(CC!A:A=G1437)*(CC!B:B=I1437),0))</f>
        <v>1002</v>
      </c>
      <c r="I1437" s="28" t="s">
        <v>25</v>
      </c>
      <c r="J1437" s="31">
        <v>617.93</v>
      </c>
      <c r="K1437" s="28" t="str">
        <f>IFERROR(__xludf.DUMMYFUNCTION("IFERROR(
INDEX(
FILTER(
MAP(
reglas!$B$2:$B$240,
reglas!$C$2:$C$240,
reglas!$D$2:$D$240,
reglas!$E$2:$E$240,
LAMBDA(rEmisor,rPatron,rConcepto,rTipo,
IF(
AND(
OR(
UPPER(TRIM(rEmisor))=UPPER(TRIM(C1437)),
UPPER(TRIM(rEmisor))=""CUALQUIERA""
),
OR(
UPPER(TRI"&amp;"M(rTipo))=""SOLO EMISOR"",
AND(
UPPER(TRIM(rTipo))=""EXACTA"",
UPPER(TRIM(AG1437))=UPPER(TRIM(rPatron))
),
AND(
OR(
UPPER(TRIM(rTipo))=""CONTIENE"",
UPPER(TRIM(rTipo))=""COINCIDENCIA""
),
ISNUMBER(SEARCH(UPPER(TRIM(rPatron)),UPPER(TRIM(D1437))))
)
)
),
rC"&amp;"oncepto,
""""
)
)
),
MAP(
reglas!$B$2:$B$240,
reglas!$C$2:$C$240,
reglas!$D$2:$D$240,
reglas!$E$2:$E$240,
LAMBDA(rEmisor,rPatron,rConcepto,rTipo,
IF(
AND(
OR(
UPPER(TRIM(rEmisor))=UPPER(TRIM(C1437)),
UPPER(TRIM(rEmisor))=""CUALQUIERA""
),
OR(
UPPER(TRIM(r"&amp;"Tipo))=""SOLO EMISOR"",
AND(
UPPER(TRIM(rTipo))=""EXACTA"",
UPPER(TRIM(D1437))=UPPER(TRIM(rPatron))
),
AND(
OR(
UPPER(TRIM(rTipo))=""CONTIENE"",
UPPER(TRIM(rTipo))=""COINCIDENCIA""
),
ISNUMBER(SEARCH(UPPER(TRIM(rPatron)),UPPER(TRIM(D1437))))
)
)
),
rConce"&amp;"pto,
""""
)
)
)&lt;&gt;""""
),
1
),
""""
)"),"MANIOBRAS")</f>
        <v>MANIOBRAS</v>
      </c>
      <c r="L1437" s="27"/>
      <c r="M1437" s="27"/>
      <c r="N1437" s="27"/>
      <c r="O1437" s="27"/>
      <c r="P1437" s="27"/>
      <c r="Q1437" s="27"/>
      <c r="R1437" s="27"/>
      <c r="S1437" s="27"/>
      <c r="T1437" s="27"/>
      <c r="U1437" s="27"/>
      <c r="V1437" s="27"/>
      <c r="W1437" s="27"/>
      <c r="X1437" s="27"/>
      <c r="Y1437" s="27"/>
    </row>
    <row r="1438">
      <c r="A1438" s="32"/>
      <c r="B1438" s="32"/>
      <c r="C1438" s="29" t="s">
        <v>271</v>
      </c>
      <c r="D1438" s="29" t="s">
        <v>587</v>
      </c>
      <c r="E1438" s="28">
        <v>565.37</v>
      </c>
      <c r="F1438" s="28">
        <v>0.0</v>
      </c>
      <c r="G1438" s="28" t="s">
        <v>84</v>
      </c>
      <c r="H1438" s="28">
        <f t="array" ref="H1438">INDEX(CC!C:C,MATCH(1,(CC!A:A=G1438)*(CC!B:B=I1438),0))</f>
        <v>1002</v>
      </c>
      <c r="I1438" s="28" t="s">
        <v>25</v>
      </c>
      <c r="J1438" s="31">
        <v>565.37</v>
      </c>
      <c r="K1438" s="28" t="str">
        <f>IFERROR(__xludf.DUMMYFUNCTION("IFERROR(
INDEX(
FILTER(
MAP(
reglas!$B$2:$B$240,
reglas!$C$2:$C$240,
reglas!$D$2:$D$240,
reglas!$E$2:$E$240,
LAMBDA(rEmisor,rPatron,rConcepto,rTipo,
IF(
AND(
OR(
UPPER(TRIM(rEmisor))=UPPER(TRIM(C1438)),
UPPER(TRIM(rEmisor))=""CUALQUIERA""
),
OR(
UPPER(TRI"&amp;"M(rTipo))=""SOLO EMISOR"",
AND(
UPPER(TRIM(rTipo))=""EXACTA"",
UPPER(TRIM(AG1438))=UPPER(TRIM(rPatron))
),
AND(
OR(
UPPER(TRIM(rTipo))=""CONTIENE"",
UPPER(TRIM(rTipo))=""COINCIDENCIA""
),
ISNUMBER(SEARCH(UPPER(TRIM(rPatron)),UPPER(TRIM(D1438))))
)
)
),
rC"&amp;"oncepto,
""""
)
)
),
MAP(
reglas!$B$2:$B$240,
reglas!$C$2:$C$240,
reglas!$D$2:$D$240,
reglas!$E$2:$E$240,
LAMBDA(rEmisor,rPatron,rConcepto,rTipo,
IF(
AND(
OR(
UPPER(TRIM(rEmisor))=UPPER(TRIM(C1438)),
UPPER(TRIM(rEmisor))=""CUALQUIERA""
),
OR(
UPPER(TRIM(r"&amp;"Tipo))=""SOLO EMISOR"",
AND(
UPPER(TRIM(rTipo))=""EXACTA"",
UPPER(TRIM(D1438))=UPPER(TRIM(rPatron))
),
AND(
OR(
UPPER(TRIM(rTipo))=""CONTIENE"",
UPPER(TRIM(rTipo))=""COINCIDENCIA""
),
ISNUMBER(SEARCH(UPPER(TRIM(rPatron)),UPPER(TRIM(D1438))))
)
)
),
rConce"&amp;"pto,
""""
)
)
)&lt;&gt;""""
),
1
),
""""
)"),"MANIOBRAS")</f>
        <v>MANIOBRAS</v>
      </c>
      <c r="L1438" s="27"/>
      <c r="M1438" s="27"/>
      <c r="N1438" s="27"/>
      <c r="O1438" s="27"/>
      <c r="P1438" s="27"/>
      <c r="Q1438" s="27"/>
      <c r="R1438" s="27"/>
      <c r="S1438" s="27"/>
      <c r="T1438" s="27"/>
      <c r="U1438" s="27"/>
      <c r="V1438" s="27"/>
      <c r="W1438" s="27"/>
      <c r="X1438" s="27"/>
      <c r="Y1438" s="27"/>
    </row>
    <row r="1439">
      <c r="A1439" s="32"/>
      <c r="B1439" s="32"/>
      <c r="C1439" s="29" t="s">
        <v>271</v>
      </c>
      <c r="D1439" s="29" t="s">
        <v>589</v>
      </c>
      <c r="E1439" s="28">
        <v>618.27</v>
      </c>
      <c r="F1439" s="28">
        <v>0.0</v>
      </c>
      <c r="G1439" s="28" t="s">
        <v>84</v>
      </c>
      <c r="H1439" s="28">
        <f t="array" ref="H1439">INDEX(CC!C:C,MATCH(1,(CC!A:A=G1439)*(CC!B:B=I1439),0))</f>
        <v>1002</v>
      </c>
      <c r="I1439" s="28" t="s">
        <v>25</v>
      </c>
      <c r="J1439" s="31">
        <v>618.27</v>
      </c>
      <c r="K1439" s="28" t="str">
        <f>IFERROR(__xludf.DUMMYFUNCTION("IFERROR(
INDEX(
FILTER(
MAP(
reglas!$B$2:$B$240,
reglas!$C$2:$C$240,
reglas!$D$2:$D$240,
reglas!$E$2:$E$240,
LAMBDA(rEmisor,rPatron,rConcepto,rTipo,
IF(
AND(
OR(
UPPER(TRIM(rEmisor))=UPPER(TRIM(C1439)),
UPPER(TRIM(rEmisor))=""CUALQUIERA""
),
OR(
UPPER(TRI"&amp;"M(rTipo))=""SOLO EMISOR"",
AND(
UPPER(TRIM(rTipo))=""EXACTA"",
UPPER(TRIM(AG1439))=UPPER(TRIM(rPatron))
),
AND(
OR(
UPPER(TRIM(rTipo))=""CONTIENE"",
UPPER(TRIM(rTipo))=""COINCIDENCIA""
),
ISNUMBER(SEARCH(UPPER(TRIM(rPatron)),UPPER(TRIM(D1439))))
)
)
),
rC"&amp;"oncepto,
""""
)
)
),
MAP(
reglas!$B$2:$B$240,
reglas!$C$2:$C$240,
reglas!$D$2:$D$240,
reglas!$E$2:$E$240,
LAMBDA(rEmisor,rPatron,rConcepto,rTipo,
IF(
AND(
OR(
UPPER(TRIM(rEmisor))=UPPER(TRIM(C1439)),
UPPER(TRIM(rEmisor))=""CUALQUIERA""
),
OR(
UPPER(TRIM(r"&amp;"Tipo))=""SOLO EMISOR"",
AND(
UPPER(TRIM(rTipo))=""EXACTA"",
UPPER(TRIM(D1439))=UPPER(TRIM(rPatron))
),
AND(
OR(
UPPER(TRIM(rTipo))=""CONTIENE"",
UPPER(TRIM(rTipo))=""COINCIDENCIA""
),
ISNUMBER(SEARCH(UPPER(TRIM(rPatron)),UPPER(TRIM(D1439))))
)
)
),
rConce"&amp;"pto,
""""
)
)
)&lt;&gt;""""
),
1
),
""""
)"),"MANIOBRAS")</f>
        <v>MANIOBRAS</v>
      </c>
      <c r="L1439" s="27"/>
      <c r="M1439" s="27"/>
      <c r="N1439" s="27"/>
      <c r="O1439" s="27"/>
      <c r="P1439" s="27"/>
      <c r="Q1439" s="27"/>
      <c r="R1439" s="27"/>
      <c r="S1439" s="27"/>
      <c r="T1439" s="27"/>
      <c r="U1439" s="27"/>
      <c r="V1439" s="27"/>
      <c r="W1439" s="27"/>
      <c r="X1439" s="27"/>
      <c r="Y1439" s="27"/>
    </row>
    <row r="1440">
      <c r="A1440" s="32"/>
      <c r="B1440" s="32"/>
      <c r="C1440" s="29" t="s">
        <v>271</v>
      </c>
      <c r="D1440" s="29" t="s">
        <v>596</v>
      </c>
      <c r="E1440" s="28">
        <v>648.69</v>
      </c>
      <c r="F1440" s="28">
        <v>0.0</v>
      </c>
      <c r="G1440" s="28" t="s">
        <v>84</v>
      </c>
      <c r="H1440" s="28">
        <f t="array" ref="H1440">INDEX(CC!C:C,MATCH(1,(CC!A:A=G1440)*(CC!B:B=I1440),0))</f>
        <v>1002</v>
      </c>
      <c r="I1440" s="28" t="s">
        <v>25</v>
      </c>
      <c r="J1440" s="31">
        <v>648.69</v>
      </c>
      <c r="K1440" s="28" t="str">
        <f>IFERROR(__xludf.DUMMYFUNCTION("IFERROR(
INDEX(
FILTER(
MAP(
reglas!$B$2:$B$240,
reglas!$C$2:$C$240,
reglas!$D$2:$D$240,
reglas!$E$2:$E$240,
LAMBDA(rEmisor,rPatron,rConcepto,rTipo,
IF(
AND(
OR(
UPPER(TRIM(rEmisor))=UPPER(TRIM(C1440)),
UPPER(TRIM(rEmisor))=""CUALQUIERA""
),
OR(
UPPER(TRI"&amp;"M(rTipo))=""SOLO EMISOR"",
AND(
UPPER(TRIM(rTipo))=""EXACTA"",
UPPER(TRIM(AG1440))=UPPER(TRIM(rPatron))
),
AND(
OR(
UPPER(TRIM(rTipo))=""CONTIENE"",
UPPER(TRIM(rTipo))=""COINCIDENCIA""
),
ISNUMBER(SEARCH(UPPER(TRIM(rPatron)),UPPER(TRIM(D1440))))
)
)
),
rC"&amp;"oncepto,
""""
)
)
),
MAP(
reglas!$B$2:$B$240,
reglas!$C$2:$C$240,
reglas!$D$2:$D$240,
reglas!$E$2:$E$240,
LAMBDA(rEmisor,rPatron,rConcepto,rTipo,
IF(
AND(
OR(
UPPER(TRIM(rEmisor))=UPPER(TRIM(C1440)),
UPPER(TRIM(rEmisor))=""CUALQUIERA""
),
OR(
UPPER(TRIM(r"&amp;"Tipo))=""SOLO EMISOR"",
AND(
UPPER(TRIM(rTipo))=""EXACTA"",
UPPER(TRIM(D1440))=UPPER(TRIM(rPatron))
),
AND(
OR(
UPPER(TRIM(rTipo))=""CONTIENE"",
UPPER(TRIM(rTipo))=""COINCIDENCIA""
),
ISNUMBER(SEARCH(UPPER(TRIM(rPatron)),UPPER(TRIM(D1440))))
)
)
),
rConce"&amp;"pto,
""""
)
)
)&lt;&gt;""""
),
1
),
""""
)"),"MANIOBRAS")</f>
        <v>MANIOBRAS</v>
      </c>
      <c r="L1440" s="27"/>
      <c r="M1440" s="27"/>
      <c r="N1440" s="27"/>
      <c r="O1440" s="27"/>
      <c r="P1440" s="27"/>
      <c r="Q1440" s="27"/>
      <c r="R1440" s="27"/>
      <c r="S1440" s="27"/>
      <c r="T1440" s="27"/>
      <c r="U1440" s="27"/>
      <c r="V1440" s="27"/>
      <c r="W1440" s="27"/>
      <c r="X1440" s="27"/>
      <c r="Y1440" s="27"/>
    </row>
    <row r="1441">
      <c r="A1441" s="32"/>
      <c r="B1441" s="28" t="s">
        <v>29</v>
      </c>
      <c r="C1441" s="29" t="s">
        <v>172</v>
      </c>
      <c r="D1441" s="29" t="s">
        <v>1891</v>
      </c>
      <c r="E1441" s="30">
        <v>11500.0</v>
      </c>
      <c r="F1441" s="28">
        <v>0.0</v>
      </c>
      <c r="G1441" s="28" t="s">
        <v>250</v>
      </c>
      <c r="H1441" s="28">
        <f t="array" ref="H1441">INDEX(CC!C:C,MATCH(1,(CC!A:A=G1441)*(CC!B:B=I1441),0))</f>
        <v>1402</v>
      </c>
      <c r="I1441" s="28" t="s">
        <v>25</v>
      </c>
      <c r="J1441" s="31">
        <v>11500.0</v>
      </c>
      <c r="K1441" s="28" t="str">
        <f>IFERROR(__xludf.DUMMYFUNCTION("IFERROR(
INDEX(
FILTER(
MAP(
reglas!$B$2:$B$240,
reglas!$C$2:$C$240,
reglas!$D$2:$D$240,
reglas!$E$2:$E$240,
LAMBDA(rEmisor,rPatron,rConcepto,rTipo,
IF(
AND(
OR(
UPPER(TRIM(rEmisor))=UPPER(TRIM(C1441)),
UPPER(TRIM(rEmisor))=""CUALQUIERA""
),
OR(
UPPER(TRI"&amp;"M(rTipo))=""SOLO EMISOR"",
AND(
UPPER(TRIM(rTipo))=""EXACTA"",
UPPER(TRIM(AG1441))=UPPER(TRIM(rPatron))
),
AND(
OR(
UPPER(TRIM(rTipo))=""CONTIENE"",
UPPER(TRIM(rTipo))=""COINCIDENCIA""
),
ISNUMBER(SEARCH(UPPER(TRIM(rPatron)),UPPER(TRIM(D1441))))
)
)
),
rC"&amp;"oncepto,
""""
)
)
),
MAP(
reglas!$B$2:$B$240,
reglas!$C$2:$C$240,
reglas!$D$2:$D$240,
reglas!$E$2:$E$240,
LAMBDA(rEmisor,rPatron,rConcepto,rTipo,
IF(
AND(
OR(
UPPER(TRIM(rEmisor))=UPPER(TRIM(C1441)),
UPPER(TRIM(rEmisor))=""CUALQUIERA""
),
OR(
UPPER(TRIM(r"&amp;"Tipo))=""SOLO EMISOR"",
AND(
UPPER(TRIM(rTipo))=""EXACTA"",
UPPER(TRIM(D1441))=UPPER(TRIM(rPatron))
),
AND(
OR(
UPPER(TRIM(rTipo))=""CONTIENE"",
UPPER(TRIM(rTipo))=""COINCIDENCIA""
),
ISNUMBER(SEARCH(UPPER(TRIM(rPatron)),UPPER(TRIM(D1441))))
)
)
),
rConce"&amp;"pto,
""""
)
)
)&lt;&gt;""""
),
1
),
""""
)"),"TRANSPORTE")</f>
        <v>TRANSPORTE</v>
      </c>
      <c r="L1441" s="27"/>
      <c r="M1441" s="27"/>
      <c r="N1441" s="27"/>
      <c r="O1441" s="27"/>
      <c r="P1441" s="27"/>
      <c r="Q1441" s="27"/>
      <c r="R1441" s="27"/>
      <c r="S1441" s="27"/>
      <c r="T1441" s="27"/>
      <c r="U1441" s="27"/>
      <c r="V1441" s="27"/>
      <c r="W1441" s="27"/>
      <c r="X1441" s="27"/>
      <c r="Y1441" s="27"/>
    </row>
    <row r="1442">
      <c r="A1442" s="32"/>
      <c r="B1442" s="28" t="s">
        <v>29</v>
      </c>
      <c r="C1442" s="29" t="s">
        <v>172</v>
      </c>
      <c r="D1442" s="29" t="s">
        <v>1892</v>
      </c>
      <c r="E1442" s="30">
        <v>11500.0</v>
      </c>
      <c r="F1442" s="28">
        <v>0.0</v>
      </c>
      <c r="G1442" s="28" t="s">
        <v>250</v>
      </c>
      <c r="H1442" s="28">
        <f t="array" ref="H1442">INDEX(CC!C:C,MATCH(1,(CC!A:A=G1442)*(CC!B:B=I1442),0))</f>
        <v>1402</v>
      </c>
      <c r="I1442" s="28" t="s">
        <v>25</v>
      </c>
      <c r="J1442" s="31">
        <v>11500.0</v>
      </c>
      <c r="K1442" s="28" t="str">
        <f>IFERROR(__xludf.DUMMYFUNCTION("IFERROR(
INDEX(
FILTER(
MAP(
reglas!$B$2:$B$240,
reglas!$C$2:$C$240,
reglas!$D$2:$D$240,
reglas!$E$2:$E$240,
LAMBDA(rEmisor,rPatron,rConcepto,rTipo,
IF(
AND(
OR(
UPPER(TRIM(rEmisor))=UPPER(TRIM(C1442)),
UPPER(TRIM(rEmisor))=""CUALQUIERA""
),
OR(
UPPER(TRI"&amp;"M(rTipo))=""SOLO EMISOR"",
AND(
UPPER(TRIM(rTipo))=""EXACTA"",
UPPER(TRIM(AG1442))=UPPER(TRIM(rPatron))
),
AND(
OR(
UPPER(TRIM(rTipo))=""CONTIENE"",
UPPER(TRIM(rTipo))=""COINCIDENCIA""
),
ISNUMBER(SEARCH(UPPER(TRIM(rPatron)),UPPER(TRIM(D1442))))
)
)
),
rC"&amp;"oncepto,
""""
)
)
),
MAP(
reglas!$B$2:$B$240,
reglas!$C$2:$C$240,
reglas!$D$2:$D$240,
reglas!$E$2:$E$240,
LAMBDA(rEmisor,rPatron,rConcepto,rTipo,
IF(
AND(
OR(
UPPER(TRIM(rEmisor))=UPPER(TRIM(C1442)),
UPPER(TRIM(rEmisor))=""CUALQUIERA""
),
OR(
UPPER(TRIM(r"&amp;"Tipo))=""SOLO EMISOR"",
AND(
UPPER(TRIM(rTipo))=""EXACTA"",
UPPER(TRIM(D1442))=UPPER(TRIM(rPatron))
),
AND(
OR(
UPPER(TRIM(rTipo))=""CONTIENE"",
UPPER(TRIM(rTipo))=""COINCIDENCIA""
),
ISNUMBER(SEARCH(UPPER(TRIM(rPatron)),UPPER(TRIM(D1442))))
)
)
),
rConce"&amp;"pto,
""""
)
)
)&lt;&gt;""""
),
1
),
""""
)"),"TRANSPORTE")</f>
        <v>TRANSPORTE</v>
      </c>
      <c r="L1442" s="27"/>
      <c r="M1442" s="27"/>
      <c r="N1442" s="27"/>
      <c r="O1442" s="27"/>
      <c r="P1442" s="27"/>
      <c r="Q1442" s="27"/>
      <c r="R1442" s="27"/>
      <c r="S1442" s="27"/>
      <c r="T1442" s="27"/>
      <c r="U1442" s="27"/>
      <c r="V1442" s="27"/>
      <c r="W1442" s="27"/>
      <c r="X1442" s="27"/>
      <c r="Y1442" s="27"/>
    </row>
    <row r="1443">
      <c r="A1443" s="32"/>
      <c r="B1443" s="28" t="s">
        <v>29</v>
      </c>
      <c r="C1443" s="29" t="s">
        <v>331</v>
      </c>
      <c r="D1443" s="29" t="s">
        <v>33</v>
      </c>
      <c r="E1443" s="28">
        <v>0.01</v>
      </c>
      <c r="F1443" s="28">
        <v>0.0</v>
      </c>
      <c r="G1443" s="28" t="s">
        <v>385</v>
      </c>
      <c r="H1443" s="28">
        <f t="array" ref="H1443">INDEX(CC!C:C,MATCH(1,(CC!A:A=G1443)*(CC!B:B=I1443),0))</f>
        <v>502</v>
      </c>
      <c r="I1443" s="28" t="s">
        <v>25</v>
      </c>
      <c r="J1443" s="31">
        <v>0.01</v>
      </c>
      <c r="K1443" s="28" t="str">
        <f>IFERROR(__xludf.DUMMYFUNCTION("IFERROR(
INDEX(
FILTER(
MAP(
reglas!$B$2:$B$240,
reglas!$C$2:$C$240,
reglas!$D$2:$D$240,
reglas!$E$2:$E$240,
LAMBDA(rEmisor,rPatron,rConcepto,rTipo,
IF(
AND(
OR(
UPPER(TRIM(rEmisor))=UPPER(TRIM(C1443)),
UPPER(TRIM(rEmisor))=""CUALQUIERA""
),
OR(
UPPER(TRI"&amp;"M(rTipo))=""SOLO EMISOR"",
AND(
UPPER(TRIM(rTipo))=""EXACTA"",
UPPER(TRIM(AG1443))=UPPER(TRIM(rPatron))
),
AND(
OR(
UPPER(TRIM(rTipo))=""CONTIENE"",
UPPER(TRIM(rTipo))=""COINCIDENCIA""
),
ISNUMBER(SEARCH(UPPER(TRIM(rPatron)),UPPER(TRIM(D1443))))
)
)
),
rC"&amp;"oncepto,
""""
)
)
),
MAP(
reglas!$B$2:$B$240,
reglas!$C$2:$C$240,
reglas!$D$2:$D$240,
reglas!$E$2:$E$240,
LAMBDA(rEmisor,rPatron,rConcepto,rTipo,
IF(
AND(
OR(
UPPER(TRIM(rEmisor))=UPPER(TRIM(C1443)),
UPPER(TRIM(rEmisor))=""CUALQUIERA""
),
OR(
UPPER(TRIM(r"&amp;"Tipo))=""SOLO EMISOR"",
AND(
UPPER(TRIM(rTipo))=""EXACTA"",
UPPER(TRIM(D1443))=UPPER(TRIM(rPatron))
),
AND(
OR(
UPPER(TRIM(rTipo))=""CONTIENE"",
UPPER(TRIM(rTipo))=""COINCIDENCIA""
),
ISNUMBER(SEARCH(UPPER(TRIM(rPatron)),UPPER(TRIM(D1443))))
)
)
),
rConce"&amp;"pto,
""""
)
)
)&lt;&gt;""""
),
1
),
""""
)"),"N/A")</f>
        <v>N/A</v>
      </c>
      <c r="L1443" s="27"/>
      <c r="M1443" s="27"/>
      <c r="N1443" s="27"/>
      <c r="O1443" s="27"/>
      <c r="P1443" s="27"/>
      <c r="Q1443" s="27"/>
      <c r="R1443" s="27"/>
      <c r="S1443" s="27"/>
      <c r="T1443" s="27"/>
      <c r="U1443" s="27"/>
      <c r="V1443" s="27"/>
      <c r="W1443" s="27"/>
      <c r="X1443" s="27"/>
      <c r="Y1443" s="27"/>
    </row>
    <row r="1444">
      <c r="A1444" s="32"/>
      <c r="B1444" s="28" t="s">
        <v>29</v>
      </c>
      <c r="C1444" s="29" t="s">
        <v>302</v>
      </c>
      <c r="D1444" s="29" t="s">
        <v>1899</v>
      </c>
      <c r="E1444" s="30">
        <v>8650.0</v>
      </c>
      <c r="F1444" s="28">
        <v>0.0</v>
      </c>
      <c r="G1444" s="28" t="s">
        <v>554</v>
      </c>
      <c r="H1444" s="28">
        <f t="array" ref="H1444">INDEX(CC!C:C,MATCH(1,(CC!A:A=G1444)*(CC!B:B=I1444),0))</f>
        <v>1703</v>
      </c>
      <c r="I1444" s="28" t="s">
        <v>44</v>
      </c>
      <c r="J1444" s="31">
        <v>8650.0</v>
      </c>
      <c r="K1444" s="28" t="str">
        <f>IFERROR(__xludf.DUMMYFUNCTION("IFERROR(
INDEX(
FILTER(
MAP(
reglas!$B$2:$B$240,
reglas!$C$2:$C$240,
reglas!$D$2:$D$240,
reglas!$E$2:$E$240,
LAMBDA(rEmisor,rPatron,rConcepto,rTipo,
IF(
AND(
OR(
UPPER(TRIM(rEmisor))=UPPER(TRIM(C1444)),
UPPER(TRIM(rEmisor))=""CUALQUIERA""
),
OR(
UPPER(TRI"&amp;"M(rTipo))=""SOLO EMISOR"",
AND(
UPPER(TRIM(rTipo))=""EXACTA"",
UPPER(TRIM(AG1444))=UPPER(TRIM(rPatron))
),
AND(
OR(
UPPER(TRIM(rTipo))=""CONTIENE"",
UPPER(TRIM(rTipo))=""COINCIDENCIA""
),
ISNUMBER(SEARCH(UPPER(TRIM(rPatron)),UPPER(TRIM(D1444))))
)
)
),
rC"&amp;"oncepto,
""""
)
)
),
MAP(
reglas!$B$2:$B$240,
reglas!$C$2:$C$240,
reglas!$D$2:$D$240,
reglas!$E$2:$E$240,
LAMBDA(rEmisor,rPatron,rConcepto,rTipo,
IF(
AND(
OR(
UPPER(TRIM(rEmisor))=UPPER(TRIM(C1444)),
UPPER(TRIM(rEmisor))=""CUALQUIERA""
),
OR(
UPPER(TRIM(r"&amp;"Tipo))=""SOLO EMISOR"",
AND(
UPPER(TRIM(rTipo))=""EXACTA"",
UPPER(TRIM(D1444))=UPPER(TRIM(rPatron))
),
AND(
OR(
UPPER(TRIM(rTipo))=""CONTIENE"",
UPPER(TRIM(rTipo))=""COINCIDENCIA""
),
ISNUMBER(SEARCH(UPPER(TRIM(rPatron)),UPPER(TRIM(D1444))))
)
)
),
rConce"&amp;"pto,
""""
)
)
)&lt;&gt;""""
),
1
),
""""
)"),"TRANSPORTE")</f>
        <v>TRANSPORTE</v>
      </c>
      <c r="L1444" s="27"/>
      <c r="M1444" s="27"/>
      <c r="N1444" s="27"/>
      <c r="O1444" s="27"/>
      <c r="P1444" s="27"/>
      <c r="Q1444" s="27"/>
      <c r="R1444" s="27"/>
      <c r="S1444" s="27"/>
      <c r="T1444" s="27"/>
      <c r="U1444" s="27"/>
      <c r="V1444" s="27"/>
      <c r="W1444" s="27"/>
      <c r="X1444" s="27"/>
      <c r="Y1444" s="27"/>
    </row>
    <row r="1445">
      <c r="A1445" s="32"/>
      <c r="B1445" s="28" t="s">
        <v>29</v>
      </c>
      <c r="C1445" s="29" t="s">
        <v>278</v>
      </c>
      <c r="D1445" s="29" t="s">
        <v>560</v>
      </c>
      <c r="E1445" s="30">
        <v>3500.0</v>
      </c>
      <c r="F1445" s="28">
        <v>0.0</v>
      </c>
      <c r="G1445" s="28" t="s">
        <v>250</v>
      </c>
      <c r="H1445" s="28">
        <f t="array" ref="H1445">INDEX(CC!C:C,MATCH(1,(CC!A:A=G1445)*(CC!B:B=I1445),0))</f>
        <v>1402</v>
      </c>
      <c r="I1445" s="28" t="s">
        <v>25</v>
      </c>
      <c r="J1445" s="31">
        <v>3500.0</v>
      </c>
      <c r="K1445" s="28" t="str">
        <f>IFERROR(__xludf.DUMMYFUNCTION("IFERROR(
INDEX(
FILTER(
MAP(
reglas!$B$2:$B$240,
reglas!$C$2:$C$240,
reglas!$D$2:$D$240,
reglas!$E$2:$E$240,
LAMBDA(rEmisor,rPatron,rConcepto,rTipo,
IF(
AND(
OR(
UPPER(TRIM(rEmisor))=UPPER(TRIM(C1445)),
UPPER(TRIM(rEmisor))=""CUALQUIERA""
),
OR(
UPPER(TRI"&amp;"M(rTipo))=""SOLO EMISOR"",
AND(
UPPER(TRIM(rTipo))=""EXACTA"",
UPPER(TRIM(AG1445))=UPPER(TRIM(rPatron))
),
AND(
OR(
UPPER(TRIM(rTipo))=""CONTIENE"",
UPPER(TRIM(rTipo))=""COINCIDENCIA""
),
ISNUMBER(SEARCH(UPPER(TRIM(rPatron)),UPPER(TRIM(D1445))))
)
)
),
rC"&amp;"oncepto,
""""
)
)
),
MAP(
reglas!$B$2:$B$240,
reglas!$C$2:$C$240,
reglas!$D$2:$D$240,
reglas!$E$2:$E$240,
LAMBDA(rEmisor,rPatron,rConcepto,rTipo,
IF(
AND(
OR(
UPPER(TRIM(rEmisor))=UPPER(TRIM(C1445)),
UPPER(TRIM(rEmisor))=""CUALQUIERA""
),
OR(
UPPER(TRIM(r"&amp;"Tipo))=""SOLO EMISOR"",
AND(
UPPER(TRIM(rTipo))=""EXACTA"",
UPPER(TRIM(D1445))=UPPER(TRIM(rPatron))
),
AND(
OR(
UPPER(TRIM(rTipo))=""CONTIENE"",
UPPER(TRIM(rTipo))=""COINCIDENCIA""
),
ISNUMBER(SEARCH(UPPER(TRIM(rPatron)),UPPER(TRIM(D1445))))
)
)
),
rConce"&amp;"pto,
""""
)
)
)&lt;&gt;""""
),
1
),
""""
)"),"MANIOBRAS")</f>
        <v>MANIOBRAS</v>
      </c>
      <c r="L1445" s="27"/>
      <c r="M1445" s="27"/>
      <c r="N1445" s="27"/>
      <c r="O1445" s="27"/>
      <c r="P1445" s="27"/>
      <c r="Q1445" s="27"/>
      <c r="R1445" s="27"/>
      <c r="S1445" s="27"/>
      <c r="T1445" s="27"/>
      <c r="U1445" s="27"/>
      <c r="V1445" s="27"/>
      <c r="W1445" s="27"/>
      <c r="X1445" s="27"/>
      <c r="Y1445" s="27"/>
    </row>
    <row r="1446">
      <c r="A1446" s="28">
        <v>1.0</v>
      </c>
      <c r="B1446" s="28" t="s">
        <v>29</v>
      </c>
      <c r="C1446" s="29" t="s">
        <v>271</v>
      </c>
      <c r="D1446" s="29" t="s">
        <v>585</v>
      </c>
      <c r="E1446" s="28">
        <v>617.93</v>
      </c>
      <c r="F1446" s="28">
        <v>0.0</v>
      </c>
      <c r="G1446" s="28" t="s">
        <v>84</v>
      </c>
      <c r="H1446" s="28">
        <f t="array" ref="H1446">INDEX(CC!C:C,MATCH(1,(CC!A:A=G1446)*(CC!B:B=I1446),0))</f>
        <v>1002</v>
      </c>
      <c r="I1446" s="28" t="s">
        <v>25</v>
      </c>
      <c r="J1446" s="31">
        <v>617.93</v>
      </c>
      <c r="K1446" s="28" t="str">
        <f>IFERROR(__xludf.DUMMYFUNCTION("IFERROR(
INDEX(
FILTER(
MAP(
reglas!$B$2:$B$240,
reglas!$C$2:$C$240,
reglas!$D$2:$D$240,
reglas!$E$2:$E$240,
LAMBDA(rEmisor,rPatron,rConcepto,rTipo,
IF(
AND(
OR(
UPPER(TRIM(rEmisor))=UPPER(TRIM(C1446)),
UPPER(TRIM(rEmisor))=""CUALQUIERA""
),
OR(
UPPER(TRI"&amp;"M(rTipo))=""SOLO EMISOR"",
AND(
UPPER(TRIM(rTipo))=""EXACTA"",
UPPER(TRIM(AG1446))=UPPER(TRIM(rPatron))
),
AND(
OR(
UPPER(TRIM(rTipo))=""CONTIENE"",
UPPER(TRIM(rTipo))=""COINCIDENCIA""
),
ISNUMBER(SEARCH(UPPER(TRIM(rPatron)),UPPER(TRIM(D1446))))
)
)
),
rC"&amp;"oncepto,
""""
)
)
),
MAP(
reglas!$B$2:$B$240,
reglas!$C$2:$C$240,
reglas!$D$2:$D$240,
reglas!$E$2:$E$240,
LAMBDA(rEmisor,rPatron,rConcepto,rTipo,
IF(
AND(
OR(
UPPER(TRIM(rEmisor))=UPPER(TRIM(C1446)),
UPPER(TRIM(rEmisor))=""CUALQUIERA""
),
OR(
UPPER(TRIM(r"&amp;"Tipo))=""SOLO EMISOR"",
AND(
UPPER(TRIM(rTipo))=""EXACTA"",
UPPER(TRIM(D1446))=UPPER(TRIM(rPatron))
),
AND(
OR(
UPPER(TRIM(rTipo))=""CONTIENE"",
UPPER(TRIM(rTipo))=""COINCIDENCIA""
),
ISNUMBER(SEARCH(UPPER(TRIM(rPatron)),UPPER(TRIM(D1446))))
)
)
),
rConce"&amp;"pto,
""""
)
)
)&lt;&gt;""""
),
1
),
""""
)"),"MANIOBRAS")</f>
        <v>MANIOBRAS</v>
      </c>
      <c r="L1446" s="27"/>
      <c r="M1446" s="27"/>
      <c r="N1446" s="27"/>
      <c r="O1446" s="27"/>
      <c r="P1446" s="27"/>
      <c r="Q1446" s="27"/>
      <c r="R1446" s="27"/>
      <c r="S1446" s="27"/>
      <c r="T1446" s="27"/>
      <c r="U1446" s="27"/>
      <c r="V1446" s="27"/>
      <c r="W1446" s="27"/>
      <c r="X1446" s="27"/>
      <c r="Y1446" s="27"/>
    </row>
    <row r="1447">
      <c r="A1447" s="32"/>
      <c r="B1447" s="32"/>
      <c r="C1447" s="29" t="s">
        <v>271</v>
      </c>
      <c r="D1447" s="29" t="s">
        <v>587</v>
      </c>
      <c r="E1447" s="28">
        <v>565.37</v>
      </c>
      <c r="F1447" s="28">
        <v>0.0</v>
      </c>
      <c r="G1447" s="28" t="s">
        <v>84</v>
      </c>
      <c r="H1447" s="28">
        <f t="array" ref="H1447">INDEX(CC!C:C,MATCH(1,(CC!A:A=G1447)*(CC!B:B=I1447),0))</f>
        <v>1002</v>
      </c>
      <c r="I1447" s="28" t="s">
        <v>25</v>
      </c>
      <c r="J1447" s="31">
        <v>565.37</v>
      </c>
      <c r="K1447" s="28" t="str">
        <f>IFERROR(__xludf.DUMMYFUNCTION("IFERROR(
INDEX(
FILTER(
MAP(
reglas!$B$2:$B$240,
reglas!$C$2:$C$240,
reglas!$D$2:$D$240,
reglas!$E$2:$E$240,
LAMBDA(rEmisor,rPatron,rConcepto,rTipo,
IF(
AND(
OR(
UPPER(TRIM(rEmisor))=UPPER(TRIM(C1447)),
UPPER(TRIM(rEmisor))=""CUALQUIERA""
),
OR(
UPPER(TRI"&amp;"M(rTipo))=""SOLO EMISOR"",
AND(
UPPER(TRIM(rTipo))=""EXACTA"",
UPPER(TRIM(AG1447))=UPPER(TRIM(rPatron))
),
AND(
OR(
UPPER(TRIM(rTipo))=""CONTIENE"",
UPPER(TRIM(rTipo))=""COINCIDENCIA""
),
ISNUMBER(SEARCH(UPPER(TRIM(rPatron)),UPPER(TRIM(D1447))))
)
)
),
rC"&amp;"oncepto,
""""
)
)
),
MAP(
reglas!$B$2:$B$240,
reglas!$C$2:$C$240,
reglas!$D$2:$D$240,
reglas!$E$2:$E$240,
LAMBDA(rEmisor,rPatron,rConcepto,rTipo,
IF(
AND(
OR(
UPPER(TRIM(rEmisor))=UPPER(TRIM(C1447)),
UPPER(TRIM(rEmisor))=""CUALQUIERA""
),
OR(
UPPER(TRIM(r"&amp;"Tipo))=""SOLO EMISOR"",
AND(
UPPER(TRIM(rTipo))=""EXACTA"",
UPPER(TRIM(D1447))=UPPER(TRIM(rPatron))
),
AND(
OR(
UPPER(TRIM(rTipo))=""CONTIENE"",
UPPER(TRIM(rTipo))=""COINCIDENCIA""
),
ISNUMBER(SEARCH(UPPER(TRIM(rPatron)),UPPER(TRIM(D1447))))
)
)
),
rConce"&amp;"pto,
""""
)
)
)&lt;&gt;""""
),
1
),
""""
)"),"MANIOBRAS")</f>
        <v>MANIOBRAS</v>
      </c>
      <c r="L1447" s="27"/>
      <c r="M1447" s="27"/>
      <c r="N1447" s="27"/>
      <c r="O1447" s="27"/>
      <c r="P1447" s="27"/>
      <c r="Q1447" s="27"/>
      <c r="R1447" s="27"/>
      <c r="S1447" s="27"/>
      <c r="T1447" s="27"/>
      <c r="U1447" s="27"/>
      <c r="V1447" s="27"/>
      <c r="W1447" s="27"/>
      <c r="X1447" s="27"/>
      <c r="Y1447" s="27"/>
    </row>
    <row r="1448">
      <c r="A1448" s="32"/>
      <c r="B1448" s="32"/>
      <c r="C1448" s="29" t="s">
        <v>271</v>
      </c>
      <c r="D1448" s="29" t="s">
        <v>589</v>
      </c>
      <c r="E1448" s="28">
        <v>618.27</v>
      </c>
      <c r="F1448" s="28">
        <v>0.0</v>
      </c>
      <c r="G1448" s="28" t="s">
        <v>84</v>
      </c>
      <c r="H1448" s="28">
        <f t="array" ref="H1448">INDEX(CC!C:C,MATCH(1,(CC!A:A=G1448)*(CC!B:B=I1448),0))</f>
        <v>1002</v>
      </c>
      <c r="I1448" s="28" t="s">
        <v>25</v>
      </c>
      <c r="J1448" s="31">
        <v>618.27</v>
      </c>
      <c r="K1448" s="28" t="str">
        <f>IFERROR(__xludf.DUMMYFUNCTION("IFERROR(
INDEX(
FILTER(
MAP(
reglas!$B$2:$B$240,
reglas!$C$2:$C$240,
reglas!$D$2:$D$240,
reglas!$E$2:$E$240,
LAMBDA(rEmisor,rPatron,rConcepto,rTipo,
IF(
AND(
OR(
UPPER(TRIM(rEmisor))=UPPER(TRIM(C1448)),
UPPER(TRIM(rEmisor))=""CUALQUIERA""
),
OR(
UPPER(TRI"&amp;"M(rTipo))=""SOLO EMISOR"",
AND(
UPPER(TRIM(rTipo))=""EXACTA"",
UPPER(TRIM(AG1448))=UPPER(TRIM(rPatron))
),
AND(
OR(
UPPER(TRIM(rTipo))=""CONTIENE"",
UPPER(TRIM(rTipo))=""COINCIDENCIA""
),
ISNUMBER(SEARCH(UPPER(TRIM(rPatron)),UPPER(TRIM(D1448))))
)
)
),
rC"&amp;"oncepto,
""""
)
)
),
MAP(
reglas!$B$2:$B$240,
reglas!$C$2:$C$240,
reglas!$D$2:$D$240,
reglas!$E$2:$E$240,
LAMBDA(rEmisor,rPatron,rConcepto,rTipo,
IF(
AND(
OR(
UPPER(TRIM(rEmisor))=UPPER(TRIM(C1448)),
UPPER(TRIM(rEmisor))=""CUALQUIERA""
),
OR(
UPPER(TRIM(r"&amp;"Tipo))=""SOLO EMISOR"",
AND(
UPPER(TRIM(rTipo))=""EXACTA"",
UPPER(TRIM(D1448))=UPPER(TRIM(rPatron))
),
AND(
OR(
UPPER(TRIM(rTipo))=""CONTIENE"",
UPPER(TRIM(rTipo))=""COINCIDENCIA""
),
ISNUMBER(SEARCH(UPPER(TRIM(rPatron)),UPPER(TRIM(D1448))))
)
)
),
rConce"&amp;"pto,
""""
)
)
)&lt;&gt;""""
),
1
),
""""
)"),"MANIOBRAS")</f>
        <v>MANIOBRAS</v>
      </c>
      <c r="L1448" s="27"/>
      <c r="M1448" s="27"/>
      <c r="N1448" s="27"/>
      <c r="O1448" s="27"/>
      <c r="P1448" s="27"/>
      <c r="Q1448" s="27"/>
      <c r="R1448" s="27"/>
      <c r="S1448" s="27"/>
      <c r="T1448" s="27"/>
      <c r="U1448" s="27"/>
      <c r="V1448" s="27"/>
      <c r="W1448" s="27"/>
      <c r="X1448" s="27"/>
      <c r="Y1448" s="27"/>
    </row>
    <row r="1449">
      <c r="A1449" s="32"/>
      <c r="B1449" s="32"/>
      <c r="C1449" s="29" t="s">
        <v>271</v>
      </c>
      <c r="D1449" s="29" t="s">
        <v>596</v>
      </c>
      <c r="E1449" s="28">
        <v>648.69</v>
      </c>
      <c r="F1449" s="28">
        <v>0.0</v>
      </c>
      <c r="G1449" s="28" t="s">
        <v>84</v>
      </c>
      <c r="H1449" s="28">
        <f t="array" ref="H1449">INDEX(CC!C:C,MATCH(1,(CC!A:A=G1449)*(CC!B:B=I1449),0))</f>
        <v>1002</v>
      </c>
      <c r="I1449" s="28" t="s">
        <v>25</v>
      </c>
      <c r="J1449" s="31">
        <v>648.69</v>
      </c>
      <c r="K1449" s="28" t="str">
        <f>IFERROR(__xludf.DUMMYFUNCTION("IFERROR(
INDEX(
FILTER(
MAP(
reglas!$B$2:$B$240,
reglas!$C$2:$C$240,
reglas!$D$2:$D$240,
reglas!$E$2:$E$240,
LAMBDA(rEmisor,rPatron,rConcepto,rTipo,
IF(
AND(
OR(
UPPER(TRIM(rEmisor))=UPPER(TRIM(C1449)),
UPPER(TRIM(rEmisor))=""CUALQUIERA""
),
OR(
UPPER(TRI"&amp;"M(rTipo))=""SOLO EMISOR"",
AND(
UPPER(TRIM(rTipo))=""EXACTA"",
UPPER(TRIM(AG1449))=UPPER(TRIM(rPatron))
),
AND(
OR(
UPPER(TRIM(rTipo))=""CONTIENE"",
UPPER(TRIM(rTipo))=""COINCIDENCIA""
),
ISNUMBER(SEARCH(UPPER(TRIM(rPatron)),UPPER(TRIM(D1449))))
)
)
),
rC"&amp;"oncepto,
""""
)
)
),
MAP(
reglas!$B$2:$B$240,
reglas!$C$2:$C$240,
reglas!$D$2:$D$240,
reglas!$E$2:$E$240,
LAMBDA(rEmisor,rPatron,rConcepto,rTipo,
IF(
AND(
OR(
UPPER(TRIM(rEmisor))=UPPER(TRIM(C1449)),
UPPER(TRIM(rEmisor))=""CUALQUIERA""
),
OR(
UPPER(TRIM(r"&amp;"Tipo))=""SOLO EMISOR"",
AND(
UPPER(TRIM(rTipo))=""EXACTA"",
UPPER(TRIM(D1449))=UPPER(TRIM(rPatron))
),
AND(
OR(
UPPER(TRIM(rTipo))=""CONTIENE"",
UPPER(TRIM(rTipo))=""COINCIDENCIA""
),
ISNUMBER(SEARCH(UPPER(TRIM(rPatron)),UPPER(TRIM(D1449))))
)
)
),
rConce"&amp;"pto,
""""
)
)
)&lt;&gt;""""
),
1
),
""""
)"),"MANIOBRAS")</f>
        <v>MANIOBRAS</v>
      </c>
      <c r="L1449" s="27"/>
      <c r="M1449" s="27"/>
      <c r="N1449" s="27"/>
      <c r="O1449" s="27"/>
      <c r="P1449" s="27"/>
      <c r="Q1449" s="27"/>
      <c r="R1449" s="27"/>
      <c r="S1449" s="27"/>
      <c r="T1449" s="27"/>
      <c r="U1449" s="27"/>
      <c r="V1449" s="27"/>
      <c r="W1449" s="27"/>
      <c r="X1449" s="27"/>
      <c r="Y1449" s="27"/>
    </row>
    <row r="1450">
      <c r="A1450" s="28">
        <v>1.0</v>
      </c>
      <c r="B1450" s="28" t="s">
        <v>29</v>
      </c>
      <c r="C1450" s="29" t="s">
        <v>271</v>
      </c>
      <c r="D1450" s="29" t="s">
        <v>585</v>
      </c>
      <c r="E1450" s="28">
        <v>617.93</v>
      </c>
      <c r="F1450" s="28">
        <v>0.0</v>
      </c>
      <c r="G1450" s="28" t="s">
        <v>84</v>
      </c>
      <c r="H1450" s="28">
        <f t="array" ref="H1450">INDEX(CC!C:C,MATCH(1,(CC!A:A=G1450)*(CC!B:B=I1450),0))</f>
        <v>1002</v>
      </c>
      <c r="I1450" s="28" t="s">
        <v>25</v>
      </c>
      <c r="J1450" s="31">
        <v>617.93</v>
      </c>
      <c r="K1450" s="28" t="str">
        <f>IFERROR(__xludf.DUMMYFUNCTION("IFERROR(
INDEX(
FILTER(
MAP(
reglas!$B$2:$B$240,
reglas!$C$2:$C$240,
reglas!$D$2:$D$240,
reglas!$E$2:$E$240,
LAMBDA(rEmisor,rPatron,rConcepto,rTipo,
IF(
AND(
OR(
UPPER(TRIM(rEmisor))=UPPER(TRIM(C1450)),
UPPER(TRIM(rEmisor))=""CUALQUIERA""
),
OR(
UPPER(TRI"&amp;"M(rTipo))=""SOLO EMISOR"",
AND(
UPPER(TRIM(rTipo))=""EXACTA"",
UPPER(TRIM(AG1450))=UPPER(TRIM(rPatron))
),
AND(
OR(
UPPER(TRIM(rTipo))=""CONTIENE"",
UPPER(TRIM(rTipo))=""COINCIDENCIA""
),
ISNUMBER(SEARCH(UPPER(TRIM(rPatron)),UPPER(TRIM(D1450))))
)
)
),
rC"&amp;"oncepto,
""""
)
)
),
MAP(
reglas!$B$2:$B$240,
reglas!$C$2:$C$240,
reglas!$D$2:$D$240,
reglas!$E$2:$E$240,
LAMBDA(rEmisor,rPatron,rConcepto,rTipo,
IF(
AND(
OR(
UPPER(TRIM(rEmisor))=UPPER(TRIM(C1450)),
UPPER(TRIM(rEmisor))=""CUALQUIERA""
),
OR(
UPPER(TRIM(r"&amp;"Tipo))=""SOLO EMISOR"",
AND(
UPPER(TRIM(rTipo))=""EXACTA"",
UPPER(TRIM(D1450))=UPPER(TRIM(rPatron))
),
AND(
OR(
UPPER(TRIM(rTipo))=""CONTIENE"",
UPPER(TRIM(rTipo))=""COINCIDENCIA""
),
ISNUMBER(SEARCH(UPPER(TRIM(rPatron)),UPPER(TRIM(D1450))))
)
)
),
rConce"&amp;"pto,
""""
)
)
)&lt;&gt;""""
),
1
),
""""
)"),"MANIOBRAS")</f>
        <v>MANIOBRAS</v>
      </c>
      <c r="L1450" s="27"/>
      <c r="M1450" s="27"/>
      <c r="N1450" s="27"/>
      <c r="O1450" s="27"/>
      <c r="P1450" s="27"/>
      <c r="Q1450" s="27"/>
      <c r="R1450" s="27"/>
      <c r="S1450" s="27"/>
      <c r="T1450" s="27"/>
      <c r="U1450" s="27"/>
      <c r="V1450" s="27"/>
      <c r="W1450" s="27"/>
      <c r="X1450" s="27"/>
      <c r="Y1450" s="27"/>
    </row>
    <row r="1451">
      <c r="A1451" s="32"/>
      <c r="B1451" s="32"/>
      <c r="C1451" s="29" t="s">
        <v>271</v>
      </c>
      <c r="D1451" s="29" t="s">
        <v>587</v>
      </c>
      <c r="E1451" s="28">
        <v>565.37</v>
      </c>
      <c r="F1451" s="28">
        <v>0.0</v>
      </c>
      <c r="G1451" s="28" t="s">
        <v>84</v>
      </c>
      <c r="H1451" s="28">
        <f t="array" ref="H1451">INDEX(CC!C:C,MATCH(1,(CC!A:A=G1451)*(CC!B:B=I1451),0))</f>
        <v>1002</v>
      </c>
      <c r="I1451" s="28" t="s">
        <v>25</v>
      </c>
      <c r="J1451" s="31">
        <v>565.37</v>
      </c>
      <c r="K1451" s="28" t="str">
        <f>IFERROR(__xludf.DUMMYFUNCTION("IFERROR(
INDEX(
FILTER(
MAP(
reglas!$B$2:$B$240,
reglas!$C$2:$C$240,
reglas!$D$2:$D$240,
reglas!$E$2:$E$240,
LAMBDA(rEmisor,rPatron,rConcepto,rTipo,
IF(
AND(
OR(
UPPER(TRIM(rEmisor))=UPPER(TRIM(C1451)),
UPPER(TRIM(rEmisor))=""CUALQUIERA""
),
OR(
UPPER(TRI"&amp;"M(rTipo))=""SOLO EMISOR"",
AND(
UPPER(TRIM(rTipo))=""EXACTA"",
UPPER(TRIM(AG1451))=UPPER(TRIM(rPatron))
),
AND(
OR(
UPPER(TRIM(rTipo))=""CONTIENE"",
UPPER(TRIM(rTipo))=""COINCIDENCIA""
),
ISNUMBER(SEARCH(UPPER(TRIM(rPatron)),UPPER(TRIM(D1451))))
)
)
),
rC"&amp;"oncepto,
""""
)
)
),
MAP(
reglas!$B$2:$B$240,
reglas!$C$2:$C$240,
reglas!$D$2:$D$240,
reglas!$E$2:$E$240,
LAMBDA(rEmisor,rPatron,rConcepto,rTipo,
IF(
AND(
OR(
UPPER(TRIM(rEmisor))=UPPER(TRIM(C1451)),
UPPER(TRIM(rEmisor))=""CUALQUIERA""
),
OR(
UPPER(TRIM(r"&amp;"Tipo))=""SOLO EMISOR"",
AND(
UPPER(TRIM(rTipo))=""EXACTA"",
UPPER(TRIM(D1451))=UPPER(TRIM(rPatron))
),
AND(
OR(
UPPER(TRIM(rTipo))=""CONTIENE"",
UPPER(TRIM(rTipo))=""COINCIDENCIA""
),
ISNUMBER(SEARCH(UPPER(TRIM(rPatron)),UPPER(TRIM(D1451))))
)
)
),
rConce"&amp;"pto,
""""
)
)
)&lt;&gt;""""
),
1
),
""""
)"),"MANIOBRAS")</f>
        <v>MANIOBRAS</v>
      </c>
      <c r="L1451" s="27"/>
      <c r="M1451" s="27"/>
      <c r="N1451" s="27"/>
      <c r="O1451" s="27"/>
      <c r="P1451" s="27"/>
      <c r="Q1451" s="27"/>
      <c r="R1451" s="27"/>
      <c r="S1451" s="27"/>
      <c r="T1451" s="27"/>
      <c r="U1451" s="27"/>
      <c r="V1451" s="27"/>
      <c r="W1451" s="27"/>
      <c r="X1451" s="27"/>
      <c r="Y1451" s="27"/>
    </row>
    <row r="1452">
      <c r="A1452" s="32"/>
      <c r="B1452" s="32"/>
      <c r="C1452" s="29" t="s">
        <v>271</v>
      </c>
      <c r="D1452" s="29" t="s">
        <v>586</v>
      </c>
      <c r="E1452" s="28">
        <v>618.27</v>
      </c>
      <c r="F1452" s="28">
        <v>0.0</v>
      </c>
      <c r="G1452" s="28" t="s">
        <v>84</v>
      </c>
      <c r="H1452" s="28">
        <f t="array" ref="H1452">INDEX(CC!C:C,MATCH(1,(CC!A:A=G1452)*(CC!B:B=I1452),0))</f>
        <v>1002</v>
      </c>
      <c r="I1452" s="28" t="s">
        <v>25</v>
      </c>
      <c r="J1452" s="31">
        <v>618.27</v>
      </c>
      <c r="K1452" s="28" t="str">
        <f>IFERROR(__xludf.DUMMYFUNCTION("IFERROR(
INDEX(
FILTER(
MAP(
reglas!$B$2:$B$240,
reglas!$C$2:$C$240,
reglas!$D$2:$D$240,
reglas!$E$2:$E$240,
LAMBDA(rEmisor,rPatron,rConcepto,rTipo,
IF(
AND(
OR(
UPPER(TRIM(rEmisor))=UPPER(TRIM(C1452)),
UPPER(TRIM(rEmisor))=""CUALQUIERA""
),
OR(
UPPER(TRI"&amp;"M(rTipo))=""SOLO EMISOR"",
AND(
UPPER(TRIM(rTipo))=""EXACTA"",
UPPER(TRIM(AG1452))=UPPER(TRIM(rPatron))
),
AND(
OR(
UPPER(TRIM(rTipo))=""CONTIENE"",
UPPER(TRIM(rTipo))=""COINCIDENCIA""
),
ISNUMBER(SEARCH(UPPER(TRIM(rPatron)),UPPER(TRIM(D1452))))
)
)
),
rC"&amp;"oncepto,
""""
)
)
),
MAP(
reglas!$B$2:$B$240,
reglas!$C$2:$C$240,
reglas!$D$2:$D$240,
reglas!$E$2:$E$240,
LAMBDA(rEmisor,rPatron,rConcepto,rTipo,
IF(
AND(
OR(
UPPER(TRIM(rEmisor))=UPPER(TRIM(C1452)),
UPPER(TRIM(rEmisor))=""CUALQUIERA""
),
OR(
UPPER(TRIM(r"&amp;"Tipo))=""SOLO EMISOR"",
AND(
UPPER(TRIM(rTipo))=""EXACTA"",
UPPER(TRIM(D1452))=UPPER(TRIM(rPatron))
),
AND(
OR(
UPPER(TRIM(rTipo))=""CONTIENE"",
UPPER(TRIM(rTipo))=""COINCIDENCIA""
),
ISNUMBER(SEARCH(UPPER(TRIM(rPatron)),UPPER(TRIM(D1452))))
)
)
),
rConce"&amp;"pto,
""""
)
)
)&lt;&gt;""""
),
1
),
""""
)"),"MANIOBRAS")</f>
        <v>MANIOBRAS</v>
      </c>
      <c r="L1452" s="27"/>
      <c r="M1452" s="27"/>
      <c r="N1452" s="27"/>
      <c r="O1452" s="27"/>
      <c r="P1452" s="27"/>
      <c r="Q1452" s="27"/>
      <c r="R1452" s="27"/>
      <c r="S1452" s="27"/>
      <c r="T1452" s="27"/>
      <c r="U1452" s="27"/>
      <c r="V1452" s="27"/>
      <c r="W1452" s="27"/>
      <c r="X1452" s="27"/>
      <c r="Y1452" s="27"/>
    </row>
    <row r="1453">
      <c r="A1453" s="32"/>
      <c r="B1453" s="32"/>
      <c r="C1453" s="29" t="s">
        <v>271</v>
      </c>
      <c r="D1453" s="29" t="s">
        <v>589</v>
      </c>
      <c r="E1453" s="28">
        <v>618.27</v>
      </c>
      <c r="F1453" s="28">
        <v>0.0</v>
      </c>
      <c r="G1453" s="28" t="s">
        <v>84</v>
      </c>
      <c r="H1453" s="28">
        <f t="array" ref="H1453">INDEX(CC!C:C,MATCH(1,(CC!A:A=G1453)*(CC!B:B=I1453),0))</f>
        <v>1002</v>
      </c>
      <c r="I1453" s="28" t="s">
        <v>25</v>
      </c>
      <c r="J1453" s="31">
        <v>618.27</v>
      </c>
      <c r="K1453" s="28" t="str">
        <f>IFERROR(__xludf.DUMMYFUNCTION("IFERROR(
INDEX(
FILTER(
MAP(
reglas!$B$2:$B$240,
reglas!$C$2:$C$240,
reglas!$D$2:$D$240,
reglas!$E$2:$E$240,
LAMBDA(rEmisor,rPatron,rConcepto,rTipo,
IF(
AND(
OR(
UPPER(TRIM(rEmisor))=UPPER(TRIM(C1453)),
UPPER(TRIM(rEmisor))=""CUALQUIERA""
),
OR(
UPPER(TRI"&amp;"M(rTipo))=""SOLO EMISOR"",
AND(
UPPER(TRIM(rTipo))=""EXACTA"",
UPPER(TRIM(AG1453))=UPPER(TRIM(rPatron))
),
AND(
OR(
UPPER(TRIM(rTipo))=""CONTIENE"",
UPPER(TRIM(rTipo))=""COINCIDENCIA""
),
ISNUMBER(SEARCH(UPPER(TRIM(rPatron)),UPPER(TRIM(D1453))))
)
)
),
rC"&amp;"oncepto,
""""
)
)
),
MAP(
reglas!$B$2:$B$240,
reglas!$C$2:$C$240,
reglas!$D$2:$D$240,
reglas!$E$2:$E$240,
LAMBDA(rEmisor,rPatron,rConcepto,rTipo,
IF(
AND(
OR(
UPPER(TRIM(rEmisor))=UPPER(TRIM(C1453)),
UPPER(TRIM(rEmisor))=""CUALQUIERA""
),
OR(
UPPER(TRIM(r"&amp;"Tipo))=""SOLO EMISOR"",
AND(
UPPER(TRIM(rTipo))=""EXACTA"",
UPPER(TRIM(D1453))=UPPER(TRIM(rPatron))
),
AND(
OR(
UPPER(TRIM(rTipo))=""CONTIENE"",
UPPER(TRIM(rTipo))=""COINCIDENCIA""
),
ISNUMBER(SEARCH(UPPER(TRIM(rPatron)),UPPER(TRIM(D1453))))
)
)
),
rConce"&amp;"pto,
""""
)
)
)&lt;&gt;""""
),
1
),
""""
)"),"MANIOBRAS")</f>
        <v>MANIOBRAS</v>
      </c>
      <c r="L1453" s="27"/>
      <c r="M1453" s="27"/>
      <c r="N1453" s="27"/>
      <c r="O1453" s="27"/>
      <c r="P1453" s="27"/>
      <c r="Q1453" s="27"/>
      <c r="R1453" s="27"/>
      <c r="S1453" s="27"/>
      <c r="T1453" s="27"/>
      <c r="U1453" s="27"/>
      <c r="V1453" s="27"/>
      <c r="W1453" s="27"/>
      <c r="X1453" s="27"/>
      <c r="Y1453" s="27"/>
    </row>
    <row r="1454">
      <c r="A1454" s="32"/>
      <c r="B1454" s="32"/>
      <c r="C1454" s="29" t="s">
        <v>271</v>
      </c>
      <c r="D1454" s="29" t="s">
        <v>593</v>
      </c>
      <c r="E1454" s="28">
        <v>406.66</v>
      </c>
      <c r="F1454" s="28">
        <v>0.0</v>
      </c>
      <c r="G1454" s="28" t="s">
        <v>84</v>
      </c>
      <c r="H1454" s="28">
        <f t="array" ref="H1454">INDEX(CC!C:C,MATCH(1,(CC!A:A=G1454)*(CC!B:B=I1454),0))</f>
        <v>1002</v>
      </c>
      <c r="I1454" s="28" t="s">
        <v>25</v>
      </c>
      <c r="J1454" s="31">
        <v>406.66</v>
      </c>
      <c r="K1454" s="28" t="str">
        <f>IFERROR(__xludf.DUMMYFUNCTION("IFERROR(
INDEX(
FILTER(
MAP(
reglas!$B$2:$B$240,
reglas!$C$2:$C$240,
reglas!$D$2:$D$240,
reglas!$E$2:$E$240,
LAMBDA(rEmisor,rPatron,rConcepto,rTipo,
IF(
AND(
OR(
UPPER(TRIM(rEmisor))=UPPER(TRIM(C1454)),
UPPER(TRIM(rEmisor))=""CUALQUIERA""
),
OR(
UPPER(TRI"&amp;"M(rTipo))=""SOLO EMISOR"",
AND(
UPPER(TRIM(rTipo))=""EXACTA"",
UPPER(TRIM(AG1454))=UPPER(TRIM(rPatron))
),
AND(
OR(
UPPER(TRIM(rTipo))=""CONTIENE"",
UPPER(TRIM(rTipo))=""COINCIDENCIA""
),
ISNUMBER(SEARCH(UPPER(TRIM(rPatron)),UPPER(TRIM(D1454))))
)
)
),
rC"&amp;"oncepto,
""""
)
)
),
MAP(
reglas!$B$2:$B$240,
reglas!$C$2:$C$240,
reglas!$D$2:$D$240,
reglas!$E$2:$E$240,
LAMBDA(rEmisor,rPatron,rConcepto,rTipo,
IF(
AND(
OR(
UPPER(TRIM(rEmisor))=UPPER(TRIM(C1454)),
UPPER(TRIM(rEmisor))=""CUALQUIERA""
),
OR(
UPPER(TRIM(r"&amp;"Tipo))=""SOLO EMISOR"",
AND(
UPPER(TRIM(rTipo))=""EXACTA"",
UPPER(TRIM(D1454))=UPPER(TRIM(rPatron))
),
AND(
OR(
UPPER(TRIM(rTipo))=""CONTIENE"",
UPPER(TRIM(rTipo))=""COINCIDENCIA""
),
ISNUMBER(SEARCH(UPPER(TRIM(rPatron)),UPPER(TRIM(D1454))))
)
)
),
rConce"&amp;"pto,
""""
)
)
)&lt;&gt;""""
),
1
),
""""
)"),"MANIOBRAS")</f>
        <v>MANIOBRAS</v>
      </c>
      <c r="L1454" s="27"/>
      <c r="M1454" s="27"/>
      <c r="N1454" s="27"/>
      <c r="O1454" s="27"/>
      <c r="P1454" s="27"/>
      <c r="Q1454" s="27"/>
      <c r="R1454" s="27"/>
      <c r="S1454" s="27"/>
      <c r="T1454" s="27"/>
      <c r="U1454" s="27"/>
      <c r="V1454" s="27"/>
      <c r="W1454" s="27"/>
      <c r="X1454" s="27"/>
      <c r="Y1454" s="27"/>
    </row>
    <row r="1455">
      <c r="A1455" s="32"/>
      <c r="B1455" s="32"/>
      <c r="C1455" s="29" t="s">
        <v>271</v>
      </c>
      <c r="D1455" s="29" t="s">
        <v>596</v>
      </c>
      <c r="E1455" s="28">
        <v>648.69</v>
      </c>
      <c r="F1455" s="28">
        <v>0.0</v>
      </c>
      <c r="G1455" s="28" t="s">
        <v>84</v>
      </c>
      <c r="H1455" s="28">
        <f t="array" ref="H1455">INDEX(CC!C:C,MATCH(1,(CC!A:A=G1455)*(CC!B:B=I1455),0))</f>
        <v>1002</v>
      </c>
      <c r="I1455" s="28" t="s">
        <v>25</v>
      </c>
      <c r="J1455" s="31">
        <v>648.69</v>
      </c>
      <c r="K1455" s="28" t="str">
        <f>IFERROR(__xludf.DUMMYFUNCTION("IFERROR(
INDEX(
FILTER(
MAP(
reglas!$B$2:$B$240,
reglas!$C$2:$C$240,
reglas!$D$2:$D$240,
reglas!$E$2:$E$240,
LAMBDA(rEmisor,rPatron,rConcepto,rTipo,
IF(
AND(
OR(
UPPER(TRIM(rEmisor))=UPPER(TRIM(C1455)),
UPPER(TRIM(rEmisor))=""CUALQUIERA""
),
OR(
UPPER(TRI"&amp;"M(rTipo))=""SOLO EMISOR"",
AND(
UPPER(TRIM(rTipo))=""EXACTA"",
UPPER(TRIM(AG1455))=UPPER(TRIM(rPatron))
),
AND(
OR(
UPPER(TRIM(rTipo))=""CONTIENE"",
UPPER(TRIM(rTipo))=""COINCIDENCIA""
),
ISNUMBER(SEARCH(UPPER(TRIM(rPatron)),UPPER(TRIM(D1455))))
)
)
),
rC"&amp;"oncepto,
""""
)
)
),
MAP(
reglas!$B$2:$B$240,
reglas!$C$2:$C$240,
reglas!$D$2:$D$240,
reglas!$E$2:$E$240,
LAMBDA(rEmisor,rPatron,rConcepto,rTipo,
IF(
AND(
OR(
UPPER(TRIM(rEmisor))=UPPER(TRIM(C1455)),
UPPER(TRIM(rEmisor))=""CUALQUIERA""
),
OR(
UPPER(TRIM(r"&amp;"Tipo))=""SOLO EMISOR"",
AND(
UPPER(TRIM(rTipo))=""EXACTA"",
UPPER(TRIM(D1455))=UPPER(TRIM(rPatron))
),
AND(
OR(
UPPER(TRIM(rTipo))=""CONTIENE"",
UPPER(TRIM(rTipo))=""COINCIDENCIA""
),
ISNUMBER(SEARCH(UPPER(TRIM(rPatron)),UPPER(TRIM(D1455))))
)
)
),
rConce"&amp;"pto,
""""
)
)
)&lt;&gt;""""
),
1
),
""""
)"),"MANIOBRAS")</f>
        <v>MANIOBRAS</v>
      </c>
      <c r="L1455" s="27"/>
      <c r="M1455" s="27"/>
      <c r="N1455" s="27"/>
      <c r="O1455" s="27"/>
      <c r="P1455" s="27"/>
      <c r="Q1455" s="27"/>
      <c r="R1455" s="27"/>
      <c r="S1455" s="27"/>
      <c r="T1455" s="27"/>
      <c r="U1455" s="27"/>
      <c r="V1455" s="27"/>
      <c r="W1455" s="27"/>
      <c r="X1455" s="27"/>
      <c r="Y1455" s="27"/>
    </row>
    <row r="1456">
      <c r="A1456" s="28">
        <v>1.0</v>
      </c>
      <c r="B1456" s="28" t="s">
        <v>29</v>
      </c>
      <c r="C1456" s="29" t="s">
        <v>271</v>
      </c>
      <c r="D1456" s="29" t="s">
        <v>585</v>
      </c>
      <c r="E1456" s="28">
        <v>617.93</v>
      </c>
      <c r="F1456" s="28">
        <v>0.0</v>
      </c>
      <c r="G1456" s="28" t="s">
        <v>84</v>
      </c>
      <c r="H1456" s="28">
        <f t="array" ref="H1456">INDEX(CC!C:C,MATCH(1,(CC!A:A=G1456)*(CC!B:B=I1456),0))</f>
        <v>1002</v>
      </c>
      <c r="I1456" s="28" t="s">
        <v>25</v>
      </c>
      <c r="J1456" s="31">
        <v>617.93</v>
      </c>
      <c r="K1456" s="28" t="str">
        <f>IFERROR(__xludf.DUMMYFUNCTION("IFERROR(
INDEX(
FILTER(
MAP(
reglas!$B$2:$B$240,
reglas!$C$2:$C$240,
reglas!$D$2:$D$240,
reglas!$E$2:$E$240,
LAMBDA(rEmisor,rPatron,rConcepto,rTipo,
IF(
AND(
OR(
UPPER(TRIM(rEmisor))=UPPER(TRIM(C1456)),
UPPER(TRIM(rEmisor))=""CUALQUIERA""
),
OR(
UPPER(TRI"&amp;"M(rTipo))=""SOLO EMISOR"",
AND(
UPPER(TRIM(rTipo))=""EXACTA"",
UPPER(TRIM(AG1456))=UPPER(TRIM(rPatron))
),
AND(
OR(
UPPER(TRIM(rTipo))=""CONTIENE"",
UPPER(TRIM(rTipo))=""COINCIDENCIA""
),
ISNUMBER(SEARCH(UPPER(TRIM(rPatron)),UPPER(TRIM(D1456))))
)
)
),
rC"&amp;"oncepto,
""""
)
)
),
MAP(
reglas!$B$2:$B$240,
reglas!$C$2:$C$240,
reglas!$D$2:$D$240,
reglas!$E$2:$E$240,
LAMBDA(rEmisor,rPatron,rConcepto,rTipo,
IF(
AND(
OR(
UPPER(TRIM(rEmisor))=UPPER(TRIM(C1456)),
UPPER(TRIM(rEmisor))=""CUALQUIERA""
),
OR(
UPPER(TRIM(r"&amp;"Tipo))=""SOLO EMISOR"",
AND(
UPPER(TRIM(rTipo))=""EXACTA"",
UPPER(TRIM(D1456))=UPPER(TRIM(rPatron))
),
AND(
OR(
UPPER(TRIM(rTipo))=""CONTIENE"",
UPPER(TRIM(rTipo))=""COINCIDENCIA""
),
ISNUMBER(SEARCH(UPPER(TRIM(rPatron)),UPPER(TRIM(D1456))))
)
)
),
rConce"&amp;"pto,
""""
)
)
)&lt;&gt;""""
),
1
),
""""
)"),"MANIOBRAS")</f>
        <v>MANIOBRAS</v>
      </c>
      <c r="L1456" s="27"/>
      <c r="M1456" s="27"/>
      <c r="N1456" s="27"/>
      <c r="O1456" s="27"/>
      <c r="P1456" s="27"/>
      <c r="Q1456" s="27"/>
      <c r="R1456" s="27"/>
      <c r="S1456" s="27"/>
      <c r="T1456" s="27"/>
      <c r="U1456" s="27"/>
      <c r="V1456" s="27"/>
      <c r="W1456" s="27"/>
      <c r="X1456" s="27"/>
      <c r="Y1456" s="27"/>
    </row>
    <row r="1457">
      <c r="A1457" s="32"/>
      <c r="B1457" s="32"/>
      <c r="C1457" s="29" t="s">
        <v>271</v>
      </c>
      <c r="D1457" s="29" t="s">
        <v>587</v>
      </c>
      <c r="E1457" s="28">
        <v>565.37</v>
      </c>
      <c r="F1457" s="28">
        <v>0.0</v>
      </c>
      <c r="G1457" s="28" t="s">
        <v>84</v>
      </c>
      <c r="H1457" s="28">
        <f t="array" ref="H1457">INDEX(CC!C:C,MATCH(1,(CC!A:A=G1457)*(CC!B:B=I1457),0))</f>
        <v>1002</v>
      </c>
      <c r="I1457" s="28" t="s">
        <v>25</v>
      </c>
      <c r="J1457" s="31">
        <v>565.37</v>
      </c>
      <c r="K1457" s="28" t="str">
        <f>IFERROR(__xludf.DUMMYFUNCTION("IFERROR(
INDEX(
FILTER(
MAP(
reglas!$B$2:$B$240,
reglas!$C$2:$C$240,
reglas!$D$2:$D$240,
reglas!$E$2:$E$240,
LAMBDA(rEmisor,rPatron,rConcepto,rTipo,
IF(
AND(
OR(
UPPER(TRIM(rEmisor))=UPPER(TRIM(C1457)),
UPPER(TRIM(rEmisor))=""CUALQUIERA""
),
OR(
UPPER(TRI"&amp;"M(rTipo))=""SOLO EMISOR"",
AND(
UPPER(TRIM(rTipo))=""EXACTA"",
UPPER(TRIM(AG1457))=UPPER(TRIM(rPatron))
),
AND(
OR(
UPPER(TRIM(rTipo))=""CONTIENE"",
UPPER(TRIM(rTipo))=""COINCIDENCIA""
),
ISNUMBER(SEARCH(UPPER(TRIM(rPatron)),UPPER(TRIM(D1457))))
)
)
),
rC"&amp;"oncepto,
""""
)
)
),
MAP(
reglas!$B$2:$B$240,
reglas!$C$2:$C$240,
reglas!$D$2:$D$240,
reglas!$E$2:$E$240,
LAMBDA(rEmisor,rPatron,rConcepto,rTipo,
IF(
AND(
OR(
UPPER(TRIM(rEmisor))=UPPER(TRIM(C1457)),
UPPER(TRIM(rEmisor))=""CUALQUIERA""
),
OR(
UPPER(TRIM(r"&amp;"Tipo))=""SOLO EMISOR"",
AND(
UPPER(TRIM(rTipo))=""EXACTA"",
UPPER(TRIM(D1457))=UPPER(TRIM(rPatron))
),
AND(
OR(
UPPER(TRIM(rTipo))=""CONTIENE"",
UPPER(TRIM(rTipo))=""COINCIDENCIA""
),
ISNUMBER(SEARCH(UPPER(TRIM(rPatron)),UPPER(TRIM(D1457))))
)
)
),
rConce"&amp;"pto,
""""
)
)
)&lt;&gt;""""
),
1
),
""""
)"),"MANIOBRAS")</f>
        <v>MANIOBRAS</v>
      </c>
      <c r="L1457" s="27"/>
      <c r="M1457" s="27"/>
      <c r="N1457" s="27"/>
      <c r="O1457" s="27"/>
      <c r="P1457" s="27"/>
      <c r="Q1457" s="27"/>
      <c r="R1457" s="27"/>
      <c r="S1457" s="27"/>
      <c r="T1457" s="27"/>
      <c r="U1457" s="27"/>
      <c r="V1457" s="27"/>
      <c r="W1457" s="27"/>
      <c r="X1457" s="27"/>
      <c r="Y1457" s="27"/>
    </row>
    <row r="1458">
      <c r="A1458" s="32"/>
      <c r="B1458" s="32"/>
      <c r="C1458" s="29" t="s">
        <v>271</v>
      </c>
      <c r="D1458" s="29" t="s">
        <v>586</v>
      </c>
      <c r="E1458" s="28">
        <v>618.27</v>
      </c>
      <c r="F1458" s="28">
        <v>0.0</v>
      </c>
      <c r="G1458" s="28" t="s">
        <v>84</v>
      </c>
      <c r="H1458" s="28">
        <f t="array" ref="H1458">INDEX(CC!C:C,MATCH(1,(CC!A:A=G1458)*(CC!B:B=I1458),0))</f>
        <v>1002</v>
      </c>
      <c r="I1458" s="28" t="s">
        <v>25</v>
      </c>
      <c r="J1458" s="31">
        <v>618.27</v>
      </c>
      <c r="K1458" s="28" t="str">
        <f>IFERROR(__xludf.DUMMYFUNCTION("IFERROR(
INDEX(
FILTER(
MAP(
reglas!$B$2:$B$240,
reglas!$C$2:$C$240,
reglas!$D$2:$D$240,
reglas!$E$2:$E$240,
LAMBDA(rEmisor,rPatron,rConcepto,rTipo,
IF(
AND(
OR(
UPPER(TRIM(rEmisor))=UPPER(TRIM(C1458)),
UPPER(TRIM(rEmisor))=""CUALQUIERA""
),
OR(
UPPER(TRI"&amp;"M(rTipo))=""SOLO EMISOR"",
AND(
UPPER(TRIM(rTipo))=""EXACTA"",
UPPER(TRIM(AG1458))=UPPER(TRIM(rPatron))
),
AND(
OR(
UPPER(TRIM(rTipo))=""CONTIENE"",
UPPER(TRIM(rTipo))=""COINCIDENCIA""
),
ISNUMBER(SEARCH(UPPER(TRIM(rPatron)),UPPER(TRIM(D1458))))
)
)
),
rC"&amp;"oncepto,
""""
)
)
),
MAP(
reglas!$B$2:$B$240,
reglas!$C$2:$C$240,
reglas!$D$2:$D$240,
reglas!$E$2:$E$240,
LAMBDA(rEmisor,rPatron,rConcepto,rTipo,
IF(
AND(
OR(
UPPER(TRIM(rEmisor))=UPPER(TRIM(C1458)),
UPPER(TRIM(rEmisor))=""CUALQUIERA""
),
OR(
UPPER(TRIM(r"&amp;"Tipo))=""SOLO EMISOR"",
AND(
UPPER(TRIM(rTipo))=""EXACTA"",
UPPER(TRIM(D1458))=UPPER(TRIM(rPatron))
),
AND(
OR(
UPPER(TRIM(rTipo))=""CONTIENE"",
UPPER(TRIM(rTipo))=""COINCIDENCIA""
),
ISNUMBER(SEARCH(UPPER(TRIM(rPatron)),UPPER(TRIM(D1458))))
)
)
),
rConce"&amp;"pto,
""""
)
)
)&lt;&gt;""""
),
1
),
""""
)"),"MANIOBRAS")</f>
        <v>MANIOBRAS</v>
      </c>
      <c r="L1458" s="27"/>
      <c r="M1458" s="27"/>
      <c r="N1458" s="27"/>
      <c r="O1458" s="27"/>
      <c r="P1458" s="27"/>
      <c r="Q1458" s="27"/>
      <c r="R1458" s="27"/>
      <c r="S1458" s="27"/>
      <c r="T1458" s="27"/>
      <c r="U1458" s="27"/>
      <c r="V1458" s="27"/>
      <c r="W1458" s="27"/>
      <c r="X1458" s="27"/>
      <c r="Y1458" s="27"/>
    </row>
    <row r="1459">
      <c r="A1459" s="32"/>
      <c r="B1459" s="32"/>
      <c r="C1459" s="29" t="s">
        <v>271</v>
      </c>
      <c r="D1459" s="29" t="s">
        <v>589</v>
      </c>
      <c r="E1459" s="28">
        <v>618.27</v>
      </c>
      <c r="F1459" s="28">
        <v>0.0</v>
      </c>
      <c r="G1459" s="28" t="s">
        <v>84</v>
      </c>
      <c r="H1459" s="28">
        <f t="array" ref="H1459">INDEX(CC!C:C,MATCH(1,(CC!A:A=G1459)*(CC!B:B=I1459),0))</f>
        <v>1002</v>
      </c>
      <c r="I1459" s="28" t="s">
        <v>25</v>
      </c>
      <c r="J1459" s="31">
        <v>618.27</v>
      </c>
      <c r="K1459" s="28" t="str">
        <f>IFERROR(__xludf.DUMMYFUNCTION("IFERROR(
INDEX(
FILTER(
MAP(
reglas!$B$2:$B$240,
reglas!$C$2:$C$240,
reglas!$D$2:$D$240,
reglas!$E$2:$E$240,
LAMBDA(rEmisor,rPatron,rConcepto,rTipo,
IF(
AND(
OR(
UPPER(TRIM(rEmisor))=UPPER(TRIM(C1459)),
UPPER(TRIM(rEmisor))=""CUALQUIERA""
),
OR(
UPPER(TRI"&amp;"M(rTipo))=""SOLO EMISOR"",
AND(
UPPER(TRIM(rTipo))=""EXACTA"",
UPPER(TRIM(AG1459))=UPPER(TRIM(rPatron))
),
AND(
OR(
UPPER(TRIM(rTipo))=""CONTIENE"",
UPPER(TRIM(rTipo))=""COINCIDENCIA""
),
ISNUMBER(SEARCH(UPPER(TRIM(rPatron)),UPPER(TRIM(D1459))))
)
)
),
rC"&amp;"oncepto,
""""
)
)
),
MAP(
reglas!$B$2:$B$240,
reglas!$C$2:$C$240,
reglas!$D$2:$D$240,
reglas!$E$2:$E$240,
LAMBDA(rEmisor,rPatron,rConcepto,rTipo,
IF(
AND(
OR(
UPPER(TRIM(rEmisor))=UPPER(TRIM(C1459)),
UPPER(TRIM(rEmisor))=""CUALQUIERA""
),
OR(
UPPER(TRIM(r"&amp;"Tipo))=""SOLO EMISOR"",
AND(
UPPER(TRIM(rTipo))=""EXACTA"",
UPPER(TRIM(D1459))=UPPER(TRIM(rPatron))
),
AND(
OR(
UPPER(TRIM(rTipo))=""CONTIENE"",
UPPER(TRIM(rTipo))=""COINCIDENCIA""
),
ISNUMBER(SEARCH(UPPER(TRIM(rPatron)),UPPER(TRIM(D1459))))
)
)
),
rConce"&amp;"pto,
""""
)
)
)&lt;&gt;""""
),
1
),
""""
)"),"MANIOBRAS")</f>
        <v>MANIOBRAS</v>
      </c>
      <c r="L1459" s="27"/>
      <c r="M1459" s="27"/>
      <c r="N1459" s="27"/>
      <c r="O1459" s="27"/>
      <c r="P1459" s="27"/>
      <c r="Q1459" s="27"/>
      <c r="R1459" s="27"/>
      <c r="S1459" s="27"/>
      <c r="T1459" s="27"/>
      <c r="U1459" s="27"/>
      <c r="V1459" s="27"/>
      <c r="W1459" s="27"/>
      <c r="X1459" s="27"/>
      <c r="Y1459" s="27"/>
    </row>
    <row r="1460">
      <c r="A1460" s="32"/>
      <c r="B1460" s="32"/>
      <c r="C1460" s="29" t="s">
        <v>271</v>
      </c>
      <c r="D1460" s="29" t="s">
        <v>593</v>
      </c>
      <c r="E1460" s="28">
        <v>739.28</v>
      </c>
      <c r="F1460" s="28">
        <v>0.0</v>
      </c>
      <c r="G1460" s="28" t="s">
        <v>84</v>
      </c>
      <c r="H1460" s="28">
        <f t="array" ref="H1460">INDEX(CC!C:C,MATCH(1,(CC!A:A=G1460)*(CC!B:B=I1460),0))</f>
        <v>1002</v>
      </c>
      <c r="I1460" s="28" t="s">
        <v>25</v>
      </c>
      <c r="J1460" s="31">
        <v>739.28</v>
      </c>
      <c r="K1460" s="28" t="str">
        <f>IFERROR(__xludf.DUMMYFUNCTION("IFERROR(
INDEX(
FILTER(
MAP(
reglas!$B$2:$B$240,
reglas!$C$2:$C$240,
reglas!$D$2:$D$240,
reglas!$E$2:$E$240,
LAMBDA(rEmisor,rPatron,rConcepto,rTipo,
IF(
AND(
OR(
UPPER(TRIM(rEmisor))=UPPER(TRIM(C1460)),
UPPER(TRIM(rEmisor))=""CUALQUIERA""
),
OR(
UPPER(TRI"&amp;"M(rTipo))=""SOLO EMISOR"",
AND(
UPPER(TRIM(rTipo))=""EXACTA"",
UPPER(TRIM(AG1460))=UPPER(TRIM(rPatron))
),
AND(
OR(
UPPER(TRIM(rTipo))=""CONTIENE"",
UPPER(TRIM(rTipo))=""COINCIDENCIA""
),
ISNUMBER(SEARCH(UPPER(TRIM(rPatron)),UPPER(TRIM(D1460))))
)
)
),
rC"&amp;"oncepto,
""""
)
)
),
MAP(
reglas!$B$2:$B$240,
reglas!$C$2:$C$240,
reglas!$D$2:$D$240,
reglas!$E$2:$E$240,
LAMBDA(rEmisor,rPatron,rConcepto,rTipo,
IF(
AND(
OR(
UPPER(TRIM(rEmisor))=UPPER(TRIM(C1460)),
UPPER(TRIM(rEmisor))=""CUALQUIERA""
),
OR(
UPPER(TRIM(r"&amp;"Tipo))=""SOLO EMISOR"",
AND(
UPPER(TRIM(rTipo))=""EXACTA"",
UPPER(TRIM(D1460))=UPPER(TRIM(rPatron))
),
AND(
OR(
UPPER(TRIM(rTipo))=""CONTIENE"",
UPPER(TRIM(rTipo))=""COINCIDENCIA""
),
ISNUMBER(SEARCH(UPPER(TRIM(rPatron)),UPPER(TRIM(D1460))))
)
)
),
rConce"&amp;"pto,
""""
)
)
)&lt;&gt;""""
),
1
),
""""
)"),"MANIOBRAS")</f>
        <v>MANIOBRAS</v>
      </c>
      <c r="L1460" s="27"/>
      <c r="M1460" s="27"/>
      <c r="N1460" s="27"/>
      <c r="O1460" s="27"/>
      <c r="P1460" s="27"/>
      <c r="Q1460" s="27"/>
      <c r="R1460" s="27"/>
      <c r="S1460" s="27"/>
      <c r="T1460" s="27"/>
      <c r="U1460" s="27"/>
      <c r="V1460" s="27"/>
      <c r="W1460" s="27"/>
      <c r="X1460" s="27"/>
      <c r="Y1460" s="27"/>
    </row>
    <row r="1461">
      <c r="A1461" s="32"/>
      <c r="B1461" s="32"/>
      <c r="C1461" s="29" t="s">
        <v>271</v>
      </c>
      <c r="D1461" s="29" t="s">
        <v>596</v>
      </c>
      <c r="E1461" s="28">
        <v>648.69</v>
      </c>
      <c r="F1461" s="28">
        <v>0.0</v>
      </c>
      <c r="G1461" s="28" t="s">
        <v>84</v>
      </c>
      <c r="H1461" s="28">
        <f t="array" ref="H1461">INDEX(CC!C:C,MATCH(1,(CC!A:A=G1461)*(CC!B:B=I1461),0))</f>
        <v>1002</v>
      </c>
      <c r="I1461" s="28" t="s">
        <v>25</v>
      </c>
      <c r="J1461" s="31">
        <v>648.69</v>
      </c>
      <c r="K1461" s="28" t="str">
        <f>IFERROR(__xludf.DUMMYFUNCTION("IFERROR(
INDEX(
FILTER(
MAP(
reglas!$B$2:$B$240,
reglas!$C$2:$C$240,
reglas!$D$2:$D$240,
reglas!$E$2:$E$240,
LAMBDA(rEmisor,rPatron,rConcepto,rTipo,
IF(
AND(
OR(
UPPER(TRIM(rEmisor))=UPPER(TRIM(C1461)),
UPPER(TRIM(rEmisor))=""CUALQUIERA""
),
OR(
UPPER(TRI"&amp;"M(rTipo))=""SOLO EMISOR"",
AND(
UPPER(TRIM(rTipo))=""EXACTA"",
UPPER(TRIM(AG1461))=UPPER(TRIM(rPatron))
),
AND(
OR(
UPPER(TRIM(rTipo))=""CONTIENE"",
UPPER(TRIM(rTipo))=""COINCIDENCIA""
),
ISNUMBER(SEARCH(UPPER(TRIM(rPatron)),UPPER(TRIM(D1461))))
)
)
),
rC"&amp;"oncepto,
""""
)
)
),
MAP(
reglas!$B$2:$B$240,
reglas!$C$2:$C$240,
reglas!$D$2:$D$240,
reglas!$E$2:$E$240,
LAMBDA(rEmisor,rPatron,rConcepto,rTipo,
IF(
AND(
OR(
UPPER(TRIM(rEmisor))=UPPER(TRIM(C1461)),
UPPER(TRIM(rEmisor))=""CUALQUIERA""
),
OR(
UPPER(TRIM(r"&amp;"Tipo))=""SOLO EMISOR"",
AND(
UPPER(TRIM(rTipo))=""EXACTA"",
UPPER(TRIM(D1461))=UPPER(TRIM(rPatron))
),
AND(
OR(
UPPER(TRIM(rTipo))=""CONTIENE"",
UPPER(TRIM(rTipo))=""COINCIDENCIA""
),
ISNUMBER(SEARCH(UPPER(TRIM(rPatron)),UPPER(TRIM(D1461))))
)
)
),
rConce"&amp;"pto,
""""
)
)
)&lt;&gt;""""
),
1
),
""""
)"),"MANIOBRAS")</f>
        <v>MANIOBRAS</v>
      </c>
      <c r="L1461" s="27"/>
      <c r="M1461" s="27"/>
      <c r="N1461" s="27"/>
      <c r="O1461" s="27"/>
      <c r="P1461" s="27"/>
      <c r="Q1461" s="27"/>
      <c r="R1461" s="27"/>
      <c r="S1461" s="27"/>
      <c r="T1461" s="27"/>
      <c r="U1461" s="27"/>
      <c r="V1461" s="27"/>
      <c r="W1461" s="27"/>
      <c r="X1461" s="27"/>
      <c r="Y1461" s="27"/>
    </row>
    <row r="1462">
      <c r="A1462" s="32"/>
      <c r="B1462" s="28" t="s">
        <v>29</v>
      </c>
      <c r="C1462" s="29" t="s">
        <v>278</v>
      </c>
      <c r="D1462" s="29" t="s">
        <v>560</v>
      </c>
      <c r="E1462" s="30">
        <v>3500.0</v>
      </c>
      <c r="F1462" s="28">
        <v>0.0</v>
      </c>
      <c r="G1462" s="28" t="s">
        <v>250</v>
      </c>
      <c r="H1462" s="28">
        <f t="array" ref="H1462">INDEX(CC!C:C,MATCH(1,(CC!A:A=G1462)*(CC!B:B=I1462),0))</f>
        <v>1402</v>
      </c>
      <c r="I1462" s="28" t="s">
        <v>25</v>
      </c>
      <c r="J1462" s="31">
        <v>3500.0</v>
      </c>
      <c r="K1462" s="28" t="str">
        <f>IFERROR(__xludf.DUMMYFUNCTION("IFERROR(
INDEX(
FILTER(
MAP(
reglas!$B$2:$B$240,
reglas!$C$2:$C$240,
reglas!$D$2:$D$240,
reglas!$E$2:$E$240,
LAMBDA(rEmisor,rPatron,rConcepto,rTipo,
IF(
AND(
OR(
UPPER(TRIM(rEmisor))=UPPER(TRIM(C1462)),
UPPER(TRIM(rEmisor))=""CUALQUIERA""
),
OR(
UPPER(TRI"&amp;"M(rTipo))=""SOLO EMISOR"",
AND(
UPPER(TRIM(rTipo))=""EXACTA"",
UPPER(TRIM(AG1462))=UPPER(TRIM(rPatron))
),
AND(
OR(
UPPER(TRIM(rTipo))=""CONTIENE"",
UPPER(TRIM(rTipo))=""COINCIDENCIA""
),
ISNUMBER(SEARCH(UPPER(TRIM(rPatron)),UPPER(TRIM(D1462))))
)
)
),
rC"&amp;"oncepto,
""""
)
)
),
MAP(
reglas!$B$2:$B$240,
reglas!$C$2:$C$240,
reglas!$D$2:$D$240,
reglas!$E$2:$E$240,
LAMBDA(rEmisor,rPatron,rConcepto,rTipo,
IF(
AND(
OR(
UPPER(TRIM(rEmisor))=UPPER(TRIM(C1462)),
UPPER(TRIM(rEmisor))=""CUALQUIERA""
),
OR(
UPPER(TRIM(r"&amp;"Tipo))=""SOLO EMISOR"",
AND(
UPPER(TRIM(rTipo))=""EXACTA"",
UPPER(TRIM(D1462))=UPPER(TRIM(rPatron))
),
AND(
OR(
UPPER(TRIM(rTipo))=""CONTIENE"",
UPPER(TRIM(rTipo))=""COINCIDENCIA""
),
ISNUMBER(SEARCH(UPPER(TRIM(rPatron)),UPPER(TRIM(D1462))))
)
)
),
rConce"&amp;"pto,
""""
)
)
)&lt;&gt;""""
),
1
),
""""
)"),"MANIOBRAS")</f>
        <v>MANIOBRAS</v>
      </c>
      <c r="L1462" s="27"/>
      <c r="M1462" s="27"/>
      <c r="N1462" s="27"/>
      <c r="O1462" s="27"/>
      <c r="P1462" s="27"/>
      <c r="Q1462" s="27"/>
      <c r="R1462" s="27"/>
      <c r="S1462" s="27"/>
      <c r="T1462" s="27"/>
      <c r="U1462" s="27"/>
      <c r="V1462" s="27"/>
      <c r="W1462" s="27"/>
      <c r="X1462" s="27"/>
      <c r="Y1462" s="27"/>
    </row>
    <row r="1463">
      <c r="A1463" s="32"/>
      <c r="B1463" s="28" t="s">
        <v>29</v>
      </c>
      <c r="C1463" s="29" t="s">
        <v>172</v>
      </c>
      <c r="D1463" s="29" t="s">
        <v>1892</v>
      </c>
      <c r="E1463" s="30">
        <v>11500.0</v>
      </c>
      <c r="F1463" s="28">
        <v>0.0</v>
      </c>
      <c r="G1463" s="28" t="s">
        <v>250</v>
      </c>
      <c r="H1463" s="28">
        <f t="array" ref="H1463">INDEX(CC!C:C,MATCH(1,(CC!A:A=G1463)*(CC!B:B=I1463),0))</f>
        <v>1402</v>
      </c>
      <c r="I1463" s="28" t="s">
        <v>25</v>
      </c>
      <c r="J1463" s="31">
        <v>11500.0</v>
      </c>
      <c r="K1463" s="28" t="str">
        <f>IFERROR(__xludf.DUMMYFUNCTION("IFERROR(
INDEX(
FILTER(
MAP(
reglas!$B$2:$B$240,
reglas!$C$2:$C$240,
reglas!$D$2:$D$240,
reglas!$E$2:$E$240,
LAMBDA(rEmisor,rPatron,rConcepto,rTipo,
IF(
AND(
OR(
UPPER(TRIM(rEmisor))=UPPER(TRIM(C1463)),
UPPER(TRIM(rEmisor))=""CUALQUIERA""
),
OR(
UPPER(TRI"&amp;"M(rTipo))=""SOLO EMISOR"",
AND(
UPPER(TRIM(rTipo))=""EXACTA"",
UPPER(TRIM(AG1463))=UPPER(TRIM(rPatron))
),
AND(
OR(
UPPER(TRIM(rTipo))=""CONTIENE"",
UPPER(TRIM(rTipo))=""COINCIDENCIA""
),
ISNUMBER(SEARCH(UPPER(TRIM(rPatron)),UPPER(TRIM(D1463))))
)
)
),
rC"&amp;"oncepto,
""""
)
)
),
MAP(
reglas!$B$2:$B$240,
reglas!$C$2:$C$240,
reglas!$D$2:$D$240,
reglas!$E$2:$E$240,
LAMBDA(rEmisor,rPatron,rConcepto,rTipo,
IF(
AND(
OR(
UPPER(TRIM(rEmisor))=UPPER(TRIM(C1463)),
UPPER(TRIM(rEmisor))=""CUALQUIERA""
),
OR(
UPPER(TRIM(r"&amp;"Tipo))=""SOLO EMISOR"",
AND(
UPPER(TRIM(rTipo))=""EXACTA"",
UPPER(TRIM(D1463))=UPPER(TRIM(rPatron))
),
AND(
OR(
UPPER(TRIM(rTipo))=""CONTIENE"",
UPPER(TRIM(rTipo))=""COINCIDENCIA""
),
ISNUMBER(SEARCH(UPPER(TRIM(rPatron)),UPPER(TRIM(D1463))))
)
)
),
rConce"&amp;"pto,
""""
)
)
)&lt;&gt;""""
),
1
),
""""
)"),"TRANSPORTE")</f>
        <v>TRANSPORTE</v>
      </c>
      <c r="L1463" s="27"/>
      <c r="M1463" s="27"/>
      <c r="N1463" s="27"/>
      <c r="O1463" s="27"/>
      <c r="P1463" s="27"/>
      <c r="Q1463" s="27"/>
      <c r="R1463" s="27"/>
      <c r="S1463" s="27"/>
      <c r="T1463" s="27"/>
      <c r="U1463" s="27"/>
      <c r="V1463" s="27"/>
      <c r="W1463" s="27"/>
      <c r="X1463" s="27"/>
      <c r="Y1463" s="27"/>
    </row>
    <row r="1464">
      <c r="A1464" s="28">
        <v>1.0</v>
      </c>
      <c r="B1464" s="28" t="s">
        <v>29</v>
      </c>
      <c r="C1464" s="29" t="s">
        <v>271</v>
      </c>
      <c r="D1464" s="29" t="s">
        <v>585</v>
      </c>
      <c r="E1464" s="28">
        <v>617.93</v>
      </c>
      <c r="F1464" s="28">
        <v>0.0</v>
      </c>
      <c r="G1464" s="28" t="s">
        <v>84</v>
      </c>
      <c r="H1464" s="28">
        <f t="array" ref="H1464">INDEX(CC!C:C,MATCH(1,(CC!A:A=G1464)*(CC!B:B=I1464),0))</f>
        <v>1002</v>
      </c>
      <c r="I1464" s="28" t="s">
        <v>25</v>
      </c>
      <c r="J1464" s="31">
        <v>617.93</v>
      </c>
      <c r="K1464" s="28" t="str">
        <f>IFERROR(__xludf.DUMMYFUNCTION("IFERROR(
INDEX(
FILTER(
MAP(
reglas!$B$2:$B$240,
reglas!$C$2:$C$240,
reglas!$D$2:$D$240,
reglas!$E$2:$E$240,
LAMBDA(rEmisor,rPatron,rConcepto,rTipo,
IF(
AND(
OR(
UPPER(TRIM(rEmisor))=UPPER(TRIM(C1464)),
UPPER(TRIM(rEmisor))=""CUALQUIERA""
),
OR(
UPPER(TRI"&amp;"M(rTipo))=""SOLO EMISOR"",
AND(
UPPER(TRIM(rTipo))=""EXACTA"",
UPPER(TRIM(AG1464))=UPPER(TRIM(rPatron))
),
AND(
OR(
UPPER(TRIM(rTipo))=""CONTIENE"",
UPPER(TRIM(rTipo))=""COINCIDENCIA""
),
ISNUMBER(SEARCH(UPPER(TRIM(rPatron)),UPPER(TRIM(D1464))))
)
)
),
rC"&amp;"oncepto,
""""
)
)
),
MAP(
reglas!$B$2:$B$240,
reglas!$C$2:$C$240,
reglas!$D$2:$D$240,
reglas!$E$2:$E$240,
LAMBDA(rEmisor,rPatron,rConcepto,rTipo,
IF(
AND(
OR(
UPPER(TRIM(rEmisor))=UPPER(TRIM(C1464)),
UPPER(TRIM(rEmisor))=""CUALQUIERA""
),
OR(
UPPER(TRIM(r"&amp;"Tipo))=""SOLO EMISOR"",
AND(
UPPER(TRIM(rTipo))=""EXACTA"",
UPPER(TRIM(D1464))=UPPER(TRIM(rPatron))
),
AND(
OR(
UPPER(TRIM(rTipo))=""CONTIENE"",
UPPER(TRIM(rTipo))=""COINCIDENCIA""
),
ISNUMBER(SEARCH(UPPER(TRIM(rPatron)),UPPER(TRIM(D1464))))
)
)
),
rConce"&amp;"pto,
""""
)
)
)&lt;&gt;""""
),
1
),
""""
)"),"MANIOBRAS")</f>
        <v>MANIOBRAS</v>
      </c>
      <c r="L1464" s="27"/>
      <c r="M1464" s="27"/>
      <c r="N1464" s="27"/>
      <c r="O1464" s="27"/>
      <c r="P1464" s="27"/>
      <c r="Q1464" s="27"/>
      <c r="R1464" s="27"/>
      <c r="S1464" s="27"/>
      <c r="T1464" s="27"/>
      <c r="U1464" s="27"/>
      <c r="V1464" s="27"/>
      <c r="W1464" s="27"/>
      <c r="X1464" s="27"/>
      <c r="Y1464" s="27"/>
    </row>
    <row r="1465">
      <c r="A1465" s="32"/>
      <c r="B1465" s="32"/>
      <c r="C1465" s="29" t="s">
        <v>271</v>
      </c>
      <c r="D1465" s="29" t="s">
        <v>587</v>
      </c>
      <c r="E1465" s="28">
        <v>565.37</v>
      </c>
      <c r="F1465" s="28">
        <v>0.0</v>
      </c>
      <c r="G1465" s="28" t="s">
        <v>84</v>
      </c>
      <c r="H1465" s="28">
        <f t="array" ref="H1465">INDEX(CC!C:C,MATCH(1,(CC!A:A=G1465)*(CC!B:B=I1465),0))</f>
        <v>1002</v>
      </c>
      <c r="I1465" s="28" t="s">
        <v>25</v>
      </c>
      <c r="J1465" s="31">
        <v>565.37</v>
      </c>
      <c r="K1465" s="28" t="str">
        <f>IFERROR(__xludf.DUMMYFUNCTION("IFERROR(
INDEX(
FILTER(
MAP(
reglas!$B$2:$B$240,
reglas!$C$2:$C$240,
reglas!$D$2:$D$240,
reglas!$E$2:$E$240,
LAMBDA(rEmisor,rPatron,rConcepto,rTipo,
IF(
AND(
OR(
UPPER(TRIM(rEmisor))=UPPER(TRIM(C1465)),
UPPER(TRIM(rEmisor))=""CUALQUIERA""
),
OR(
UPPER(TRI"&amp;"M(rTipo))=""SOLO EMISOR"",
AND(
UPPER(TRIM(rTipo))=""EXACTA"",
UPPER(TRIM(AG1465))=UPPER(TRIM(rPatron))
),
AND(
OR(
UPPER(TRIM(rTipo))=""CONTIENE"",
UPPER(TRIM(rTipo))=""COINCIDENCIA""
),
ISNUMBER(SEARCH(UPPER(TRIM(rPatron)),UPPER(TRIM(D1465))))
)
)
),
rC"&amp;"oncepto,
""""
)
)
),
MAP(
reglas!$B$2:$B$240,
reglas!$C$2:$C$240,
reglas!$D$2:$D$240,
reglas!$E$2:$E$240,
LAMBDA(rEmisor,rPatron,rConcepto,rTipo,
IF(
AND(
OR(
UPPER(TRIM(rEmisor))=UPPER(TRIM(C1465)),
UPPER(TRIM(rEmisor))=""CUALQUIERA""
),
OR(
UPPER(TRIM(r"&amp;"Tipo))=""SOLO EMISOR"",
AND(
UPPER(TRIM(rTipo))=""EXACTA"",
UPPER(TRIM(D1465))=UPPER(TRIM(rPatron))
),
AND(
OR(
UPPER(TRIM(rTipo))=""CONTIENE"",
UPPER(TRIM(rTipo))=""COINCIDENCIA""
),
ISNUMBER(SEARCH(UPPER(TRIM(rPatron)),UPPER(TRIM(D1465))))
)
)
),
rConce"&amp;"pto,
""""
)
)
)&lt;&gt;""""
),
1
),
""""
)"),"MANIOBRAS")</f>
        <v>MANIOBRAS</v>
      </c>
      <c r="L1465" s="27"/>
      <c r="M1465" s="27"/>
      <c r="N1465" s="27"/>
      <c r="O1465" s="27"/>
      <c r="P1465" s="27"/>
      <c r="Q1465" s="27"/>
      <c r="R1465" s="27"/>
      <c r="S1465" s="27"/>
      <c r="T1465" s="27"/>
      <c r="U1465" s="27"/>
      <c r="V1465" s="27"/>
      <c r="W1465" s="27"/>
      <c r="X1465" s="27"/>
      <c r="Y1465" s="27"/>
    </row>
    <row r="1466">
      <c r="A1466" s="32"/>
      <c r="B1466" s="32"/>
      <c r="C1466" s="29" t="s">
        <v>271</v>
      </c>
      <c r="D1466" s="29" t="s">
        <v>589</v>
      </c>
      <c r="E1466" s="28">
        <v>618.27</v>
      </c>
      <c r="F1466" s="28">
        <v>0.0</v>
      </c>
      <c r="G1466" s="28" t="s">
        <v>84</v>
      </c>
      <c r="H1466" s="28">
        <f t="array" ref="H1466">INDEX(CC!C:C,MATCH(1,(CC!A:A=G1466)*(CC!B:B=I1466),0))</f>
        <v>1002</v>
      </c>
      <c r="I1466" s="28" t="s">
        <v>25</v>
      </c>
      <c r="J1466" s="31">
        <v>618.27</v>
      </c>
      <c r="K1466" s="28" t="str">
        <f>IFERROR(__xludf.DUMMYFUNCTION("IFERROR(
INDEX(
FILTER(
MAP(
reglas!$B$2:$B$240,
reglas!$C$2:$C$240,
reglas!$D$2:$D$240,
reglas!$E$2:$E$240,
LAMBDA(rEmisor,rPatron,rConcepto,rTipo,
IF(
AND(
OR(
UPPER(TRIM(rEmisor))=UPPER(TRIM(C1466)),
UPPER(TRIM(rEmisor))=""CUALQUIERA""
),
OR(
UPPER(TRI"&amp;"M(rTipo))=""SOLO EMISOR"",
AND(
UPPER(TRIM(rTipo))=""EXACTA"",
UPPER(TRIM(AG1466))=UPPER(TRIM(rPatron))
),
AND(
OR(
UPPER(TRIM(rTipo))=""CONTIENE"",
UPPER(TRIM(rTipo))=""COINCIDENCIA""
),
ISNUMBER(SEARCH(UPPER(TRIM(rPatron)),UPPER(TRIM(D1466))))
)
)
),
rC"&amp;"oncepto,
""""
)
)
),
MAP(
reglas!$B$2:$B$240,
reglas!$C$2:$C$240,
reglas!$D$2:$D$240,
reglas!$E$2:$E$240,
LAMBDA(rEmisor,rPatron,rConcepto,rTipo,
IF(
AND(
OR(
UPPER(TRIM(rEmisor))=UPPER(TRIM(C1466)),
UPPER(TRIM(rEmisor))=""CUALQUIERA""
),
OR(
UPPER(TRIM(r"&amp;"Tipo))=""SOLO EMISOR"",
AND(
UPPER(TRIM(rTipo))=""EXACTA"",
UPPER(TRIM(D1466))=UPPER(TRIM(rPatron))
),
AND(
OR(
UPPER(TRIM(rTipo))=""CONTIENE"",
UPPER(TRIM(rTipo))=""COINCIDENCIA""
),
ISNUMBER(SEARCH(UPPER(TRIM(rPatron)),UPPER(TRIM(D1466))))
)
)
),
rConce"&amp;"pto,
""""
)
)
)&lt;&gt;""""
),
1
),
""""
)"),"MANIOBRAS")</f>
        <v>MANIOBRAS</v>
      </c>
      <c r="L1466" s="27"/>
      <c r="M1466" s="27"/>
      <c r="N1466" s="27"/>
      <c r="O1466" s="27"/>
      <c r="P1466" s="27"/>
      <c r="Q1466" s="27"/>
      <c r="R1466" s="27"/>
      <c r="S1466" s="27"/>
      <c r="T1466" s="27"/>
      <c r="U1466" s="27"/>
      <c r="V1466" s="27"/>
      <c r="W1466" s="27"/>
      <c r="X1466" s="27"/>
      <c r="Y1466" s="27"/>
    </row>
    <row r="1467">
      <c r="A1467" s="32"/>
      <c r="B1467" s="32"/>
      <c r="C1467" s="29" t="s">
        <v>271</v>
      </c>
      <c r="D1467" s="29" t="s">
        <v>596</v>
      </c>
      <c r="E1467" s="28">
        <v>648.69</v>
      </c>
      <c r="F1467" s="28">
        <v>0.0</v>
      </c>
      <c r="G1467" s="28" t="s">
        <v>84</v>
      </c>
      <c r="H1467" s="28">
        <f t="array" ref="H1467">INDEX(CC!C:C,MATCH(1,(CC!A:A=G1467)*(CC!B:B=I1467),0))</f>
        <v>1002</v>
      </c>
      <c r="I1467" s="28" t="s">
        <v>25</v>
      </c>
      <c r="J1467" s="31">
        <v>648.69</v>
      </c>
      <c r="K1467" s="28" t="str">
        <f>IFERROR(__xludf.DUMMYFUNCTION("IFERROR(
INDEX(
FILTER(
MAP(
reglas!$B$2:$B$240,
reglas!$C$2:$C$240,
reglas!$D$2:$D$240,
reglas!$E$2:$E$240,
LAMBDA(rEmisor,rPatron,rConcepto,rTipo,
IF(
AND(
OR(
UPPER(TRIM(rEmisor))=UPPER(TRIM(C1467)),
UPPER(TRIM(rEmisor))=""CUALQUIERA""
),
OR(
UPPER(TRI"&amp;"M(rTipo))=""SOLO EMISOR"",
AND(
UPPER(TRIM(rTipo))=""EXACTA"",
UPPER(TRIM(AG1467))=UPPER(TRIM(rPatron))
),
AND(
OR(
UPPER(TRIM(rTipo))=""CONTIENE"",
UPPER(TRIM(rTipo))=""COINCIDENCIA""
),
ISNUMBER(SEARCH(UPPER(TRIM(rPatron)),UPPER(TRIM(D1467))))
)
)
),
rC"&amp;"oncepto,
""""
)
)
),
MAP(
reglas!$B$2:$B$240,
reglas!$C$2:$C$240,
reglas!$D$2:$D$240,
reglas!$E$2:$E$240,
LAMBDA(rEmisor,rPatron,rConcepto,rTipo,
IF(
AND(
OR(
UPPER(TRIM(rEmisor))=UPPER(TRIM(C1467)),
UPPER(TRIM(rEmisor))=""CUALQUIERA""
),
OR(
UPPER(TRIM(r"&amp;"Tipo))=""SOLO EMISOR"",
AND(
UPPER(TRIM(rTipo))=""EXACTA"",
UPPER(TRIM(D1467))=UPPER(TRIM(rPatron))
),
AND(
OR(
UPPER(TRIM(rTipo))=""CONTIENE"",
UPPER(TRIM(rTipo))=""COINCIDENCIA""
),
ISNUMBER(SEARCH(UPPER(TRIM(rPatron)),UPPER(TRIM(D1467))))
)
)
),
rConce"&amp;"pto,
""""
)
)
)&lt;&gt;""""
),
1
),
""""
)"),"MANIOBRAS")</f>
        <v>MANIOBRAS</v>
      </c>
      <c r="L1467" s="27"/>
      <c r="M1467" s="27"/>
      <c r="N1467" s="27"/>
      <c r="O1467" s="27"/>
      <c r="P1467" s="27"/>
      <c r="Q1467" s="27"/>
      <c r="R1467" s="27"/>
      <c r="S1467" s="27"/>
      <c r="T1467" s="27"/>
      <c r="U1467" s="27"/>
      <c r="V1467" s="27"/>
      <c r="W1467" s="27"/>
      <c r="X1467" s="27"/>
      <c r="Y1467" s="27"/>
    </row>
    <row r="1468">
      <c r="A1468" s="32"/>
      <c r="B1468" s="28" t="s">
        <v>29</v>
      </c>
      <c r="C1468" s="29" t="s">
        <v>172</v>
      </c>
      <c r="D1468" s="29" t="s">
        <v>1892</v>
      </c>
      <c r="E1468" s="30">
        <v>11500.0</v>
      </c>
      <c r="F1468" s="28">
        <v>0.0</v>
      </c>
      <c r="G1468" s="28" t="s">
        <v>250</v>
      </c>
      <c r="H1468" s="28">
        <f t="array" ref="H1468">INDEX(CC!C:C,MATCH(1,(CC!A:A=G1468)*(CC!B:B=I1468),0))</f>
        <v>1402</v>
      </c>
      <c r="I1468" s="28" t="s">
        <v>25</v>
      </c>
      <c r="J1468" s="31">
        <v>11500.0</v>
      </c>
      <c r="K1468" s="28" t="str">
        <f>IFERROR(__xludf.DUMMYFUNCTION("IFERROR(
INDEX(
FILTER(
MAP(
reglas!$B$2:$B$240,
reglas!$C$2:$C$240,
reglas!$D$2:$D$240,
reglas!$E$2:$E$240,
LAMBDA(rEmisor,rPatron,rConcepto,rTipo,
IF(
AND(
OR(
UPPER(TRIM(rEmisor))=UPPER(TRIM(C1468)),
UPPER(TRIM(rEmisor))=""CUALQUIERA""
),
OR(
UPPER(TRI"&amp;"M(rTipo))=""SOLO EMISOR"",
AND(
UPPER(TRIM(rTipo))=""EXACTA"",
UPPER(TRIM(AG1468))=UPPER(TRIM(rPatron))
),
AND(
OR(
UPPER(TRIM(rTipo))=""CONTIENE"",
UPPER(TRIM(rTipo))=""COINCIDENCIA""
),
ISNUMBER(SEARCH(UPPER(TRIM(rPatron)),UPPER(TRIM(D1468))))
)
)
),
rC"&amp;"oncepto,
""""
)
)
),
MAP(
reglas!$B$2:$B$240,
reglas!$C$2:$C$240,
reglas!$D$2:$D$240,
reglas!$E$2:$E$240,
LAMBDA(rEmisor,rPatron,rConcepto,rTipo,
IF(
AND(
OR(
UPPER(TRIM(rEmisor))=UPPER(TRIM(C1468)),
UPPER(TRIM(rEmisor))=""CUALQUIERA""
),
OR(
UPPER(TRIM(r"&amp;"Tipo))=""SOLO EMISOR"",
AND(
UPPER(TRIM(rTipo))=""EXACTA"",
UPPER(TRIM(D1468))=UPPER(TRIM(rPatron))
),
AND(
OR(
UPPER(TRIM(rTipo))=""CONTIENE"",
UPPER(TRIM(rTipo))=""COINCIDENCIA""
),
ISNUMBER(SEARCH(UPPER(TRIM(rPatron)),UPPER(TRIM(D1468))))
)
)
),
rConce"&amp;"pto,
""""
)
)
)&lt;&gt;""""
),
1
),
""""
)"),"TRANSPORTE")</f>
        <v>TRANSPORTE</v>
      </c>
      <c r="L1468" s="27"/>
      <c r="M1468" s="27"/>
      <c r="N1468" s="27"/>
      <c r="O1468" s="27"/>
      <c r="P1468" s="27"/>
      <c r="Q1468" s="27"/>
      <c r="R1468" s="27"/>
      <c r="S1468" s="27"/>
      <c r="T1468" s="27"/>
      <c r="U1468" s="27"/>
      <c r="V1468" s="27"/>
      <c r="W1468" s="27"/>
      <c r="X1468" s="27"/>
      <c r="Y1468" s="27"/>
    </row>
    <row r="1469">
      <c r="A1469" s="32"/>
      <c r="B1469" s="28" t="s">
        <v>29</v>
      </c>
      <c r="C1469" s="29" t="s">
        <v>278</v>
      </c>
      <c r="D1469" s="29" t="s">
        <v>560</v>
      </c>
      <c r="E1469" s="30">
        <v>3500.0</v>
      </c>
      <c r="F1469" s="28">
        <v>0.0</v>
      </c>
      <c r="G1469" s="28" t="s">
        <v>250</v>
      </c>
      <c r="H1469" s="28">
        <f t="array" ref="H1469">INDEX(CC!C:C,MATCH(1,(CC!A:A=G1469)*(CC!B:B=I1469),0))</f>
        <v>1402</v>
      </c>
      <c r="I1469" s="28" t="s">
        <v>25</v>
      </c>
      <c r="J1469" s="31">
        <v>3500.0</v>
      </c>
      <c r="K1469" s="28" t="str">
        <f>IFERROR(__xludf.DUMMYFUNCTION("IFERROR(
INDEX(
FILTER(
MAP(
reglas!$B$2:$B$240,
reglas!$C$2:$C$240,
reglas!$D$2:$D$240,
reglas!$E$2:$E$240,
LAMBDA(rEmisor,rPatron,rConcepto,rTipo,
IF(
AND(
OR(
UPPER(TRIM(rEmisor))=UPPER(TRIM(C1469)),
UPPER(TRIM(rEmisor))=""CUALQUIERA""
),
OR(
UPPER(TRI"&amp;"M(rTipo))=""SOLO EMISOR"",
AND(
UPPER(TRIM(rTipo))=""EXACTA"",
UPPER(TRIM(AG1469))=UPPER(TRIM(rPatron))
),
AND(
OR(
UPPER(TRIM(rTipo))=""CONTIENE"",
UPPER(TRIM(rTipo))=""COINCIDENCIA""
),
ISNUMBER(SEARCH(UPPER(TRIM(rPatron)),UPPER(TRIM(D1469))))
)
)
),
rC"&amp;"oncepto,
""""
)
)
),
MAP(
reglas!$B$2:$B$240,
reglas!$C$2:$C$240,
reglas!$D$2:$D$240,
reglas!$E$2:$E$240,
LAMBDA(rEmisor,rPatron,rConcepto,rTipo,
IF(
AND(
OR(
UPPER(TRIM(rEmisor))=UPPER(TRIM(C1469)),
UPPER(TRIM(rEmisor))=""CUALQUIERA""
),
OR(
UPPER(TRIM(r"&amp;"Tipo))=""SOLO EMISOR"",
AND(
UPPER(TRIM(rTipo))=""EXACTA"",
UPPER(TRIM(D1469))=UPPER(TRIM(rPatron))
),
AND(
OR(
UPPER(TRIM(rTipo))=""CONTIENE"",
UPPER(TRIM(rTipo))=""COINCIDENCIA""
),
ISNUMBER(SEARCH(UPPER(TRIM(rPatron)),UPPER(TRIM(D1469))))
)
)
),
rConce"&amp;"pto,
""""
)
)
)&lt;&gt;""""
),
1
),
""""
)"),"MANIOBRAS")</f>
        <v>MANIOBRAS</v>
      </c>
      <c r="L1469" s="27"/>
      <c r="M1469" s="27"/>
      <c r="N1469" s="27"/>
      <c r="O1469" s="27"/>
      <c r="P1469" s="27"/>
      <c r="Q1469" s="27"/>
      <c r="R1469" s="27"/>
      <c r="S1469" s="27"/>
      <c r="T1469" s="27"/>
      <c r="U1469" s="27"/>
      <c r="V1469" s="27"/>
      <c r="W1469" s="27"/>
      <c r="X1469" s="27"/>
      <c r="Y1469" s="27"/>
    </row>
    <row r="1470">
      <c r="A1470" s="32"/>
      <c r="B1470" s="28" t="s">
        <v>29</v>
      </c>
      <c r="C1470" s="29" t="s">
        <v>172</v>
      </c>
      <c r="D1470" s="29" t="s">
        <v>1892</v>
      </c>
      <c r="E1470" s="30">
        <v>11500.0</v>
      </c>
      <c r="F1470" s="28">
        <v>0.0</v>
      </c>
      <c r="G1470" s="28" t="s">
        <v>250</v>
      </c>
      <c r="H1470" s="28">
        <f t="array" ref="H1470">INDEX(CC!C:C,MATCH(1,(CC!A:A=G1470)*(CC!B:B=I1470),0))</f>
        <v>1402</v>
      </c>
      <c r="I1470" s="28" t="s">
        <v>25</v>
      </c>
      <c r="J1470" s="31">
        <v>11500.0</v>
      </c>
      <c r="K1470" s="28" t="str">
        <f>IFERROR(__xludf.DUMMYFUNCTION("IFERROR(
INDEX(
FILTER(
MAP(
reglas!$B$2:$B$240,
reglas!$C$2:$C$240,
reglas!$D$2:$D$240,
reglas!$E$2:$E$240,
LAMBDA(rEmisor,rPatron,rConcepto,rTipo,
IF(
AND(
OR(
UPPER(TRIM(rEmisor))=UPPER(TRIM(C1470)),
UPPER(TRIM(rEmisor))=""CUALQUIERA""
),
OR(
UPPER(TRI"&amp;"M(rTipo))=""SOLO EMISOR"",
AND(
UPPER(TRIM(rTipo))=""EXACTA"",
UPPER(TRIM(AG1470))=UPPER(TRIM(rPatron))
),
AND(
OR(
UPPER(TRIM(rTipo))=""CONTIENE"",
UPPER(TRIM(rTipo))=""COINCIDENCIA""
),
ISNUMBER(SEARCH(UPPER(TRIM(rPatron)),UPPER(TRIM(D1470))))
)
)
),
rC"&amp;"oncepto,
""""
)
)
),
MAP(
reglas!$B$2:$B$240,
reglas!$C$2:$C$240,
reglas!$D$2:$D$240,
reglas!$E$2:$E$240,
LAMBDA(rEmisor,rPatron,rConcepto,rTipo,
IF(
AND(
OR(
UPPER(TRIM(rEmisor))=UPPER(TRIM(C1470)),
UPPER(TRIM(rEmisor))=""CUALQUIERA""
),
OR(
UPPER(TRIM(r"&amp;"Tipo))=""SOLO EMISOR"",
AND(
UPPER(TRIM(rTipo))=""EXACTA"",
UPPER(TRIM(D1470))=UPPER(TRIM(rPatron))
),
AND(
OR(
UPPER(TRIM(rTipo))=""CONTIENE"",
UPPER(TRIM(rTipo))=""COINCIDENCIA""
),
ISNUMBER(SEARCH(UPPER(TRIM(rPatron)),UPPER(TRIM(D1470))))
)
)
),
rConce"&amp;"pto,
""""
)
)
)&lt;&gt;""""
),
1
),
""""
)"),"TRANSPORTE")</f>
        <v>TRANSPORTE</v>
      </c>
      <c r="L1470" s="27"/>
      <c r="M1470" s="27"/>
      <c r="N1470" s="27"/>
      <c r="O1470" s="27"/>
      <c r="P1470" s="27"/>
      <c r="Q1470" s="27"/>
      <c r="R1470" s="27"/>
      <c r="S1470" s="27"/>
      <c r="T1470" s="27"/>
      <c r="U1470" s="27"/>
      <c r="V1470" s="27"/>
      <c r="W1470" s="27"/>
      <c r="X1470" s="27"/>
      <c r="Y1470" s="27"/>
    </row>
    <row r="1471">
      <c r="A1471" s="32"/>
      <c r="B1471" s="28" t="s">
        <v>29</v>
      </c>
      <c r="C1471" s="29" t="s">
        <v>241</v>
      </c>
      <c r="D1471" s="29" t="s">
        <v>1900</v>
      </c>
      <c r="E1471" s="30">
        <v>3000.0</v>
      </c>
      <c r="F1471" s="28">
        <v>0.0</v>
      </c>
      <c r="G1471" s="28" t="s">
        <v>74</v>
      </c>
      <c r="H1471" s="28">
        <f t="array" ref="H1471">INDEX(CC!C:C,MATCH(1,(CC!A:A=G1471)*(CC!B:B=I1471),0))</f>
        <v>1502</v>
      </c>
      <c r="I1471" s="28" t="s">
        <v>25</v>
      </c>
      <c r="J1471" s="31">
        <v>3000.0</v>
      </c>
      <c r="K1471" s="28" t="str">
        <f>IFERROR(__xludf.DUMMYFUNCTION("IFERROR(
INDEX(
FILTER(
MAP(
reglas!$B$2:$B$240,
reglas!$C$2:$C$240,
reglas!$D$2:$D$240,
reglas!$E$2:$E$240,
LAMBDA(rEmisor,rPatron,rConcepto,rTipo,
IF(
AND(
OR(
UPPER(TRIM(rEmisor))=UPPER(TRIM(C1471)),
UPPER(TRIM(rEmisor))=""CUALQUIERA""
),
OR(
UPPER(TRI"&amp;"M(rTipo))=""SOLO EMISOR"",
AND(
UPPER(TRIM(rTipo))=""EXACTA"",
UPPER(TRIM(AG1471))=UPPER(TRIM(rPatron))
),
AND(
OR(
UPPER(TRIM(rTipo))=""CONTIENE"",
UPPER(TRIM(rTipo))=""COINCIDENCIA""
),
ISNUMBER(SEARCH(UPPER(TRIM(rPatron)),UPPER(TRIM(D1471))))
)
)
),
rC"&amp;"oncepto,
""""
)
)
),
MAP(
reglas!$B$2:$B$240,
reglas!$C$2:$C$240,
reglas!$D$2:$D$240,
reglas!$E$2:$E$240,
LAMBDA(rEmisor,rPatron,rConcepto,rTipo,
IF(
AND(
OR(
UPPER(TRIM(rEmisor))=UPPER(TRIM(C1471)),
UPPER(TRIM(rEmisor))=""CUALQUIERA""
),
OR(
UPPER(TRIM(r"&amp;"Tipo))=""SOLO EMISOR"",
AND(
UPPER(TRIM(rTipo))=""EXACTA"",
UPPER(TRIM(D1471))=UPPER(TRIM(rPatron))
),
AND(
OR(
UPPER(TRIM(rTipo))=""CONTIENE"",
UPPER(TRIM(rTipo))=""COINCIDENCIA""
),
ISNUMBER(SEARCH(UPPER(TRIM(rPatron)),UPPER(TRIM(D1471))))
)
)
),
rConce"&amp;"pto,
""""
)
)
)&lt;&gt;""""
),
1
),
""""
)"),"COPIADORA")</f>
        <v>COPIADORA</v>
      </c>
      <c r="L1471" s="27"/>
      <c r="M1471" s="27"/>
      <c r="N1471" s="27"/>
      <c r="O1471" s="27"/>
      <c r="P1471" s="27"/>
      <c r="Q1471" s="27"/>
      <c r="R1471" s="27"/>
      <c r="S1471" s="27"/>
      <c r="T1471" s="27"/>
      <c r="U1471" s="27"/>
      <c r="V1471" s="27"/>
      <c r="W1471" s="27"/>
      <c r="X1471" s="27"/>
      <c r="Y1471" s="27"/>
    </row>
    <row r="1472">
      <c r="A1472" s="32"/>
      <c r="B1472" s="32"/>
      <c r="C1472" s="29" t="s">
        <v>241</v>
      </c>
      <c r="D1472" s="29" t="s">
        <v>1901</v>
      </c>
      <c r="E1472" s="30">
        <v>1500.0</v>
      </c>
      <c r="F1472" s="28">
        <v>0.0</v>
      </c>
      <c r="G1472" s="28" t="s">
        <v>84</v>
      </c>
      <c r="H1472" s="28">
        <f t="array" ref="H1472">INDEX(CC!C:C,MATCH(1,(CC!A:A=G1472)*(CC!B:B=I1472),0))</f>
        <v>1002</v>
      </c>
      <c r="I1472" s="28" t="s">
        <v>25</v>
      </c>
      <c r="J1472" s="31">
        <v>1500.0</v>
      </c>
      <c r="K1472" s="28" t="str">
        <f>IFERROR(__xludf.DUMMYFUNCTION("IFERROR(
INDEX(
FILTER(
MAP(
reglas!$B$2:$B$240,
reglas!$C$2:$C$240,
reglas!$D$2:$D$240,
reglas!$E$2:$E$240,
LAMBDA(rEmisor,rPatron,rConcepto,rTipo,
IF(
AND(
OR(
UPPER(TRIM(rEmisor))=UPPER(TRIM(C1472)),
UPPER(TRIM(rEmisor))=""CUALQUIERA""
),
OR(
UPPER(TRI"&amp;"M(rTipo))=""SOLO EMISOR"",
AND(
UPPER(TRIM(rTipo))=""EXACTA"",
UPPER(TRIM(AG1472))=UPPER(TRIM(rPatron))
),
AND(
OR(
UPPER(TRIM(rTipo))=""CONTIENE"",
UPPER(TRIM(rTipo))=""COINCIDENCIA""
),
ISNUMBER(SEARCH(UPPER(TRIM(rPatron)),UPPER(TRIM(D1472))))
)
)
),
rC"&amp;"oncepto,
""""
)
)
),
MAP(
reglas!$B$2:$B$240,
reglas!$C$2:$C$240,
reglas!$D$2:$D$240,
reglas!$E$2:$E$240,
LAMBDA(rEmisor,rPatron,rConcepto,rTipo,
IF(
AND(
OR(
UPPER(TRIM(rEmisor))=UPPER(TRIM(C1472)),
UPPER(TRIM(rEmisor))=""CUALQUIERA""
),
OR(
UPPER(TRIM(r"&amp;"Tipo))=""SOLO EMISOR"",
AND(
UPPER(TRIM(rTipo))=""EXACTA"",
UPPER(TRIM(D1472))=UPPER(TRIM(rPatron))
),
AND(
OR(
UPPER(TRIM(rTipo))=""CONTIENE"",
UPPER(TRIM(rTipo))=""COINCIDENCIA""
),
ISNUMBER(SEARCH(UPPER(TRIM(rPatron)),UPPER(TRIM(D1472))))
)
)
),
rConce"&amp;"pto,
""""
)
)
)&lt;&gt;""""
),
1
),
""""
)"),"COPIADORA")</f>
        <v>COPIADORA</v>
      </c>
      <c r="L1472" s="27"/>
      <c r="M1472" s="27"/>
      <c r="N1472" s="27"/>
      <c r="O1472" s="27"/>
      <c r="P1472" s="27"/>
      <c r="Q1472" s="27"/>
      <c r="R1472" s="27"/>
      <c r="S1472" s="27"/>
      <c r="T1472" s="27"/>
      <c r="U1472" s="27"/>
      <c r="V1472" s="27"/>
      <c r="W1472" s="27"/>
      <c r="X1472" s="27"/>
      <c r="Y1472" s="27"/>
    </row>
    <row r="1473">
      <c r="A1473" s="32"/>
      <c r="B1473" s="32"/>
      <c r="C1473" s="29" t="s">
        <v>241</v>
      </c>
      <c r="D1473" s="29" t="s">
        <v>1902</v>
      </c>
      <c r="E1473" s="30">
        <v>1500.0</v>
      </c>
      <c r="F1473" s="28">
        <v>0.0</v>
      </c>
      <c r="G1473" s="28" t="s">
        <v>55</v>
      </c>
      <c r="H1473" s="28">
        <f t="array" ref="H1473">INDEX(CC!C:C,MATCH(1,(CC!A:A=G1473)*(CC!B:B=I1473),0))</f>
        <v>902</v>
      </c>
      <c r="I1473" s="28" t="s">
        <v>25</v>
      </c>
      <c r="J1473" s="31">
        <v>1500.0</v>
      </c>
      <c r="K1473" s="28" t="str">
        <f>IFERROR(__xludf.DUMMYFUNCTION("IFERROR(
INDEX(
FILTER(
MAP(
reglas!$B$2:$B$240,
reglas!$C$2:$C$240,
reglas!$D$2:$D$240,
reglas!$E$2:$E$240,
LAMBDA(rEmisor,rPatron,rConcepto,rTipo,
IF(
AND(
OR(
UPPER(TRIM(rEmisor))=UPPER(TRIM(C1473)),
UPPER(TRIM(rEmisor))=""CUALQUIERA""
),
OR(
UPPER(TRI"&amp;"M(rTipo))=""SOLO EMISOR"",
AND(
UPPER(TRIM(rTipo))=""EXACTA"",
UPPER(TRIM(AG1473))=UPPER(TRIM(rPatron))
),
AND(
OR(
UPPER(TRIM(rTipo))=""CONTIENE"",
UPPER(TRIM(rTipo))=""COINCIDENCIA""
),
ISNUMBER(SEARCH(UPPER(TRIM(rPatron)),UPPER(TRIM(D1473))))
)
)
),
rC"&amp;"oncepto,
""""
)
)
),
MAP(
reglas!$B$2:$B$240,
reglas!$C$2:$C$240,
reglas!$D$2:$D$240,
reglas!$E$2:$E$240,
LAMBDA(rEmisor,rPatron,rConcepto,rTipo,
IF(
AND(
OR(
UPPER(TRIM(rEmisor))=UPPER(TRIM(C1473)),
UPPER(TRIM(rEmisor))=""CUALQUIERA""
),
OR(
UPPER(TRIM(r"&amp;"Tipo))=""SOLO EMISOR"",
AND(
UPPER(TRIM(rTipo))=""EXACTA"",
UPPER(TRIM(D1473))=UPPER(TRIM(rPatron))
),
AND(
OR(
UPPER(TRIM(rTipo))=""CONTIENE"",
UPPER(TRIM(rTipo))=""COINCIDENCIA""
),
ISNUMBER(SEARCH(UPPER(TRIM(rPatron)),UPPER(TRIM(D1473))))
)
)
),
rConce"&amp;"pto,
""""
)
)
)&lt;&gt;""""
),
1
),
""""
)"),"COPIADORA")</f>
        <v>COPIADORA</v>
      </c>
      <c r="L1473" s="27"/>
      <c r="M1473" s="27"/>
      <c r="N1473" s="27"/>
      <c r="O1473" s="27"/>
      <c r="P1473" s="27"/>
      <c r="Q1473" s="27"/>
      <c r="R1473" s="27"/>
      <c r="S1473" s="27"/>
      <c r="T1473" s="27"/>
      <c r="U1473" s="27"/>
      <c r="V1473" s="27"/>
      <c r="W1473" s="27"/>
      <c r="X1473" s="27"/>
      <c r="Y1473" s="27"/>
    </row>
    <row r="1474">
      <c r="A1474" s="32"/>
      <c r="B1474" s="32"/>
      <c r="C1474" s="29" t="s">
        <v>241</v>
      </c>
      <c r="D1474" s="29" t="s">
        <v>1903</v>
      </c>
      <c r="E1474" s="30">
        <v>4754.4</v>
      </c>
      <c r="F1474" s="28">
        <v>0.0</v>
      </c>
      <c r="G1474" s="28" t="s">
        <v>55</v>
      </c>
      <c r="H1474" s="28">
        <f t="array" ref="H1474">INDEX(CC!C:C,MATCH(1,(CC!A:A=G1474)*(CC!B:B=I1474),0))</f>
        <v>902</v>
      </c>
      <c r="I1474" s="28" t="s">
        <v>25</v>
      </c>
      <c r="J1474" s="31">
        <v>4754.4</v>
      </c>
      <c r="K1474" s="28" t="str">
        <f>IFERROR(__xludf.DUMMYFUNCTION("IFERROR(
INDEX(
FILTER(
MAP(
reglas!$B$2:$B$240,
reglas!$C$2:$C$240,
reglas!$D$2:$D$240,
reglas!$E$2:$E$240,
LAMBDA(rEmisor,rPatron,rConcepto,rTipo,
IF(
AND(
OR(
UPPER(TRIM(rEmisor))=UPPER(TRIM(C1474)),
UPPER(TRIM(rEmisor))=""CUALQUIERA""
),
OR(
UPPER(TRI"&amp;"M(rTipo))=""SOLO EMISOR"",
AND(
UPPER(TRIM(rTipo))=""EXACTA"",
UPPER(TRIM(AG1474))=UPPER(TRIM(rPatron))
),
AND(
OR(
UPPER(TRIM(rTipo))=""CONTIENE"",
UPPER(TRIM(rTipo))=""COINCIDENCIA""
),
ISNUMBER(SEARCH(UPPER(TRIM(rPatron)),UPPER(TRIM(D1474))))
)
)
),
rC"&amp;"oncepto,
""""
)
)
),
MAP(
reglas!$B$2:$B$240,
reglas!$C$2:$C$240,
reglas!$D$2:$D$240,
reglas!$E$2:$E$240,
LAMBDA(rEmisor,rPatron,rConcepto,rTipo,
IF(
AND(
OR(
UPPER(TRIM(rEmisor))=UPPER(TRIM(C1474)),
UPPER(TRIM(rEmisor))=""CUALQUIERA""
),
OR(
UPPER(TRIM(r"&amp;"Tipo))=""SOLO EMISOR"",
AND(
UPPER(TRIM(rTipo))=""EXACTA"",
UPPER(TRIM(D1474))=UPPER(TRIM(rPatron))
),
AND(
OR(
UPPER(TRIM(rTipo))=""CONTIENE"",
UPPER(TRIM(rTipo))=""COINCIDENCIA""
),
ISNUMBER(SEARCH(UPPER(TRIM(rPatron)),UPPER(TRIM(D1474))))
)
)
),
rConce"&amp;"pto,
""""
)
)
)&lt;&gt;""""
),
1
),
""""
)"),"COPIADORA")</f>
        <v>COPIADORA</v>
      </c>
      <c r="L1474" s="27"/>
      <c r="M1474" s="27"/>
      <c r="N1474" s="27"/>
      <c r="O1474" s="27"/>
      <c r="P1474" s="27"/>
      <c r="Q1474" s="27"/>
      <c r="R1474" s="27"/>
      <c r="S1474" s="27"/>
      <c r="T1474" s="27"/>
      <c r="U1474" s="27"/>
      <c r="V1474" s="27"/>
      <c r="W1474" s="27"/>
      <c r="X1474" s="27"/>
      <c r="Y1474" s="27"/>
    </row>
    <row r="1475">
      <c r="A1475" s="28">
        <v>1.0</v>
      </c>
      <c r="B1475" s="28" t="s">
        <v>29</v>
      </c>
      <c r="C1475" s="29" t="s">
        <v>271</v>
      </c>
      <c r="D1475" s="29" t="s">
        <v>589</v>
      </c>
      <c r="E1475" s="28">
        <v>618.27</v>
      </c>
      <c r="F1475" s="28">
        <v>0.0</v>
      </c>
      <c r="G1475" s="28" t="s">
        <v>84</v>
      </c>
      <c r="H1475" s="28">
        <f t="array" ref="H1475">INDEX(CC!C:C,MATCH(1,(CC!A:A=G1475)*(CC!B:B=I1475),0))</f>
        <v>1002</v>
      </c>
      <c r="I1475" s="28" t="s">
        <v>25</v>
      </c>
      <c r="J1475" s="31">
        <v>618.27</v>
      </c>
      <c r="K1475" s="28" t="str">
        <f>IFERROR(__xludf.DUMMYFUNCTION("IFERROR(
INDEX(
FILTER(
MAP(
reglas!$B$2:$B$240,
reglas!$C$2:$C$240,
reglas!$D$2:$D$240,
reglas!$E$2:$E$240,
LAMBDA(rEmisor,rPatron,rConcepto,rTipo,
IF(
AND(
OR(
UPPER(TRIM(rEmisor))=UPPER(TRIM(C1475)),
UPPER(TRIM(rEmisor))=""CUALQUIERA""
),
OR(
UPPER(TRI"&amp;"M(rTipo))=""SOLO EMISOR"",
AND(
UPPER(TRIM(rTipo))=""EXACTA"",
UPPER(TRIM(AG1475))=UPPER(TRIM(rPatron))
),
AND(
OR(
UPPER(TRIM(rTipo))=""CONTIENE"",
UPPER(TRIM(rTipo))=""COINCIDENCIA""
),
ISNUMBER(SEARCH(UPPER(TRIM(rPatron)),UPPER(TRIM(D1475))))
)
)
),
rC"&amp;"oncepto,
""""
)
)
),
MAP(
reglas!$B$2:$B$240,
reglas!$C$2:$C$240,
reglas!$D$2:$D$240,
reglas!$E$2:$E$240,
LAMBDA(rEmisor,rPatron,rConcepto,rTipo,
IF(
AND(
OR(
UPPER(TRIM(rEmisor))=UPPER(TRIM(C1475)),
UPPER(TRIM(rEmisor))=""CUALQUIERA""
),
OR(
UPPER(TRIM(r"&amp;"Tipo))=""SOLO EMISOR"",
AND(
UPPER(TRIM(rTipo))=""EXACTA"",
UPPER(TRIM(D1475))=UPPER(TRIM(rPatron))
),
AND(
OR(
UPPER(TRIM(rTipo))=""CONTIENE"",
UPPER(TRIM(rTipo))=""COINCIDENCIA""
),
ISNUMBER(SEARCH(UPPER(TRIM(rPatron)),UPPER(TRIM(D1475))))
)
)
),
rConce"&amp;"pto,
""""
)
)
)&lt;&gt;""""
),
1
),
""""
)"),"MANIOBRAS")</f>
        <v>MANIOBRAS</v>
      </c>
      <c r="L1475" s="27"/>
      <c r="M1475" s="27"/>
      <c r="N1475" s="27"/>
      <c r="O1475" s="27"/>
      <c r="P1475" s="27"/>
      <c r="Q1475" s="27"/>
      <c r="R1475" s="27"/>
      <c r="S1475" s="27"/>
      <c r="T1475" s="27"/>
      <c r="U1475" s="27"/>
      <c r="V1475" s="27"/>
      <c r="W1475" s="27"/>
      <c r="X1475" s="27"/>
      <c r="Y1475" s="27"/>
    </row>
    <row r="1476">
      <c r="A1476" s="32"/>
      <c r="B1476" s="28" t="s">
        <v>29</v>
      </c>
      <c r="C1476" s="29" t="s">
        <v>172</v>
      </c>
      <c r="D1476" s="29" t="s">
        <v>1891</v>
      </c>
      <c r="E1476" s="30">
        <v>11500.0</v>
      </c>
      <c r="F1476" s="28">
        <v>0.0</v>
      </c>
      <c r="G1476" s="28" t="s">
        <v>250</v>
      </c>
      <c r="H1476" s="28">
        <f t="array" ref="H1476">INDEX(CC!C:C,MATCH(1,(CC!A:A=G1476)*(CC!B:B=I1476),0))</f>
        <v>1402</v>
      </c>
      <c r="I1476" s="28" t="s">
        <v>25</v>
      </c>
      <c r="J1476" s="31">
        <v>11500.0</v>
      </c>
      <c r="K1476" s="28" t="str">
        <f>IFERROR(__xludf.DUMMYFUNCTION("IFERROR(
INDEX(
FILTER(
MAP(
reglas!$B$2:$B$240,
reglas!$C$2:$C$240,
reglas!$D$2:$D$240,
reglas!$E$2:$E$240,
LAMBDA(rEmisor,rPatron,rConcepto,rTipo,
IF(
AND(
OR(
UPPER(TRIM(rEmisor))=UPPER(TRIM(C1476)),
UPPER(TRIM(rEmisor))=""CUALQUIERA""
),
OR(
UPPER(TRI"&amp;"M(rTipo))=""SOLO EMISOR"",
AND(
UPPER(TRIM(rTipo))=""EXACTA"",
UPPER(TRIM(AG1476))=UPPER(TRIM(rPatron))
),
AND(
OR(
UPPER(TRIM(rTipo))=""CONTIENE"",
UPPER(TRIM(rTipo))=""COINCIDENCIA""
),
ISNUMBER(SEARCH(UPPER(TRIM(rPatron)),UPPER(TRIM(D1476))))
)
)
),
rC"&amp;"oncepto,
""""
)
)
),
MAP(
reglas!$B$2:$B$240,
reglas!$C$2:$C$240,
reglas!$D$2:$D$240,
reglas!$E$2:$E$240,
LAMBDA(rEmisor,rPatron,rConcepto,rTipo,
IF(
AND(
OR(
UPPER(TRIM(rEmisor))=UPPER(TRIM(C1476)),
UPPER(TRIM(rEmisor))=""CUALQUIERA""
),
OR(
UPPER(TRIM(r"&amp;"Tipo))=""SOLO EMISOR"",
AND(
UPPER(TRIM(rTipo))=""EXACTA"",
UPPER(TRIM(D1476))=UPPER(TRIM(rPatron))
),
AND(
OR(
UPPER(TRIM(rTipo))=""CONTIENE"",
UPPER(TRIM(rTipo))=""COINCIDENCIA""
),
ISNUMBER(SEARCH(UPPER(TRIM(rPatron)),UPPER(TRIM(D1476))))
)
)
),
rConce"&amp;"pto,
""""
)
)
)&lt;&gt;""""
),
1
),
""""
)"),"TRANSPORTE")</f>
        <v>TRANSPORTE</v>
      </c>
      <c r="L1476" s="27"/>
      <c r="M1476" s="27"/>
      <c r="N1476" s="27"/>
      <c r="O1476" s="27"/>
      <c r="P1476" s="27"/>
      <c r="Q1476" s="27"/>
      <c r="R1476" s="27"/>
      <c r="S1476" s="27"/>
      <c r="T1476" s="27"/>
      <c r="U1476" s="27"/>
      <c r="V1476" s="27"/>
      <c r="W1476" s="27"/>
      <c r="X1476" s="27"/>
      <c r="Y1476" s="27"/>
    </row>
    <row r="1477">
      <c r="A1477" s="32"/>
      <c r="B1477" s="28" t="s">
        <v>29</v>
      </c>
      <c r="C1477" s="29" t="s">
        <v>278</v>
      </c>
      <c r="D1477" s="29" t="s">
        <v>560</v>
      </c>
      <c r="E1477" s="30">
        <v>3500.0</v>
      </c>
      <c r="F1477" s="28">
        <v>0.0</v>
      </c>
      <c r="G1477" s="28" t="s">
        <v>250</v>
      </c>
      <c r="H1477" s="28">
        <f t="array" ref="H1477">INDEX(CC!C:C,MATCH(1,(CC!A:A=G1477)*(CC!B:B=I1477),0))</f>
        <v>1402</v>
      </c>
      <c r="I1477" s="28" t="s">
        <v>25</v>
      </c>
      <c r="J1477" s="31">
        <v>3500.0</v>
      </c>
      <c r="K1477" s="28" t="str">
        <f>IFERROR(__xludf.DUMMYFUNCTION("IFERROR(
INDEX(
FILTER(
MAP(
reglas!$B$2:$B$240,
reglas!$C$2:$C$240,
reglas!$D$2:$D$240,
reglas!$E$2:$E$240,
LAMBDA(rEmisor,rPatron,rConcepto,rTipo,
IF(
AND(
OR(
UPPER(TRIM(rEmisor))=UPPER(TRIM(C1477)),
UPPER(TRIM(rEmisor))=""CUALQUIERA""
),
OR(
UPPER(TRI"&amp;"M(rTipo))=""SOLO EMISOR"",
AND(
UPPER(TRIM(rTipo))=""EXACTA"",
UPPER(TRIM(AG1477))=UPPER(TRIM(rPatron))
),
AND(
OR(
UPPER(TRIM(rTipo))=""CONTIENE"",
UPPER(TRIM(rTipo))=""COINCIDENCIA""
),
ISNUMBER(SEARCH(UPPER(TRIM(rPatron)),UPPER(TRIM(D1477))))
)
)
),
rC"&amp;"oncepto,
""""
)
)
),
MAP(
reglas!$B$2:$B$240,
reglas!$C$2:$C$240,
reglas!$D$2:$D$240,
reglas!$E$2:$E$240,
LAMBDA(rEmisor,rPatron,rConcepto,rTipo,
IF(
AND(
OR(
UPPER(TRIM(rEmisor))=UPPER(TRIM(C1477)),
UPPER(TRIM(rEmisor))=""CUALQUIERA""
),
OR(
UPPER(TRIM(r"&amp;"Tipo))=""SOLO EMISOR"",
AND(
UPPER(TRIM(rTipo))=""EXACTA"",
UPPER(TRIM(D1477))=UPPER(TRIM(rPatron))
),
AND(
OR(
UPPER(TRIM(rTipo))=""CONTIENE"",
UPPER(TRIM(rTipo))=""COINCIDENCIA""
),
ISNUMBER(SEARCH(UPPER(TRIM(rPatron)),UPPER(TRIM(D1477))))
)
)
),
rConce"&amp;"pto,
""""
)
)
)&lt;&gt;""""
),
1
),
""""
)"),"MANIOBRAS")</f>
        <v>MANIOBRAS</v>
      </c>
      <c r="L1477" s="27"/>
      <c r="M1477" s="27"/>
      <c r="N1477" s="27"/>
      <c r="O1477" s="27"/>
      <c r="P1477" s="27"/>
      <c r="Q1477" s="27"/>
      <c r="R1477" s="27"/>
      <c r="S1477" s="27"/>
      <c r="T1477" s="27"/>
      <c r="U1477" s="27"/>
      <c r="V1477" s="27"/>
      <c r="W1477" s="27"/>
      <c r="X1477" s="27"/>
      <c r="Y1477" s="27"/>
    </row>
    <row r="1478">
      <c r="A1478" s="32"/>
      <c r="B1478" s="28" t="s">
        <v>29</v>
      </c>
      <c r="C1478" s="29" t="s">
        <v>172</v>
      </c>
      <c r="D1478" s="29" t="s">
        <v>1892</v>
      </c>
      <c r="E1478" s="30">
        <v>7500.0</v>
      </c>
      <c r="F1478" s="28">
        <v>0.0</v>
      </c>
      <c r="G1478" s="28" t="s">
        <v>250</v>
      </c>
      <c r="H1478" s="28">
        <f t="array" ref="H1478">INDEX(CC!C:C,MATCH(1,(CC!A:A=G1478)*(CC!B:B=I1478),0))</f>
        <v>1402</v>
      </c>
      <c r="I1478" s="28" t="s">
        <v>25</v>
      </c>
      <c r="J1478" s="31">
        <v>7500.0</v>
      </c>
      <c r="K1478" s="28" t="str">
        <f>IFERROR(__xludf.DUMMYFUNCTION("IFERROR(
INDEX(
FILTER(
MAP(
reglas!$B$2:$B$240,
reglas!$C$2:$C$240,
reglas!$D$2:$D$240,
reglas!$E$2:$E$240,
LAMBDA(rEmisor,rPatron,rConcepto,rTipo,
IF(
AND(
OR(
UPPER(TRIM(rEmisor))=UPPER(TRIM(C1478)),
UPPER(TRIM(rEmisor))=""CUALQUIERA""
),
OR(
UPPER(TRI"&amp;"M(rTipo))=""SOLO EMISOR"",
AND(
UPPER(TRIM(rTipo))=""EXACTA"",
UPPER(TRIM(AG1478))=UPPER(TRIM(rPatron))
),
AND(
OR(
UPPER(TRIM(rTipo))=""CONTIENE"",
UPPER(TRIM(rTipo))=""COINCIDENCIA""
),
ISNUMBER(SEARCH(UPPER(TRIM(rPatron)),UPPER(TRIM(D1478))))
)
)
),
rC"&amp;"oncepto,
""""
)
)
),
MAP(
reglas!$B$2:$B$240,
reglas!$C$2:$C$240,
reglas!$D$2:$D$240,
reglas!$E$2:$E$240,
LAMBDA(rEmisor,rPatron,rConcepto,rTipo,
IF(
AND(
OR(
UPPER(TRIM(rEmisor))=UPPER(TRIM(C1478)),
UPPER(TRIM(rEmisor))=""CUALQUIERA""
),
OR(
UPPER(TRIM(r"&amp;"Tipo))=""SOLO EMISOR"",
AND(
UPPER(TRIM(rTipo))=""EXACTA"",
UPPER(TRIM(D1478))=UPPER(TRIM(rPatron))
),
AND(
OR(
UPPER(TRIM(rTipo))=""CONTIENE"",
UPPER(TRIM(rTipo))=""COINCIDENCIA""
),
ISNUMBER(SEARCH(UPPER(TRIM(rPatron)),UPPER(TRIM(D1478))))
)
)
),
rConce"&amp;"pto,
""""
)
)
)&lt;&gt;""""
),
1
),
""""
)"),"TRANSPORTE")</f>
        <v>TRANSPORTE</v>
      </c>
      <c r="L1478" s="27"/>
      <c r="M1478" s="27"/>
      <c r="N1478" s="27"/>
      <c r="O1478" s="27"/>
      <c r="P1478" s="27"/>
      <c r="Q1478" s="27"/>
      <c r="R1478" s="27"/>
      <c r="S1478" s="27"/>
      <c r="T1478" s="27"/>
      <c r="U1478" s="27"/>
      <c r="V1478" s="27"/>
      <c r="W1478" s="27"/>
      <c r="X1478" s="27"/>
      <c r="Y1478" s="27"/>
    </row>
    <row r="1479">
      <c r="A1479" s="32"/>
      <c r="B1479" s="28" t="s">
        <v>29</v>
      </c>
      <c r="C1479" s="29" t="s">
        <v>1904</v>
      </c>
      <c r="D1479" s="29" t="s">
        <v>1905</v>
      </c>
      <c r="E1479" s="30">
        <v>2407.79</v>
      </c>
      <c r="F1479" s="28">
        <v>0.0</v>
      </c>
      <c r="G1479" s="28" t="s">
        <v>225</v>
      </c>
      <c r="H1479" s="28">
        <f t="array" ref="H1479">INDEX(CC!C:C,MATCH(1,(CC!A:A=G1479)*(CC!B:B=I1479),0))</f>
        <v>102</v>
      </c>
      <c r="I1479" s="28" t="s">
        <v>25</v>
      </c>
      <c r="J1479" s="31">
        <v>2407.79</v>
      </c>
      <c r="K1479" s="28" t="str">
        <f>IFERROR(__xludf.DUMMYFUNCTION("IFERROR(
INDEX(
FILTER(
MAP(
reglas!$B$2:$B$240,
reglas!$C$2:$C$240,
reglas!$D$2:$D$240,
reglas!$E$2:$E$240,
LAMBDA(rEmisor,rPatron,rConcepto,rTipo,
IF(
AND(
OR(
UPPER(TRIM(rEmisor))=UPPER(TRIM(C1479)),
UPPER(TRIM(rEmisor))=""CUALQUIERA""
),
OR(
UPPER(TRI"&amp;"M(rTipo))=""SOLO EMISOR"",
AND(
UPPER(TRIM(rTipo))=""EXACTA"",
UPPER(TRIM(AG1479))=UPPER(TRIM(rPatron))
),
AND(
OR(
UPPER(TRIM(rTipo))=""CONTIENE"",
UPPER(TRIM(rTipo))=""COINCIDENCIA""
),
ISNUMBER(SEARCH(UPPER(TRIM(rPatron)),UPPER(TRIM(D1479))))
)
)
),
rC"&amp;"oncepto,
""""
)
)
),
MAP(
reglas!$B$2:$B$240,
reglas!$C$2:$C$240,
reglas!$D$2:$D$240,
reglas!$E$2:$E$240,
LAMBDA(rEmisor,rPatron,rConcepto,rTipo,
IF(
AND(
OR(
UPPER(TRIM(rEmisor))=UPPER(TRIM(C1479)),
UPPER(TRIM(rEmisor))=""CUALQUIERA""
),
OR(
UPPER(TRIM(r"&amp;"Tipo))=""SOLO EMISOR"",
AND(
UPPER(TRIM(rTipo))=""EXACTA"",
UPPER(TRIM(D1479))=UPPER(TRIM(rPatron))
),
AND(
OR(
UPPER(TRIM(rTipo))=""CONTIENE"",
UPPER(TRIM(rTipo))=""COINCIDENCIA""
),
ISNUMBER(SEARCH(UPPER(TRIM(rPatron)),UPPER(TRIM(D1479))))
)
)
),
rConce"&amp;"pto,
""""
)
)
)&lt;&gt;""""
),
1
),
""""
)"),"")</f>
        <v/>
      </c>
      <c r="L1479" s="27"/>
      <c r="M1479" s="27"/>
      <c r="N1479" s="27"/>
      <c r="O1479" s="27"/>
      <c r="P1479" s="27"/>
      <c r="Q1479" s="27"/>
      <c r="R1479" s="27"/>
      <c r="S1479" s="27"/>
      <c r="T1479" s="27"/>
      <c r="U1479" s="27"/>
      <c r="V1479" s="27"/>
      <c r="W1479" s="27"/>
      <c r="X1479" s="27"/>
      <c r="Y1479" s="27"/>
    </row>
    <row r="1480">
      <c r="A1480" s="28">
        <v>1.0</v>
      </c>
      <c r="B1480" s="28" t="s">
        <v>29</v>
      </c>
      <c r="C1480" s="29" t="s">
        <v>89</v>
      </c>
      <c r="D1480" s="29" t="s">
        <v>91</v>
      </c>
      <c r="E1480" s="30">
        <v>1283.04</v>
      </c>
      <c r="F1480" s="28">
        <v>0.0</v>
      </c>
      <c r="G1480" s="28" t="s">
        <v>601</v>
      </c>
      <c r="H1480" s="28">
        <f t="array" ref="H1480">INDEX(CC!C:C,MATCH(1,(CC!A:A=G1480)*(CC!B:B=I1480),0))</f>
        <v>402</v>
      </c>
      <c r="I1480" s="28" t="s">
        <v>25</v>
      </c>
      <c r="J1480" s="31">
        <v>1283.04</v>
      </c>
      <c r="K1480" s="28" t="str">
        <f>IFERROR(__xludf.DUMMYFUNCTION("IFERROR(
INDEX(
FILTER(
MAP(
reglas!$B$2:$B$240,
reglas!$C$2:$C$240,
reglas!$D$2:$D$240,
reglas!$E$2:$E$240,
LAMBDA(rEmisor,rPatron,rConcepto,rTipo,
IF(
AND(
OR(
UPPER(TRIM(rEmisor))=UPPER(TRIM(C1480)),
UPPER(TRIM(rEmisor))=""CUALQUIERA""
),
OR(
UPPER(TRI"&amp;"M(rTipo))=""SOLO EMISOR"",
AND(
UPPER(TRIM(rTipo))=""EXACTA"",
UPPER(TRIM(AG1480))=UPPER(TRIM(rPatron))
),
AND(
OR(
UPPER(TRIM(rTipo))=""CONTIENE"",
UPPER(TRIM(rTipo))=""COINCIDENCIA""
),
ISNUMBER(SEARCH(UPPER(TRIM(rPatron)),UPPER(TRIM(D1480))))
)
)
),
rC"&amp;"oncepto,
""""
)
)
),
MAP(
reglas!$B$2:$B$240,
reglas!$C$2:$C$240,
reglas!$D$2:$D$240,
reglas!$E$2:$E$240,
LAMBDA(rEmisor,rPatron,rConcepto,rTipo,
IF(
AND(
OR(
UPPER(TRIM(rEmisor))=UPPER(TRIM(C1480)),
UPPER(TRIM(rEmisor))=""CUALQUIERA""
),
OR(
UPPER(TRIM(r"&amp;"Tipo))=""SOLO EMISOR"",
AND(
UPPER(TRIM(rTipo))=""EXACTA"",
UPPER(TRIM(D1480))=UPPER(TRIM(rPatron))
),
AND(
OR(
UPPER(TRIM(rTipo))=""CONTIENE"",
UPPER(TRIM(rTipo))=""COINCIDENCIA""
),
ISNUMBER(SEARCH(UPPER(TRIM(rPatron)),UPPER(TRIM(D1480))))
)
)
),
rConce"&amp;"pto,
""""
)
)
)&lt;&gt;""""
),
1
),
""""
)"),"MANIOBRAS")</f>
        <v>MANIOBRAS</v>
      </c>
      <c r="L1480" s="27"/>
      <c r="M1480" s="27"/>
      <c r="N1480" s="27"/>
      <c r="O1480" s="27"/>
      <c r="P1480" s="27"/>
      <c r="Q1480" s="27"/>
      <c r="R1480" s="27"/>
      <c r="S1480" s="27"/>
      <c r="T1480" s="27"/>
      <c r="U1480" s="27"/>
      <c r="V1480" s="27"/>
      <c r="W1480" s="27"/>
      <c r="X1480" s="27"/>
      <c r="Y1480" s="27"/>
    </row>
    <row r="1481">
      <c r="A1481" s="32"/>
      <c r="B1481" s="28" t="s">
        <v>29</v>
      </c>
      <c r="C1481" s="29" t="s">
        <v>177</v>
      </c>
      <c r="D1481" s="29" t="s">
        <v>1506</v>
      </c>
      <c r="E1481" s="28">
        <v>387.07</v>
      </c>
      <c r="F1481" s="28">
        <v>0.0</v>
      </c>
      <c r="G1481" s="28" t="s">
        <v>74</v>
      </c>
      <c r="H1481" s="28">
        <f t="array" ref="H1481">INDEX(CC!C:C,MATCH(1,(CC!A:A=G1481)*(CC!B:B=I1481),0))</f>
        <v>1502</v>
      </c>
      <c r="I1481" s="28" t="s">
        <v>25</v>
      </c>
      <c r="J1481" s="31">
        <v>387.07</v>
      </c>
      <c r="K1481" s="28" t="str">
        <f>IFERROR(__xludf.DUMMYFUNCTION("IFERROR(
INDEX(
FILTER(
MAP(
reglas!$B$2:$B$240,
reglas!$C$2:$C$240,
reglas!$D$2:$D$240,
reglas!$E$2:$E$240,
LAMBDA(rEmisor,rPatron,rConcepto,rTipo,
IF(
AND(
OR(
UPPER(TRIM(rEmisor))=UPPER(TRIM(C1481)),
UPPER(TRIM(rEmisor))=""CUALQUIERA""
),
OR(
UPPER(TRI"&amp;"M(rTipo))=""SOLO EMISOR"",
AND(
UPPER(TRIM(rTipo))=""EXACTA"",
UPPER(TRIM(AG1481))=UPPER(TRIM(rPatron))
),
AND(
OR(
UPPER(TRIM(rTipo))=""CONTIENE"",
UPPER(TRIM(rTipo))=""COINCIDENCIA""
),
ISNUMBER(SEARCH(UPPER(TRIM(rPatron)),UPPER(TRIM(D1481))))
)
)
),
rC"&amp;"oncepto,
""""
)
)
),
MAP(
reglas!$B$2:$B$240,
reglas!$C$2:$C$240,
reglas!$D$2:$D$240,
reglas!$E$2:$E$240,
LAMBDA(rEmisor,rPatron,rConcepto,rTipo,
IF(
AND(
OR(
UPPER(TRIM(rEmisor))=UPPER(TRIM(C1481)),
UPPER(TRIM(rEmisor))=""CUALQUIERA""
),
OR(
UPPER(TRIM(r"&amp;"Tipo))=""SOLO EMISOR"",
AND(
UPPER(TRIM(rTipo))=""EXACTA"",
UPPER(TRIM(D1481))=UPPER(TRIM(rPatron))
),
AND(
OR(
UPPER(TRIM(rTipo))=""CONTIENE"",
UPPER(TRIM(rTipo))=""COINCIDENCIA""
),
ISNUMBER(SEARCH(UPPER(TRIM(rPatron)),UPPER(TRIM(D1481))))
)
)
),
rConce"&amp;"pto,
""""
)
)
)&lt;&gt;""""
),
1
),
""""
)"),"TELEFONIA FIJA")</f>
        <v>TELEFONIA FIJA</v>
      </c>
      <c r="L1481" s="27"/>
      <c r="M1481" s="27"/>
      <c r="N1481" s="27"/>
      <c r="O1481" s="27"/>
      <c r="P1481" s="27"/>
      <c r="Q1481" s="27"/>
      <c r="R1481" s="27"/>
      <c r="S1481" s="27"/>
      <c r="T1481" s="27"/>
      <c r="U1481" s="27"/>
      <c r="V1481" s="27"/>
      <c r="W1481" s="27"/>
      <c r="X1481" s="27"/>
      <c r="Y1481" s="27"/>
    </row>
    <row r="1482">
      <c r="A1482" s="28">
        <v>1.0</v>
      </c>
      <c r="B1482" s="28" t="s">
        <v>29</v>
      </c>
      <c r="C1482" s="29" t="s">
        <v>271</v>
      </c>
      <c r="D1482" s="29" t="s">
        <v>589</v>
      </c>
      <c r="E1482" s="28">
        <v>619.88</v>
      </c>
      <c r="F1482" s="28">
        <v>0.0</v>
      </c>
      <c r="G1482" s="28" t="s">
        <v>84</v>
      </c>
      <c r="H1482" s="28">
        <f t="array" ref="H1482">INDEX(CC!C:C,MATCH(1,(CC!A:A=G1482)*(CC!B:B=I1482),0))</f>
        <v>1002</v>
      </c>
      <c r="I1482" s="28" t="s">
        <v>25</v>
      </c>
      <c r="J1482" s="31">
        <v>619.88</v>
      </c>
      <c r="K1482" s="28" t="str">
        <f>IFERROR(__xludf.DUMMYFUNCTION("IFERROR(
INDEX(
FILTER(
MAP(
reglas!$B$2:$B$240,
reglas!$C$2:$C$240,
reglas!$D$2:$D$240,
reglas!$E$2:$E$240,
LAMBDA(rEmisor,rPatron,rConcepto,rTipo,
IF(
AND(
OR(
UPPER(TRIM(rEmisor))=UPPER(TRIM(C1482)),
UPPER(TRIM(rEmisor))=""CUALQUIERA""
),
OR(
UPPER(TRI"&amp;"M(rTipo))=""SOLO EMISOR"",
AND(
UPPER(TRIM(rTipo))=""EXACTA"",
UPPER(TRIM(AG1482))=UPPER(TRIM(rPatron))
),
AND(
OR(
UPPER(TRIM(rTipo))=""CONTIENE"",
UPPER(TRIM(rTipo))=""COINCIDENCIA""
),
ISNUMBER(SEARCH(UPPER(TRIM(rPatron)),UPPER(TRIM(D1482))))
)
)
),
rC"&amp;"oncepto,
""""
)
)
),
MAP(
reglas!$B$2:$B$240,
reglas!$C$2:$C$240,
reglas!$D$2:$D$240,
reglas!$E$2:$E$240,
LAMBDA(rEmisor,rPatron,rConcepto,rTipo,
IF(
AND(
OR(
UPPER(TRIM(rEmisor))=UPPER(TRIM(C1482)),
UPPER(TRIM(rEmisor))=""CUALQUIERA""
),
OR(
UPPER(TRIM(r"&amp;"Tipo))=""SOLO EMISOR"",
AND(
UPPER(TRIM(rTipo))=""EXACTA"",
UPPER(TRIM(D1482))=UPPER(TRIM(rPatron))
),
AND(
OR(
UPPER(TRIM(rTipo))=""CONTIENE"",
UPPER(TRIM(rTipo))=""COINCIDENCIA""
),
ISNUMBER(SEARCH(UPPER(TRIM(rPatron)),UPPER(TRIM(D1482))))
)
)
),
rConce"&amp;"pto,
""""
)
)
)&lt;&gt;""""
),
1
),
""""
)"),"MANIOBRAS")</f>
        <v>MANIOBRAS</v>
      </c>
      <c r="L1482" s="27"/>
      <c r="M1482" s="27"/>
      <c r="N1482" s="27"/>
      <c r="O1482" s="27"/>
      <c r="P1482" s="27"/>
      <c r="Q1482" s="27"/>
      <c r="R1482" s="27"/>
      <c r="S1482" s="27"/>
      <c r="T1482" s="27"/>
      <c r="U1482" s="27"/>
      <c r="V1482" s="27"/>
      <c r="W1482" s="27"/>
      <c r="X1482" s="27"/>
      <c r="Y1482" s="27"/>
    </row>
    <row r="1483">
      <c r="A1483" s="28">
        <v>1.0</v>
      </c>
      <c r="B1483" s="28" t="s">
        <v>29</v>
      </c>
      <c r="C1483" s="29" t="s">
        <v>271</v>
      </c>
      <c r="D1483" s="29" t="s">
        <v>585</v>
      </c>
      <c r="E1483" s="28">
        <v>619.55</v>
      </c>
      <c r="F1483" s="28">
        <v>0.0</v>
      </c>
      <c r="G1483" s="28" t="s">
        <v>84</v>
      </c>
      <c r="H1483" s="28">
        <f t="array" ref="H1483">INDEX(CC!C:C,MATCH(1,(CC!A:A=G1483)*(CC!B:B=I1483),0))</f>
        <v>1002</v>
      </c>
      <c r="I1483" s="28" t="s">
        <v>25</v>
      </c>
      <c r="J1483" s="31">
        <v>619.55</v>
      </c>
      <c r="K1483" s="28" t="str">
        <f>IFERROR(__xludf.DUMMYFUNCTION("IFERROR(
INDEX(
FILTER(
MAP(
reglas!$B$2:$B$240,
reglas!$C$2:$C$240,
reglas!$D$2:$D$240,
reglas!$E$2:$E$240,
LAMBDA(rEmisor,rPatron,rConcepto,rTipo,
IF(
AND(
OR(
UPPER(TRIM(rEmisor))=UPPER(TRIM(C1483)),
UPPER(TRIM(rEmisor))=""CUALQUIERA""
),
OR(
UPPER(TRI"&amp;"M(rTipo))=""SOLO EMISOR"",
AND(
UPPER(TRIM(rTipo))=""EXACTA"",
UPPER(TRIM(AG1483))=UPPER(TRIM(rPatron))
),
AND(
OR(
UPPER(TRIM(rTipo))=""CONTIENE"",
UPPER(TRIM(rTipo))=""COINCIDENCIA""
),
ISNUMBER(SEARCH(UPPER(TRIM(rPatron)),UPPER(TRIM(D1483))))
)
)
),
rC"&amp;"oncepto,
""""
)
)
),
MAP(
reglas!$B$2:$B$240,
reglas!$C$2:$C$240,
reglas!$D$2:$D$240,
reglas!$E$2:$E$240,
LAMBDA(rEmisor,rPatron,rConcepto,rTipo,
IF(
AND(
OR(
UPPER(TRIM(rEmisor))=UPPER(TRIM(C1483)),
UPPER(TRIM(rEmisor))=""CUALQUIERA""
),
OR(
UPPER(TRIM(r"&amp;"Tipo))=""SOLO EMISOR"",
AND(
UPPER(TRIM(rTipo))=""EXACTA"",
UPPER(TRIM(D1483))=UPPER(TRIM(rPatron))
),
AND(
OR(
UPPER(TRIM(rTipo))=""CONTIENE"",
UPPER(TRIM(rTipo))=""COINCIDENCIA""
),
ISNUMBER(SEARCH(UPPER(TRIM(rPatron)),UPPER(TRIM(D1483))))
)
)
),
rConce"&amp;"pto,
""""
)
)
)&lt;&gt;""""
),
1
),
""""
)"),"MANIOBRAS")</f>
        <v>MANIOBRAS</v>
      </c>
      <c r="L1483" s="27"/>
      <c r="M1483" s="27"/>
      <c r="N1483" s="27"/>
      <c r="O1483" s="27"/>
      <c r="P1483" s="27"/>
      <c r="Q1483" s="27"/>
      <c r="R1483" s="27"/>
      <c r="S1483" s="27"/>
      <c r="T1483" s="27"/>
      <c r="U1483" s="27"/>
      <c r="V1483" s="27"/>
      <c r="W1483" s="27"/>
      <c r="X1483" s="27"/>
      <c r="Y1483" s="27"/>
    </row>
    <row r="1484">
      <c r="A1484" s="32"/>
      <c r="B1484" s="32"/>
      <c r="C1484" s="29" t="s">
        <v>271</v>
      </c>
      <c r="D1484" s="29" t="s">
        <v>586</v>
      </c>
      <c r="E1484" s="28">
        <v>619.88</v>
      </c>
      <c r="F1484" s="28">
        <v>0.0</v>
      </c>
      <c r="G1484" s="28" t="s">
        <v>84</v>
      </c>
      <c r="H1484" s="28">
        <f t="array" ref="H1484">INDEX(CC!C:C,MATCH(1,(CC!A:A=G1484)*(CC!B:B=I1484),0))</f>
        <v>1002</v>
      </c>
      <c r="I1484" s="28" t="s">
        <v>25</v>
      </c>
      <c r="J1484" s="31">
        <v>619.88</v>
      </c>
      <c r="K1484" s="28" t="str">
        <f>IFERROR(__xludf.DUMMYFUNCTION("IFERROR(
INDEX(
FILTER(
MAP(
reglas!$B$2:$B$240,
reglas!$C$2:$C$240,
reglas!$D$2:$D$240,
reglas!$E$2:$E$240,
LAMBDA(rEmisor,rPatron,rConcepto,rTipo,
IF(
AND(
OR(
UPPER(TRIM(rEmisor))=UPPER(TRIM(C1484)),
UPPER(TRIM(rEmisor))=""CUALQUIERA""
),
OR(
UPPER(TRI"&amp;"M(rTipo))=""SOLO EMISOR"",
AND(
UPPER(TRIM(rTipo))=""EXACTA"",
UPPER(TRIM(AG1484))=UPPER(TRIM(rPatron))
),
AND(
OR(
UPPER(TRIM(rTipo))=""CONTIENE"",
UPPER(TRIM(rTipo))=""COINCIDENCIA""
),
ISNUMBER(SEARCH(UPPER(TRIM(rPatron)),UPPER(TRIM(D1484))))
)
)
),
rC"&amp;"oncepto,
""""
)
)
),
MAP(
reglas!$B$2:$B$240,
reglas!$C$2:$C$240,
reglas!$D$2:$D$240,
reglas!$E$2:$E$240,
LAMBDA(rEmisor,rPatron,rConcepto,rTipo,
IF(
AND(
OR(
UPPER(TRIM(rEmisor))=UPPER(TRIM(C1484)),
UPPER(TRIM(rEmisor))=""CUALQUIERA""
),
OR(
UPPER(TRIM(r"&amp;"Tipo))=""SOLO EMISOR"",
AND(
UPPER(TRIM(rTipo))=""EXACTA"",
UPPER(TRIM(D1484))=UPPER(TRIM(rPatron))
),
AND(
OR(
UPPER(TRIM(rTipo))=""CONTIENE"",
UPPER(TRIM(rTipo))=""COINCIDENCIA""
),
ISNUMBER(SEARCH(UPPER(TRIM(rPatron)),UPPER(TRIM(D1484))))
)
)
),
rConce"&amp;"pto,
""""
)
)
)&lt;&gt;""""
),
1
),
""""
)"),"MANIOBRAS")</f>
        <v>MANIOBRAS</v>
      </c>
      <c r="L1484" s="27"/>
      <c r="M1484" s="27"/>
      <c r="N1484" s="27"/>
      <c r="O1484" s="27"/>
      <c r="P1484" s="27"/>
      <c r="Q1484" s="27"/>
      <c r="R1484" s="27"/>
      <c r="S1484" s="27"/>
      <c r="T1484" s="27"/>
      <c r="U1484" s="27"/>
      <c r="V1484" s="27"/>
      <c r="W1484" s="27"/>
      <c r="X1484" s="27"/>
      <c r="Y1484" s="27"/>
    </row>
    <row r="1485">
      <c r="A1485" s="32"/>
      <c r="B1485" s="32"/>
      <c r="C1485" s="29" t="s">
        <v>271</v>
      </c>
      <c r="D1485" s="29" t="s">
        <v>587</v>
      </c>
      <c r="E1485" s="28">
        <v>566.84</v>
      </c>
      <c r="F1485" s="28">
        <v>0.0</v>
      </c>
      <c r="G1485" s="28" t="s">
        <v>84</v>
      </c>
      <c r="H1485" s="28">
        <f t="array" ref="H1485">INDEX(CC!C:C,MATCH(1,(CC!A:A=G1485)*(CC!B:B=I1485),0))</f>
        <v>1002</v>
      </c>
      <c r="I1485" s="28" t="s">
        <v>25</v>
      </c>
      <c r="J1485" s="31">
        <v>566.84</v>
      </c>
      <c r="K1485" s="28" t="str">
        <f>IFERROR(__xludf.DUMMYFUNCTION("IFERROR(
INDEX(
FILTER(
MAP(
reglas!$B$2:$B$240,
reglas!$C$2:$C$240,
reglas!$D$2:$D$240,
reglas!$E$2:$E$240,
LAMBDA(rEmisor,rPatron,rConcepto,rTipo,
IF(
AND(
OR(
UPPER(TRIM(rEmisor))=UPPER(TRIM(C1485)),
UPPER(TRIM(rEmisor))=""CUALQUIERA""
),
OR(
UPPER(TRI"&amp;"M(rTipo))=""SOLO EMISOR"",
AND(
UPPER(TRIM(rTipo))=""EXACTA"",
UPPER(TRIM(AG1485))=UPPER(TRIM(rPatron))
),
AND(
OR(
UPPER(TRIM(rTipo))=""CONTIENE"",
UPPER(TRIM(rTipo))=""COINCIDENCIA""
),
ISNUMBER(SEARCH(UPPER(TRIM(rPatron)),UPPER(TRIM(D1485))))
)
)
),
rC"&amp;"oncepto,
""""
)
)
),
MAP(
reglas!$B$2:$B$240,
reglas!$C$2:$C$240,
reglas!$D$2:$D$240,
reglas!$E$2:$E$240,
LAMBDA(rEmisor,rPatron,rConcepto,rTipo,
IF(
AND(
OR(
UPPER(TRIM(rEmisor))=UPPER(TRIM(C1485)),
UPPER(TRIM(rEmisor))=""CUALQUIERA""
),
OR(
UPPER(TRIM(r"&amp;"Tipo))=""SOLO EMISOR"",
AND(
UPPER(TRIM(rTipo))=""EXACTA"",
UPPER(TRIM(D1485))=UPPER(TRIM(rPatron))
),
AND(
OR(
UPPER(TRIM(rTipo))=""CONTIENE"",
UPPER(TRIM(rTipo))=""COINCIDENCIA""
),
ISNUMBER(SEARCH(UPPER(TRIM(rPatron)),UPPER(TRIM(D1485))))
)
)
),
rConce"&amp;"pto,
""""
)
)
)&lt;&gt;""""
),
1
),
""""
)"),"MANIOBRAS")</f>
        <v>MANIOBRAS</v>
      </c>
      <c r="L1485" s="27"/>
      <c r="M1485" s="27"/>
      <c r="N1485" s="27"/>
      <c r="O1485" s="27"/>
      <c r="P1485" s="27"/>
      <c r="Q1485" s="27"/>
      <c r="R1485" s="27"/>
      <c r="S1485" s="27"/>
      <c r="T1485" s="27"/>
      <c r="U1485" s="27"/>
      <c r="V1485" s="27"/>
      <c r="W1485" s="27"/>
      <c r="X1485" s="27"/>
      <c r="Y1485" s="27"/>
    </row>
    <row r="1486">
      <c r="A1486" s="32"/>
      <c r="B1486" s="32"/>
      <c r="C1486" s="29" t="s">
        <v>271</v>
      </c>
      <c r="D1486" s="29" t="s">
        <v>589</v>
      </c>
      <c r="E1486" s="28">
        <v>619.88</v>
      </c>
      <c r="F1486" s="28">
        <v>0.0</v>
      </c>
      <c r="G1486" s="28" t="s">
        <v>84</v>
      </c>
      <c r="H1486" s="28">
        <f t="array" ref="H1486">INDEX(CC!C:C,MATCH(1,(CC!A:A=G1486)*(CC!B:B=I1486),0))</f>
        <v>1002</v>
      </c>
      <c r="I1486" s="28" t="s">
        <v>25</v>
      </c>
      <c r="J1486" s="31">
        <v>619.88</v>
      </c>
      <c r="K1486" s="28" t="str">
        <f>IFERROR(__xludf.DUMMYFUNCTION("IFERROR(
INDEX(
FILTER(
MAP(
reglas!$B$2:$B$240,
reglas!$C$2:$C$240,
reglas!$D$2:$D$240,
reglas!$E$2:$E$240,
LAMBDA(rEmisor,rPatron,rConcepto,rTipo,
IF(
AND(
OR(
UPPER(TRIM(rEmisor))=UPPER(TRIM(C1486)),
UPPER(TRIM(rEmisor))=""CUALQUIERA""
),
OR(
UPPER(TRI"&amp;"M(rTipo))=""SOLO EMISOR"",
AND(
UPPER(TRIM(rTipo))=""EXACTA"",
UPPER(TRIM(AG1486))=UPPER(TRIM(rPatron))
),
AND(
OR(
UPPER(TRIM(rTipo))=""CONTIENE"",
UPPER(TRIM(rTipo))=""COINCIDENCIA""
),
ISNUMBER(SEARCH(UPPER(TRIM(rPatron)),UPPER(TRIM(D1486))))
)
)
),
rC"&amp;"oncepto,
""""
)
)
),
MAP(
reglas!$B$2:$B$240,
reglas!$C$2:$C$240,
reglas!$D$2:$D$240,
reglas!$E$2:$E$240,
LAMBDA(rEmisor,rPatron,rConcepto,rTipo,
IF(
AND(
OR(
UPPER(TRIM(rEmisor))=UPPER(TRIM(C1486)),
UPPER(TRIM(rEmisor))=""CUALQUIERA""
),
OR(
UPPER(TRIM(r"&amp;"Tipo))=""SOLO EMISOR"",
AND(
UPPER(TRIM(rTipo))=""EXACTA"",
UPPER(TRIM(D1486))=UPPER(TRIM(rPatron))
),
AND(
OR(
UPPER(TRIM(rTipo))=""CONTIENE"",
UPPER(TRIM(rTipo))=""COINCIDENCIA""
),
ISNUMBER(SEARCH(UPPER(TRIM(rPatron)),UPPER(TRIM(D1486))))
)
)
),
rConce"&amp;"pto,
""""
)
)
)&lt;&gt;""""
),
1
),
""""
)"),"MANIOBRAS")</f>
        <v>MANIOBRAS</v>
      </c>
      <c r="L1486" s="27"/>
      <c r="M1486" s="27"/>
      <c r="N1486" s="27"/>
      <c r="O1486" s="27"/>
      <c r="P1486" s="27"/>
      <c r="Q1486" s="27"/>
      <c r="R1486" s="27"/>
      <c r="S1486" s="27"/>
      <c r="T1486" s="27"/>
      <c r="U1486" s="27"/>
      <c r="V1486" s="27"/>
      <c r="W1486" s="27"/>
      <c r="X1486" s="27"/>
      <c r="Y1486" s="27"/>
    </row>
    <row r="1487">
      <c r="A1487" s="32"/>
      <c r="B1487" s="32"/>
      <c r="C1487" s="29" t="s">
        <v>271</v>
      </c>
      <c r="D1487" s="29" t="s">
        <v>593</v>
      </c>
      <c r="E1487" s="28">
        <v>351.97</v>
      </c>
      <c r="F1487" s="28">
        <v>0.0</v>
      </c>
      <c r="G1487" s="28" t="s">
        <v>84</v>
      </c>
      <c r="H1487" s="28">
        <f t="array" ref="H1487">INDEX(CC!C:C,MATCH(1,(CC!A:A=G1487)*(CC!B:B=I1487),0))</f>
        <v>1002</v>
      </c>
      <c r="I1487" s="28" t="s">
        <v>25</v>
      </c>
      <c r="J1487" s="31">
        <v>351.97</v>
      </c>
      <c r="K1487" s="28" t="str">
        <f>IFERROR(__xludf.DUMMYFUNCTION("IFERROR(
INDEX(
FILTER(
MAP(
reglas!$B$2:$B$240,
reglas!$C$2:$C$240,
reglas!$D$2:$D$240,
reglas!$E$2:$E$240,
LAMBDA(rEmisor,rPatron,rConcepto,rTipo,
IF(
AND(
OR(
UPPER(TRIM(rEmisor))=UPPER(TRIM(C1487)),
UPPER(TRIM(rEmisor))=""CUALQUIERA""
),
OR(
UPPER(TRI"&amp;"M(rTipo))=""SOLO EMISOR"",
AND(
UPPER(TRIM(rTipo))=""EXACTA"",
UPPER(TRIM(AG1487))=UPPER(TRIM(rPatron))
),
AND(
OR(
UPPER(TRIM(rTipo))=""CONTIENE"",
UPPER(TRIM(rTipo))=""COINCIDENCIA""
),
ISNUMBER(SEARCH(UPPER(TRIM(rPatron)),UPPER(TRIM(D1487))))
)
)
),
rC"&amp;"oncepto,
""""
)
)
),
MAP(
reglas!$B$2:$B$240,
reglas!$C$2:$C$240,
reglas!$D$2:$D$240,
reglas!$E$2:$E$240,
LAMBDA(rEmisor,rPatron,rConcepto,rTipo,
IF(
AND(
OR(
UPPER(TRIM(rEmisor))=UPPER(TRIM(C1487)),
UPPER(TRIM(rEmisor))=""CUALQUIERA""
),
OR(
UPPER(TRIM(r"&amp;"Tipo))=""SOLO EMISOR"",
AND(
UPPER(TRIM(rTipo))=""EXACTA"",
UPPER(TRIM(D1487))=UPPER(TRIM(rPatron))
),
AND(
OR(
UPPER(TRIM(rTipo))=""CONTIENE"",
UPPER(TRIM(rTipo))=""COINCIDENCIA""
),
ISNUMBER(SEARCH(UPPER(TRIM(rPatron)),UPPER(TRIM(D1487))))
)
)
),
rConce"&amp;"pto,
""""
)
)
)&lt;&gt;""""
),
1
),
""""
)"),"MANIOBRAS")</f>
        <v>MANIOBRAS</v>
      </c>
      <c r="L1487" s="27"/>
      <c r="M1487" s="27"/>
      <c r="N1487" s="27"/>
      <c r="O1487" s="27"/>
      <c r="P1487" s="27"/>
      <c r="Q1487" s="27"/>
      <c r="R1487" s="27"/>
      <c r="S1487" s="27"/>
      <c r="T1487" s="27"/>
      <c r="U1487" s="27"/>
      <c r="V1487" s="27"/>
      <c r="W1487" s="27"/>
      <c r="X1487" s="27"/>
      <c r="Y1487" s="27"/>
    </row>
    <row r="1488">
      <c r="A1488" s="32"/>
      <c r="B1488" s="32"/>
      <c r="C1488" s="29" t="s">
        <v>271</v>
      </c>
      <c r="D1488" s="29" t="s">
        <v>596</v>
      </c>
      <c r="E1488" s="28">
        <v>650.39</v>
      </c>
      <c r="F1488" s="28">
        <v>0.0</v>
      </c>
      <c r="G1488" s="28" t="s">
        <v>84</v>
      </c>
      <c r="H1488" s="28">
        <f t="array" ref="H1488">INDEX(CC!C:C,MATCH(1,(CC!A:A=G1488)*(CC!B:B=I1488),0))</f>
        <v>1002</v>
      </c>
      <c r="I1488" s="28" t="s">
        <v>25</v>
      </c>
      <c r="J1488" s="31">
        <v>650.39</v>
      </c>
      <c r="K1488" s="28" t="str">
        <f>IFERROR(__xludf.DUMMYFUNCTION("IFERROR(
INDEX(
FILTER(
MAP(
reglas!$B$2:$B$240,
reglas!$C$2:$C$240,
reglas!$D$2:$D$240,
reglas!$E$2:$E$240,
LAMBDA(rEmisor,rPatron,rConcepto,rTipo,
IF(
AND(
OR(
UPPER(TRIM(rEmisor))=UPPER(TRIM(C1488)),
UPPER(TRIM(rEmisor))=""CUALQUIERA""
),
OR(
UPPER(TRI"&amp;"M(rTipo))=""SOLO EMISOR"",
AND(
UPPER(TRIM(rTipo))=""EXACTA"",
UPPER(TRIM(AG1488))=UPPER(TRIM(rPatron))
),
AND(
OR(
UPPER(TRIM(rTipo))=""CONTIENE"",
UPPER(TRIM(rTipo))=""COINCIDENCIA""
),
ISNUMBER(SEARCH(UPPER(TRIM(rPatron)),UPPER(TRIM(D1488))))
)
)
),
rC"&amp;"oncepto,
""""
)
)
),
MAP(
reglas!$B$2:$B$240,
reglas!$C$2:$C$240,
reglas!$D$2:$D$240,
reglas!$E$2:$E$240,
LAMBDA(rEmisor,rPatron,rConcepto,rTipo,
IF(
AND(
OR(
UPPER(TRIM(rEmisor))=UPPER(TRIM(C1488)),
UPPER(TRIM(rEmisor))=""CUALQUIERA""
),
OR(
UPPER(TRIM(r"&amp;"Tipo))=""SOLO EMISOR"",
AND(
UPPER(TRIM(rTipo))=""EXACTA"",
UPPER(TRIM(D1488))=UPPER(TRIM(rPatron))
),
AND(
OR(
UPPER(TRIM(rTipo))=""CONTIENE"",
UPPER(TRIM(rTipo))=""COINCIDENCIA""
),
ISNUMBER(SEARCH(UPPER(TRIM(rPatron)),UPPER(TRIM(D1488))))
)
)
),
rConce"&amp;"pto,
""""
)
)
)&lt;&gt;""""
),
1
),
""""
)"),"MANIOBRAS")</f>
        <v>MANIOBRAS</v>
      </c>
      <c r="L1488" s="27"/>
      <c r="M1488" s="27"/>
      <c r="N1488" s="27"/>
      <c r="O1488" s="27"/>
      <c r="P1488" s="27"/>
      <c r="Q1488" s="27"/>
      <c r="R1488" s="27"/>
      <c r="S1488" s="27"/>
      <c r="T1488" s="27"/>
      <c r="U1488" s="27"/>
      <c r="V1488" s="27"/>
      <c r="W1488" s="27"/>
      <c r="X1488" s="27"/>
      <c r="Y1488" s="27"/>
    </row>
    <row r="1489">
      <c r="A1489" s="32"/>
      <c r="B1489" s="28" t="s">
        <v>29</v>
      </c>
      <c r="C1489" s="29" t="s">
        <v>70</v>
      </c>
      <c r="D1489" s="29" t="s">
        <v>1701</v>
      </c>
      <c r="E1489" s="30">
        <v>2568.59</v>
      </c>
      <c r="F1489" s="28">
        <v>0.0</v>
      </c>
      <c r="G1489" s="99" t="s">
        <v>55</v>
      </c>
      <c r="H1489" s="28">
        <f t="array" ref="H1489">INDEX(CC!C:C,MATCH(1,(CC!A:A=G1489)*(CC!B:B=I1489),0))</f>
        <v>903</v>
      </c>
      <c r="I1489" s="28" t="s">
        <v>44</v>
      </c>
      <c r="J1489" s="31">
        <v>2568.59</v>
      </c>
      <c r="K1489" s="28" t="str">
        <f>IFERROR(__xludf.DUMMYFUNCTION("IFERROR(
INDEX(
FILTER(
MAP(
reglas!$B$2:$B$240,
reglas!$C$2:$C$240,
reglas!$D$2:$D$240,
reglas!$E$2:$E$240,
LAMBDA(rEmisor,rPatron,rConcepto,rTipo,
IF(
AND(
OR(
UPPER(TRIM(rEmisor))=UPPER(TRIM(C1489)),
UPPER(TRIM(rEmisor))=""CUALQUIERA""
),
OR(
UPPER(TRI"&amp;"M(rTipo))=""SOLO EMISOR"",
AND(
UPPER(TRIM(rTipo))=""EXACTA"",
UPPER(TRIM(AG1489))=UPPER(TRIM(rPatron))
),
AND(
OR(
UPPER(TRIM(rTipo))=""CONTIENE"",
UPPER(TRIM(rTipo))=""COINCIDENCIA""
),
ISNUMBER(SEARCH(UPPER(TRIM(rPatron)),UPPER(TRIM(D1489))))
)
)
),
rC"&amp;"oncepto,
""""
)
)
),
MAP(
reglas!$B$2:$B$240,
reglas!$C$2:$C$240,
reglas!$D$2:$D$240,
reglas!$E$2:$E$240,
LAMBDA(rEmisor,rPatron,rConcepto,rTipo,
IF(
AND(
OR(
UPPER(TRIM(rEmisor))=UPPER(TRIM(C1489)),
UPPER(TRIM(rEmisor))=""CUALQUIERA""
),
OR(
UPPER(TRIM(r"&amp;"Tipo))=""SOLO EMISOR"",
AND(
UPPER(TRIM(rTipo))=""EXACTA"",
UPPER(TRIM(D1489))=UPPER(TRIM(rPatron))
),
AND(
OR(
UPPER(TRIM(rTipo))=""CONTIENE"",
UPPER(TRIM(rTipo))=""COINCIDENCIA""
),
ISNUMBER(SEARCH(UPPER(TRIM(rPatron)),UPPER(TRIM(D1489))))
)
)
),
rConce"&amp;"pto,
""""
)
)
)&lt;&gt;""""
),
1
),
""""
)"),"MANIOBRAS")</f>
        <v>MANIOBRAS</v>
      </c>
      <c r="L1489" s="27"/>
      <c r="M1489" s="27"/>
      <c r="N1489" s="27"/>
      <c r="O1489" s="27"/>
      <c r="P1489" s="27"/>
      <c r="Q1489" s="27"/>
      <c r="R1489" s="27"/>
      <c r="S1489" s="27"/>
      <c r="T1489" s="27"/>
      <c r="U1489" s="27"/>
      <c r="V1489" s="27"/>
      <c r="W1489" s="27"/>
      <c r="X1489" s="27"/>
      <c r="Y1489" s="27"/>
    </row>
    <row r="1490">
      <c r="A1490" s="32"/>
      <c r="B1490" s="32"/>
      <c r="C1490" s="29" t="s">
        <v>70</v>
      </c>
      <c r="D1490" s="29" t="s">
        <v>1702</v>
      </c>
      <c r="E1490" s="28">
        <v>711.73</v>
      </c>
      <c r="F1490" s="28">
        <v>0.0</v>
      </c>
      <c r="G1490" s="99" t="s">
        <v>55</v>
      </c>
      <c r="H1490" s="28">
        <f t="array" ref="H1490">INDEX(CC!C:C,MATCH(1,(CC!A:A=G1490)*(CC!B:B=I1490),0))</f>
        <v>903</v>
      </c>
      <c r="I1490" s="28" t="s">
        <v>44</v>
      </c>
      <c r="J1490" s="31">
        <v>711.73</v>
      </c>
      <c r="K1490" s="28" t="str">
        <f>IFERROR(__xludf.DUMMYFUNCTION("IFERROR(
INDEX(
FILTER(
MAP(
reglas!$B$2:$B$240,
reglas!$C$2:$C$240,
reglas!$D$2:$D$240,
reglas!$E$2:$E$240,
LAMBDA(rEmisor,rPatron,rConcepto,rTipo,
IF(
AND(
OR(
UPPER(TRIM(rEmisor))=UPPER(TRIM(C1490)),
UPPER(TRIM(rEmisor))=""CUALQUIERA""
),
OR(
UPPER(TRI"&amp;"M(rTipo))=""SOLO EMISOR"",
AND(
UPPER(TRIM(rTipo))=""EXACTA"",
UPPER(TRIM(AG1490))=UPPER(TRIM(rPatron))
),
AND(
OR(
UPPER(TRIM(rTipo))=""CONTIENE"",
UPPER(TRIM(rTipo))=""COINCIDENCIA""
),
ISNUMBER(SEARCH(UPPER(TRIM(rPatron)),UPPER(TRIM(D1490))))
)
)
),
rC"&amp;"oncepto,
""""
)
)
),
MAP(
reglas!$B$2:$B$240,
reglas!$C$2:$C$240,
reglas!$D$2:$D$240,
reglas!$E$2:$E$240,
LAMBDA(rEmisor,rPatron,rConcepto,rTipo,
IF(
AND(
OR(
UPPER(TRIM(rEmisor))=UPPER(TRIM(C1490)),
UPPER(TRIM(rEmisor))=""CUALQUIERA""
),
OR(
UPPER(TRIM(r"&amp;"Tipo))=""SOLO EMISOR"",
AND(
UPPER(TRIM(rTipo))=""EXACTA"",
UPPER(TRIM(D1490))=UPPER(TRIM(rPatron))
),
AND(
OR(
UPPER(TRIM(rTipo))=""CONTIENE"",
UPPER(TRIM(rTipo))=""COINCIDENCIA""
),
ISNUMBER(SEARCH(UPPER(TRIM(rPatron)),UPPER(TRIM(D1490))))
)
)
),
rConce"&amp;"pto,
""""
)
)
)&lt;&gt;""""
),
1
),
""""
)"),"MANIOBRAS")</f>
        <v>MANIOBRAS</v>
      </c>
      <c r="L1490" s="27"/>
      <c r="M1490" s="27"/>
      <c r="N1490" s="27"/>
      <c r="O1490" s="27"/>
      <c r="P1490" s="27"/>
      <c r="Q1490" s="27"/>
      <c r="R1490" s="27"/>
      <c r="S1490" s="27"/>
      <c r="T1490" s="27"/>
      <c r="U1490" s="27"/>
      <c r="V1490" s="27"/>
      <c r="W1490" s="27"/>
      <c r="X1490" s="27"/>
      <c r="Y1490" s="27"/>
    </row>
    <row r="1491">
      <c r="A1491" s="32"/>
      <c r="B1491" s="32"/>
      <c r="C1491" s="29" t="s">
        <v>70</v>
      </c>
      <c r="D1491" s="29" t="s">
        <v>1703</v>
      </c>
      <c r="E1491" s="30">
        <v>3145.8</v>
      </c>
      <c r="F1491" s="28">
        <v>0.0</v>
      </c>
      <c r="G1491" s="99" t="s">
        <v>55</v>
      </c>
      <c r="H1491" s="28">
        <f t="array" ref="H1491">INDEX(CC!C:C,MATCH(1,(CC!A:A=G1491)*(CC!B:B=I1491),0))</f>
        <v>903</v>
      </c>
      <c r="I1491" s="28" t="s">
        <v>44</v>
      </c>
      <c r="J1491" s="31">
        <v>3145.8</v>
      </c>
      <c r="K1491" s="28" t="str">
        <f>IFERROR(__xludf.DUMMYFUNCTION("IFERROR(
INDEX(
FILTER(
MAP(
reglas!$B$2:$B$240,
reglas!$C$2:$C$240,
reglas!$D$2:$D$240,
reglas!$E$2:$E$240,
LAMBDA(rEmisor,rPatron,rConcepto,rTipo,
IF(
AND(
OR(
UPPER(TRIM(rEmisor))=UPPER(TRIM(C1491)),
UPPER(TRIM(rEmisor))=""CUALQUIERA""
),
OR(
UPPER(TRI"&amp;"M(rTipo))=""SOLO EMISOR"",
AND(
UPPER(TRIM(rTipo))=""EXACTA"",
UPPER(TRIM(AG1491))=UPPER(TRIM(rPatron))
),
AND(
OR(
UPPER(TRIM(rTipo))=""CONTIENE"",
UPPER(TRIM(rTipo))=""COINCIDENCIA""
),
ISNUMBER(SEARCH(UPPER(TRIM(rPatron)),UPPER(TRIM(D1491))))
)
)
),
rC"&amp;"oncepto,
""""
)
)
),
MAP(
reglas!$B$2:$B$240,
reglas!$C$2:$C$240,
reglas!$D$2:$D$240,
reglas!$E$2:$E$240,
LAMBDA(rEmisor,rPatron,rConcepto,rTipo,
IF(
AND(
OR(
UPPER(TRIM(rEmisor))=UPPER(TRIM(C1491)),
UPPER(TRIM(rEmisor))=""CUALQUIERA""
),
OR(
UPPER(TRIM(r"&amp;"Tipo))=""SOLO EMISOR"",
AND(
UPPER(TRIM(rTipo))=""EXACTA"",
UPPER(TRIM(D1491))=UPPER(TRIM(rPatron))
),
AND(
OR(
UPPER(TRIM(rTipo))=""CONTIENE"",
UPPER(TRIM(rTipo))=""COINCIDENCIA""
),
ISNUMBER(SEARCH(UPPER(TRIM(rPatron)),UPPER(TRIM(D1491))))
)
)
),
rConce"&amp;"pto,
""""
)
)
)&lt;&gt;""""
),
1
),
""""
)"),"MANIOBRAS")</f>
        <v>MANIOBRAS</v>
      </c>
      <c r="L1491" s="27"/>
      <c r="M1491" s="27"/>
      <c r="N1491" s="27"/>
      <c r="O1491" s="27"/>
      <c r="P1491" s="27"/>
      <c r="Q1491" s="27"/>
      <c r="R1491" s="27"/>
      <c r="S1491" s="27"/>
      <c r="T1491" s="27"/>
      <c r="U1491" s="27"/>
      <c r="V1491" s="27"/>
      <c r="W1491" s="27"/>
      <c r="X1491" s="27"/>
      <c r="Y1491" s="27"/>
    </row>
    <row r="1492">
      <c r="A1492" s="32"/>
      <c r="B1492" s="32"/>
      <c r="C1492" s="29" t="s">
        <v>70</v>
      </c>
      <c r="D1492" s="29" t="s">
        <v>1704</v>
      </c>
      <c r="E1492" s="28">
        <v>314.58</v>
      </c>
      <c r="F1492" s="28">
        <v>0.0</v>
      </c>
      <c r="G1492" s="99" t="s">
        <v>55</v>
      </c>
      <c r="H1492" s="28">
        <f t="array" ref="H1492">INDEX(CC!C:C,MATCH(1,(CC!A:A=G1492)*(CC!B:B=I1492),0))</f>
        <v>903</v>
      </c>
      <c r="I1492" s="28" t="s">
        <v>44</v>
      </c>
      <c r="J1492" s="31">
        <v>314.58</v>
      </c>
      <c r="K1492" s="28" t="str">
        <f>IFERROR(__xludf.DUMMYFUNCTION("IFERROR(
INDEX(
FILTER(
MAP(
reglas!$B$2:$B$240,
reglas!$C$2:$C$240,
reglas!$D$2:$D$240,
reglas!$E$2:$E$240,
LAMBDA(rEmisor,rPatron,rConcepto,rTipo,
IF(
AND(
OR(
UPPER(TRIM(rEmisor))=UPPER(TRIM(C1492)),
UPPER(TRIM(rEmisor))=""CUALQUIERA""
),
OR(
UPPER(TRI"&amp;"M(rTipo))=""SOLO EMISOR"",
AND(
UPPER(TRIM(rTipo))=""EXACTA"",
UPPER(TRIM(AG1492))=UPPER(TRIM(rPatron))
),
AND(
OR(
UPPER(TRIM(rTipo))=""CONTIENE"",
UPPER(TRIM(rTipo))=""COINCIDENCIA""
),
ISNUMBER(SEARCH(UPPER(TRIM(rPatron)),UPPER(TRIM(D1492))))
)
)
),
rC"&amp;"oncepto,
""""
)
)
),
MAP(
reglas!$B$2:$B$240,
reglas!$C$2:$C$240,
reglas!$D$2:$D$240,
reglas!$E$2:$E$240,
LAMBDA(rEmisor,rPatron,rConcepto,rTipo,
IF(
AND(
OR(
UPPER(TRIM(rEmisor))=UPPER(TRIM(C1492)),
UPPER(TRIM(rEmisor))=""CUALQUIERA""
),
OR(
UPPER(TRIM(r"&amp;"Tipo))=""SOLO EMISOR"",
AND(
UPPER(TRIM(rTipo))=""EXACTA"",
UPPER(TRIM(D1492))=UPPER(TRIM(rPatron))
),
AND(
OR(
UPPER(TRIM(rTipo))=""CONTIENE"",
UPPER(TRIM(rTipo))=""COINCIDENCIA""
),
ISNUMBER(SEARCH(UPPER(TRIM(rPatron)),UPPER(TRIM(D1492))))
)
)
),
rConce"&amp;"pto,
""""
)
)
)&lt;&gt;""""
),
1
),
""""
)"),"MANIOBRAS")</f>
        <v>MANIOBRAS</v>
      </c>
      <c r="L1492" s="27"/>
      <c r="M1492" s="27"/>
      <c r="N1492" s="27"/>
      <c r="O1492" s="27"/>
      <c r="P1492" s="27"/>
      <c r="Q1492" s="27"/>
      <c r="R1492" s="27"/>
      <c r="S1492" s="27"/>
      <c r="T1492" s="27"/>
      <c r="U1492" s="27"/>
      <c r="V1492" s="27"/>
      <c r="W1492" s="27"/>
      <c r="X1492" s="27"/>
      <c r="Y1492" s="27"/>
    </row>
    <row r="1493">
      <c r="A1493" s="32"/>
      <c r="B1493" s="32"/>
      <c r="C1493" s="29" t="s">
        <v>70</v>
      </c>
      <c r="D1493" s="29" t="s">
        <v>1705</v>
      </c>
      <c r="E1493" s="28">
        <v>603.38</v>
      </c>
      <c r="F1493" s="28">
        <v>0.0</v>
      </c>
      <c r="G1493" s="99" t="s">
        <v>55</v>
      </c>
      <c r="H1493" s="28">
        <f t="array" ref="H1493">INDEX(CC!C:C,MATCH(1,(CC!A:A=G1493)*(CC!B:B=I1493),0))</f>
        <v>903</v>
      </c>
      <c r="I1493" s="28" t="s">
        <v>44</v>
      </c>
      <c r="J1493" s="31">
        <v>603.38</v>
      </c>
      <c r="K1493" s="28" t="str">
        <f>IFERROR(__xludf.DUMMYFUNCTION("IFERROR(
INDEX(
FILTER(
MAP(
reglas!$B$2:$B$240,
reglas!$C$2:$C$240,
reglas!$D$2:$D$240,
reglas!$E$2:$E$240,
LAMBDA(rEmisor,rPatron,rConcepto,rTipo,
IF(
AND(
OR(
UPPER(TRIM(rEmisor))=UPPER(TRIM(C1493)),
UPPER(TRIM(rEmisor))=""CUALQUIERA""
),
OR(
UPPER(TRI"&amp;"M(rTipo))=""SOLO EMISOR"",
AND(
UPPER(TRIM(rTipo))=""EXACTA"",
UPPER(TRIM(AG1493))=UPPER(TRIM(rPatron))
),
AND(
OR(
UPPER(TRIM(rTipo))=""CONTIENE"",
UPPER(TRIM(rTipo))=""COINCIDENCIA""
),
ISNUMBER(SEARCH(UPPER(TRIM(rPatron)),UPPER(TRIM(D1493))))
)
)
),
rC"&amp;"oncepto,
""""
)
)
),
MAP(
reglas!$B$2:$B$240,
reglas!$C$2:$C$240,
reglas!$D$2:$D$240,
reglas!$E$2:$E$240,
LAMBDA(rEmisor,rPatron,rConcepto,rTipo,
IF(
AND(
OR(
UPPER(TRIM(rEmisor))=UPPER(TRIM(C1493)),
UPPER(TRIM(rEmisor))=""CUALQUIERA""
),
OR(
UPPER(TRIM(r"&amp;"Tipo))=""SOLO EMISOR"",
AND(
UPPER(TRIM(rTipo))=""EXACTA"",
UPPER(TRIM(D1493))=UPPER(TRIM(rPatron))
),
AND(
OR(
UPPER(TRIM(rTipo))=""CONTIENE"",
UPPER(TRIM(rTipo))=""COINCIDENCIA""
),
ISNUMBER(SEARCH(UPPER(TRIM(rPatron)),UPPER(TRIM(D1493))))
)
)
),
rConce"&amp;"pto,
""""
)
)
)&lt;&gt;""""
),
1
),
""""
)"),"MANIOBRAS")</f>
        <v>MANIOBRAS</v>
      </c>
      <c r="L1493" s="27"/>
      <c r="M1493" s="27"/>
      <c r="N1493" s="27"/>
      <c r="O1493" s="27"/>
      <c r="P1493" s="27"/>
      <c r="Q1493" s="27"/>
      <c r="R1493" s="27"/>
      <c r="S1493" s="27"/>
      <c r="T1493" s="27"/>
      <c r="U1493" s="27"/>
      <c r="V1493" s="27"/>
      <c r="W1493" s="27"/>
      <c r="X1493" s="27"/>
      <c r="Y1493" s="27"/>
    </row>
    <row r="1494">
      <c r="A1494" s="32"/>
      <c r="B1494" s="28" t="s">
        <v>29</v>
      </c>
      <c r="C1494" s="29" t="s">
        <v>483</v>
      </c>
      <c r="D1494" s="42" t="s">
        <v>1906</v>
      </c>
      <c r="E1494" s="30">
        <v>85000.0</v>
      </c>
      <c r="F1494" s="28">
        <v>0.0</v>
      </c>
      <c r="G1494" s="28" t="s">
        <v>74</v>
      </c>
      <c r="H1494" s="28">
        <f t="array" ref="H1494">INDEX(CC!C:C,MATCH(1,(CC!A:A=G1494)*(CC!B:B=I1494),0))</f>
        <v>1502</v>
      </c>
      <c r="I1494" s="28" t="s">
        <v>25</v>
      </c>
      <c r="J1494" s="31">
        <v>85000.0</v>
      </c>
      <c r="K1494" s="28" t="str">
        <f>IFERROR(__xludf.DUMMYFUNCTION("IFERROR(
INDEX(
FILTER(
MAP(
reglas!$B$2:$B$240,
reglas!$C$2:$C$240,
reglas!$D$2:$D$240,
reglas!$E$2:$E$240,
LAMBDA(rEmisor,rPatron,rConcepto,rTipo,
IF(
AND(
OR(
UPPER(TRIM(rEmisor))=UPPER(TRIM(C1494)),
UPPER(TRIM(rEmisor))=""CUALQUIERA""
),
OR(
UPPER(TRI"&amp;"M(rTipo))=""SOLO EMISOR"",
AND(
UPPER(TRIM(rTipo))=""EXACTA"",
UPPER(TRIM(AG1494))=UPPER(TRIM(rPatron))
),
AND(
OR(
UPPER(TRIM(rTipo))=""CONTIENE"",
UPPER(TRIM(rTipo))=""COINCIDENCIA""
),
ISNUMBER(SEARCH(UPPER(TRIM(rPatron)),UPPER(TRIM(D1494))))
)
)
),
rC"&amp;"oncepto,
""""
)
)
),
MAP(
reglas!$B$2:$B$240,
reglas!$C$2:$C$240,
reglas!$D$2:$D$240,
reglas!$E$2:$E$240,
LAMBDA(rEmisor,rPatron,rConcepto,rTipo,
IF(
AND(
OR(
UPPER(TRIM(rEmisor))=UPPER(TRIM(C1494)),
UPPER(TRIM(rEmisor))=""CUALQUIERA""
),
OR(
UPPER(TRIM(r"&amp;"Tipo))=""SOLO EMISOR"",
AND(
UPPER(TRIM(rTipo))=""EXACTA"",
UPPER(TRIM(D1494))=UPPER(TRIM(rPatron))
),
AND(
OR(
UPPER(TRIM(rTipo))=""CONTIENE"",
UPPER(TRIM(rTipo))=""COINCIDENCIA""
),
ISNUMBER(SEARCH(UPPER(TRIM(rPatron)),UPPER(TRIM(D1494))))
)
)
),
rConce"&amp;"pto,
""""
)
)
)&lt;&gt;""""
),
1
),
""""
)"),"CARTA DE LABORATORIO")</f>
        <v>CARTA DE LABORATORIO</v>
      </c>
      <c r="L1494" s="27"/>
      <c r="M1494" s="27"/>
      <c r="N1494" s="27"/>
      <c r="O1494" s="27"/>
      <c r="P1494" s="27"/>
      <c r="Q1494" s="27"/>
      <c r="R1494" s="27"/>
      <c r="S1494" s="27"/>
      <c r="T1494" s="27"/>
      <c r="U1494" s="27"/>
      <c r="V1494" s="27"/>
      <c r="W1494" s="27"/>
      <c r="X1494" s="27"/>
      <c r="Y1494" s="27"/>
    </row>
    <row r="1495">
      <c r="A1495" s="32"/>
      <c r="B1495" s="32"/>
      <c r="C1495" s="29" t="s">
        <v>483</v>
      </c>
      <c r="D1495" s="42" t="s">
        <v>1907</v>
      </c>
      <c r="E1495" s="30">
        <v>15000.0</v>
      </c>
      <c r="F1495" s="28">
        <v>0.0</v>
      </c>
      <c r="G1495" s="28" t="s">
        <v>74</v>
      </c>
      <c r="H1495" s="28">
        <f t="array" ref="H1495">INDEX(CC!C:C,MATCH(1,(CC!A:A=G1495)*(CC!B:B=I1495),0))</f>
        <v>1502</v>
      </c>
      <c r="I1495" s="28" t="s">
        <v>25</v>
      </c>
      <c r="J1495" s="31">
        <v>15000.0</v>
      </c>
      <c r="K1495" s="28" t="str">
        <f>IFERROR(__xludf.DUMMYFUNCTION("IFERROR(
INDEX(
FILTER(
MAP(
reglas!$B$2:$B$240,
reglas!$C$2:$C$240,
reglas!$D$2:$D$240,
reglas!$E$2:$E$240,
LAMBDA(rEmisor,rPatron,rConcepto,rTipo,
IF(
AND(
OR(
UPPER(TRIM(rEmisor))=UPPER(TRIM(C1495)),
UPPER(TRIM(rEmisor))=""CUALQUIERA""
),
OR(
UPPER(TRI"&amp;"M(rTipo))=""SOLO EMISOR"",
AND(
UPPER(TRIM(rTipo))=""EXACTA"",
UPPER(TRIM(AG1495))=UPPER(TRIM(rPatron))
),
AND(
OR(
UPPER(TRIM(rTipo))=""CONTIENE"",
UPPER(TRIM(rTipo))=""COINCIDENCIA""
),
ISNUMBER(SEARCH(UPPER(TRIM(rPatron)),UPPER(TRIM(D1495))))
)
)
),
rC"&amp;"oncepto,
""""
)
)
),
MAP(
reglas!$B$2:$B$240,
reglas!$C$2:$C$240,
reglas!$D$2:$D$240,
reglas!$E$2:$E$240,
LAMBDA(rEmisor,rPatron,rConcepto,rTipo,
IF(
AND(
OR(
UPPER(TRIM(rEmisor))=UPPER(TRIM(C1495)),
UPPER(TRIM(rEmisor))=""CUALQUIERA""
),
OR(
UPPER(TRIM(r"&amp;"Tipo))=""SOLO EMISOR"",
AND(
UPPER(TRIM(rTipo))=""EXACTA"",
UPPER(TRIM(D1495))=UPPER(TRIM(rPatron))
),
AND(
OR(
UPPER(TRIM(rTipo))=""CONTIENE"",
UPPER(TRIM(rTipo))=""COINCIDENCIA""
),
ISNUMBER(SEARCH(UPPER(TRIM(rPatron)),UPPER(TRIM(D1495))))
)
)
),
rConce"&amp;"pto,
""""
)
)
)&lt;&gt;""""
),
1
),
""""
)"),"CARTA DE LABORATORIO")</f>
        <v>CARTA DE LABORATORIO</v>
      </c>
      <c r="L1495" s="27"/>
      <c r="M1495" s="27"/>
      <c r="N1495" s="27"/>
      <c r="O1495" s="27"/>
      <c r="P1495" s="27"/>
      <c r="Q1495" s="27"/>
      <c r="R1495" s="27"/>
      <c r="S1495" s="27"/>
      <c r="T1495" s="27"/>
      <c r="U1495" s="27"/>
      <c r="V1495" s="27"/>
      <c r="W1495" s="27"/>
      <c r="X1495" s="27"/>
      <c r="Y1495" s="27"/>
    </row>
    <row r="1496">
      <c r="A1496" s="32"/>
      <c r="B1496" s="28" t="s">
        <v>29</v>
      </c>
      <c r="C1496" s="29" t="s">
        <v>278</v>
      </c>
      <c r="D1496" s="29" t="s">
        <v>560</v>
      </c>
      <c r="E1496" s="30">
        <v>3500.0</v>
      </c>
      <c r="F1496" s="28">
        <v>0.0</v>
      </c>
      <c r="G1496" s="28" t="s">
        <v>250</v>
      </c>
      <c r="H1496" s="28">
        <f t="array" ref="H1496">INDEX(CC!C:C,MATCH(1,(CC!A:A=G1496)*(CC!B:B=I1496),0))</f>
        <v>1402</v>
      </c>
      <c r="I1496" s="28" t="s">
        <v>25</v>
      </c>
      <c r="J1496" s="31">
        <v>3500.0</v>
      </c>
      <c r="K1496" s="28" t="str">
        <f>IFERROR(__xludf.DUMMYFUNCTION("IFERROR(
INDEX(
FILTER(
MAP(
reglas!$B$2:$B$240,
reglas!$C$2:$C$240,
reglas!$D$2:$D$240,
reglas!$E$2:$E$240,
LAMBDA(rEmisor,rPatron,rConcepto,rTipo,
IF(
AND(
OR(
UPPER(TRIM(rEmisor))=UPPER(TRIM(C1496)),
UPPER(TRIM(rEmisor))=""CUALQUIERA""
),
OR(
UPPER(TRI"&amp;"M(rTipo))=""SOLO EMISOR"",
AND(
UPPER(TRIM(rTipo))=""EXACTA"",
UPPER(TRIM(AG1496))=UPPER(TRIM(rPatron))
),
AND(
OR(
UPPER(TRIM(rTipo))=""CONTIENE"",
UPPER(TRIM(rTipo))=""COINCIDENCIA""
),
ISNUMBER(SEARCH(UPPER(TRIM(rPatron)),UPPER(TRIM(D1496))))
)
)
),
rC"&amp;"oncepto,
""""
)
)
),
MAP(
reglas!$B$2:$B$240,
reglas!$C$2:$C$240,
reglas!$D$2:$D$240,
reglas!$E$2:$E$240,
LAMBDA(rEmisor,rPatron,rConcepto,rTipo,
IF(
AND(
OR(
UPPER(TRIM(rEmisor))=UPPER(TRIM(C1496)),
UPPER(TRIM(rEmisor))=""CUALQUIERA""
),
OR(
UPPER(TRIM(r"&amp;"Tipo))=""SOLO EMISOR"",
AND(
UPPER(TRIM(rTipo))=""EXACTA"",
UPPER(TRIM(D1496))=UPPER(TRIM(rPatron))
),
AND(
OR(
UPPER(TRIM(rTipo))=""CONTIENE"",
UPPER(TRIM(rTipo))=""COINCIDENCIA""
),
ISNUMBER(SEARCH(UPPER(TRIM(rPatron)),UPPER(TRIM(D1496))))
)
)
),
rConce"&amp;"pto,
""""
)
)
)&lt;&gt;""""
),
1
),
""""
)"),"MANIOBRAS")</f>
        <v>MANIOBRAS</v>
      </c>
      <c r="L1496" s="27"/>
      <c r="M1496" s="27"/>
      <c r="N1496" s="27"/>
      <c r="O1496" s="27"/>
      <c r="P1496" s="27"/>
      <c r="Q1496" s="27"/>
      <c r="R1496" s="27"/>
      <c r="S1496" s="27"/>
      <c r="T1496" s="27"/>
      <c r="U1496" s="27"/>
      <c r="V1496" s="27"/>
      <c r="W1496" s="27"/>
      <c r="X1496" s="27"/>
      <c r="Y1496" s="27"/>
    </row>
    <row r="1497">
      <c r="A1497" s="32"/>
      <c r="B1497" s="28" t="s">
        <v>29</v>
      </c>
      <c r="C1497" s="29" t="s">
        <v>483</v>
      </c>
      <c r="D1497" s="42" t="s">
        <v>1908</v>
      </c>
      <c r="E1497" s="30">
        <v>10000.0</v>
      </c>
      <c r="F1497" s="28">
        <v>0.0</v>
      </c>
      <c r="G1497" s="28" t="s">
        <v>74</v>
      </c>
      <c r="H1497" s="28">
        <f t="array" ref="H1497">INDEX(CC!C:C,MATCH(1,(CC!A:A=G1497)*(CC!B:B=I1497),0))</f>
        <v>1502</v>
      </c>
      <c r="I1497" s="28" t="s">
        <v>25</v>
      </c>
      <c r="J1497" s="31">
        <v>10000.0</v>
      </c>
      <c r="K1497" s="28" t="str">
        <f>IFERROR(__xludf.DUMMYFUNCTION("IFERROR(
INDEX(
FILTER(
MAP(
reglas!$B$2:$B$240,
reglas!$C$2:$C$240,
reglas!$D$2:$D$240,
reglas!$E$2:$E$240,
LAMBDA(rEmisor,rPatron,rConcepto,rTipo,
IF(
AND(
OR(
UPPER(TRIM(rEmisor))=UPPER(TRIM(C1497)),
UPPER(TRIM(rEmisor))=""CUALQUIERA""
),
OR(
UPPER(TRI"&amp;"M(rTipo))=""SOLO EMISOR"",
AND(
UPPER(TRIM(rTipo))=""EXACTA"",
UPPER(TRIM(AG1497))=UPPER(TRIM(rPatron))
),
AND(
OR(
UPPER(TRIM(rTipo))=""CONTIENE"",
UPPER(TRIM(rTipo))=""COINCIDENCIA""
),
ISNUMBER(SEARCH(UPPER(TRIM(rPatron)),UPPER(TRIM(D1497))))
)
)
),
rC"&amp;"oncepto,
""""
)
)
),
MAP(
reglas!$B$2:$B$240,
reglas!$C$2:$C$240,
reglas!$D$2:$D$240,
reglas!$E$2:$E$240,
LAMBDA(rEmisor,rPatron,rConcepto,rTipo,
IF(
AND(
OR(
UPPER(TRIM(rEmisor))=UPPER(TRIM(C1497)),
UPPER(TRIM(rEmisor))=""CUALQUIERA""
),
OR(
UPPER(TRIM(r"&amp;"Tipo))=""SOLO EMISOR"",
AND(
UPPER(TRIM(rTipo))=""EXACTA"",
UPPER(TRIM(D1497))=UPPER(TRIM(rPatron))
),
AND(
OR(
UPPER(TRIM(rTipo))=""CONTIENE"",
UPPER(TRIM(rTipo))=""COINCIDENCIA""
),
ISNUMBER(SEARCH(UPPER(TRIM(rPatron)),UPPER(TRIM(D1497))))
)
)
),
rConce"&amp;"pto,
""""
)
)
)&lt;&gt;""""
),
1
),
""""
)"),"CARTA DE LABORATORIO")</f>
        <v>CARTA DE LABORATORIO</v>
      </c>
      <c r="L1497" s="27"/>
      <c r="M1497" s="27"/>
      <c r="N1497" s="27"/>
      <c r="O1497" s="27"/>
      <c r="P1497" s="27"/>
      <c r="Q1497" s="27"/>
      <c r="R1497" s="27"/>
      <c r="S1497" s="27"/>
      <c r="T1497" s="27"/>
      <c r="U1497" s="27"/>
      <c r="V1497" s="27"/>
      <c r="W1497" s="27"/>
      <c r="X1497" s="27"/>
      <c r="Y1497" s="27"/>
    </row>
    <row r="1498">
      <c r="A1498" s="32"/>
      <c r="B1498" s="28" t="s">
        <v>29</v>
      </c>
      <c r="C1498" s="29" t="s">
        <v>331</v>
      </c>
      <c r="D1498" s="29" t="s">
        <v>33</v>
      </c>
      <c r="E1498" s="28">
        <v>0.01</v>
      </c>
      <c r="F1498" s="28">
        <v>0.0</v>
      </c>
      <c r="G1498" s="28" t="s">
        <v>40</v>
      </c>
      <c r="H1498" s="28">
        <f t="array" ref="H1498">INDEX(CC!C:C,MATCH(1,(CC!A:A=G1498)*(CC!B:B=I1498),0))</f>
        <v>602</v>
      </c>
      <c r="I1498" s="28" t="s">
        <v>25</v>
      </c>
      <c r="J1498" s="31">
        <v>0.01</v>
      </c>
      <c r="K1498" s="28" t="str">
        <f>IFERROR(__xludf.DUMMYFUNCTION("IFERROR(
INDEX(
FILTER(
MAP(
reglas!$B$2:$B$240,
reglas!$C$2:$C$240,
reglas!$D$2:$D$240,
reglas!$E$2:$E$240,
LAMBDA(rEmisor,rPatron,rConcepto,rTipo,
IF(
AND(
OR(
UPPER(TRIM(rEmisor))=UPPER(TRIM(C1498)),
UPPER(TRIM(rEmisor))=""CUALQUIERA""
),
OR(
UPPER(TRI"&amp;"M(rTipo))=""SOLO EMISOR"",
AND(
UPPER(TRIM(rTipo))=""EXACTA"",
UPPER(TRIM(AG1498))=UPPER(TRIM(rPatron))
),
AND(
OR(
UPPER(TRIM(rTipo))=""CONTIENE"",
UPPER(TRIM(rTipo))=""COINCIDENCIA""
),
ISNUMBER(SEARCH(UPPER(TRIM(rPatron)),UPPER(TRIM(D1498))))
)
)
),
rC"&amp;"oncepto,
""""
)
)
),
MAP(
reglas!$B$2:$B$240,
reglas!$C$2:$C$240,
reglas!$D$2:$D$240,
reglas!$E$2:$E$240,
LAMBDA(rEmisor,rPatron,rConcepto,rTipo,
IF(
AND(
OR(
UPPER(TRIM(rEmisor))=UPPER(TRIM(C1498)),
UPPER(TRIM(rEmisor))=""CUALQUIERA""
),
OR(
UPPER(TRIM(r"&amp;"Tipo))=""SOLO EMISOR"",
AND(
UPPER(TRIM(rTipo))=""EXACTA"",
UPPER(TRIM(D1498))=UPPER(TRIM(rPatron))
),
AND(
OR(
UPPER(TRIM(rTipo))=""CONTIENE"",
UPPER(TRIM(rTipo))=""COINCIDENCIA""
),
ISNUMBER(SEARCH(UPPER(TRIM(rPatron)),UPPER(TRIM(D1498))))
)
)
),
rConce"&amp;"pto,
""""
)
)
)&lt;&gt;""""
),
1
),
""""
)"),"N/A")</f>
        <v>N/A</v>
      </c>
      <c r="L1498" s="27"/>
      <c r="M1498" s="27"/>
      <c r="N1498" s="27"/>
      <c r="O1498" s="27"/>
      <c r="P1498" s="27"/>
      <c r="Q1498" s="27"/>
      <c r="R1498" s="27"/>
      <c r="S1498" s="27"/>
      <c r="T1498" s="27"/>
      <c r="U1498" s="27"/>
      <c r="V1498" s="27"/>
      <c r="W1498" s="27"/>
      <c r="X1498" s="27"/>
      <c r="Y1498" s="27"/>
    </row>
    <row r="1499">
      <c r="A1499" s="32"/>
      <c r="B1499" s="28" t="s">
        <v>29</v>
      </c>
      <c r="C1499" s="29" t="s">
        <v>172</v>
      </c>
      <c r="D1499" s="29" t="s">
        <v>1909</v>
      </c>
      <c r="E1499" s="30">
        <v>11500.0</v>
      </c>
      <c r="F1499" s="28">
        <v>0.0</v>
      </c>
      <c r="G1499" s="28" t="s">
        <v>250</v>
      </c>
      <c r="H1499" s="28">
        <f t="array" ref="H1499">INDEX(CC!C:C,MATCH(1,(CC!A:A=G1499)*(CC!B:B=I1499),0))</f>
        <v>1402</v>
      </c>
      <c r="I1499" s="28" t="s">
        <v>25</v>
      </c>
      <c r="J1499" s="31">
        <v>11500.0</v>
      </c>
      <c r="K1499" s="28" t="str">
        <f>IFERROR(__xludf.DUMMYFUNCTION("IFERROR(
INDEX(
FILTER(
MAP(
reglas!$B$2:$B$240,
reglas!$C$2:$C$240,
reglas!$D$2:$D$240,
reglas!$E$2:$E$240,
LAMBDA(rEmisor,rPatron,rConcepto,rTipo,
IF(
AND(
OR(
UPPER(TRIM(rEmisor))=UPPER(TRIM(C1499)),
UPPER(TRIM(rEmisor))=""CUALQUIERA""
),
OR(
UPPER(TRI"&amp;"M(rTipo))=""SOLO EMISOR"",
AND(
UPPER(TRIM(rTipo))=""EXACTA"",
UPPER(TRIM(AG1499))=UPPER(TRIM(rPatron))
),
AND(
OR(
UPPER(TRIM(rTipo))=""CONTIENE"",
UPPER(TRIM(rTipo))=""COINCIDENCIA""
),
ISNUMBER(SEARCH(UPPER(TRIM(rPatron)),UPPER(TRIM(D1499))))
)
)
),
rC"&amp;"oncepto,
""""
)
)
),
MAP(
reglas!$B$2:$B$240,
reglas!$C$2:$C$240,
reglas!$D$2:$D$240,
reglas!$E$2:$E$240,
LAMBDA(rEmisor,rPatron,rConcepto,rTipo,
IF(
AND(
OR(
UPPER(TRIM(rEmisor))=UPPER(TRIM(C1499)),
UPPER(TRIM(rEmisor))=""CUALQUIERA""
),
OR(
UPPER(TRIM(r"&amp;"Tipo))=""SOLO EMISOR"",
AND(
UPPER(TRIM(rTipo))=""EXACTA"",
UPPER(TRIM(D1499))=UPPER(TRIM(rPatron))
),
AND(
OR(
UPPER(TRIM(rTipo))=""CONTIENE"",
UPPER(TRIM(rTipo))=""COINCIDENCIA""
),
ISNUMBER(SEARCH(UPPER(TRIM(rPatron)),UPPER(TRIM(D1499))))
)
)
),
rConce"&amp;"pto,
""""
)
)
)&lt;&gt;""""
),
1
),
""""
)"),"TRANSPORTE")</f>
        <v>TRANSPORTE</v>
      </c>
      <c r="L1499" s="27"/>
      <c r="M1499" s="27"/>
      <c r="N1499" s="27"/>
      <c r="O1499" s="27"/>
      <c r="P1499" s="27"/>
      <c r="Q1499" s="27"/>
      <c r="R1499" s="27"/>
      <c r="S1499" s="27"/>
      <c r="T1499" s="27"/>
      <c r="U1499" s="27"/>
      <c r="V1499" s="27"/>
      <c r="W1499" s="27"/>
      <c r="X1499" s="27"/>
      <c r="Y1499" s="27"/>
    </row>
    <row r="1500">
      <c r="A1500" s="28">
        <v>1.0</v>
      </c>
      <c r="B1500" s="28" t="s">
        <v>29</v>
      </c>
      <c r="C1500" s="29" t="s">
        <v>271</v>
      </c>
      <c r="D1500" s="29" t="s">
        <v>585</v>
      </c>
      <c r="E1500" s="28">
        <v>619.55</v>
      </c>
      <c r="F1500" s="28">
        <v>0.0</v>
      </c>
      <c r="G1500" s="28" t="s">
        <v>84</v>
      </c>
      <c r="H1500" s="28">
        <f t="array" ref="H1500">INDEX(CC!C:C,MATCH(1,(CC!A:A=G1500)*(CC!B:B=I1500),0))</f>
        <v>1002</v>
      </c>
      <c r="I1500" s="28" t="s">
        <v>25</v>
      </c>
      <c r="J1500" s="31">
        <v>619.55</v>
      </c>
      <c r="K1500" s="28" t="str">
        <f>IFERROR(__xludf.DUMMYFUNCTION("IFERROR(
INDEX(
FILTER(
MAP(
reglas!$B$2:$B$240,
reglas!$C$2:$C$240,
reglas!$D$2:$D$240,
reglas!$E$2:$E$240,
LAMBDA(rEmisor,rPatron,rConcepto,rTipo,
IF(
AND(
OR(
UPPER(TRIM(rEmisor))=UPPER(TRIM(C1500)),
UPPER(TRIM(rEmisor))=""CUALQUIERA""
),
OR(
UPPER(TRI"&amp;"M(rTipo))=""SOLO EMISOR"",
AND(
UPPER(TRIM(rTipo))=""EXACTA"",
UPPER(TRIM(AG1500))=UPPER(TRIM(rPatron))
),
AND(
OR(
UPPER(TRIM(rTipo))=""CONTIENE"",
UPPER(TRIM(rTipo))=""COINCIDENCIA""
),
ISNUMBER(SEARCH(UPPER(TRIM(rPatron)),UPPER(TRIM(D1500))))
)
)
),
rC"&amp;"oncepto,
""""
)
)
),
MAP(
reglas!$B$2:$B$240,
reglas!$C$2:$C$240,
reglas!$D$2:$D$240,
reglas!$E$2:$E$240,
LAMBDA(rEmisor,rPatron,rConcepto,rTipo,
IF(
AND(
OR(
UPPER(TRIM(rEmisor))=UPPER(TRIM(C1500)),
UPPER(TRIM(rEmisor))=""CUALQUIERA""
),
OR(
UPPER(TRIM(r"&amp;"Tipo))=""SOLO EMISOR"",
AND(
UPPER(TRIM(rTipo))=""EXACTA"",
UPPER(TRIM(D1500))=UPPER(TRIM(rPatron))
),
AND(
OR(
UPPER(TRIM(rTipo))=""CONTIENE"",
UPPER(TRIM(rTipo))=""COINCIDENCIA""
),
ISNUMBER(SEARCH(UPPER(TRIM(rPatron)),UPPER(TRIM(D1500))))
)
)
),
rConce"&amp;"pto,
""""
)
)
)&lt;&gt;""""
),
1
),
""""
)"),"MANIOBRAS")</f>
        <v>MANIOBRAS</v>
      </c>
      <c r="L1500" s="27"/>
      <c r="M1500" s="27"/>
      <c r="N1500" s="27"/>
      <c r="O1500" s="27"/>
      <c r="P1500" s="27"/>
      <c r="Q1500" s="27"/>
      <c r="R1500" s="27"/>
      <c r="S1500" s="27"/>
      <c r="T1500" s="27"/>
      <c r="U1500" s="27"/>
      <c r="V1500" s="27"/>
      <c r="W1500" s="27"/>
      <c r="X1500" s="27"/>
      <c r="Y1500" s="27"/>
    </row>
    <row r="1501">
      <c r="A1501" s="32"/>
      <c r="B1501" s="32"/>
      <c r="C1501" s="29" t="s">
        <v>271</v>
      </c>
      <c r="D1501" s="29" t="s">
        <v>587</v>
      </c>
      <c r="E1501" s="28">
        <v>566.84</v>
      </c>
      <c r="F1501" s="28">
        <v>0.0</v>
      </c>
      <c r="G1501" s="28" t="s">
        <v>84</v>
      </c>
      <c r="H1501" s="28">
        <f t="array" ref="H1501">INDEX(CC!C:C,MATCH(1,(CC!A:A=G1501)*(CC!B:B=I1501),0))</f>
        <v>1002</v>
      </c>
      <c r="I1501" s="28" t="s">
        <v>25</v>
      </c>
      <c r="J1501" s="31">
        <v>566.84</v>
      </c>
      <c r="K1501" s="28" t="str">
        <f>IFERROR(__xludf.DUMMYFUNCTION("IFERROR(
INDEX(
FILTER(
MAP(
reglas!$B$2:$B$240,
reglas!$C$2:$C$240,
reglas!$D$2:$D$240,
reglas!$E$2:$E$240,
LAMBDA(rEmisor,rPatron,rConcepto,rTipo,
IF(
AND(
OR(
UPPER(TRIM(rEmisor))=UPPER(TRIM(C1501)),
UPPER(TRIM(rEmisor))=""CUALQUIERA""
),
OR(
UPPER(TRI"&amp;"M(rTipo))=""SOLO EMISOR"",
AND(
UPPER(TRIM(rTipo))=""EXACTA"",
UPPER(TRIM(AG1501))=UPPER(TRIM(rPatron))
),
AND(
OR(
UPPER(TRIM(rTipo))=""CONTIENE"",
UPPER(TRIM(rTipo))=""COINCIDENCIA""
),
ISNUMBER(SEARCH(UPPER(TRIM(rPatron)),UPPER(TRIM(D1501))))
)
)
),
rC"&amp;"oncepto,
""""
)
)
),
MAP(
reglas!$B$2:$B$240,
reglas!$C$2:$C$240,
reglas!$D$2:$D$240,
reglas!$E$2:$E$240,
LAMBDA(rEmisor,rPatron,rConcepto,rTipo,
IF(
AND(
OR(
UPPER(TRIM(rEmisor))=UPPER(TRIM(C1501)),
UPPER(TRIM(rEmisor))=""CUALQUIERA""
),
OR(
UPPER(TRIM(r"&amp;"Tipo))=""SOLO EMISOR"",
AND(
UPPER(TRIM(rTipo))=""EXACTA"",
UPPER(TRIM(D1501))=UPPER(TRIM(rPatron))
),
AND(
OR(
UPPER(TRIM(rTipo))=""CONTIENE"",
UPPER(TRIM(rTipo))=""COINCIDENCIA""
),
ISNUMBER(SEARCH(UPPER(TRIM(rPatron)),UPPER(TRIM(D1501))))
)
)
),
rConce"&amp;"pto,
""""
)
)
)&lt;&gt;""""
),
1
),
""""
)"),"MANIOBRAS")</f>
        <v>MANIOBRAS</v>
      </c>
      <c r="L1501" s="27"/>
      <c r="M1501" s="27"/>
      <c r="N1501" s="27"/>
      <c r="O1501" s="27"/>
      <c r="P1501" s="27"/>
      <c r="Q1501" s="27"/>
      <c r="R1501" s="27"/>
      <c r="S1501" s="27"/>
      <c r="T1501" s="27"/>
      <c r="U1501" s="27"/>
      <c r="V1501" s="27"/>
      <c r="W1501" s="27"/>
      <c r="X1501" s="27"/>
      <c r="Y1501" s="27"/>
    </row>
    <row r="1502">
      <c r="A1502" s="32"/>
      <c r="B1502" s="32"/>
      <c r="C1502" s="29" t="s">
        <v>271</v>
      </c>
      <c r="D1502" s="29" t="s">
        <v>589</v>
      </c>
      <c r="E1502" s="28">
        <v>840.18</v>
      </c>
      <c r="F1502" s="28">
        <v>0.0</v>
      </c>
      <c r="G1502" s="28" t="s">
        <v>84</v>
      </c>
      <c r="H1502" s="28">
        <f t="array" ref="H1502">INDEX(CC!C:C,MATCH(1,(CC!A:A=G1502)*(CC!B:B=I1502),0))</f>
        <v>1002</v>
      </c>
      <c r="I1502" s="28" t="s">
        <v>25</v>
      </c>
      <c r="J1502" s="31">
        <v>840.18</v>
      </c>
      <c r="K1502" s="28" t="str">
        <f>IFERROR(__xludf.DUMMYFUNCTION("IFERROR(
INDEX(
FILTER(
MAP(
reglas!$B$2:$B$240,
reglas!$C$2:$C$240,
reglas!$D$2:$D$240,
reglas!$E$2:$E$240,
LAMBDA(rEmisor,rPatron,rConcepto,rTipo,
IF(
AND(
OR(
UPPER(TRIM(rEmisor))=UPPER(TRIM(C1502)),
UPPER(TRIM(rEmisor))=""CUALQUIERA""
),
OR(
UPPER(TRI"&amp;"M(rTipo))=""SOLO EMISOR"",
AND(
UPPER(TRIM(rTipo))=""EXACTA"",
UPPER(TRIM(AG1502))=UPPER(TRIM(rPatron))
),
AND(
OR(
UPPER(TRIM(rTipo))=""CONTIENE"",
UPPER(TRIM(rTipo))=""COINCIDENCIA""
),
ISNUMBER(SEARCH(UPPER(TRIM(rPatron)),UPPER(TRIM(D1502))))
)
)
),
rC"&amp;"oncepto,
""""
)
)
),
MAP(
reglas!$B$2:$B$240,
reglas!$C$2:$C$240,
reglas!$D$2:$D$240,
reglas!$E$2:$E$240,
LAMBDA(rEmisor,rPatron,rConcepto,rTipo,
IF(
AND(
OR(
UPPER(TRIM(rEmisor))=UPPER(TRIM(C1502)),
UPPER(TRIM(rEmisor))=""CUALQUIERA""
),
OR(
UPPER(TRIM(r"&amp;"Tipo))=""SOLO EMISOR"",
AND(
UPPER(TRIM(rTipo))=""EXACTA"",
UPPER(TRIM(D1502))=UPPER(TRIM(rPatron))
),
AND(
OR(
UPPER(TRIM(rTipo))=""CONTIENE"",
UPPER(TRIM(rTipo))=""COINCIDENCIA""
),
ISNUMBER(SEARCH(UPPER(TRIM(rPatron)),UPPER(TRIM(D1502))))
)
)
),
rConce"&amp;"pto,
""""
)
)
)&lt;&gt;""""
),
1
),
""""
)"),"MANIOBRAS")</f>
        <v>MANIOBRAS</v>
      </c>
      <c r="L1502" s="27"/>
      <c r="M1502" s="27"/>
      <c r="N1502" s="27"/>
      <c r="O1502" s="27"/>
      <c r="P1502" s="27"/>
      <c r="Q1502" s="27"/>
      <c r="R1502" s="27"/>
      <c r="S1502" s="27"/>
      <c r="T1502" s="27"/>
      <c r="U1502" s="27"/>
      <c r="V1502" s="27"/>
      <c r="W1502" s="27"/>
      <c r="X1502" s="27"/>
      <c r="Y1502" s="27"/>
    </row>
    <row r="1503">
      <c r="A1503" s="32"/>
      <c r="B1503" s="32"/>
      <c r="C1503" s="29" t="s">
        <v>271</v>
      </c>
      <c r="D1503" s="29" t="s">
        <v>596</v>
      </c>
      <c r="E1503" s="30">
        <v>1300.78</v>
      </c>
      <c r="F1503" s="28">
        <v>0.0</v>
      </c>
      <c r="G1503" s="28" t="s">
        <v>84</v>
      </c>
      <c r="H1503" s="28">
        <f t="array" ref="H1503">INDEX(CC!C:C,MATCH(1,(CC!A:A=G1503)*(CC!B:B=I1503),0))</f>
        <v>1002</v>
      </c>
      <c r="I1503" s="28" t="s">
        <v>25</v>
      </c>
      <c r="J1503" s="31">
        <v>1300.78</v>
      </c>
      <c r="K1503" s="28" t="str">
        <f>IFERROR(__xludf.DUMMYFUNCTION("IFERROR(
INDEX(
FILTER(
MAP(
reglas!$B$2:$B$240,
reglas!$C$2:$C$240,
reglas!$D$2:$D$240,
reglas!$E$2:$E$240,
LAMBDA(rEmisor,rPatron,rConcepto,rTipo,
IF(
AND(
OR(
UPPER(TRIM(rEmisor))=UPPER(TRIM(C1503)),
UPPER(TRIM(rEmisor))=""CUALQUIERA""
),
OR(
UPPER(TRI"&amp;"M(rTipo))=""SOLO EMISOR"",
AND(
UPPER(TRIM(rTipo))=""EXACTA"",
UPPER(TRIM(AG1503))=UPPER(TRIM(rPatron))
),
AND(
OR(
UPPER(TRIM(rTipo))=""CONTIENE"",
UPPER(TRIM(rTipo))=""COINCIDENCIA""
),
ISNUMBER(SEARCH(UPPER(TRIM(rPatron)),UPPER(TRIM(D1503))))
)
)
),
rC"&amp;"oncepto,
""""
)
)
),
MAP(
reglas!$B$2:$B$240,
reglas!$C$2:$C$240,
reglas!$D$2:$D$240,
reglas!$E$2:$E$240,
LAMBDA(rEmisor,rPatron,rConcepto,rTipo,
IF(
AND(
OR(
UPPER(TRIM(rEmisor))=UPPER(TRIM(C1503)),
UPPER(TRIM(rEmisor))=""CUALQUIERA""
),
OR(
UPPER(TRIM(r"&amp;"Tipo))=""SOLO EMISOR"",
AND(
UPPER(TRIM(rTipo))=""EXACTA"",
UPPER(TRIM(D1503))=UPPER(TRIM(rPatron))
),
AND(
OR(
UPPER(TRIM(rTipo))=""CONTIENE"",
UPPER(TRIM(rTipo))=""COINCIDENCIA""
),
ISNUMBER(SEARCH(UPPER(TRIM(rPatron)),UPPER(TRIM(D1503))))
)
)
),
rConce"&amp;"pto,
""""
)
)
)&lt;&gt;""""
),
1
),
""""
)"),"MANIOBRAS")</f>
        <v>MANIOBRAS</v>
      </c>
      <c r="L1503" s="27"/>
      <c r="M1503" s="27"/>
      <c r="N1503" s="27"/>
      <c r="O1503" s="27"/>
      <c r="P1503" s="27"/>
      <c r="Q1503" s="27"/>
      <c r="R1503" s="27"/>
      <c r="S1503" s="27"/>
      <c r="T1503" s="27"/>
      <c r="U1503" s="27"/>
      <c r="V1503" s="27"/>
      <c r="W1503" s="27"/>
      <c r="X1503" s="27"/>
      <c r="Y1503" s="27"/>
    </row>
    <row r="1504">
      <c r="A1504" s="32"/>
      <c r="B1504" s="28" t="s">
        <v>29</v>
      </c>
      <c r="C1504" s="29" t="s">
        <v>278</v>
      </c>
      <c r="D1504" s="29" t="s">
        <v>560</v>
      </c>
      <c r="E1504" s="30">
        <v>3500.0</v>
      </c>
      <c r="F1504" s="28">
        <v>0.0</v>
      </c>
      <c r="G1504" s="99" t="s">
        <v>250</v>
      </c>
      <c r="H1504" s="28">
        <f t="array" ref="H1504">INDEX(CC!C:C,MATCH(1,(CC!A:A=G1504)*(CC!B:B=I1504),0))</f>
        <v>1402</v>
      </c>
      <c r="I1504" s="28" t="s">
        <v>25</v>
      </c>
      <c r="J1504" s="31">
        <v>3500.0</v>
      </c>
      <c r="K1504" s="28" t="str">
        <f>IFERROR(__xludf.DUMMYFUNCTION("IFERROR(
INDEX(
FILTER(
MAP(
reglas!$B$2:$B$240,
reglas!$C$2:$C$240,
reglas!$D$2:$D$240,
reglas!$E$2:$E$240,
LAMBDA(rEmisor,rPatron,rConcepto,rTipo,
IF(
AND(
OR(
UPPER(TRIM(rEmisor))=UPPER(TRIM(C1504)),
UPPER(TRIM(rEmisor))=""CUALQUIERA""
),
OR(
UPPER(TRI"&amp;"M(rTipo))=""SOLO EMISOR"",
AND(
UPPER(TRIM(rTipo))=""EXACTA"",
UPPER(TRIM(AG1504))=UPPER(TRIM(rPatron))
),
AND(
OR(
UPPER(TRIM(rTipo))=""CONTIENE"",
UPPER(TRIM(rTipo))=""COINCIDENCIA""
),
ISNUMBER(SEARCH(UPPER(TRIM(rPatron)),UPPER(TRIM(D1504))))
)
)
),
rC"&amp;"oncepto,
""""
)
)
),
MAP(
reglas!$B$2:$B$240,
reglas!$C$2:$C$240,
reglas!$D$2:$D$240,
reglas!$E$2:$E$240,
LAMBDA(rEmisor,rPatron,rConcepto,rTipo,
IF(
AND(
OR(
UPPER(TRIM(rEmisor))=UPPER(TRIM(C1504)),
UPPER(TRIM(rEmisor))=""CUALQUIERA""
),
OR(
UPPER(TRIM(r"&amp;"Tipo))=""SOLO EMISOR"",
AND(
UPPER(TRIM(rTipo))=""EXACTA"",
UPPER(TRIM(D1504))=UPPER(TRIM(rPatron))
),
AND(
OR(
UPPER(TRIM(rTipo))=""CONTIENE"",
UPPER(TRIM(rTipo))=""COINCIDENCIA""
),
ISNUMBER(SEARCH(UPPER(TRIM(rPatron)),UPPER(TRIM(D1504))))
)
)
),
rConce"&amp;"pto,
""""
)
)
)&lt;&gt;""""
),
1
),
""""
)"),"MANIOBRAS")</f>
        <v>MANIOBRAS</v>
      </c>
      <c r="L1504" s="27"/>
      <c r="M1504" s="27"/>
      <c r="N1504" s="27"/>
      <c r="O1504" s="27"/>
      <c r="P1504" s="27"/>
      <c r="Q1504" s="27"/>
      <c r="R1504" s="27"/>
      <c r="S1504" s="27"/>
      <c r="T1504" s="27"/>
      <c r="U1504" s="27"/>
      <c r="V1504" s="27"/>
      <c r="W1504" s="27"/>
      <c r="X1504" s="27"/>
      <c r="Y1504" s="27"/>
    </row>
    <row r="1505">
      <c r="A1505" s="28">
        <v>1.0</v>
      </c>
      <c r="B1505" s="28" t="s">
        <v>29</v>
      </c>
      <c r="C1505" s="29" t="s">
        <v>271</v>
      </c>
      <c r="D1505" s="29" t="s">
        <v>589</v>
      </c>
      <c r="E1505" s="28">
        <v>620.57</v>
      </c>
      <c r="F1505" s="28">
        <v>0.0</v>
      </c>
      <c r="G1505" s="28" t="s">
        <v>84</v>
      </c>
      <c r="H1505" s="28">
        <f t="array" ref="H1505">INDEX(CC!C:C,MATCH(1,(CC!A:A=G1505)*(CC!B:B=I1505),0))</f>
        <v>1002</v>
      </c>
      <c r="I1505" s="28" t="s">
        <v>25</v>
      </c>
      <c r="J1505" s="31">
        <v>620.57</v>
      </c>
      <c r="K1505" s="28" t="str">
        <f>IFERROR(__xludf.DUMMYFUNCTION("IFERROR(
INDEX(
FILTER(
MAP(
reglas!$B$2:$B$240,
reglas!$C$2:$C$240,
reglas!$D$2:$D$240,
reglas!$E$2:$E$240,
LAMBDA(rEmisor,rPatron,rConcepto,rTipo,
IF(
AND(
OR(
UPPER(TRIM(rEmisor))=UPPER(TRIM(C1505)),
UPPER(TRIM(rEmisor))=""CUALQUIERA""
),
OR(
UPPER(TRI"&amp;"M(rTipo))=""SOLO EMISOR"",
AND(
UPPER(TRIM(rTipo))=""EXACTA"",
UPPER(TRIM(AG1505))=UPPER(TRIM(rPatron))
),
AND(
OR(
UPPER(TRIM(rTipo))=""CONTIENE"",
UPPER(TRIM(rTipo))=""COINCIDENCIA""
),
ISNUMBER(SEARCH(UPPER(TRIM(rPatron)),UPPER(TRIM(D1505))))
)
)
),
rC"&amp;"oncepto,
""""
)
)
),
MAP(
reglas!$B$2:$B$240,
reglas!$C$2:$C$240,
reglas!$D$2:$D$240,
reglas!$E$2:$E$240,
LAMBDA(rEmisor,rPatron,rConcepto,rTipo,
IF(
AND(
OR(
UPPER(TRIM(rEmisor))=UPPER(TRIM(C1505)),
UPPER(TRIM(rEmisor))=""CUALQUIERA""
),
OR(
UPPER(TRIM(r"&amp;"Tipo))=""SOLO EMISOR"",
AND(
UPPER(TRIM(rTipo))=""EXACTA"",
UPPER(TRIM(D1505))=UPPER(TRIM(rPatron))
),
AND(
OR(
UPPER(TRIM(rTipo))=""CONTIENE"",
UPPER(TRIM(rTipo))=""COINCIDENCIA""
),
ISNUMBER(SEARCH(UPPER(TRIM(rPatron)),UPPER(TRIM(D1505))))
)
)
),
rConce"&amp;"pto,
""""
)
)
)&lt;&gt;""""
),
1
),
""""
)"),"MANIOBRAS")</f>
        <v>MANIOBRAS</v>
      </c>
      <c r="L1505" s="27"/>
      <c r="M1505" s="27"/>
      <c r="N1505" s="27"/>
      <c r="O1505" s="27"/>
      <c r="P1505" s="27"/>
      <c r="Q1505" s="27"/>
      <c r="R1505" s="27"/>
      <c r="S1505" s="27"/>
      <c r="T1505" s="27"/>
      <c r="U1505" s="27"/>
      <c r="V1505" s="27"/>
      <c r="W1505" s="27"/>
      <c r="X1505" s="27"/>
      <c r="Y1505" s="27"/>
    </row>
    <row r="1506">
      <c r="A1506" s="32"/>
      <c r="B1506" s="28" t="s">
        <v>29</v>
      </c>
      <c r="C1506" s="29" t="s">
        <v>259</v>
      </c>
      <c r="D1506" s="29" t="s">
        <v>969</v>
      </c>
      <c r="E1506" s="30">
        <v>7758.62</v>
      </c>
      <c r="F1506" s="28">
        <v>0.0</v>
      </c>
      <c r="G1506" s="99" t="s">
        <v>581</v>
      </c>
      <c r="H1506" s="28">
        <f t="array" ref="H1506">INDEX(CC!C:C,MATCH(1,(CC!A:A=G1506)*(CC!B:B=I1506),0))</f>
        <v>202</v>
      </c>
      <c r="I1506" s="28" t="s">
        <v>25</v>
      </c>
      <c r="J1506" s="31">
        <v>7758.62</v>
      </c>
      <c r="K1506" s="28" t="str">
        <f>IFERROR(__xludf.DUMMYFUNCTION("IFERROR(
INDEX(
FILTER(
MAP(
reglas!$B$2:$B$240,
reglas!$C$2:$C$240,
reglas!$D$2:$D$240,
reglas!$E$2:$E$240,
LAMBDA(rEmisor,rPatron,rConcepto,rTipo,
IF(
AND(
OR(
UPPER(TRIM(rEmisor))=UPPER(TRIM(C1506)),
UPPER(TRIM(rEmisor))=""CUALQUIERA""
),
OR(
UPPER(TRI"&amp;"M(rTipo))=""SOLO EMISOR"",
AND(
UPPER(TRIM(rTipo))=""EXACTA"",
UPPER(TRIM(AG1506))=UPPER(TRIM(rPatron))
),
AND(
OR(
UPPER(TRIM(rTipo))=""CONTIENE"",
UPPER(TRIM(rTipo))=""COINCIDENCIA""
),
ISNUMBER(SEARCH(UPPER(TRIM(rPatron)),UPPER(TRIM(D1506))))
)
)
),
rC"&amp;"oncepto,
""""
)
)
),
MAP(
reglas!$B$2:$B$240,
reglas!$C$2:$C$240,
reglas!$D$2:$D$240,
reglas!$E$2:$E$240,
LAMBDA(rEmisor,rPatron,rConcepto,rTipo,
IF(
AND(
OR(
UPPER(TRIM(rEmisor))=UPPER(TRIM(C1506)),
UPPER(TRIM(rEmisor))=""CUALQUIERA""
),
OR(
UPPER(TRIM(r"&amp;"Tipo))=""SOLO EMISOR"",
AND(
UPPER(TRIM(rTipo))=""EXACTA"",
UPPER(TRIM(D1506))=UPPER(TRIM(rPatron))
),
AND(
OR(
UPPER(TRIM(rTipo))=""CONTIENE"",
UPPER(TRIM(rTipo))=""COINCIDENCIA""
),
ISNUMBER(SEARCH(UPPER(TRIM(rPatron)),UPPER(TRIM(D1506))))
)
)
),
rConce"&amp;"pto,
""""
)
)
)&lt;&gt;""""
),
1
),
""""
)"),"COMBUSTIBLES Y LUBRICANTES")</f>
        <v>COMBUSTIBLES Y LUBRICANTES</v>
      </c>
      <c r="L1506" s="27"/>
      <c r="M1506" s="27"/>
      <c r="N1506" s="27"/>
      <c r="O1506" s="27"/>
      <c r="P1506" s="27"/>
      <c r="Q1506" s="27"/>
      <c r="R1506" s="27"/>
      <c r="S1506" s="27"/>
      <c r="T1506" s="27"/>
      <c r="U1506" s="27"/>
      <c r="V1506" s="27"/>
      <c r="W1506" s="27"/>
      <c r="X1506" s="27"/>
      <c r="Y1506" s="27"/>
    </row>
    <row r="1507">
      <c r="A1507" s="28">
        <v>1.0</v>
      </c>
      <c r="B1507" s="28" t="s">
        <v>29</v>
      </c>
      <c r="C1507" s="29" t="s">
        <v>271</v>
      </c>
      <c r="D1507" s="29" t="s">
        <v>587</v>
      </c>
      <c r="E1507" s="28">
        <v>567.47</v>
      </c>
      <c r="F1507" s="28">
        <v>0.0</v>
      </c>
      <c r="G1507" s="28" t="s">
        <v>84</v>
      </c>
      <c r="H1507" s="28">
        <f t="array" ref="H1507">INDEX(CC!C:C,MATCH(1,(CC!A:A=G1507)*(CC!B:B=I1507),0))</f>
        <v>1002</v>
      </c>
      <c r="I1507" s="28" t="s">
        <v>25</v>
      </c>
      <c r="J1507" s="31">
        <v>567.47</v>
      </c>
      <c r="K1507" s="28" t="str">
        <f>IFERROR(__xludf.DUMMYFUNCTION("IFERROR(
INDEX(
FILTER(
MAP(
reglas!$B$2:$B$240,
reglas!$C$2:$C$240,
reglas!$D$2:$D$240,
reglas!$E$2:$E$240,
LAMBDA(rEmisor,rPatron,rConcepto,rTipo,
IF(
AND(
OR(
UPPER(TRIM(rEmisor))=UPPER(TRIM(C1507)),
UPPER(TRIM(rEmisor))=""CUALQUIERA""
),
OR(
UPPER(TRI"&amp;"M(rTipo))=""SOLO EMISOR"",
AND(
UPPER(TRIM(rTipo))=""EXACTA"",
UPPER(TRIM(AG1507))=UPPER(TRIM(rPatron))
),
AND(
OR(
UPPER(TRIM(rTipo))=""CONTIENE"",
UPPER(TRIM(rTipo))=""COINCIDENCIA""
),
ISNUMBER(SEARCH(UPPER(TRIM(rPatron)),UPPER(TRIM(D1507))))
)
)
),
rC"&amp;"oncepto,
""""
)
)
),
MAP(
reglas!$B$2:$B$240,
reglas!$C$2:$C$240,
reglas!$D$2:$D$240,
reglas!$E$2:$E$240,
LAMBDA(rEmisor,rPatron,rConcepto,rTipo,
IF(
AND(
OR(
UPPER(TRIM(rEmisor))=UPPER(TRIM(C1507)),
UPPER(TRIM(rEmisor))=""CUALQUIERA""
),
OR(
UPPER(TRIM(r"&amp;"Tipo))=""SOLO EMISOR"",
AND(
UPPER(TRIM(rTipo))=""EXACTA"",
UPPER(TRIM(D1507))=UPPER(TRIM(rPatron))
),
AND(
OR(
UPPER(TRIM(rTipo))=""CONTIENE"",
UPPER(TRIM(rTipo))=""COINCIDENCIA""
),
ISNUMBER(SEARCH(UPPER(TRIM(rPatron)),UPPER(TRIM(D1507))))
)
)
),
rConce"&amp;"pto,
""""
)
)
)&lt;&gt;""""
),
1
),
""""
)"),"MANIOBRAS")</f>
        <v>MANIOBRAS</v>
      </c>
      <c r="L1507" s="27"/>
      <c r="M1507" s="27"/>
      <c r="N1507" s="27"/>
      <c r="O1507" s="27"/>
      <c r="P1507" s="27"/>
      <c r="Q1507" s="27"/>
      <c r="R1507" s="27"/>
      <c r="S1507" s="27"/>
      <c r="T1507" s="27"/>
      <c r="U1507" s="27"/>
      <c r="V1507" s="27"/>
      <c r="W1507" s="27"/>
      <c r="X1507" s="27"/>
      <c r="Y1507" s="27"/>
    </row>
    <row r="1508">
      <c r="A1508" s="32"/>
      <c r="B1508" s="32"/>
      <c r="C1508" s="29" t="s">
        <v>271</v>
      </c>
      <c r="D1508" s="29" t="s">
        <v>586</v>
      </c>
      <c r="E1508" s="28">
        <v>620.57</v>
      </c>
      <c r="F1508" s="28">
        <v>0.0</v>
      </c>
      <c r="G1508" s="28" t="s">
        <v>84</v>
      </c>
      <c r="H1508" s="28">
        <f t="array" ref="H1508">INDEX(CC!C:C,MATCH(1,(CC!A:A=G1508)*(CC!B:B=I1508),0))</f>
        <v>1002</v>
      </c>
      <c r="I1508" s="28" t="s">
        <v>25</v>
      </c>
      <c r="J1508" s="31">
        <v>620.57</v>
      </c>
      <c r="K1508" s="28" t="str">
        <f>IFERROR(__xludf.DUMMYFUNCTION("IFERROR(
INDEX(
FILTER(
MAP(
reglas!$B$2:$B$240,
reglas!$C$2:$C$240,
reglas!$D$2:$D$240,
reglas!$E$2:$E$240,
LAMBDA(rEmisor,rPatron,rConcepto,rTipo,
IF(
AND(
OR(
UPPER(TRIM(rEmisor))=UPPER(TRIM(C1508)),
UPPER(TRIM(rEmisor))=""CUALQUIERA""
),
OR(
UPPER(TRI"&amp;"M(rTipo))=""SOLO EMISOR"",
AND(
UPPER(TRIM(rTipo))=""EXACTA"",
UPPER(TRIM(AG1508))=UPPER(TRIM(rPatron))
),
AND(
OR(
UPPER(TRIM(rTipo))=""CONTIENE"",
UPPER(TRIM(rTipo))=""COINCIDENCIA""
),
ISNUMBER(SEARCH(UPPER(TRIM(rPatron)),UPPER(TRIM(D1508))))
)
)
),
rC"&amp;"oncepto,
""""
)
)
),
MAP(
reglas!$B$2:$B$240,
reglas!$C$2:$C$240,
reglas!$D$2:$D$240,
reglas!$E$2:$E$240,
LAMBDA(rEmisor,rPatron,rConcepto,rTipo,
IF(
AND(
OR(
UPPER(TRIM(rEmisor))=UPPER(TRIM(C1508)),
UPPER(TRIM(rEmisor))=""CUALQUIERA""
),
OR(
UPPER(TRIM(r"&amp;"Tipo))=""SOLO EMISOR"",
AND(
UPPER(TRIM(rTipo))=""EXACTA"",
UPPER(TRIM(D1508))=UPPER(TRIM(rPatron))
),
AND(
OR(
UPPER(TRIM(rTipo))=""CONTIENE"",
UPPER(TRIM(rTipo))=""COINCIDENCIA""
),
ISNUMBER(SEARCH(UPPER(TRIM(rPatron)),UPPER(TRIM(D1508))))
)
)
),
rConce"&amp;"pto,
""""
)
)
)&lt;&gt;""""
),
1
),
""""
)"),"MANIOBRAS")</f>
        <v>MANIOBRAS</v>
      </c>
      <c r="L1508" s="27"/>
      <c r="M1508" s="27"/>
      <c r="N1508" s="27"/>
      <c r="O1508" s="27"/>
      <c r="P1508" s="27"/>
      <c r="Q1508" s="27"/>
      <c r="R1508" s="27"/>
      <c r="S1508" s="27"/>
      <c r="T1508" s="27"/>
      <c r="U1508" s="27"/>
      <c r="V1508" s="27"/>
      <c r="W1508" s="27"/>
      <c r="X1508" s="27"/>
      <c r="Y1508" s="27"/>
    </row>
    <row r="1509">
      <c r="A1509" s="32"/>
      <c r="B1509" s="32"/>
      <c r="C1509" s="29" t="s">
        <v>271</v>
      </c>
      <c r="D1509" s="29" t="s">
        <v>589</v>
      </c>
      <c r="E1509" s="28">
        <v>620.57</v>
      </c>
      <c r="F1509" s="28">
        <v>0.0</v>
      </c>
      <c r="G1509" s="28" t="s">
        <v>84</v>
      </c>
      <c r="H1509" s="28">
        <f t="array" ref="H1509">INDEX(CC!C:C,MATCH(1,(CC!A:A=G1509)*(CC!B:B=I1509),0))</f>
        <v>1002</v>
      </c>
      <c r="I1509" s="28" t="s">
        <v>25</v>
      </c>
      <c r="J1509" s="31">
        <v>620.57</v>
      </c>
      <c r="K1509" s="28" t="str">
        <f>IFERROR(__xludf.DUMMYFUNCTION("IFERROR(
INDEX(
FILTER(
MAP(
reglas!$B$2:$B$240,
reglas!$C$2:$C$240,
reglas!$D$2:$D$240,
reglas!$E$2:$E$240,
LAMBDA(rEmisor,rPatron,rConcepto,rTipo,
IF(
AND(
OR(
UPPER(TRIM(rEmisor))=UPPER(TRIM(C1509)),
UPPER(TRIM(rEmisor))=""CUALQUIERA""
),
OR(
UPPER(TRI"&amp;"M(rTipo))=""SOLO EMISOR"",
AND(
UPPER(TRIM(rTipo))=""EXACTA"",
UPPER(TRIM(AG1509))=UPPER(TRIM(rPatron))
),
AND(
OR(
UPPER(TRIM(rTipo))=""CONTIENE"",
UPPER(TRIM(rTipo))=""COINCIDENCIA""
),
ISNUMBER(SEARCH(UPPER(TRIM(rPatron)),UPPER(TRIM(D1509))))
)
)
),
rC"&amp;"oncepto,
""""
)
)
),
MAP(
reglas!$B$2:$B$240,
reglas!$C$2:$C$240,
reglas!$D$2:$D$240,
reglas!$E$2:$E$240,
LAMBDA(rEmisor,rPatron,rConcepto,rTipo,
IF(
AND(
OR(
UPPER(TRIM(rEmisor))=UPPER(TRIM(C1509)),
UPPER(TRIM(rEmisor))=""CUALQUIERA""
),
OR(
UPPER(TRIM(r"&amp;"Tipo))=""SOLO EMISOR"",
AND(
UPPER(TRIM(rTipo))=""EXACTA"",
UPPER(TRIM(D1509))=UPPER(TRIM(rPatron))
),
AND(
OR(
UPPER(TRIM(rTipo))=""CONTIENE"",
UPPER(TRIM(rTipo))=""COINCIDENCIA""
),
ISNUMBER(SEARCH(UPPER(TRIM(rPatron)),UPPER(TRIM(D1509))))
)
)
),
rConce"&amp;"pto,
""""
)
)
)&lt;&gt;""""
),
1
),
""""
)"),"MANIOBRAS")</f>
        <v>MANIOBRAS</v>
      </c>
      <c r="L1509" s="27"/>
      <c r="M1509" s="27"/>
      <c r="N1509" s="27"/>
      <c r="O1509" s="27"/>
      <c r="P1509" s="27"/>
      <c r="Q1509" s="27"/>
      <c r="R1509" s="27"/>
      <c r="S1509" s="27"/>
      <c r="T1509" s="27"/>
      <c r="U1509" s="27"/>
      <c r="V1509" s="27"/>
      <c r="W1509" s="27"/>
      <c r="X1509" s="27"/>
      <c r="Y1509" s="27"/>
    </row>
    <row r="1510">
      <c r="A1510" s="32"/>
      <c r="B1510" s="32"/>
      <c r="C1510" s="29" t="s">
        <v>271</v>
      </c>
      <c r="D1510" s="29" t="s">
        <v>593</v>
      </c>
      <c r="E1510" s="28">
        <v>352.36</v>
      </c>
      <c r="F1510" s="28">
        <v>0.0</v>
      </c>
      <c r="G1510" s="28" t="s">
        <v>84</v>
      </c>
      <c r="H1510" s="28">
        <f t="array" ref="H1510">INDEX(CC!C:C,MATCH(1,(CC!A:A=G1510)*(CC!B:B=I1510),0))</f>
        <v>1002</v>
      </c>
      <c r="I1510" s="28" t="s">
        <v>25</v>
      </c>
      <c r="J1510" s="31">
        <v>352.36</v>
      </c>
      <c r="K1510" s="28" t="str">
        <f>IFERROR(__xludf.DUMMYFUNCTION("IFERROR(
INDEX(
FILTER(
MAP(
reglas!$B$2:$B$240,
reglas!$C$2:$C$240,
reglas!$D$2:$D$240,
reglas!$E$2:$E$240,
LAMBDA(rEmisor,rPatron,rConcepto,rTipo,
IF(
AND(
OR(
UPPER(TRIM(rEmisor))=UPPER(TRIM(C1510)),
UPPER(TRIM(rEmisor))=""CUALQUIERA""
),
OR(
UPPER(TRI"&amp;"M(rTipo))=""SOLO EMISOR"",
AND(
UPPER(TRIM(rTipo))=""EXACTA"",
UPPER(TRIM(AG1510))=UPPER(TRIM(rPatron))
),
AND(
OR(
UPPER(TRIM(rTipo))=""CONTIENE"",
UPPER(TRIM(rTipo))=""COINCIDENCIA""
),
ISNUMBER(SEARCH(UPPER(TRIM(rPatron)),UPPER(TRIM(D1510))))
)
)
),
rC"&amp;"oncepto,
""""
)
)
),
MAP(
reglas!$B$2:$B$240,
reglas!$C$2:$C$240,
reglas!$D$2:$D$240,
reglas!$E$2:$E$240,
LAMBDA(rEmisor,rPatron,rConcepto,rTipo,
IF(
AND(
OR(
UPPER(TRIM(rEmisor))=UPPER(TRIM(C1510)),
UPPER(TRIM(rEmisor))=""CUALQUIERA""
),
OR(
UPPER(TRIM(r"&amp;"Tipo))=""SOLO EMISOR"",
AND(
UPPER(TRIM(rTipo))=""EXACTA"",
UPPER(TRIM(D1510))=UPPER(TRIM(rPatron))
),
AND(
OR(
UPPER(TRIM(rTipo))=""CONTIENE"",
UPPER(TRIM(rTipo))=""COINCIDENCIA""
),
ISNUMBER(SEARCH(UPPER(TRIM(rPatron)),UPPER(TRIM(D1510))))
)
)
),
rConce"&amp;"pto,
""""
)
)
)&lt;&gt;""""
),
1
),
""""
)"),"MANIOBRAS")</f>
        <v>MANIOBRAS</v>
      </c>
      <c r="L1510" s="27"/>
      <c r="M1510" s="27"/>
      <c r="N1510" s="27"/>
      <c r="O1510" s="27"/>
      <c r="P1510" s="27"/>
      <c r="Q1510" s="27"/>
      <c r="R1510" s="27"/>
      <c r="S1510" s="27"/>
      <c r="T1510" s="27"/>
      <c r="U1510" s="27"/>
      <c r="V1510" s="27"/>
      <c r="W1510" s="27"/>
      <c r="X1510" s="27"/>
      <c r="Y1510" s="27"/>
    </row>
    <row r="1511">
      <c r="A1511" s="32"/>
      <c r="B1511" s="32"/>
      <c r="C1511" s="29" t="s">
        <v>271</v>
      </c>
      <c r="D1511" s="29" t="s">
        <v>596</v>
      </c>
      <c r="E1511" s="28">
        <v>651.11</v>
      </c>
      <c r="F1511" s="28">
        <v>0.0</v>
      </c>
      <c r="G1511" s="28" t="s">
        <v>84</v>
      </c>
      <c r="H1511" s="28">
        <f t="array" ref="H1511">INDEX(CC!C:C,MATCH(1,(CC!A:A=G1511)*(CC!B:B=I1511),0))</f>
        <v>1002</v>
      </c>
      <c r="I1511" s="28" t="s">
        <v>25</v>
      </c>
      <c r="J1511" s="31">
        <v>651.11</v>
      </c>
      <c r="K1511" s="28" t="str">
        <f>IFERROR(__xludf.DUMMYFUNCTION("IFERROR(
INDEX(
FILTER(
MAP(
reglas!$B$2:$B$240,
reglas!$C$2:$C$240,
reglas!$D$2:$D$240,
reglas!$E$2:$E$240,
LAMBDA(rEmisor,rPatron,rConcepto,rTipo,
IF(
AND(
OR(
UPPER(TRIM(rEmisor))=UPPER(TRIM(C1511)),
UPPER(TRIM(rEmisor))=""CUALQUIERA""
),
OR(
UPPER(TRI"&amp;"M(rTipo))=""SOLO EMISOR"",
AND(
UPPER(TRIM(rTipo))=""EXACTA"",
UPPER(TRIM(AG1511))=UPPER(TRIM(rPatron))
),
AND(
OR(
UPPER(TRIM(rTipo))=""CONTIENE"",
UPPER(TRIM(rTipo))=""COINCIDENCIA""
),
ISNUMBER(SEARCH(UPPER(TRIM(rPatron)),UPPER(TRIM(D1511))))
)
)
),
rC"&amp;"oncepto,
""""
)
)
),
MAP(
reglas!$B$2:$B$240,
reglas!$C$2:$C$240,
reglas!$D$2:$D$240,
reglas!$E$2:$E$240,
LAMBDA(rEmisor,rPatron,rConcepto,rTipo,
IF(
AND(
OR(
UPPER(TRIM(rEmisor))=UPPER(TRIM(C1511)),
UPPER(TRIM(rEmisor))=""CUALQUIERA""
),
OR(
UPPER(TRIM(r"&amp;"Tipo))=""SOLO EMISOR"",
AND(
UPPER(TRIM(rTipo))=""EXACTA"",
UPPER(TRIM(D1511))=UPPER(TRIM(rPatron))
),
AND(
OR(
UPPER(TRIM(rTipo))=""CONTIENE"",
UPPER(TRIM(rTipo))=""COINCIDENCIA""
),
ISNUMBER(SEARCH(UPPER(TRIM(rPatron)),UPPER(TRIM(D1511))))
)
)
),
rConce"&amp;"pto,
""""
)
)
)&lt;&gt;""""
),
1
),
""""
)"),"MANIOBRAS")</f>
        <v>MANIOBRAS</v>
      </c>
      <c r="L1511" s="27"/>
      <c r="M1511" s="27"/>
      <c r="N1511" s="27"/>
      <c r="O1511" s="27"/>
      <c r="P1511" s="27"/>
      <c r="Q1511" s="27"/>
      <c r="R1511" s="27"/>
      <c r="S1511" s="27"/>
      <c r="T1511" s="27"/>
      <c r="U1511" s="27"/>
      <c r="V1511" s="27"/>
      <c r="W1511" s="27"/>
      <c r="X1511" s="27"/>
      <c r="Y1511" s="27"/>
    </row>
    <row r="1512">
      <c r="A1512" s="32"/>
      <c r="B1512" s="28" t="s">
        <v>29</v>
      </c>
      <c r="C1512" s="29" t="s">
        <v>331</v>
      </c>
      <c r="D1512" s="29" t="s">
        <v>33</v>
      </c>
      <c r="E1512" s="28">
        <v>0.01</v>
      </c>
      <c r="F1512" s="28">
        <v>0.0</v>
      </c>
      <c r="G1512" s="99" t="s">
        <v>385</v>
      </c>
      <c r="H1512" s="28">
        <f t="array" ref="H1512">INDEX(CC!C:C,MATCH(1,(CC!A:A=G1512)*(CC!B:B=I1512),0))</f>
        <v>502</v>
      </c>
      <c r="I1512" s="28" t="s">
        <v>25</v>
      </c>
      <c r="J1512" s="31">
        <v>0.01</v>
      </c>
      <c r="K1512" s="28" t="str">
        <f>IFERROR(__xludf.DUMMYFUNCTION("IFERROR(
INDEX(
FILTER(
MAP(
reglas!$B$2:$B$240,
reglas!$C$2:$C$240,
reglas!$D$2:$D$240,
reglas!$E$2:$E$240,
LAMBDA(rEmisor,rPatron,rConcepto,rTipo,
IF(
AND(
OR(
UPPER(TRIM(rEmisor))=UPPER(TRIM(C1512)),
UPPER(TRIM(rEmisor))=""CUALQUIERA""
),
OR(
UPPER(TRI"&amp;"M(rTipo))=""SOLO EMISOR"",
AND(
UPPER(TRIM(rTipo))=""EXACTA"",
UPPER(TRIM(AG1512))=UPPER(TRIM(rPatron))
),
AND(
OR(
UPPER(TRIM(rTipo))=""CONTIENE"",
UPPER(TRIM(rTipo))=""COINCIDENCIA""
),
ISNUMBER(SEARCH(UPPER(TRIM(rPatron)),UPPER(TRIM(D1512))))
)
)
),
rC"&amp;"oncepto,
""""
)
)
),
MAP(
reglas!$B$2:$B$240,
reglas!$C$2:$C$240,
reglas!$D$2:$D$240,
reglas!$E$2:$E$240,
LAMBDA(rEmisor,rPatron,rConcepto,rTipo,
IF(
AND(
OR(
UPPER(TRIM(rEmisor))=UPPER(TRIM(C1512)),
UPPER(TRIM(rEmisor))=""CUALQUIERA""
),
OR(
UPPER(TRIM(r"&amp;"Tipo))=""SOLO EMISOR"",
AND(
UPPER(TRIM(rTipo))=""EXACTA"",
UPPER(TRIM(D1512))=UPPER(TRIM(rPatron))
),
AND(
OR(
UPPER(TRIM(rTipo))=""CONTIENE"",
UPPER(TRIM(rTipo))=""COINCIDENCIA""
),
ISNUMBER(SEARCH(UPPER(TRIM(rPatron)),UPPER(TRIM(D1512))))
)
)
),
rConce"&amp;"pto,
""""
)
)
)&lt;&gt;""""
),
1
),
""""
)"),"N/A")</f>
        <v>N/A</v>
      </c>
      <c r="L1512" s="27"/>
      <c r="M1512" s="27"/>
      <c r="N1512" s="27"/>
      <c r="O1512" s="27"/>
      <c r="P1512" s="27"/>
      <c r="Q1512" s="27"/>
      <c r="R1512" s="27"/>
      <c r="S1512" s="27"/>
      <c r="T1512" s="27"/>
      <c r="U1512" s="27"/>
      <c r="V1512" s="27"/>
      <c r="W1512" s="27"/>
      <c r="X1512" s="27"/>
      <c r="Y1512" s="27"/>
    </row>
    <row r="1513">
      <c r="A1513" s="32"/>
      <c r="B1513" s="28" t="s">
        <v>29</v>
      </c>
      <c r="C1513" s="29" t="s">
        <v>510</v>
      </c>
      <c r="D1513" s="29" t="s">
        <v>511</v>
      </c>
      <c r="E1513" s="30">
        <v>3926.14</v>
      </c>
      <c r="F1513" s="28">
        <v>0.0</v>
      </c>
      <c r="G1513" s="99" t="s">
        <v>250</v>
      </c>
      <c r="H1513" s="28">
        <f t="array" ref="H1513">INDEX(CC!C:C,MATCH(1,(CC!A:A=G1513)*(CC!B:B=I1513),0))</f>
        <v>1402</v>
      </c>
      <c r="I1513" s="28" t="s">
        <v>25</v>
      </c>
      <c r="J1513" s="31">
        <v>3926.14</v>
      </c>
      <c r="K1513" s="28" t="str">
        <f>IFERROR(__xludf.DUMMYFUNCTION("IFERROR(
INDEX(
FILTER(
MAP(
reglas!$B$2:$B$240,
reglas!$C$2:$C$240,
reglas!$D$2:$D$240,
reglas!$E$2:$E$240,
LAMBDA(rEmisor,rPatron,rConcepto,rTipo,
IF(
AND(
OR(
UPPER(TRIM(rEmisor))=UPPER(TRIM(C1513)),
UPPER(TRIM(rEmisor))=""CUALQUIERA""
),
OR(
UPPER(TRI"&amp;"M(rTipo))=""SOLO EMISOR"",
AND(
UPPER(TRIM(rTipo))=""EXACTA"",
UPPER(TRIM(AG1513))=UPPER(TRIM(rPatron))
),
AND(
OR(
UPPER(TRIM(rTipo))=""CONTIENE"",
UPPER(TRIM(rTipo))=""COINCIDENCIA""
),
ISNUMBER(SEARCH(UPPER(TRIM(rPatron)),UPPER(TRIM(D1513))))
)
)
),
rC"&amp;"oncepto,
""""
)
)
),
MAP(
reglas!$B$2:$B$240,
reglas!$C$2:$C$240,
reglas!$D$2:$D$240,
reglas!$E$2:$E$240,
LAMBDA(rEmisor,rPatron,rConcepto,rTipo,
IF(
AND(
OR(
UPPER(TRIM(rEmisor))=UPPER(TRIM(C1513)),
UPPER(TRIM(rEmisor))=""CUALQUIERA""
),
OR(
UPPER(TRIM(r"&amp;"Tipo))=""SOLO EMISOR"",
AND(
UPPER(TRIM(rTipo))=""EXACTA"",
UPPER(TRIM(D1513))=UPPER(TRIM(rPatron))
),
AND(
OR(
UPPER(TRIM(rTipo))=""CONTIENE"",
UPPER(TRIM(rTipo))=""COINCIDENCIA""
),
ISNUMBER(SEARCH(UPPER(TRIM(rPatron)),UPPER(TRIM(D1513))))
)
)
),
rConce"&amp;"pto,
""""
)
)
)&lt;&gt;""""
),
1
),
""""
)"),"ARRENDAMIENTO")</f>
        <v>ARRENDAMIENTO</v>
      </c>
      <c r="L1513" s="27"/>
      <c r="M1513" s="27"/>
      <c r="N1513" s="27"/>
      <c r="O1513" s="27"/>
      <c r="P1513" s="27"/>
      <c r="Q1513" s="27"/>
      <c r="R1513" s="27"/>
      <c r="S1513" s="27"/>
      <c r="T1513" s="27"/>
      <c r="U1513" s="27"/>
      <c r="V1513" s="27"/>
      <c r="W1513" s="27"/>
      <c r="X1513" s="27"/>
      <c r="Y1513" s="27"/>
    </row>
    <row r="1514">
      <c r="A1514" s="32"/>
      <c r="B1514" s="28" t="s">
        <v>29</v>
      </c>
      <c r="C1514" s="29" t="s">
        <v>172</v>
      </c>
      <c r="D1514" s="29" t="s">
        <v>1909</v>
      </c>
      <c r="E1514" s="30">
        <v>11500.0</v>
      </c>
      <c r="F1514" s="28">
        <v>0.0</v>
      </c>
      <c r="G1514" s="99" t="s">
        <v>250</v>
      </c>
      <c r="H1514" s="28">
        <f t="array" ref="H1514">INDEX(CC!C:C,MATCH(1,(CC!A:A=G1514)*(CC!B:B=I1514),0))</f>
        <v>1402</v>
      </c>
      <c r="I1514" s="28" t="s">
        <v>25</v>
      </c>
      <c r="J1514" s="31">
        <v>11500.0</v>
      </c>
      <c r="K1514" s="28" t="str">
        <f>IFERROR(__xludf.DUMMYFUNCTION("IFERROR(
INDEX(
FILTER(
MAP(
reglas!$B$2:$B$240,
reglas!$C$2:$C$240,
reglas!$D$2:$D$240,
reglas!$E$2:$E$240,
LAMBDA(rEmisor,rPatron,rConcepto,rTipo,
IF(
AND(
OR(
UPPER(TRIM(rEmisor))=UPPER(TRIM(C1514)),
UPPER(TRIM(rEmisor))=""CUALQUIERA""
),
OR(
UPPER(TRI"&amp;"M(rTipo))=""SOLO EMISOR"",
AND(
UPPER(TRIM(rTipo))=""EXACTA"",
UPPER(TRIM(AG1514))=UPPER(TRIM(rPatron))
),
AND(
OR(
UPPER(TRIM(rTipo))=""CONTIENE"",
UPPER(TRIM(rTipo))=""COINCIDENCIA""
),
ISNUMBER(SEARCH(UPPER(TRIM(rPatron)),UPPER(TRIM(D1514))))
)
)
),
rC"&amp;"oncepto,
""""
)
)
),
MAP(
reglas!$B$2:$B$240,
reglas!$C$2:$C$240,
reglas!$D$2:$D$240,
reglas!$E$2:$E$240,
LAMBDA(rEmisor,rPatron,rConcepto,rTipo,
IF(
AND(
OR(
UPPER(TRIM(rEmisor))=UPPER(TRIM(C1514)),
UPPER(TRIM(rEmisor))=""CUALQUIERA""
),
OR(
UPPER(TRIM(r"&amp;"Tipo))=""SOLO EMISOR"",
AND(
UPPER(TRIM(rTipo))=""EXACTA"",
UPPER(TRIM(D1514))=UPPER(TRIM(rPatron))
),
AND(
OR(
UPPER(TRIM(rTipo))=""CONTIENE"",
UPPER(TRIM(rTipo))=""COINCIDENCIA""
),
ISNUMBER(SEARCH(UPPER(TRIM(rPatron)),UPPER(TRIM(D1514))))
)
)
),
rConce"&amp;"pto,
""""
)
)
)&lt;&gt;""""
),
1
),
""""
)"),"TRANSPORTE")</f>
        <v>TRANSPORTE</v>
      </c>
      <c r="L1514" s="27"/>
      <c r="M1514" s="27"/>
      <c r="N1514" s="27"/>
      <c r="O1514" s="27"/>
      <c r="P1514" s="27"/>
      <c r="Q1514" s="27"/>
      <c r="R1514" s="27"/>
      <c r="S1514" s="27"/>
      <c r="T1514" s="27"/>
      <c r="U1514" s="27"/>
      <c r="V1514" s="27"/>
      <c r="W1514" s="27"/>
      <c r="X1514" s="27"/>
      <c r="Y1514" s="27"/>
    </row>
    <row r="1515">
      <c r="A1515" s="28">
        <v>1.0</v>
      </c>
      <c r="B1515" s="28" t="s">
        <v>29</v>
      </c>
      <c r="C1515" s="29" t="s">
        <v>271</v>
      </c>
      <c r="D1515" s="29" t="s">
        <v>586</v>
      </c>
      <c r="E1515" s="28">
        <v>618.27</v>
      </c>
      <c r="F1515" s="28">
        <v>0.0</v>
      </c>
      <c r="G1515" s="28" t="s">
        <v>84</v>
      </c>
      <c r="H1515" s="28">
        <f t="array" ref="H1515">INDEX(CC!C:C,MATCH(1,(CC!A:A=G1515)*(CC!B:B=I1515),0))</f>
        <v>1002</v>
      </c>
      <c r="I1515" s="28" t="s">
        <v>25</v>
      </c>
      <c r="J1515" s="31">
        <v>618.27</v>
      </c>
      <c r="K1515" s="28" t="str">
        <f>IFERROR(__xludf.DUMMYFUNCTION("IFERROR(
INDEX(
FILTER(
MAP(
reglas!$B$2:$B$240,
reglas!$C$2:$C$240,
reglas!$D$2:$D$240,
reglas!$E$2:$E$240,
LAMBDA(rEmisor,rPatron,rConcepto,rTipo,
IF(
AND(
OR(
UPPER(TRIM(rEmisor))=UPPER(TRIM(C1515)),
UPPER(TRIM(rEmisor))=""CUALQUIERA""
),
OR(
UPPER(TRI"&amp;"M(rTipo))=""SOLO EMISOR"",
AND(
UPPER(TRIM(rTipo))=""EXACTA"",
UPPER(TRIM(AG1515))=UPPER(TRIM(rPatron))
),
AND(
OR(
UPPER(TRIM(rTipo))=""CONTIENE"",
UPPER(TRIM(rTipo))=""COINCIDENCIA""
),
ISNUMBER(SEARCH(UPPER(TRIM(rPatron)),UPPER(TRIM(D1515))))
)
)
),
rC"&amp;"oncepto,
""""
)
)
),
MAP(
reglas!$B$2:$B$240,
reglas!$C$2:$C$240,
reglas!$D$2:$D$240,
reglas!$E$2:$E$240,
LAMBDA(rEmisor,rPatron,rConcepto,rTipo,
IF(
AND(
OR(
UPPER(TRIM(rEmisor))=UPPER(TRIM(C1515)),
UPPER(TRIM(rEmisor))=""CUALQUIERA""
),
OR(
UPPER(TRIM(r"&amp;"Tipo))=""SOLO EMISOR"",
AND(
UPPER(TRIM(rTipo))=""EXACTA"",
UPPER(TRIM(D1515))=UPPER(TRIM(rPatron))
),
AND(
OR(
UPPER(TRIM(rTipo))=""CONTIENE"",
UPPER(TRIM(rTipo))=""COINCIDENCIA""
),
ISNUMBER(SEARCH(UPPER(TRIM(rPatron)),UPPER(TRIM(D1515))))
)
)
),
rConce"&amp;"pto,
""""
)
)
)&lt;&gt;""""
),
1
),
""""
)"),"MANIOBRAS")</f>
        <v>MANIOBRAS</v>
      </c>
      <c r="L1515" s="27"/>
      <c r="M1515" s="27"/>
      <c r="N1515" s="27"/>
      <c r="O1515" s="27"/>
      <c r="P1515" s="27"/>
      <c r="Q1515" s="27"/>
      <c r="R1515" s="27"/>
      <c r="S1515" s="27"/>
      <c r="T1515" s="27"/>
      <c r="U1515" s="27"/>
      <c r="V1515" s="27"/>
      <c r="W1515" s="27"/>
      <c r="X1515" s="27"/>
      <c r="Y1515" s="27"/>
    </row>
    <row r="1516">
      <c r="A1516" s="32"/>
      <c r="B1516" s="32"/>
      <c r="C1516" s="29" t="s">
        <v>271</v>
      </c>
      <c r="D1516" s="29" t="s">
        <v>587</v>
      </c>
      <c r="E1516" s="28">
        <v>565.37</v>
      </c>
      <c r="F1516" s="28">
        <v>0.0</v>
      </c>
      <c r="G1516" s="28" t="s">
        <v>84</v>
      </c>
      <c r="H1516" s="28">
        <f t="array" ref="H1516">INDEX(CC!C:C,MATCH(1,(CC!A:A=G1516)*(CC!B:B=I1516),0))</f>
        <v>1002</v>
      </c>
      <c r="I1516" s="28" t="s">
        <v>25</v>
      </c>
      <c r="J1516" s="31">
        <v>565.37</v>
      </c>
      <c r="K1516" s="28" t="str">
        <f>IFERROR(__xludf.DUMMYFUNCTION("IFERROR(
INDEX(
FILTER(
MAP(
reglas!$B$2:$B$240,
reglas!$C$2:$C$240,
reglas!$D$2:$D$240,
reglas!$E$2:$E$240,
LAMBDA(rEmisor,rPatron,rConcepto,rTipo,
IF(
AND(
OR(
UPPER(TRIM(rEmisor))=UPPER(TRIM(C1516)),
UPPER(TRIM(rEmisor))=""CUALQUIERA""
),
OR(
UPPER(TRI"&amp;"M(rTipo))=""SOLO EMISOR"",
AND(
UPPER(TRIM(rTipo))=""EXACTA"",
UPPER(TRIM(AG1516))=UPPER(TRIM(rPatron))
),
AND(
OR(
UPPER(TRIM(rTipo))=""CONTIENE"",
UPPER(TRIM(rTipo))=""COINCIDENCIA""
),
ISNUMBER(SEARCH(UPPER(TRIM(rPatron)),UPPER(TRIM(D1516))))
)
)
),
rC"&amp;"oncepto,
""""
)
)
),
MAP(
reglas!$B$2:$B$240,
reglas!$C$2:$C$240,
reglas!$D$2:$D$240,
reglas!$E$2:$E$240,
LAMBDA(rEmisor,rPatron,rConcepto,rTipo,
IF(
AND(
OR(
UPPER(TRIM(rEmisor))=UPPER(TRIM(C1516)),
UPPER(TRIM(rEmisor))=""CUALQUIERA""
),
OR(
UPPER(TRIM(r"&amp;"Tipo))=""SOLO EMISOR"",
AND(
UPPER(TRIM(rTipo))=""EXACTA"",
UPPER(TRIM(D1516))=UPPER(TRIM(rPatron))
),
AND(
OR(
UPPER(TRIM(rTipo))=""CONTIENE"",
UPPER(TRIM(rTipo))=""COINCIDENCIA""
),
ISNUMBER(SEARCH(UPPER(TRIM(rPatron)),UPPER(TRIM(D1516))))
)
)
),
rConce"&amp;"pto,
""""
)
)
)&lt;&gt;""""
),
1
),
""""
)"),"MANIOBRAS")</f>
        <v>MANIOBRAS</v>
      </c>
      <c r="L1516" s="27"/>
      <c r="M1516" s="27"/>
      <c r="N1516" s="27"/>
      <c r="O1516" s="27"/>
      <c r="P1516" s="27"/>
      <c r="Q1516" s="27"/>
      <c r="R1516" s="27"/>
      <c r="S1516" s="27"/>
      <c r="T1516" s="27"/>
      <c r="U1516" s="27"/>
      <c r="V1516" s="27"/>
      <c r="W1516" s="27"/>
      <c r="X1516" s="27"/>
      <c r="Y1516" s="27"/>
    </row>
    <row r="1517">
      <c r="A1517" s="32"/>
      <c r="B1517" s="32"/>
      <c r="C1517" s="29" t="s">
        <v>271</v>
      </c>
      <c r="D1517" s="29" t="s">
        <v>589</v>
      </c>
      <c r="E1517" s="28">
        <v>680.13</v>
      </c>
      <c r="F1517" s="28">
        <v>0.0</v>
      </c>
      <c r="G1517" s="28" t="s">
        <v>84</v>
      </c>
      <c r="H1517" s="28">
        <f t="array" ref="H1517">INDEX(CC!C:C,MATCH(1,(CC!A:A=G1517)*(CC!B:B=I1517),0))</f>
        <v>1002</v>
      </c>
      <c r="I1517" s="28" t="s">
        <v>25</v>
      </c>
      <c r="J1517" s="31">
        <v>680.13</v>
      </c>
      <c r="K1517" s="28" t="str">
        <f>IFERROR(__xludf.DUMMYFUNCTION("IFERROR(
INDEX(
FILTER(
MAP(
reglas!$B$2:$B$240,
reglas!$C$2:$C$240,
reglas!$D$2:$D$240,
reglas!$E$2:$E$240,
LAMBDA(rEmisor,rPatron,rConcepto,rTipo,
IF(
AND(
OR(
UPPER(TRIM(rEmisor))=UPPER(TRIM(C1517)),
UPPER(TRIM(rEmisor))=""CUALQUIERA""
),
OR(
UPPER(TRI"&amp;"M(rTipo))=""SOLO EMISOR"",
AND(
UPPER(TRIM(rTipo))=""EXACTA"",
UPPER(TRIM(AG1517))=UPPER(TRIM(rPatron))
),
AND(
OR(
UPPER(TRIM(rTipo))=""CONTIENE"",
UPPER(TRIM(rTipo))=""COINCIDENCIA""
),
ISNUMBER(SEARCH(UPPER(TRIM(rPatron)),UPPER(TRIM(D1517))))
)
)
),
rC"&amp;"oncepto,
""""
)
)
),
MAP(
reglas!$B$2:$B$240,
reglas!$C$2:$C$240,
reglas!$D$2:$D$240,
reglas!$E$2:$E$240,
LAMBDA(rEmisor,rPatron,rConcepto,rTipo,
IF(
AND(
OR(
UPPER(TRIM(rEmisor))=UPPER(TRIM(C1517)),
UPPER(TRIM(rEmisor))=""CUALQUIERA""
),
OR(
UPPER(TRIM(r"&amp;"Tipo))=""SOLO EMISOR"",
AND(
UPPER(TRIM(rTipo))=""EXACTA"",
UPPER(TRIM(D1517))=UPPER(TRIM(rPatron))
),
AND(
OR(
UPPER(TRIM(rTipo))=""CONTIENE"",
UPPER(TRIM(rTipo))=""COINCIDENCIA""
),
ISNUMBER(SEARCH(UPPER(TRIM(rPatron)),UPPER(TRIM(D1517))))
)
)
),
rConce"&amp;"pto,
""""
)
)
)&lt;&gt;""""
),
1
),
""""
)"),"MANIOBRAS")</f>
        <v>MANIOBRAS</v>
      </c>
      <c r="L1517" s="27"/>
      <c r="M1517" s="27"/>
      <c r="N1517" s="27"/>
      <c r="O1517" s="27"/>
      <c r="P1517" s="27"/>
      <c r="Q1517" s="27"/>
      <c r="R1517" s="27"/>
      <c r="S1517" s="27"/>
      <c r="T1517" s="27"/>
      <c r="U1517" s="27"/>
      <c r="V1517" s="27"/>
      <c r="W1517" s="27"/>
      <c r="X1517" s="27"/>
      <c r="Y1517" s="27"/>
    </row>
    <row r="1518">
      <c r="A1518" s="32"/>
      <c r="B1518" s="32"/>
      <c r="C1518" s="29" t="s">
        <v>271</v>
      </c>
      <c r="D1518" s="29" t="s">
        <v>593</v>
      </c>
      <c r="E1518" s="28">
        <v>403.78</v>
      </c>
      <c r="F1518" s="28">
        <v>0.0</v>
      </c>
      <c r="G1518" s="28" t="s">
        <v>84</v>
      </c>
      <c r="H1518" s="28">
        <f t="array" ref="H1518">INDEX(CC!C:C,MATCH(1,(CC!A:A=G1518)*(CC!B:B=I1518),0))</f>
        <v>1002</v>
      </c>
      <c r="I1518" s="28" t="s">
        <v>25</v>
      </c>
      <c r="J1518" s="31">
        <v>403.78</v>
      </c>
      <c r="K1518" s="28" t="str">
        <f>IFERROR(__xludf.DUMMYFUNCTION("IFERROR(
INDEX(
FILTER(
MAP(
reglas!$B$2:$B$240,
reglas!$C$2:$C$240,
reglas!$D$2:$D$240,
reglas!$E$2:$E$240,
LAMBDA(rEmisor,rPatron,rConcepto,rTipo,
IF(
AND(
OR(
UPPER(TRIM(rEmisor))=UPPER(TRIM(C1518)),
UPPER(TRIM(rEmisor))=""CUALQUIERA""
),
OR(
UPPER(TRI"&amp;"M(rTipo))=""SOLO EMISOR"",
AND(
UPPER(TRIM(rTipo))=""EXACTA"",
UPPER(TRIM(AG1518))=UPPER(TRIM(rPatron))
),
AND(
OR(
UPPER(TRIM(rTipo))=""CONTIENE"",
UPPER(TRIM(rTipo))=""COINCIDENCIA""
),
ISNUMBER(SEARCH(UPPER(TRIM(rPatron)),UPPER(TRIM(D1518))))
)
)
),
rC"&amp;"oncepto,
""""
)
)
),
MAP(
reglas!$B$2:$B$240,
reglas!$C$2:$C$240,
reglas!$D$2:$D$240,
reglas!$E$2:$E$240,
LAMBDA(rEmisor,rPatron,rConcepto,rTipo,
IF(
AND(
OR(
UPPER(TRIM(rEmisor))=UPPER(TRIM(C1518)),
UPPER(TRIM(rEmisor))=""CUALQUIERA""
),
OR(
UPPER(TRIM(r"&amp;"Tipo))=""SOLO EMISOR"",
AND(
UPPER(TRIM(rTipo))=""EXACTA"",
UPPER(TRIM(D1518))=UPPER(TRIM(rPatron))
),
AND(
OR(
UPPER(TRIM(rTipo))=""CONTIENE"",
UPPER(TRIM(rTipo))=""COINCIDENCIA""
),
ISNUMBER(SEARCH(UPPER(TRIM(rPatron)),UPPER(TRIM(D1518))))
)
)
),
rConce"&amp;"pto,
""""
)
)
)&lt;&gt;""""
),
1
),
""""
)"),"MANIOBRAS")</f>
        <v>MANIOBRAS</v>
      </c>
      <c r="L1518" s="27"/>
      <c r="M1518" s="27"/>
      <c r="N1518" s="27"/>
      <c r="O1518" s="27"/>
      <c r="P1518" s="27"/>
      <c r="Q1518" s="27"/>
      <c r="R1518" s="27"/>
      <c r="S1518" s="27"/>
      <c r="T1518" s="27"/>
      <c r="U1518" s="27"/>
      <c r="V1518" s="27"/>
      <c r="W1518" s="27"/>
      <c r="X1518" s="27"/>
      <c r="Y1518" s="27"/>
    </row>
    <row r="1519">
      <c r="A1519" s="32"/>
      <c r="B1519" s="32"/>
      <c r="C1519" s="29" t="s">
        <v>271</v>
      </c>
      <c r="D1519" s="29" t="s">
        <v>596</v>
      </c>
      <c r="E1519" s="28">
        <v>648.69</v>
      </c>
      <c r="F1519" s="28">
        <v>0.0</v>
      </c>
      <c r="G1519" s="28" t="s">
        <v>84</v>
      </c>
      <c r="H1519" s="28">
        <f t="array" ref="H1519">INDEX(CC!C:C,MATCH(1,(CC!A:A=G1519)*(CC!B:B=I1519),0))</f>
        <v>1002</v>
      </c>
      <c r="I1519" s="28" t="s">
        <v>25</v>
      </c>
      <c r="J1519" s="31">
        <v>648.69</v>
      </c>
      <c r="K1519" s="28" t="str">
        <f>IFERROR(__xludf.DUMMYFUNCTION("IFERROR(
INDEX(
FILTER(
MAP(
reglas!$B$2:$B$240,
reglas!$C$2:$C$240,
reglas!$D$2:$D$240,
reglas!$E$2:$E$240,
LAMBDA(rEmisor,rPatron,rConcepto,rTipo,
IF(
AND(
OR(
UPPER(TRIM(rEmisor))=UPPER(TRIM(C1519)),
UPPER(TRIM(rEmisor))=""CUALQUIERA""
),
OR(
UPPER(TRI"&amp;"M(rTipo))=""SOLO EMISOR"",
AND(
UPPER(TRIM(rTipo))=""EXACTA"",
UPPER(TRIM(AG1519))=UPPER(TRIM(rPatron))
),
AND(
OR(
UPPER(TRIM(rTipo))=""CONTIENE"",
UPPER(TRIM(rTipo))=""COINCIDENCIA""
),
ISNUMBER(SEARCH(UPPER(TRIM(rPatron)),UPPER(TRIM(D1519))))
)
)
),
rC"&amp;"oncepto,
""""
)
)
),
MAP(
reglas!$B$2:$B$240,
reglas!$C$2:$C$240,
reglas!$D$2:$D$240,
reglas!$E$2:$E$240,
LAMBDA(rEmisor,rPatron,rConcepto,rTipo,
IF(
AND(
OR(
UPPER(TRIM(rEmisor))=UPPER(TRIM(C1519)),
UPPER(TRIM(rEmisor))=""CUALQUIERA""
),
OR(
UPPER(TRIM(r"&amp;"Tipo))=""SOLO EMISOR"",
AND(
UPPER(TRIM(rTipo))=""EXACTA"",
UPPER(TRIM(D1519))=UPPER(TRIM(rPatron))
),
AND(
OR(
UPPER(TRIM(rTipo))=""CONTIENE"",
UPPER(TRIM(rTipo))=""COINCIDENCIA""
),
ISNUMBER(SEARCH(UPPER(TRIM(rPatron)),UPPER(TRIM(D1519))))
)
)
),
rConce"&amp;"pto,
""""
)
)
)&lt;&gt;""""
),
1
),
""""
)"),"MANIOBRAS")</f>
        <v>MANIOBRAS</v>
      </c>
      <c r="L1519" s="27"/>
      <c r="M1519" s="27"/>
      <c r="N1519" s="27"/>
      <c r="O1519" s="27"/>
      <c r="P1519" s="27"/>
      <c r="Q1519" s="27"/>
      <c r="R1519" s="27"/>
      <c r="S1519" s="27"/>
      <c r="T1519" s="27"/>
      <c r="U1519" s="27"/>
      <c r="V1519" s="27"/>
      <c r="W1519" s="27"/>
      <c r="X1519" s="27"/>
      <c r="Y1519" s="27"/>
    </row>
    <row r="1520">
      <c r="A1520" s="28">
        <v>1.0</v>
      </c>
      <c r="B1520" s="28" t="s">
        <v>29</v>
      </c>
      <c r="C1520" s="29" t="s">
        <v>271</v>
      </c>
      <c r="D1520" s="29" t="s">
        <v>585</v>
      </c>
      <c r="E1520" s="28">
        <v>619.55</v>
      </c>
      <c r="F1520" s="28">
        <v>0.0</v>
      </c>
      <c r="G1520" s="28" t="s">
        <v>84</v>
      </c>
      <c r="H1520" s="28">
        <f t="array" ref="H1520">INDEX(CC!C:C,MATCH(1,(CC!A:A=G1520)*(CC!B:B=I1520),0))</f>
        <v>1002</v>
      </c>
      <c r="I1520" s="28" t="s">
        <v>25</v>
      </c>
      <c r="J1520" s="31">
        <v>619.55</v>
      </c>
      <c r="K1520" s="28" t="str">
        <f>IFERROR(__xludf.DUMMYFUNCTION("IFERROR(
INDEX(
FILTER(
MAP(
reglas!$B$2:$B$240,
reglas!$C$2:$C$240,
reglas!$D$2:$D$240,
reglas!$E$2:$E$240,
LAMBDA(rEmisor,rPatron,rConcepto,rTipo,
IF(
AND(
OR(
UPPER(TRIM(rEmisor))=UPPER(TRIM(C1520)),
UPPER(TRIM(rEmisor))=""CUALQUIERA""
),
OR(
UPPER(TRI"&amp;"M(rTipo))=""SOLO EMISOR"",
AND(
UPPER(TRIM(rTipo))=""EXACTA"",
UPPER(TRIM(AG1520))=UPPER(TRIM(rPatron))
),
AND(
OR(
UPPER(TRIM(rTipo))=""CONTIENE"",
UPPER(TRIM(rTipo))=""COINCIDENCIA""
),
ISNUMBER(SEARCH(UPPER(TRIM(rPatron)),UPPER(TRIM(D1520))))
)
)
),
rC"&amp;"oncepto,
""""
)
)
),
MAP(
reglas!$B$2:$B$240,
reglas!$C$2:$C$240,
reglas!$D$2:$D$240,
reglas!$E$2:$E$240,
LAMBDA(rEmisor,rPatron,rConcepto,rTipo,
IF(
AND(
OR(
UPPER(TRIM(rEmisor))=UPPER(TRIM(C1520)),
UPPER(TRIM(rEmisor))=""CUALQUIERA""
),
OR(
UPPER(TRIM(r"&amp;"Tipo))=""SOLO EMISOR"",
AND(
UPPER(TRIM(rTipo))=""EXACTA"",
UPPER(TRIM(D1520))=UPPER(TRIM(rPatron))
),
AND(
OR(
UPPER(TRIM(rTipo))=""CONTIENE"",
UPPER(TRIM(rTipo))=""COINCIDENCIA""
),
ISNUMBER(SEARCH(UPPER(TRIM(rPatron)),UPPER(TRIM(D1520))))
)
)
),
rConce"&amp;"pto,
""""
)
)
)&lt;&gt;""""
),
1
),
""""
)"),"MANIOBRAS")</f>
        <v>MANIOBRAS</v>
      </c>
      <c r="L1520" s="27"/>
      <c r="M1520" s="27"/>
      <c r="N1520" s="27"/>
      <c r="O1520" s="27"/>
      <c r="P1520" s="27"/>
      <c r="Q1520" s="27"/>
      <c r="R1520" s="27"/>
      <c r="S1520" s="27"/>
      <c r="T1520" s="27"/>
      <c r="U1520" s="27"/>
      <c r="V1520" s="27"/>
      <c r="W1520" s="27"/>
      <c r="X1520" s="27"/>
      <c r="Y1520" s="27"/>
    </row>
    <row r="1521">
      <c r="A1521" s="32"/>
      <c r="B1521" s="32"/>
      <c r="C1521" s="29" t="s">
        <v>271</v>
      </c>
      <c r="D1521" s="29" t="s">
        <v>587</v>
      </c>
      <c r="E1521" s="28">
        <v>566.84</v>
      </c>
      <c r="F1521" s="28">
        <v>0.0</v>
      </c>
      <c r="G1521" s="28" t="s">
        <v>84</v>
      </c>
      <c r="H1521" s="28">
        <f t="array" ref="H1521">INDEX(CC!C:C,MATCH(1,(CC!A:A=G1521)*(CC!B:B=I1521),0))</f>
        <v>1002</v>
      </c>
      <c r="I1521" s="28" t="s">
        <v>25</v>
      </c>
      <c r="J1521" s="31">
        <v>566.84</v>
      </c>
      <c r="K1521" s="28" t="str">
        <f>IFERROR(__xludf.DUMMYFUNCTION("IFERROR(
INDEX(
FILTER(
MAP(
reglas!$B$2:$B$240,
reglas!$C$2:$C$240,
reglas!$D$2:$D$240,
reglas!$E$2:$E$240,
LAMBDA(rEmisor,rPatron,rConcepto,rTipo,
IF(
AND(
OR(
UPPER(TRIM(rEmisor))=UPPER(TRIM(C1521)),
UPPER(TRIM(rEmisor))=""CUALQUIERA""
),
OR(
UPPER(TRI"&amp;"M(rTipo))=""SOLO EMISOR"",
AND(
UPPER(TRIM(rTipo))=""EXACTA"",
UPPER(TRIM(AG1521))=UPPER(TRIM(rPatron))
),
AND(
OR(
UPPER(TRIM(rTipo))=""CONTIENE"",
UPPER(TRIM(rTipo))=""COINCIDENCIA""
),
ISNUMBER(SEARCH(UPPER(TRIM(rPatron)),UPPER(TRIM(D1521))))
)
)
),
rC"&amp;"oncepto,
""""
)
)
),
MAP(
reglas!$B$2:$B$240,
reglas!$C$2:$C$240,
reglas!$D$2:$D$240,
reglas!$E$2:$E$240,
LAMBDA(rEmisor,rPatron,rConcepto,rTipo,
IF(
AND(
OR(
UPPER(TRIM(rEmisor))=UPPER(TRIM(C1521)),
UPPER(TRIM(rEmisor))=""CUALQUIERA""
),
OR(
UPPER(TRIM(r"&amp;"Tipo))=""SOLO EMISOR"",
AND(
UPPER(TRIM(rTipo))=""EXACTA"",
UPPER(TRIM(D1521))=UPPER(TRIM(rPatron))
),
AND(
OR(
UPPER(TRIM(rTipo))=""CONTIENE"",
UPPER(TRIM(rTipo))=""COINCIDENCIA""
),
ISNUMBER(SEARCH(UPPER(TRIM(rPatron)),UPPER(TRIM(D1521))))
)
)
),
rConce"&amp;"pto,
""""
)
)
)&lt;&gt;""""
),
1
),
""""
)"),"MANIOBRAS")</f>
        <v>MANIOBRAS</v>
      </c>
      <c r="L1521" s="27"/>
      <c r="M1521" s="27"/>
      <c r="N1521" s="27"/>
      <c r="O1521" s="27"/>
      <c r="P1521" s="27"/>
      <c r="Q1521" s="27"/>
      <c r="R1521" s="27"/>
      <c r="S1521" s="27"/>
      <c r="T1521" s="27"/>
      <c r="U1521" s="27"/>
      <c r="V1521" s="27"/>
      <c r="W1521" s="27"/>
      <c r="X1521" s="27"/>
      <c r="Y1521" s="27"/>
    </row>
    <row r="1522">
      <c r="A1522" s="32"/>
      <c r="B1522" s="32"/>
      <c r="C1522" s="29" t="s">
        <v>271</v>
      </c>
      <c r="D1522" s="29" t="s">
        <v>589</v>
      </c>
      <c r="E1522" s="28">
        <v>619.88</v>
      </c>
      <c r="F1522" s="28">
        <v>0.0</v>
      </c>
      <c r="G1522" s="28" t="s">
        <v>84</v>
      </c>
      <c r="H1522" s="28">
        <f t="array" ref="H1522">INDEX(CC!C:C,MATCH(1,(CC!A:A=G1522)*(CC!B:B=I1522),0))</f>
        <v>1002</v>
      </c>
      <c r="I1522" s="28" t="s">
        <v>25</v>
      </c>
      <c r="J1522" s="31">
        <v>619.88</v>
      </c>
      <c r="K1522" s="28" t="str">
        <f>IFERROR(__xludf.DUMMYFUNCTION("IFERROR(
INDEX(
FILTER(
MAP(
reglas!$B$2:$B$240,
reglas!$C$2:$C$240,
reglas!$D$2:$D$240,
reglas!$E$2:$E$240,
LAMBDA(rEmisor,rPatron,rConcepto,rTipo,
IF(
AND(
OR(
UPPER(TRIM(rEmisor))=UPPER(TRIM(C1522)),
UPPER(TRIM(rEmisor))=""CUALQUIERA""
),
OR(
UPPER(TRI"&amp;"M(rTipo))=""SOLO EMISOR"",
AND(
UPPER(TRIM(rTipo))=""EXACTA"",
UPPER(TRIM(AG1522))=UPPER(TRIM(rPatron))
),
AND(
OR(
UPPER(TRIM(rTipo))=""CONTIENE"",
UPPER(TRIM(rTipo))=""COINCIDENCIA""
),
ISNUMBER(SEARCH(UPPER(TRIM(rPatron)),UPPER(TRIM(D1522))))
)
)
),
rC"&amp;"oncepto,
""""
)
)
),
MAP(
reglas!$B$2:$B$240,
reglas!$C$2:$C$240,
reglas!$D$2:$D$240,
reglas!$E$2:$E$240,
LAMBDA(rEmisor,rPatron,rConcepto,rTipo,
IF(
AND(
OR(
UPPER(TRIM(rEmisor))=UPPER(TRIM(C1522)),
UPPER(TRIM(rEmisor))=""CUALQUIERA""
),
OR(
UPPER(TRIM(r"&amp;"Tipo))=""SOLO EMISOR"",
AND(
UPPER(TRIM(rTipo))=""EXACTA"",
UPPER(TRIM(D1522))=UPPER(TRIM(rPatron))
),
AND(
OR(
UPPER(TRIM(rTipo))=""CONTIENE"",
UPPER(TRIM(rTipo))=""COINCIDENCIA""
),
ISNUMBER(SEARCH(UPPER(TRIM(rPatron)),UPPER(TRIM(D1522))))
)
)
),
rConce"&amp;"pto,
""""
)
)
)&lt;&gt;""""
),
1
),
""""
)"),"MANIOBRAS")</f>
        <v>MANIOBRAS</v>
      </c>
      <c r="L1522" s="27"/>
      <c r="M1522" s="27"/>
      <c r="N1522" s="27"/>
      <c r="O1522" s="27"/>
      <c r="P1522" s="27"/>
      <c r="Q1522" s="27"/>
      <c r="R1522" s="27"/>
      <c r="S1522" s="27"/>
      <c r="T1522" s="27"/>
      <c r="U1522" s="27"/>
      <c r="V1522" s="27"/>
      <c r="W1522" s="27"/>
      <c r="X1522" s="27"/>
      <c r="Y1522" s="27"/>
    </row>
    <row r="1523">
      <c r="A1523" s="32"/>
      <c r="B1523" s="32"/>
      <c r="C1523" s="29" t="s">
        <v>271</v>
      </c>
      <c r="D1523" s="29" t="s">
        <v>596</v>
      </c>
      <c r="E1523" s="28">
        <v>650.39</v>
      </c>
      <c r="F1523" s="28">
        <v>0.0</v>
      </c>
      <c r="G1523" s="28" t="s">
        <v>84</v>
      </c>
      <c r="H1523" s="28">
        <f t="array" ref="H1523">INDEX(CC!C:C,MATCH(1,(CC!A:A=G1523)*(CC!B:B=I1523),0))</f>
        <v>1002</v>
      </c>
      <c r="I1523" s="28" t="s">
        <v>25</v>
      </c>
      <c r="J1523" s="31">
        <v>650.39</v>
      </c>
      <c r="K1523" s="28" t="str">
        <f>IFERROR(__xludf.DUMMYFUNCTION("IFERROR(
INDEX(
FILTER(
MAP(
reglas!$B$2:$B$240,
reglas!$C$2:$C$240,
reglas!$D$2:$D$240,
reglas!$E$2:$E$240,
LAMBDA(rEmisor,rPatron,rConcepto,rTipo,
IF(
AND(
OR(
UPPER(TRIM(rEmisor))=UPPER(TRIM(C1523)),
UPPER(TRIM(rEmisor))=""CUALQUIERA""
),
OR(
UPPER(TRI"&amp;"M(rTipo))=""SOLO EMISOR"",
AND(
UPPER(TRIM(rTipo))=""EXACTA"",
UPPER(TRIM(AG1523))=UPPER(TRIM(rPatron))
),
AND(
OR(
UPPER(TRIM(rTipo))=""CONTIENE"",
UPPER(TRIM(rTipo))=""COINCIDENCIA""
),
ISNUMBER(SEARCH(UPPER(TRIM(rPatron)),UPPER(TRIM(D1523))))
)
)
),
rC"&amp;"oncepto,
""""
)
)
),
MAP(
reglas!$B$2:$B$240,
reglas!$C$2:$C$240,
reglas!$D$2:$D$240,
reglas!$E$2:$E$240,
LAMBDA(rEmisor,rPatron,rConcepto,rTipo,
IF(
AND(
OR(
UPPER(TRIM(rEmisor))=UPPER(TRIM(C1523)),
UPPER(TRIM(rEmisor))=""CUALQUIERA""
),
OR(
UPPER(TRIM(r"&amp;"Tipo))=""SOLO EMISOR"",
AND(
UPPER(TRIM(rTipo))=""EXACTA"",
UPPER(TRIM(D1523))=UPPER(TRIM(rPatron))
),
AND(
OR(
UPPER(TRIM(rTipo))=""CONTIENE"",
UPPER(TRIM(rTipo))=""COINCIDENCIA""
),
ISNUMBER(SEARCH(UPPER(TRIM(rPatron)),UPPER(TRIM(D1523))))
)
)
),
rConce"&amp;"pto,
""""
)
)
)&lt;&gt;""""
),
1
),
""""
)"),"MANIOBRAS")</f>
        <v>MANIOBRAS</v>
      </c>
      <c r="L1523" s="27"/>
      <c r="M1523" s="27"/>
      <c r="N1523" s="27"/>
      <c r="O1523" s="27"/>
      <c r="P1523" s="27"/>
      <c r="Q1523" s="27"/>
      <c r="R1523" s="27"/>
      <c r="S1523" s="27"/>
      <c r="T1523" s="27"/>
      <c r="U1523" s="27"/>
      <c r="V1523" s="27"/>
      <c r="W1523" s="27"/>
      <c r="X1523" s="27"/>
      <c r="Y1523" s="27"/>
    </row>
    <row r="1524">
      <c r="A1524" s="32"/>
      <c r="B1524" s="28" t="s">
        <v>29</v>
      </c>
      <c r="C1524" s="29" t="s">
        <v>174</v>
      </c>
      <c r="D1524" s="29" t="s">
        <v>1910</v>
      </c>
      <c r="E1524" s="30">
        <v>1900.0</v>
      </c>
      <c r="F1524" s="28">
        <v>0.0</v>
      </c>
      <c r="G1524" s="99" t="s">
        <v>250</v>
      </c>
      <c r="H1524" s="28">
        <f t="array" ref="H1524">INDEX(CC!C:C,MATCH(1,(CC!A:A=G1524)*(CC!B:B=I1524),0))</f>
        <v>1402</v>
      </c>
      <c r="I1524" s="28" t="s">
        <v>25</v>
      </c>
      <c r="J1524" s="31">
        <v>1900.0</v>
      </c>
      <c r="K1524" s="28" t="str">
        <f>IFERROR(__xludf.DUMMYFUNCTION("IFERROR(
INDEX(
FILTER(
MAP(
reglas!$B$2:$B$240,
reglas!$C$2:$C$240,
reglas!$D$2:$D$240,
reglas!$E$2:$E$240,
LAMBDA(rEmisor,rPatron,rConcepto,rTipo,
IF(
AND(
OR(
UPPER(TRIM(rEmisor))=UPPER(TRIM(C1524)),
UPPER(TRIM(rEmisor))=""CUALQUIERA""
),
OR(
UPPER(TRI"&amp;"M(rTipo))=""SOLO EMISOR"",
AND(
UPPER(TRIM(rTipo))=""EXACTA"",
UPPER(TRIM(AG1524))=UPPER(TRIM(rPatron))
),
AND(
OR(
UPPER(TRIM(rTipo))=""CONTIENE"",
UPPER(TRIM(rTipo))=""COINCIDENCIA""
),
ISNUMBER(SEARCH(UPPER(TRIM(rPatron)),UPPER(TRIM(D1524))))
)
)
),
rC"&amp;"oncepto,
""""
)
)
),
MAP(
reglas!$B$2:$B$240,
reglas!$C$2:$C$240,
reglas!$D$2:$D$240,
reglas!$E$2:$E$240,
LAMBDA(rEmisor,rPatron,rConcepto,rTipo,
IF(
AND(
OR(
UPPER(TRIM(rEmisor))=UPPER(TRIM(C1524)),
UPPER(TRIM(rEmisor))=""CUALQUIERA""
),
OR(
UPPER(TRIM(r"&amp;"Tipo))=""SOLO EMISOR"",
AND(
UPPER(TRIM(rTipo))=""EXACTA"",
UPPER(TRIM(D1524))=UPPER(TRIM(rPatron))
),
AND(
OR(
UPPER(TRIM(rTipo))=""CONTIENE"",
UPPER(TRIM(rTipo))=""COINCIDENCIA""
),
ISNUMBER(SEARCH(UPPER(TRIM(rPatron)),UPPER(TRIM(D1524))))
)
)
),
rConce"&amp;"pto,
""""
)
)
)&lt;&gt;""""
),
1
),
""""
)"),"TRANSPORTE")</f>
        <v>TRANSPORTE</v>
      </c>
      <c r="L1524" s="27"/>
      <c r="M1524" s="27"/>
      <c r="N1524" s="27"/>
      <c r="O1524" s="27"/>
      <c r="P1524" s="27"/>
      <c r="Q1524" s="27"/>
      <c r="R1524" s="27"/>
      <c r="S1524" s="27"/>
      <c r="T1524" s="27"/>
      <c r="U1524" s="27"/>
      <c r="V1524" s="27"/>
      <c r="W1524" s="27"/>
      <c r="X1524" s="27"/>
      <c r="Y1524" s="27"/>
    </row>
    <row r="1525">
      <c r="A1525" s="32"/>
      <c r="B1525" s="28" t="s">
        <v>29</v>
      </c>
      <c r="C1525" s="29" t="s">
        <v>236</v>
      </c>
      <c r="D1525" s="29" t="s">
        <v>1911</v>
      </c>
      <c r="E1525" s="28">
        <v>120.0</v>
      </c>
      <c r="F1525" s="28">
        <v>0.0</v>
      </c>
      <c r="G1525" s="99" t="s">
        <v>250</v>
      </c>
      <c r="H1525" s="28">
        <f t="array" ref="H1525">INDEX(CC!C:C,MATCH(1,(CC!A:A=G1525)*(CC!B:B=I1525),0))</f>
        <v>1402</v>
      </c>
      <c r="I1525" s="28" t="s">
        <v>25</v>
      </c>
      <c r="J1525" s="31">
        <v>120.0</v>
      </c>
      <c r="K1525" s="28" t="str">
        <f>IFERROR(__xludf.DUMMYFUNCTION("IFERROR(
INDEX(
FILTER(
MAP(
reglas!$B$2:$B$240,
reglas!$C$2:$C$240,
reglas!$D$2:$D$240,
reglas!$E$2:$E$240,
LAMBDA(rEmisor,rPatron,rConcepto,rTipo,
IF(
AND(
OR(
UPPER(TRIM(rEmisor))=UPPER(TRIM(C1525)),
UPPER(TRIM(rEmisor))=""CUALQUIERA""
),
OR(
UPPER(TRI"&amp;"M(rTipo))=""SOLO EMISOR"",
AND(
UPPER(TRIM(rTipo))=""EXACTA"",
UPPER(TRIM(AG1525))=UPPER(TRIM(rPatron))
),
AND(
OR(
UPPER(TRIM(rTipo))=""CONTIENE"",
UPPER(TRIM(rTipo))=""COINCIDENCIA""
),
ISNUMBER(SEARCH(UPPER(TRIM(rPatron)),UPPER(TRIM(D1525))))
)
)
),
rC"&amp;"oncepto,
""""
)
)
),
MAP(
reglas!$B$2:$B$240,
reglas!$C$2:$C$240,
reglas!$D$2:$D$240,
reglas!$E$2:$E$240,
LAMBDA(rEmisor,rPatron,rConcepto,rTipo,
IF(
AND(
OR(
UPPER(TRIM(rEmisor))=UPPER(TRIM(C1525)),
UPPER(TRIM(rEmisor))=""CUALQUIERA""
),
OR(
UPPER(TRIM(r"&amp;"Tipo))=""SOLO EMISOR"",
AND(
UPPER(TRIM(rTipo))=""EXACTA"",
UPPER(TRIM(D1525))=UPPER(TRIM(rPatron))
),
AND(
OR(
UPPER(TRIM(rTipo))=""CONTIENE"",
UPPER(TRIM(rTipo))=""COINCIDENCIA""
),
ISNUMBER(SEARCH(UPPER(TRIM(rPatron)),UPPER(TRIM(D1525))))
)
)
),
rConce"&amp;"pto,
""""
)
)
)&lt;&gt;""""
),
1
),
""""
)"),"PAPELERIA")</f>
        <v>PAPELERIA</v>
      </c>
      <c r="L1525" s="27"/>
      <c r="M1525" s="27"/>
      <c r="N1525" s="27"/>
      <c r="O1525" s="27"/>
      <c r="P1525" s="27"/>
      <c r="Q1525" s="27"/>
      <c r="R1525" s="27"/>
      <c r="S1525" s="27"/>
      <c r="T1525" s="27"/>
      <c r="U1525" s="27"/>
      <c r="V1525" s="27"/>
      <c r="W1525" s="27"/>
      <c r="X1525" s="27"/>
      <c r="Y1525" s="27"/>
    </row>
    <row r="1526">
      <c r="A1526" s="32"/>
      <c r="B1526" s="32"/>
      <c r="C1526" s="29" t="s">
        <v>236</v>
      </c>
      <c r="D1526" s="29" t="s">
        <v>1912</v>
      </c>
      <c r="E1526" s="28">
        <v>120.0</v>
      </c>
      <c r="F1526" s="28">
        <v>0.0</v>
      </c>
      <c r="G1526" s="99" t="s">
        <v>250</v>
      </c>
      <c r="H1526" s="28">
        <f t="array" ref="H1526">INDEX(CC!C:C,MATCH(1,(CC!A:A=G1526)*(CC!B:B=I1526),0))</f>
        <v>1402</v>
      </c>
      <c r="I1526" s="28" t="s">
        <v>25</v>
      </c>
      <c r="J1526" s="31">
        <v>120.0</v>
      </c>
      <c r="K1526" s="28" t="str">
        <f>IFERROR(__xludf.DUMMYFUNCTION("IFERROR(
INDEX(
FILTER(
MAP(
reglas!$B$2:$B$240,
reglas!$C$2:$C$240,
reglas!$D$2:$D$240,
reglas!$E$2:$E$240,
LAMBDA(rEmisor,rPatron,rConcepto,rTipo,
IF(
AND(
OR(
UPPER(TRIM(rEmisor))=UPPER(TRIM(C1526)),
UPPER(TRIM(rEmisor))=""CUALQUIERA""
),
OR(
UPPER(TRI"&amp;"M(rTipo))=""SOLO EMISOR"",
AND(
UPPER(TRIM(rTipo))=""EXACTA"",
UPPER(TRIM(AG1526))=UPPER(TRIM(rPatron))
),
AND(
OR(
UPPER(TRIM(rTipo))=""CONTIENE"",
UPPER(TRIM(rTipo))=""COINCIDENCIA""
),
ISNUMBER(SEARCH(UPPER(TRIM(rPatron)),UPPER(TRIM(D1526))))
)
)
),
rC"&amp;"oncepto,
""""
)
)
),
MAP(
reglas!$B$2:$B$240,
reglas!$C$2:$C$240,
reglas!$D$2:$D$240,
reglas!$E$2:$E$240,
LAMBDA(rEmisor,rPatron,rConcepto,rTipo,
IF(
AND(
OR(
UPPER(TRIM(rEmisor))=UPPER(TRIM(C1526)),
UPPER(TRIM(rEmisor))=""CUALQUIERA""
),
OR(
UPPER(TRIM(r"&amp;"Tipo))=""SOLO EMISOR"",
AND(
UPPER(TRIM(rTipo))=""EXACTA"",
UPPER(TRIM(D1526))=UPPER(TRIM(rPatron))
),
AND(
OR(
UPPER(TRIM(rTipo))=""CONTIENE"",
UPPER(TRIM(rTipo))=""COINCIDENCIA""
),
ISNUMBER(SEARCH(UPPER(TRIM(rPatron)),UPPER(TRIM(D1526))))
)
)
),
rConce"&amp;"pto,
""""
)
)
)&lt;&gt;""""
),
1
),
""""
)"),"PAPELERIA")</f>
        <v>PAPELERIA</v>
      </c>
      <c r="L1526" s="27"/>
      <c r="M1526" s="27"/>
      <c r="N1526" s="27"/>
      <c r="O1526" s="27"/>
      <c r="P1526" s="27"/>
      <c r="Q1526" s="27"/>
      <c r="R1526" s="27"/>
      <c r="S1526" s="27"/>
      <c r="T1526" s="27"/>
      <c r="U1526" s="27"/>
      <c r="V1526" s="27"/>
      <c r="W1526" s="27"/>
      <c r="X1526" s="27"/>
      <c r="Y1526" s="27"/>
    </row>
    <row r="1527">
      <c r="A1527" s="32"/>
      <c r="B1527" s="32"/>
      <c r="C1527" s="29" t="s">
        <v>236</v>
      </c>
      <c r="D1527" s="29" t="s">
        <v>1913</v>
      </c>
      <c r="E1527" s="28">
        <v>34.0</v>
      </c>
      <c r="F1527" s="28">
        <v>0.0</v>
      </c>
      <c r="G1527" s="99" t="s">
        <v>250</v>
      </c>
      <c r="H1527" s="28">
        <f t="array" ref="H1527">INDEX(CC!C:C,MATCH(1,(CC!A:A=G1527)*(CC!B:B=I1527),0))</f>
        <v>1402</v>
      </c>
      <c r="I1527" s="28" t="s">
        <v>25</v>
      </c>
      <c r="J1527" s="31">
        <v>34.0</v>
      </c>
      <c r="K1527" s="28" t="str">
        <f>IFERROR(__xludf.DUMMYFUNCTION("IFERROR(
INDEX(
FILTER(
MAP(
reglas!$B$2:$B$240,
reglas!$C$2:$C$240,
reglas!$D$2:$D$240,
reglas!$E$2:$E$240,
LAMBDA(rEmisor,rPatron,rConcepto,rTipo,
IF(
AND(
OR(
UPPER(TRIM(rEmisor))=UPPER(TRIM(C1527)),
UPPER(TRIM(rEmisor))=""CUALQUIERA""
),
OR(
UPPER(TRI"&amp;"M(rTipo))=""SOLO EMISOR"",
AND(
UPPER(TRIM(rTipo))=""EXACTA"",
UPPER(TRIM(AG1527))=UPPER(TRIM(rPatron))
),
AND(
OR(
UPPER(TRIM(rTipo))=""CONTIENE"",
UPPER(TRIM(rTipo))=""COINCIDENCIA""
),
ISNUMBER(SEARCH(UPPER(TRIM(rPatron)),UPPER(TRIM(D1527))))
)
)
),
rC"&amp;"oncepto,
""""
)
)
),
MAP(
reglas!$B$2:$B$240,
reglas!$C$2:$C$240,
reglas!$D$2:$D$240,
reglas!$E$2:$E$240,
LAMBDA(rEmisor,rPatron,rConcepto,rTipo,
IF(
AND(
OR(
UPPER(TRIM(rEmisor))=UPPER(TRIM(C1527)),
UPPER(TRIM(rEmisor))=""CUALQUIERA""
),
OR(
UPPER(TRIM(r"&amp;"Tipo))=""SOLO EMISOR"",
AND(
UPPER(TRIM(rTipo))=""EXACTA"",
UPPER(TRIM(D1527))=UPPER(TRIM(rPatron))
),
AND(
OR(
UPPER(TRIM(rTipo))=""CONTIENE"",
UPPER(TRIM(rTipo))=""COINCIDENCIA""
),
ISNUMBER(SEARCH(UPPER(TRIM(rPatron)),UPPER(TRIM(D1527))))
)
)
),
rConce"&amp;"pto,
""""
)
)
)&lt;&gt;""""
),
1
),
""""
)"),"PAPELERIA")</f>
        <v>PAPELERIA</v>
      </c>
      <c r="L1527" s="27"/>
      <c r="M1527" s="27"/>
      <c r="N1527" s="27"/>
      <c r="O1527" s="27"/>
      <c r="P1527" s="27"/>
      <c r="Q1527" s="27"/>
      <c r="R1527" s="27"/>
      <c r="S1527" s="27"/>
      <c r="T1527" s="27"/>
      <c r="U1527" s="27"/>
      <c r="V1527" s="27"/>
      <c r="W1527" s="27"/>
      <c r="X1527" s="27"/>
      <c r="Y1527" s="27"/>
    </row>
    <row r="1528">
      <c r="A1528" s="32"/>
      <c r="B1528" s="32"/>
      <c r="C1528" s="29" t="s">
        <v>236</v>
      </c>
      <c r="D1528" s="29" t="s">
        <v>1914</v>
      </c>
      <c r="E1528" s="28">
        <v>180.0</v>
      </c>
      <c r="F1528" s="28">
        <v>0.0</v>
      </c>
      <c r="G1528" s="99" t="s">
        <v>250</v>
      </c>
      <c r="H1528" s="28">
        <f t="array" ref="H1528">INDEX(CC!C:C,MATCH(1,(CC!A:A=G1528)*(CC!B:B=I1528),0))</f>
        <v>1402</v>
      </c>
      <c r="I1528" s="28" t="s">
        <v>25</v>
      </c>
      <c r="J1528" s="31">
        <v>180.0</v>
      </c>
      <c r="K1528" s="28" t="str">
        <f>IFERROR(__xludf.DUMMYFUNCTION("IFERROR(
INDEX(
FILTER(
MAP(
reglas!$B$2:$B$240,
reglas!$C$2:$C$240,
reglas!$D$2:$D$240,
reglas!$E$2:$E$240,
LAMBDA(rEmisor,rPatron,rConcepto,rTipo,
IF(
AND(
OR(
UPPER(TRIM(rEmisor))=UPPER(TRIM(C1528)),
UPPER(TRIM(rEmisor))=""CUALQUIERA""
),
OR(
UPPER(TRI"&amp;"M(rTipo))=""SOLO EMISOR"",
AND(
UPPER(TRIM(rTipo))=""EXACTA"",
UPPER(TRIM(AG1528))=UPPER(TRIM(rPatron))
),
AND(
OR(
UPPER(TRIM(rTipo))=""CONTIENE"",
UPPER(TRIM(rTipo))=""COINCIDENCIA""
),
ISNUMBER(SEARCH(UPPER(TRIM(rPatron)),UPPER(TRIM(D1528))))
)
)
),
rC"&amp;"oncepto,
""""
)
)
),
MAP(
reglas!$B$2:$B$240,
reglas!$C$2:$C$240,
reglas!$D$2:$D$240,
reglas!$E$2:$E$240,
LAMBDA(rEmisor,rPatron,rConcepto,rTipo,
IF(
AND(
OR(
UPPER(TRIM(rEmisor))=UPPER(TRIM(C1528)),
UPPER(TRIM(rEmisor))=""CUALQUIERA""
),
OR(
UPPER(TRIM(r"&amp;"Tipo))=""SOLO EMISOR"",
AND(
UPPER(TRIM(rTipo))=""EXACTA"",
UPPER(TRIM(D1528))=UPPER(TRIM(rPatron))
),
AND(
OR(
UPPER(TRIM(rTipo))=""CONTIENE"",
UPPER(TRIM(rTipo))=""COINCIDENCIA""
),
ISNUMBER(SEARCH(UPPER(TRIM(rPatron)),UPPER(TRIM(D1528))))
)
)
),
rConce"&amp;"pto,
""""
)
)
)&lt;&gt;""""
),
1
),
""""
)"),"PAPELERIA")</f>
        <v>PAPELERIA</v>
      </c>
      <c r="L1528" s="27"/>
      <c r="M1528" s="27"/>
      <c r="N1528" s="27"/>
      <c r="O1528" s="27"/>
      <c r="P1528" s="27"/>
      <c r="Q1528" s="27"/>
      <c r="R1528" s="27"/>
      <c r="S1528" s="27"/>
      <c r="T1528" s="27"/>
      <c r="U1528" s="27"/>
      <c r="V1528" s="27"/>
      <c r="W1528" s="27"/>
      <c r="X1528" s="27"/>
      <c r="Y1528" s="27"/>
    </row>
    <row r="1529">
      <c r="A1529" s="28">
        <v>1.0</v>
      </c>
      <c r="B1529" s="28" t="s">
        <v>29</v>
      </c>
      <c r="C1529" s="29" t="s">
        <v>271</v>
      </c>
      <c r="D1529" s="29" t="s">
        <v>585</v>
      </c>
      <c r="E1529" s="28">
        <v>619.55</v>
      </c>
      <c r="F1529" s="28">
        <v>0.0</v>
      </c>
      <c r="G1529" s="28" t="s">
        <v>84</v>
      </c>
      <c r="H1529" s="28">
        <f t="array" ref="H1529">INDEX(CC!C:C,MATCH(1,(CC!A:A=G1529)*(CC!B:B=I1529),0))</f>
        <v>1002</v>
      </c>
      <c r="I1529" s="28" t="s">
        <v>25</v>
      </c>
      <c r="J1529" s="31">
        <v>619.55</v>
      </c>
      <c r="K1529" s="28" t="str">
        <f>IFERROR(__xludf.DUMMYFUNCTION("IFERROR(
INDEX(
FILTER(
MAP(
reglas!$B$2:$B$240,
reglas!$C$2:$C$240,
reglas!$D$2:$D$240,
reglas!$E$2:$E$240,
LAMBDA(rEmisor,rPatron,rConcepto,rTipo,
IF(
AND(
OR(
UPPER(TRIM(rEmisor))=UPPER(TRIM(C1529)),
UPPER(TRIM(rEmisor))=""CUALQUIERA""
),
OR(
UPPER(TRI"&amp;"M(rTipo))=""SOLO EMISOR"",
AND(
UPPER(TRIM(rTipo))=""EXACTA"",
UPPER(TRIM(AG1529))=UPPER(TRIM(rPatron))
),
AND(
OR(
UPPER(TRIM(rTipo))=""CONTIENE"",
UPPER(TRIM(rTipo))=""COINCIDENCIA""
),
ISNUMBER(SEARCH(UPPER(TRIM(rPatron)),UPPER(TRIM(D1529))))
)
)
),
rC"&amp;"oncepto,
""""
)
)
),
MAP(
reglas!$B$2:$B$240,
reglas!$C$2:$C$240,
reglas!$D$2:$D$240,
reglas!$E$2:$E$240,
LAMBDA(rEmisor,rPatron,rConcepto,rTipo,
IF(
AND(
OR(
UPPER(TRIM(rEmisor))=UPPER(TRIM(C1529)),
UPPER(TRIM(rEmisor))=""CUALQUIERA""
),
OR(
UPPER(TRIM(r"&amp;"Tipo))=""SOLO EMISOR"",
AND(
UPPER(TRIM(rTipo))=""EXACTA"",
UPPER(TRIM(D1529))=UPPER(TRIM(rPatron))
),
AND(
OR(
UPPER(TRIM(rTipo))=""CONTIENE"",
UPPER(TRIM(rTipo))=""COINCIDENCIA""
),
ISNUMBER(SEARCH(UPPER(TRIM(rPatron)),UPPER(TRIM(D1529))))
)
)
),
rConce"&amp;"pto,
""""
)
)
)&lt;&gt;""""
),
1
),
""""
)"),"MANIOBRAS")</f>
        <v>MANIOBRAS</v>
      </c>
      <c r="L1529" s="27"/>
      <c r="M1529" s="27"/>
      <c r="N1529" s="27"/>
      <c r="O1529" s="27"/>
      <c r="P1529" s="27"/>
      <c r="Q1529" s="27"/>
      <c r="R1529" s="27"/>
      <c r="S1529" s="27"/>
      <c r="T1529" s="27"/>
      <c r="U1529" s="27"/>
      <c r="V1529" s="27"/>
      <c r="W1529" s="27"/>
      <c r="X1529" s="27"/>
      <c r="Y1529" s="27"/>
    </row>
    <row r="1530">
      <c r="A1530" s="32"/>
      <c r="B1530" s="32"/>
      <c r="C1530" s="29" t="s">
        <v>271</v>
      </c>
      <c r="D1530" s="29" t="s">
        <v>587</v>
      </c>
      <c r="E1530" s="28">
        <v>566.84</v>
      </c>
      <c r="F1530" s="28">
        <v>0.0</v>
      </c>
      <c r="G1530" s="28" t="s">
        <v>84</v>
      </c>
      <c r="H1530" s="28">
        <f t="array" ref="H1530">INDEX(CC!C:C,MATCH(1,(CC!A:A=G1530)*(CC!B:B=I1530),0))</f>
        <v>1002</v>
      </c>
      <c r="I1530" s="28" t="s">
        <v>25</v>
      </c>
      <c r="J1530" s="31">
        <v>566.84</v>
      </c>
      <c r="K1530" s="28" t="str">
        <f>IFERROR(__xludf.DUMMYFUNCTION("IFERROR(
INDEX(
FILTER(
MAP(
reglas!$B$2:$B$240,
reglas!$C$2:$C$240,
reglas!$D$2:$D$240,
reglas!$E$2:$E$240,
LAMBDA(rEmisor,rPatron,rConcepto,rTipo,
IF(
AND(
OR(
UPPER(TRIM(rEmisor))=UPPER(TRIM(C1530)),
UPPER(TRIM(rEmisor))=""CUALQUIERA""
),
OR(
UPPER(TRI"&amp;"M(rTipo))=""SOLO EMISOR"",
AND(
UPPER(TRIM(rTipo))=""EXACTA"",
UPPER(TRIM(AG1530))=UPPER(TRIM(rPatron))
),
AND(
OR(
UPPER(TRIM(rTipo))=""CONTIENE"",
UPPER(TRIM(rTipo))=""COINCIDENCIA""
),
ISNUMBER(SEARCH(UPPER(TRIM(rPatron)),UPPER(TRIM(D1530))))
)
)
),
rC"&amp;"oncepto,
""""
)
)
),
MAP(
reglas!$B$2:$B$240,
reglas!$C$2:$C$240,
reglas!$D$2:$D$240,
reglas!$E$2:$E$240,
LAMBDA(rEmisor,rPatron,rConcepto,rTipo,
IF(
AND(
OR(
UPPER(TRIM(rEmisor))=UPPER(TRIM(C1530)),
UPPER(TRIM(rEmisor))=""CUALQUIERA""
),
OR(
UPPER(TRIM(r"&amp;"Tipo))=""SOLO EMISOR"",
AND(
UPPER(TRIM(rTipo))=""EXACTA"",
UPPER(TRIM(D1530))=UPPER(TRIM(rPatron))
),
AND(
OR(
UPPER(TRIM(rTipo))=""CONTIENE"",
UPPER(TRIM(rTipo))=""COINCIDENCIA""
),
ISNUMBER(SEARCH(UPPER(TRIM(rPatron)),UPPER(TRIM(D1530))))
)
)
),
rConce"&amp;"pto,
""""
)
)
)&lt;&gt;""""
),
1
),
""""
)"),"MANIOBRAS")</f>
        <v>MANIOBRAS</v>
      </c>
      <c r="L1530" s="27"/>
      <c r="M1530" s="27"/>
      <c r="N1530" s="27"/>
      <c r="O1530" s="27"/>
      <c r="P1530" s="27"/>
      <c r="Q1530" s="27"/>
      <c r="R1530" s="27"/>
      <c r="S1530" s="27"/>
      <c r="T1530" s="27"/>
      <c r="U1530" s="27"/>
      <c r="V1530" s="27"/>
      <c r="W1530" s="27"/>
      <c r="X1530" s="27"/>
      <c r="Y1530" s="27"/>
    </row>
    <row r="1531">
      <c r="A1531" s="32"/>
      <c r="B1531" s="32"/>
      <c r="C1531" s="29" t="s">
        <v>271</v>
      </c>
      <c r="D1531" s="29" t="s">
        <v>586</v>
      </c>
      <c r="E1531" s="28">
        <v>619.88</v>
      </c>
      <c r="F1531" s="28">
        <v>0.0</v>
      </c>
      <c r="G1531" s="28" t="s">
        <v>84</v>
      </c>
      <c r="H1531" s="28">
        <f t="array" ref="H1531">INDEX(CC!C:C,MATCH(1,(CC!A:A=G1531)*(CC!B:B=I1531),0))</f>
        <v>1002</v>
      </c>
      <c r="I1531" s="28" t="s">
        <v>25</v>
      </c>
      <c r="J1531" s="31">
        <v>619.88</v>
      </c>
      <c r="K1531" s="28" t="str">
        <f>IFERROR(__xludf.DUMMYFUNCTION("IFERROR(
INDEX(
FILTER(
MAP(
reglas!$B$2:$B$240,
reglas!$C$2:$C$240,
reglas!$D$2:$D$240,
reglas!$E$2:$E$240,
LAMBDA(rEmisor,rPatron,rConcepto,rTipo,
IF(
AND(
OR(
UPPER(TRIM(rEmisor))=UPPER(TRIM(C1531)),
UPPER(TRIM(rEmisor))=""CUALQUIERA""
),
OR(
UPPER(TRI"&amp;"M(rTipo))=""SOLO EMISOR"",
AND(
UPPER(TRIM(rTipo))=""EXACTA"",
UPPER(TRIM(AG1531))=UPPER(TRIM(rPatron))
),
AND(
OR(
UPPER(TRIM(rTipo))=""CONTIENE"",
UPPER(TRIM(rTipo))=""COINCIDENCIA""
),
ISNUMBER(SEARCH(UPPER(TRIM(rPatron)),UPPER(TRIM(D1531))))
)
)
),
rC"&amp;"oncepto,
""""
)
)
),
MAP(
reglas!$B$2:$B$240,
reglas!$C$2:$C$240,
reglas!$D$2:$D$240,
reglas!$E$2:$E$240,
LAMBDA(rEmisor,rPatron,rConcepto,rTipo,
IF(
AND(
OR(
UPPER(TRIM(rEmisor))=UPPER(TRIM(C1531)),
UPPER(TRIM(rEmisor))=""CUALQUIERA""
),
OR(
UPPER(TRIM(r"&amp;"Tipo))=""SOLO EMISOR"",
AND(
UPPER(TRIM(rTipo))=""EXACTA"",
UPPER(TRIM(D1531))=UPPER(TRIM(rPatron))
),
AND(
OR(
UPPER(TRIM(rTipo))=""CONTIENE"",
UPPER(TRIM(rTipo))=""COINCIDENCIA""
),
ISNUMBER(SEARCH(UPPER(TRIM(rPatron)),UPPER(TRIM(D1531))))
)
)
),
rConce"&amp;"pto,
""""
)
)
)&lt;&gt;""""
),
1
),
""""
)"),"MANIOBRAS")</f>
        <v>MANIOBRAS</v>
      </c>
      <c r="L1531" s="27"/>
      <c r="M1531" s="27"/>
      <c r="N1531" s="27"/>
      <c r="O1531" s="27"/>
      <c r="P1531" s="27"/>
      <c r="Q1531" s="27"/>
      <c r="R1531" s="27"/>
      <c r="S1531" s="27"/>
      <c r="T1531" s="27"/>
      <c r="U1531" s="27"/>
      <c r="V1531" s="27"/>
      <c r="W1531" s="27"/>
      <c r="X1531" s="27"/>
      <c r="Y1531" s="27"/>
    </row>
    <row r="1532">
      <c r="A1532" s="32"/>
      <c r="B1532" s="32"/>
      <c r="C1532" s="29" t="s">
        <v>271</v>
      </c>
      <c r="D1532" s="29" t="s">
        <v>589</v>
      </c>
      <c r="E1532" s="28">
        <v>681.91</v>
      </c>
      <c r="F1532" s="28">
        <v>0.0</v>
      </c>
      <c r="G1532" s="28" t="s">
        <v>84</v>
      </c>
      <c r="H1532" s="28">
        <f t="array" ref="H1532">INDEX(CC!C:C,MATCH(1,(CC!A:A=G1532)*(CC!B:B=I1532),0))</f>
        <v>1002</v>
      </c>
      <c r="I1532" s="28" t="s">
        <v>25</v>
      </c>
      <c r="J1532" s="31">
        <v>681.91</v>
      </c>
      <c r="K1532" s="28" t="str">
        <f>IFERROR(__xludf.DUMMYFUNCTION("IFERROR(
INDEX(
FILTER(
MAP(
reglas!$B$2:$B$240,
reglas!$C$2:$C$240,
reglas!$D$2:$D$240,
reglas!$E$2:$E$240,
LAMBDA(rEmisor,rPatron,rConcepto,rTipo,
IF(
AND(
OR(
UPPER(TRIM(rEmisor))=UPPER(TRIM(C1532)),
UPPER(TRIM(rEmisor))=""CUALQUIERA""
),
OR(
UPPER(TRI"&amp;"M(rTipo))=""SOLO EMISOR"",
AND(
UPPER(TRIM(rTipo))=""EXACTA"",
UPPER(TRIM(AG1532))=UPPER(TRIM(rPatron))
),
AND(
OR(
UPPER(TRIM(rTipo))=""CONTIENE"",
UPPER(TRIM(rTipo))=""COINCIDENCIA""
),
ISNUMBER(SEARCH(UPPER(TRIM(rPatron)),UPPER(TRIM(D1532))))
)
)
),
rC"&amp;"oncepto,
""""
)
)
),
MAP(
reglas!$B$2:$B$240,
reglas!$C$2:$C$240,
reglas!$D$2:$D$240,
reglas!$E$2:$E$240,
LAMBDA(rEmisor,rPatron,rConcepto,rTipo,
IF(
AND(
OR(
UPPER(TRIM(rEmisor))=UPPER(TRIM(C1532)),
UPPER(TRIM(rEmisor))=""CUALQUIERA""
),
OR(
UPPER(TRIM(r"&amp;"Tipo))=""SOLO EMISOR"",
AND(
UPPER(TRIM(rTipo))=""EXACTA"",
UPPER(TRIM(D1532))=UPPER(TRIM(rPatron))
),
AND(
OR(
UPPER(TRIM(rTipo))=""CONTIENE"",
UPPER(TRIM(rTipo))=""COINCIDENCIA""
),
ISNUMBER(SEARCH(UPPER(TRIM(rPatron)),UPPER(TRIM(D1532))))
)
)
),
rConce"&amp;"pto,
""""
)
)
)&lt;&gt;""""
),
1
),
""""
)"),"MANIOBRAS")</f>
        <v>MANIOBRAS</v>
      </c>
      <c r="L1532" s="27"/>
      <c r="M1532" s="27"/>
      <c r="N1532" s="27"/>
      <c r="O1532" s="27"/>
      <c r="P1532" s="27"/>
      <c r="Q1532" s="27"/>
      <c r="R1532" s="27"/>
      <c r="S1532" s="27"/>
      <c r="T1532" s="27"/>
      <c r="U1532" s="27"/>
      <c r="V1532" s="27"/>
      <c r="W1532" s="27"/>
      <c r="X1532" s="27"/>
      <c r="Y1532" s="27"/>
    </row>
    <row r="1533">
      <c r="A1533" s="32"/>
      <c r="B1533" s="32"/>
      <c r="C1533" s="29" t="s">
        <v>271</v>
      </c>
      <c r="D1533" s="29" t="s">
        <v>593</v>
      </c>
      <c r="E1533" s="28">
        <v>741.22</v>
      </c>
      <c r="F1533" s="28">
        <v>0.0</v>
      </c>
      <c r="G1533" s="28" t="s">
        <v>84</v>
      </c>
      <c r="H1533" s="28">
        <f t="array" ref="H1533">INDEX(CC!C:C,MATCH(1,(CC!A:A=G1533)*(CC!B:B=I1533),0))</f>
        <v>1002</v>
      </c>
      <c r="I1533" s="28" t="s">
        <v>25</v>
      </c>
      <c r="J1533" s="31">
        <v>741.22</v>
      </c>
      <c r="K1533" s="28" t="str">
        <f>IFERROR(__xludf.DUMMYFUNCTION("IFERROR(
INDEX(
FILTER(
MAP(
reglas!$B$2:$B$240,
reglas!$C$2:$C$240,
reglas!$D$2:$D$240,
reglas!$E$2:$E$240,
LAMBDA(rEmisor,rPatron,rConcepto,rTipo,
IF(
AND(
OR(
UPPER(TRIM(rEmisor))=UPPER(TRIM(C1533)),
UPPER(TRIM(rEmisor))=""CUALQUIERA""
),
OR(
UPPER(TRI"&amp;"M(rTipo))=""SOLO EMISOR"",
AND(
UPPER(TRIM(rTipo))=""EXACTA"",
UPPER(TRIM(AG1533))=UPPER(TRIM(rPatron))
),
AND(
OR(
UPPER(TRIM(rTipo))=""CONTIENE"",
UPPER(TRIM(rTipo))=""COINCIDENCIA""
),
ISNUMBER(SEARCH(UPPER(TRIM(rPatron)),UPPER(TRIM(D1533))))
)
)
),
rC"&amp;"oncepto,
""""
)
)
),
MAP(
reglas!$B$2:$B$240,
reglas!$C$2:$C$240,
reglas!$D$2:$D$240,
reglas!$E$2:$E$240,
LAMBDA(rEmisor,rPatron,rConcepto,rTipo,
IF(
AND(
OR(
UPPER(TRIM(rEmisor))=UPPER(TRIM(C1533)),
UPPER(TRIM(rEmisor))=""CUALQUIERA""
),
OR(
UPPER(TRIM(r"&amp;"Tipo))=""SOLO EMISOR"",
AND(
UPPER(TRIM(rTipo))=""EXACTA"",
UPPER(TRIM(D1533))=UPPER(TRIM(rPatron))
),
AND(
OR(
UPPER(TRIM(rTipo))=""CONTIENE"",
UPPER(TRIM(rTipo))=""COINCIDENCIA""
),
ISNUMBER(SEARCH(UPPER(TRIM(rPatron)),UPPER(TRIM(D1533))))
)
)
),
rConce"&amp;"pto,
""""
)
)
)&lt;&gt;""""
),
1
),
""""
)"),"MANIOBRAS")</f>
        <v>MANIOBRAS</v>
      </c>
      <c r="L1533" s="27"/>
      <c r="M1533" s="27"/>
      <c r="N1533" s="27"/>
      <c r="O1533" s="27"/>
      <c r="P1533" s="27"/>
      <c r="Q1533" s="27"/>
      <c r="R1533" s="27"/>
      <c r="S1533" s="27"/>
      <c r="T1533" s="27"/>
      <c r="U1533" s="27"/>
      <c r="V1533" s="27"/>
      <c r="W1533" s="27"/>
      <c r="X1533" s="27"/>
      <c r="Y1533" s="27"/>
    </row>
    <row r="1534">
      <c r="A1534" s="32"/>
      <c r="B1534" s="32"/>
      <c r="C1534" s="29" t="s">
        <v>271</v>
      </c>
      <c r="D1534" s="29" t="s">
        <v>596</v>
      </c>
      <c r="E1534" s="28">
        <v>650.39</v>
      </c>
      <c r="F1534" s="28">
        <v>0.0</v>
      </c>
      <c r="G1534" s="28" t="s">
        <v>84</v>
      </c>
      <c r="H1534" s="28">
        <f t="array" ref="H1534">INDEX(CC!C:C,MATCH(1,(CC!A:A=G1534)*(CC!B:B=I1534),0))</f>
        <v>1002</v>
      </c>
      <c r="I1534" s="28" t="s">
        <v>25</v>
      </c>
      <c r="J1534" s="31">
        <v>650.39</v>
      </c>
      <c r="K1534" s="28" t="str">
        <f>IFERROR(__xludf.DUMMYFUNCTION("IFERROR(
INDEX(
FILTER(
MAP(
reglas!$B$2:$B$240,
reglas!$C$2:$C$240,
reglas!$D$2:$D$240,
reglas!$E$2:$E$240,
LAMBDA(rEmisor,rPatron,rConcepto,rTipo,
IF(
AND(
OR(
UPPER(TRIM(rEmisor))=UPPER(TRIM(C1534)),
UPPER(TRIM(rEmisor))=""CUALQUIERA""
),
OR(
UPPER(TRI"&amp;"M(rTipo))=""SOLO EMISOR"",
AND(
UPPER(TRIM(rTipo))=""EXACTA"",
UPPER(TRIM(AG1534))=UPPER(TRIM(rPatron))
),
AND(
OR(
UPPER(TRIM(rTipo))=""CONTIENE"",
UPPER(TRIM(rTipo))=""COINCIDENCIA""
),
ISNUMBER(SEARCH(UPPER(TRIM(rPatron)),UPPER(TRIM(D1534))))
)
)
),
rC"&amp;"oncepto,
""""
)
)
),
MAP(
reglas!$B$2:$B$240,
reglas!$C$2:$C$240,
reglas!$D$2:$D$240,
reglas!$E$2:$E$240,
LAMBDA(rEmisor,rPatron,rConcepto,rTipo,
IF(
AND(
OR(
UPPER(TRIM(rEmisor))=UPPER(TRIM(C1534)),
UPPER(TRIM(rEmisor))=""CUALQUIERA""
),
OR(
UPPER(TRIM(r"&amp;"Tipo))=""SOLO EMISOR"",
AND(
UPPER(TRIM(rTipo))=""EXACTA"",
UPPER(TRIM(D1534))=UPPER(TRIM(rPatron))
),
AND(
OR(
UPPER(TRIM(rTipo))=""CONTIENE"",
UPPER(TRIM(rTipo))=""COINCIDENCIA""
),
ISNUMBER(SEARCH(UPPER(TRIM(rPatron)),UPPER(TRIM(D1534))))
)
)
),
rConce"&amp;"pto,
""""
)
)
)&lt;&gt;""""
),
1
),
""""
)"),"MANIOBRAS")</f>
        <v>MANIOBRAS</v>
      </c>
      <c r="L1534" s="27"/>
      <c r="M1534" s="27"/>
      <c r="N1534" s="27"/>
      <c r="O1534" s="27"/>
      <c r="P1534" s="27"/>
      <c r="Q1534" s="27"/>
      <c r="R1534" s="27"/>
      <c r="S1534" s="27"/>
      <c r="T1534" s="27"/>
      <c r="U1534" s="27"/>
      <c r="V1534" s="27"/>
      <c r="W1534" s="27"/>
      <c r="X1534" s="27"/>
      <c r="Y1534" s="27"/>
    </row>
    <row r="1535">
      <c r="A1535" s="32"/>
      <c r="B1535" s="28" t="s">
        <v>29</v>
      </c>
      <c r="C1535" s="29" t="s">
        <v>278</v>
      </c>
      <c r="D1535" s="29" t="s">
        <v>560</v>
      </c>
      <c r="E1535" s="30">
        <v>3500.0</v>
      </c>
      <c r="F1535" s="28">
        <v>0.0</v>
      </c>
      <c r="G1535" s="99" t="s">
        <v>250</v>
      </c>
      <c r="H1535" s="28">
        <f t="array" ref="H1535">INDEX(CC!C:C,MATCH(1,(CC!A:A=G1535)*(CC!B:B=I1535),0))</f>
        <v>1402</v>
      </c>
      <c r="I1535" s="28" t="s">
        <v>25</v>
      </c>
      <c r="J1535" s="31">
        <v>3500.0</v>
      </c>
      <c r="K1535" s="28" t="str">
        <f>IFERROR(__xludf.DUMMYFUNCTION("IFERROR(
INDEX(
FILTER(
MAP(
reglas!$B$2:$B$240,
reglas!$C$2:$C$240,
reglas!$D$2:$D$240,
reglas!$E$2:$E$240,
LAMBDA(rEmisor,rPatron,rConcepto,rTipo,
IF(
AND(
OR(
UPPER(TRIM(rEmisor))=UPPER(TRIM(C1535)),
UPPER(TRIM(rEmisor))=""CUALQUIERA""
),
OR(
UPPER(TRI"&amp;"M(rTipo))=""SOLO EMISOR"",
AND(
UPPER(TRIM(rTipo))=""EXACTA"",
UPPER(TRIM(AG1535))=UPPER(TRIM(rPatron))
),
AND(
OR(
UPPER(TRIM(rTipo))=""CONTIENE"",
UPPER(TRIM(rTipo))=""COINCIDENCIA""
),
ISNUMBER(SEARCH(UPPER(TRIM(rPatron)),UPPER(TRIM(D1535))))
)
)
),
rC"&amp;"oncepto,
""""
)
)
),
MAP(
reglas!$B$2:$B$240,
reglas!$C$2:$C$240,
reglas!$D$2:$D$240,
reglas!$E$2:$E$240,
LAMBDA(rEmisor,rPatron,rConcepto,rTipo,
IF(
AND(
OR(
UPPER(TRIM(rEmisor))=UPPER(TRIM(C1535)),
UPPER(TRIM(rEmisor))=""CUALQUIERA""
),
OR(
UPPER(TRIM(r"&amp;"Tipo))=""SOLO EMISOR"",
AND(
UPPER(TRIM(rTipo))=""EXACTA"",
UPPER(TRIM(D1535))=UPPER(TRIM(rPatron))
),
AND(
OR(
UPPER(TRIM(rTipo))=""CONTIENE"",
UPPER(TRIM(rTipo))=""COINCIDENCIA""
),
ISNUMBER(SEARCH(UPPER(TRIM(rPatron)),UPPER(TRIM(D1535))))
)
)
),
rConce"&amp;"pto,
""""
)
)
)&lt;&gt;""""
),
1
),
""""
)"),"MANIOBRAS")</f>
        <v>MANIOBRAS</v>
      </c>
      <c r="L1535" s="27"/>
      <c r="M1535" s="27"/>
      <c r="N1535" s="27"/>
      <c r="O1535" s="27"/>
      <c r="P1535" s="27"/>
      <c r="Q1535" s="27"/>
      <c r="R1535" s="27"/>
      <c r="S1535" s="27"/>
      <c r="T1535" s="27"/>
      <c r="U1535" s="27"/>
      <c r="V1535" s="27"/>
      <c r="W1535" s="27"/>
      <c r="X1535" s="27"/>
      <c r="Y1535" s="27"/>
    </row>
    <row r="1536">
      <c r="A1536" s="32"/>
      <c r="B1536" s="28" t="s">
        <v>29</v>
      </c>
      <c r="C1536" s="29" t="s">
        <v>172</v>
      </c>
      <c r="D1536" s="29" t="s">
        <v>1915</v>
      </c>
      <c r="E1536" s="30">
        <v>11500.0</v>
      </c>
      <c r="F1536" s="28">
        <v>0.0</v>
      </c>
      <c r="G1536" s="99" t="s">
        <v>250</v>
      </c>
      <c r="H1536" s="28">
        <f t="array" ref="H1536">INDEX(CC!C:C,MATCH(1,(CC!A:A=G1536)*(CC!B:B=I1536),0))</f>
        <v>1402</v>
      </c>
      <c r="I1536" s="28" t="s">
        <v>25</v>
      </c>
      <c r="J1536" s="31">
        <v>11500.0</v>
      </c>
      <c r="K1536" s="28" t="str">
        <f>IFERROR(__xludf.DUMMYFUNCTION("IFERROR(
INDEX(
FILTER(
MAP(
reglas!$B$2:$B$240,
reglas!$C$2:$C$240,
reglas!$D$2:$D$240,
reglas!$E$2:$E$240,
LAMBDA(rEmisor,rPatron,rConcepto,rTipo,
IF(
AND(
OR(
UPPER(TRIM(rEmisor))=UPPER(TRIM(C1536)),
UPPER(TRIM(rEmisor))=""CUALQUIERA""
),
OR(
UPPER(TRI"&amp;"M(rTipo))=""SOLO EMISOR"",
AND(
UPPER(TRIM(rTipo))=""EXACTA"",
UPPER(TRIM(AG1536))=UPPER(TRIM(rPatron))
),
AND(
OR(
UPPER(TRIM(rTipo))=""CONTIENE"",
UPPER(TRIM(rTipo))=""COINCIDENCIA""
),
ISNUMBER(SEARCH(UPPER(TRIM(rPatron)),UPPER(TRIM(D1536))))
)
)
),
rC"&amp;"oncepto,
""""
)
)
),
MAP(
reglas!$B$2:$B$240,
reglas!$C$2:$C$240,
reglas!$D$2:$D$240,
reglas!$E$2:$E$240,
LAMBDA(rEmisor,rPatron,rConcepto,rTipo,
IF(
AND(
OR(
UPPER(TRIM(rEmisor))=UPPER(TRIM(C1536)),
UPPER(TRIM(rEmisor))=""CUALQUIERA""
),
OR(
UPPER(TRIM(r"&amp;"Tipo))=""SOLO EMISOR"",
AND(
UPPER(TRIM(rTipo))=""EXACTA"",
UPPER(TRIM(D1536))=UPPER(TRIM(rPatron))
),
AND(
OR(
UPPER(TRIM(rTipo))=""CONTIENE"",
UPPER(TRIM(rTipo))=""COINCIDENCIA""
),
ISNUMBER(SEARCH(UPPER(TRIM(rPatron)),UPPER(TRIM(D1536))))
)
)
),
rConce"&amp;"pto,
""""
)
)
)&lt;&gt;""""
),
1
),
""""
)"),"TRANSPORTE")</f>
        <v>TRANSPORTE</v>
      </c>
      <c r="L1536" s="27"/>
      <c r="M1536" s="27"/>
      <c r="N1536" s="27"/>
      <c r="O1536" s="27"/>
      <c r="P1536" s="27"/>
      <c r="Q1536" s="27"/>
      <c r="R1536" s="27"/>
      <c r="S1536" s="27"/>
      <c r="T1536" s="27"/>
      <c r="U1536" s="27"/>
      <c r="V1536" s="27"/>
      <c r="W1536" s="27"/>
      <c r="X1536" s="27"/>
      <c r="Y1536" s="27"/>
    </row>
    <row r="1537">
      <c r="A1537" s="28">
        <v>1.0</v>
      </c>
      <c r="B1537" s="28" t="s">
        <v>29</v>
      </c>
      <c r="C1537" s="29" t="s">
        <v>271</v>
      </c>
      <c r="D1537" s="29" t="s">
        <v>585</v>
      </c>
      <c r="E1537" s="28">
        <v>620.23</v>
      </c>
      <c r="F1537" s="28">
        <v>0.0</v>
      </c>
      <c r="G1537" s="28" t="s">
        <v>84</v>
      </c>
      <c r="H1537" s="28">
        <f t="array" ref="H1537">INDEX(CC!C:C,MATCH(1,(CC!A:A=G1537)*(CC!B:B=I1537),0))</f>
        <v>1002</v>
      </c>
      <c r="I1537" s="28" t="s">
        <v>25</v>
      </c>
      <c r="J1537" s="31">
        <v>620.23</v>
      </c>
      <c r="K1537" s="28" t="str">
        <f>IFERROR(__xludf.DUMMYFUNCTION("IFERROR(
INDEX(
FILTER(
MAP(
reglas!$B$2:$B$240,
reglas!$C$2:$C$240,
reglas!$D$2:$D$240,
reglas!$E$2:$E$240,
LAMBDA(rEmisor,rPatron,rConcepto,rTipo,
IF(
AND(
OR(
UPPER(TRIM(rEmisor))=UPPER(TRIM(C1537)),
UPPER(TRIM(rEmisor))=""CUALQUIERA""
),
OR(
UPPER(TRI"&amp;"M(rTipo))=""SOLO EMISOR"",
AND(
UPPER(TRIM(rTipo))=""EXACTA"",
UPPER(TRIM(AG1537))=UPPER(TRIM(rPatron))
),
AND(
OR(
UPPER(TRIM(rTipo))=""CONTIENE"",
UPPER(TRIM(rTipo))=""COINCIDENCIA""
),
ISNUMBER(SEARCH(UPPER(TRIM(rPatron)),UPPER(TRIM(D1537))))
)
)
),
rC"&amp;"oncepto,
""""
)
)
),
MAP(
reglas!$B$2:$B$240,
reglas!$C$2:$C$240,
reglas!$D$2:$D$240,
reglas!$E$2:$E$240,
LAMBDA(rEmisor,rPatron,rConcepto,rTipo,
IF(
AND(
OR(
UPPER(TRIM(rEmisor))=UPPER(TRIM(C1537)),
UPPER(TRIM(rEmisor))=""CUALQUIERA""
),
OR(
UPPER(TRIM(r"&amp;"Tipo))=""SOLO EMISOR"",
AND(
UPPER(TRIM(rTipo))=""EXACTA"",
UPPER(TRIM(D1537))=UPPER(TRIM(rPatron))
),
AND(
OR(
UPPER(TRIM(rTipo))=""CONTIENE"",
UPPER(TRIM(rTipo))=""COINCIDENCIA""
),
ISNUMBER(SEARCH(UPPER(TRIM(rPatron)),UPPER(TRIM(D1537))))
)
)
),
rConce"&amp;"pto,
""""
)
)
)&lt;&gt;""""
),
1
),
""""
)"),"MANIOBRAS")</f>
        <v>MANIOBRAS</v>
      </c>
      <c r="L1537" s="27"/>
      <c r="M1537" s="27"/>
      <c r="N1537" s="27"/>
      <c r="O1537" s="27"/>
      <c r="P1537" s="27"/>
      <c r="Q1537" s="27"/>
      <c r="R1537" s="27"/>
      <c r="S1537" s="27"/>
      <c r="T1537" s="27"/>
      <c r="U1537" s="27"/>
      <c r="V1537" s="27"/>
      <c r="W1537" s="27"/>
      <c r="X1537" s="27"/>
      <c r="Y1537" s="27"/>
    </row>
    <row r="1538">
      <c r="A1538" s="32"/>
      <c r="B1538" s="32"/>
      <c r="C1538" s="29" t="s">
        <v>271</v>
      </c>
      <c r="D1538" s="29" t="s">
        <v>587</v>
      </c>
      <c r="E1538" s="28">
        <v>567.47</v>
      </c>
      <c r="F1538" s="28">
        <v>0.0</v>
      </c>
      <c r="G1538" s="28" t="s">
        <v>84</v>
      </c>
      <c r="H1538" s="28">
        <f t="array" ref="H1538">INDEX(CC!C:C,MATCH(1,(CC!A:A=G1538)*(CC!B:B=I1538),0))</f>
        <v>1002</v>
      </c>
      <c r="I1538" s="28" t="s">
        <v>25</v>
      </c>
      <c r="J1538" s="31">
        <v>567.47</v>
      </c>
      <c r="K1538" s="28" t="str">
        <f>IFERROR(__xludf.DUMMYFUNCTION("IFERROR(
INDEX(
FILTER(
MAP(
reglas!$B$2:$B$240,
reglas!$C$2:$C$240,
reglas!$D$2:$D$240,
reglas!$E$2:$E$240,
LAMBDA(rEmisor,rPatron,rConcepto,rTipo,
IF(
AND(
OR(
UPPER(TRIM(rEmisor))=UPPER(TRIM(C1538)),
UPPER(TRIM(rEmisor))=""CUALQUIERA""
),
OR(
UPPER(TRI"&amp;"M(rTipo))=""SOLO EMISOR"",
AND(
UPPER(TRIM(rTipo))=""EXACTA"",
UPPER(TRIM(AG1538))=UPPER(TRIM(rPatron))
),
AND(
OR(
UPPER(TRIM(rTipo))=""CONTIENE"",
UPPER(TRIM(rTipo))=""COINCIDENCIA""
),
ISNUMBER(SEARCH(UPPER(TRIM(rPatron)),UPPER(TRIM(D1538))))
)
)
),
rC"&amp;"oncepto,
""""
)
)
),
MAP(
reglas!$B$2:$B$240,
reglas!$C$2:$C$240,
reglas!$D$2:$D$240,
reglas!$E$2:$E$240,
LAMBDA(rEmisor,rPatron,rConcepto,rTipo,
IF(
AND(
OR(
UPPER(TRIM(rEmisor))=UPPER(TRIM(C1538)),
UPPER(TRIM(rEmisor))=""CUALQUIERA""
),
OR(
UPPER(TRIM(r"&amp;"Tipo))=""SOLO EMISOR"",
AND(
UPPER(TRIM(rTipo))=""EXACTA"",
UPPER(TRIM(D1538))=UPPER(TRIM(rPatron))
),
AND(
OR(
UPPER(TRIM(rTipo))=""CONTIENE"",
UPPER(TRIM(rTipo))=""COINCIDENCIA""
),
ISNUMBER(SEARCH(UPPER(TRIM(rPatron)),UPPER(TRIM(D1538))))
)
)
),
rConce"&amp;"pto,
""""
)
)
)&lt;&gt;""""
),
1
),
""""
)"),"MANIOBRAS")</f>
        <v>MANIOBRAS</v>
      </c>
      <c r="L1538" s="27"/>
      <c r="M1538" s="27"/>
      <c r="N1538" s="27"/>
      <c r="O1538" s="27"/>
      <c r="P1538" s="27"/>
      <c r="Q1538" s="27"/>
      <c r="R1538" s="27"/>
      <c r="S1538" s="27"/>
      <c r="T1538" s="27"/>
      <c r="U1538" s="27"/>
      <c r="V1538" s="27"/>
      <c r="W1538" s="27"/>
      <c r="X1538" s="27"/>
      <c r="Y1538" s="27"/>
    </row>
    <row r="1539">
      <c r="A1539" s="32"/>
      <c r="B1539" s="32"/>
      <c r="C1539" s="29" t="s">
        <v>271</v>
      </c>
      <c r="D1539" s="29" t="s">
        <v>589</v>
      </c>
      <c r="E1539" s="28">
        <v>620.57</v>
      </c>
      <c r="F1539" s="28">
        <v>0.0</v>
      </c>
      <c r="G1539" s="28" t="s">
        <v>84</v>
      </c>
      <c r="H1539" s="28">
        <f t="array" ref="H1539">INDEX(CC!C:C,MATCH(1,(CC!A:A=G1539)*(CC!B:B=I1539),0))</f>
        <v>1002</v>
      </c>
      <c r="I1539" s="28" t="s">
        <v>25</v>
      </c>
      <c r="J1539" s="31">
        <v>620.57</v>
      </c>
      <c r="K1539" s="28" t="str">
        <f>IFERROR(__xludf.DUMMYFUNCTION("IFERROR(
INDEX(
FILTER(
MAP(
reglas!$B$2:$B$240,
reglas!$C$2:$C$240,
reglas!$D$2:$D$240,
reglas!$E$2:$E$240,
LAMBDA(rEmisor,rPatron,rConcepto,rTipo,
IF(
AND(
OR(
UPPER(TRIM(rEmisor))=UPPER(TRIM(C1539)),
UPPER(TRIM(rEmisor))=""CUALQUIERA""
),
OR(
UPPER(TRI"&amp;"M(rTipo))=""SOLO EMISOR"",
AND(
UPPER(TRIM(rTipo))=""EXACTA"",
UPPER(TRIM(AG1539))=UPPER(TRIM(rPatron))
),
AND(
OR(
UPPER(TRIM(rTipo))=""CONTIENE"",
UPPER(TRIM(rTipo))=""COINCIDENCIA""
),
ISNUMBER(SEARCH(UPPER(TRIM(rPatron)),UPPER(TRIM(D1539))))
)
)
),
rC"&amp;"oncepto,
""""
)
)
),
MAP(
reglas!$B$2:$B$240,
reglas!$C$2:$C$240,
reglas!$D$2:$D$240,
reglas!$E$2:$E$240,
LAMBDA(rEmisor,rPatron,rConcepto,rTipo,
IF(
AND(
OR(
UPPER(TRIM(rEmisor))=UPPER(TRIM(C1539)),
UPPER(TRIM(rEmisor))=""CUALQUIERA""
),
OR(
UPPER(TRIM(r"&amp;"Tipo))=""SOLO EMISOR"",
AND(
UPPER(TRIM(rTipo))=""EXACTA"",
UPPER(TRIM(D1539))=UPPER(TRIM(rPatron))
),
AND(
OR(
UPPER(TRIM(rTipo))=""CONTIENE"",
UPPER(TRIM(rTipo))=""COINCIDENCIA""
),
ISNUMBER(SEARCH(UPPER(TRIM(rPatron)),UPPER(TRIM(D1539))))
)
)
),
rConce"&amp;"pto,
""""
)
)
)&lt;&gt;""""
),
1
),
""""
)"),"MANIOBRAS")</f>
        <v>MANIOBRAS</v>
      </c>
      <c r="L1539" s="27"/>
      <c r="M1539" s="27"/>
      <c r="N1539" s="27"/>
      <c r="O1539" s="27"/>
      <c r="P1539" s="27"/>
      <c r="Q1539" s="27"/>
      <c r="R1539" s="27"/>
      <c r="S1539" s="27"/>
      <c r="T1539" s="27"/>
      <c r="U1539" s="27"/>
      <c r="V1539" s="27"/>
      <c r="W1539" s="27"/>
      <c r="X1539" s="27"/>
      <c r="Y1539" s="27"/>
    </row>
    <row r="1540">
      <c r="A1540" s="32"/>
      <c r="B1540" s="32"/>
      <c r="C1540" s="29" t="s">
        <v>271</v>
      </c>
      <c r="D1540" s="29" t="s">
        <v>596</v>
      </c>
      <c r="E1540" s="28">
        <v>651.11</v>
      </c>
      <c r="F1540" s="28">
        <v>0.0</v>
      </c>
      <c r="G1540" s="28" t="s">
        <v>84</v>
      </c>
      <c r="H1540" s="28">
        <f t="array" ref="H1540">INDEX(CC!C:C,MATCH(1,(CC!A:A=G1540)*(CC!B:B=I1540),0))</f>
        <v>1002</v>
      </c>
      <c r="I1540" s="28" t="s">
        <v>25</v>
      </c>
      <c r="J1540" s="31">
        <v>651.11</v>
      </c>
      <c r="K1540" s="28" t="str">
        <f>IFERROR(__xludf.DUMMYFUNCTION("IFERROR(
INDEX(
FILTER(
MAP(
reglas!$B$2:$B$240,
reglas!$C$2:$C$240,
reglas!$D$2:$D$240,
reglas!$E$2:$E$240,
LAMBDA(rEmisor,rPatron,rConcepto,rTipo,
IF(
AND(
OR(
UPPER(TRIM(rEmisor))=UPPER(TRIM(C1540)),
UPPER(TRIM(rEmisor))=""CUALQUIERA""
),
OR(
UPPER(TRI"&amp;"M(rTipo))=""SOLO EMISOR"",
AND(
UPPER(TRIM(rTipo))=""EXACTA"",
UPPER(TRIM(AG1540))=UPPER(TRIM(rPatron))
),
AND(
OR(
UPPER(TRIM(rTipo))=""CONTIENE"",
UPPER(TRIM(rTipo))=""COINCIDENCIA""
),
ISNUMBER(SEARCH(UPPER(TRIM(rPatron)),UPPER(TRIM(D1540))))
)
)
),
rC"&amp;"oncepto,
""""
)
)
),
MAP(
reglas!$B$2:$B$240,
reglas!$C$2:$C$240,
reglas!$D$2:$D$240,
reglas!$E$2:$E$240,
LAMBDA(rEmisor,rPatron,rConcepto,rTipo,
IF(
AND(
OR(
UPPER(TRIM(rEmisor))=UPPER(TRIM(C1540)),
UPPER(TRIM(rEmisor))=""CUALQUIERA""
),
OR(
UPPER(TRIM(r"&amp;"Tipo))=""SOLO EMISOR"",
AND(
UPPER(TRIM(rTipo))=""EXACTA"",
UPPER(TRIM(D1540))=UPPER(TRIM(rPatron))
),
AND(
OR(
UPPER(TRIM(rTipo))=""CONTIENE"",
UPPER(TRIM(rTipo))=""COINCIDENCIA""
),
ISNUMBER(SEARCH(UPPER(TRIM(rPatron)),UPPER(TRIM(D1540))))
)
)
),
rConce"&amp;"pto,
""""
)
)
)&lt;&gt;""""
),
1
),
""""
)"),"MANIOBRAS")</f>
        <v>MANIOBRAS</v>
      </c>
      <c r="L1540" s="27"/>
      <c r="M1540" s="27"/>
      <c r="N1540" s="27"/>
      <c r="O1540" s="27"/>
      <c r="P1540" s="27"/>
      <c r="Q1540" s="27"/>
      <c r="R1540" s="27"/>
      <c r="S1540" s="27"/>
      <c r="T1540" s="27"/>
      <c r="U1540" s="27"/>
      <c r="V1540" s="27"/>
      <c r="W1540" s="27"/>
      <c r="X1540" s="27"/>
      <c r="Y1540" s="27"/>
    </row>
    <row r="1541">
      <c r="A1541" s="32"/>
      <c r="B1541" s="28" t="s">
        <v>29</v>
      </c>
      <c r="C1541" s="29" t="s">
        <v>236</v>
      </c>
      <c r="D1541" s="29" t="s">
        <v>1805</v>
      </c>
      <c r="E1541" s="28">
        <v>75.0</v>
      </c>
      <c r="F1541" s="28">
        <v>0.0</v>
      </c>
      <c r="G1541" s="99" t="s">
        <v>74</v>
      </c>
      <c r="H1541" s="28">
        <f t="array" ref="H1541">INDEX(CC!C:C,MATCH(1,(CC!A:A=G1541)*(CC!B:B=I1541),0))</f>
        <v>1502</v>
      </c>
      <c r="I1541" s="28" t="s">
        <v>25</v>
      </c>
      <c r="J1541" s="31">
        <v>75.0</v>
      </c>
      <c r="K1541" s="28" t="str">
        <f>IFERROR(__xludf.DUMMYFUNCTION("IFERROR(
INDEX(
FILTER(
MAP(
reglas!$B$2:$B$240,
reglas!$C$2:$C$240,
reglas!$D$2:$D$240,
reglas!$E$2:$E$240,
LAMBDA(rEmisor,rPatron,rConcepto,rTipo,
IF(
AND(
OR(
UPPER(TRIM(rEmisor))=UPPER(TRIM(C1541)),
UPPER(TRIM(rEmisor))=""CUALQUIERA""
),
OR(
UPPER(TRI"&amp;"M(rTipo))=""SOLO EMISOR"",
AND(
UPPER(TRIM(rTipo))=""EXACTA"",
UPPER(TRIM(AG1541))=UPPER(TRIM(rPatron))
),
AND(
OR(
UPPER(TRIM(rTipo))=""CONTIENE"",
UPPER(TRIM(rTipo))=""COINCIDENCIA""
),
ISNUMBER(SEARCH(UPPER(TRIM(rPatron)),UPPER(TRIM(D1541))))
)
)
),
rC"&amp;"oncepto,
""""
)
)
),
MAP(
reglas!$B$2:$B$240,
reglas!$C$2:$C$240,
reglas!$D$2:$D$240,
reglas!$E$2:$E$240,
LAMBDA(rEmisor,rPatron,rConcepto,rTipo,
IF(
AND(
OR(
UPPER(TRIM(rEmisor))=UPPER(TRIM(C1541)),
UPPER(TRIM(rEmisor))=""CUALQUIERA""
),
OR(
UPPER(TRIM(r"&amp;"Tipo))=""SOLO EMISOR"",
AND(
UPPER(TRIM(rTipo))=""EXACTA"",
UPPER(TRIM(D1541))=UPPER(TRIM(rPatron))
),
AND(
OR(
UPPER(TRIM(rTipo))=""CONTIENE"",
UPPER(TRIM(rTipo))=""COINCIDENCIA""
),
ISNUMBER(SEARCH(UPPER(TRIM(rPatron)),UPPER(TRIM(D1541))))
)
)
),
rConce"&amp;"pto,
""""
)
)
)&lt;&gt;""""
),
1
),
""""
)"),"PAPELERIA")</f>
        <v>PAPELERIA</v>
      </c>
      <c r="L1541" s="27"/>
      <c r="M1541" s="27"/>
      <c r="N1541" s="27"/>
      <c r="O1541" s="27"/>
      <c r="P1541" s="27"/>
      <c r="Q1541" s="27"/>
      <c r="R1541" s="27"/>
      <c r="S1541" s="27"/>
      <c r="T1541" s="27"/>
      <c r="U1541" s="27"/>
      <c r="V1541" s="27"/>
      <c r="W1541" s="27"/>
      <c r="X1541" s="27"/>
      <c r="Y1541" s="27"/>
    </row>
    <row r="1542">
      <c r="A1542" s="32"/>
      <c r="B1542" s="32"/>
      <c r="C1542" s="29" t="s">
        <v>236</v>
      </c>
      <c r="D1542" s="29" t="s">
        <v>1916</v>
      </c>
      <c r="E1542" s="28">
        <v>240.0</v>
      </c>
      <c r="F1542" s="28">
        <v>0.0</v>
      </c>
      <c r="G1542" s="99" t="s">
        <v>74</v>
      </c>
      <c r="H1542" s="28">
        <f t="array" ref="H1542">INDEX(CC!C:C,MATCH(1,(CC!A:A=G1542)*(CC!B:B=I1542),0))</f>
        <v>1502</v>
      </c>
      <c r="I1542" s="28" t="s">
        <v>25</v>
      </c>
      <c r="J1542" s="31">
        <v>240.0</v>
      </c>
      <c r="K1542" s="28" t="str">
        <f>IFERROR(__xludf.DUMMYFUNCTION("IFERROR(
INDEX(
FILTER(
MAP(
reglas!$B$2:$B$240,
reglas!$C$2:$C$240,
reglas!$D$2:$D$240,
reglas!$E$2:$E$240,
LAMBDA(rEmisor,rPatron,rConcepto,rTipo,
IF(
AND(
OR(
UPPER(TRIM(rEmisor))=UPPER(TRIM(C1542)),
UPPER(TRIM(rEmisor))=""CUALQUIERA""
),
OR(
UPPER(TRI"&amp;"M(rTipo))=""SOLO EMISOR"",
AND(
UPPER(TRIM(rTipo))=""EXACTA"",
UPPER(TRIM(AG1542))=UPPER(TRIM(rPatron))
),
AND(
OR(
UPPER(TRIM(rTipo))=""CONTIENE"",
UPPER(TRIM(rTipo))=""COINCIDENCIA""
),
ISNUMBER(SEARCH(UPPER(TRIM(rPatron)),UPPER(TRIM(D1542))))
)
)
),
rC"&amp;"oncepto,
""""
)
)
),
MAP(
reglas!$B$2:$B$240,
reglas!$C$2:$C$240,
reglas!$D$2:$D$240,
reglas!$E$2:$E$240,
LAMBDA(rEmisor,rPatron,rConcepto,rTipo,
IF(
AND(
OR(
UPPER(TRIM(rEmisor))=UPPER(TRIM(C1542)),
UPPER(TRIM(rEmisor))=""CUALQUIERA""
),
OR(
UPPER(TRIM(r"&amp;"Tipo))=""SOLO EMISOR"",
AND(
UPPER(TRIM(rTipo))=""EXACTA"",
UPPER(TRIM(D1542))=UPPER(TRIM(rPatron))
),
AND(
OR(
UPPER(TRIM(rTipo))=""CONTIENE"",
UPPER(TRIM(rTipo))=""COINCIDENCIA""
),
ISNUMBER(SEARCH(UPPER(TRIM(rPatron)),UPPER(TRIM(D1542))))
)
)
),
rConce"&amp;"pto,
""""
)
)
)&lt;&gt;""""
),
1
),
""""
)"),"PAPELERIA")</f>
        <v>PAPELERIA</v>
      </c>
      <c r="L1542" s="27"/>
      <c r="M1542" s="27"/>
      <c r="N1542" s="27"/>
      <c r="O1542" s="27"/>
      <c r="P1542" s="27"/>
      <c r="Q1542" s="27"/>
      <c r="R1542" s="27"/>
      <c r="S1542" s="27"/>
      <c r="T1542" s="27"/>
      <c r="U1542" s="27"/>
      <c r="V1542" s="27"/>
      <c r="W1542" s="27"/>
      <c r="X1542" s="27"/>
      <c r="Y1542" s="27"/>
    </row>
    <row r="1543">
      <c r="A1543" s="32"/>
      <c r="B1543" s="32"/>
      <c r="C1543" s="29" t="s">
        <v>236</v>
      </c>
      <c r="D1543" s="29" t="s">
        <v>1802</v>
      </c>
      <c r="E1543" s="30">
        <v>1760.0</v>
      </c>
      <c r="F1543" s="28">
        <v>0.0</v>
      </c>
      <c r="G1543" s="99" t="s">
        <v>74</v>
      </c>
      <c r="H1543" s="28">
        <f t="array" ref="H1543">INDEX(CC!C:C,MATCH(1,(CC!A:A=G1543)*(CC!B:B=I1543),0))</f>
        <v>1502</v>
      </c>
      <c r="I1543" s="28" t="s">
        <v>25</v>
      </c>
      <c r="J1543" s="31">
        <v>1760.0</v>
      </c>
      <c r="K1543" s="28" t="str">
        <f>IFERROR(__xludf.DUMMYFUNCTION("IFERROR(
INDEX(
FILTER(
MAP(
reglas!$B$2:$B$240,
reglas!$C$2:$C$240,
reglas!$D$2:$D$240,
reglas!$E$2:$E$240,
LAMBDA(rEmisor,rPatron,rConcepto,rTipo,
IF(
AND(
OR(
UPPER(TRIM(rEmisor))=UPPER(TRIM(C1543)),
UPPER(TRIM(rEmisor))=""CUALQUIERA""
),
OR(
UPPER(TRI"&amp;"M(rTipo))=""SOLO EMISOR"",
AND(
UPPER(TRIM(rTipo))=""EXACTA"",
UPPER(TRIM(AG1543))=UPPER(TRIM(rPatron))
),
AND(
OR(
UPPER(TRIM(rTipo))=""CONTIENE"",
UPPER(TRIM(rTipo))=""COINCIDENCIA""
),
ISNUMBER(SEARCH(UPPER(TRIM(rPatron)),UPPER(TRIM(D1543))))
)
)
),
rC"&amp;"oncepto,
""""
)
)
),
MAP(
reglas!$B$2:$B$240,
reglas!$C$2:$C$240,
reglas!$D$2:$D$240,
reglas!$E$2:$E$240,
LAMBDA(rEmisor,rPatron,rConcepto,rTipo,
IF(
AND(
OR(
UPPER(TRIM(rEmisor))=UPPER(TRIM(C1543)),
UPPER(TRIM(rEmisor))=""CUALQUIERA""
),
OR(
UPPER(TRIM(r"&amp;"Tipo))=""SOLO EMISOR"",
AND(
UPPER(TRIM(rTipo))=""EXACTA"",
UPPER(TRIM(D1543))=UPPER(TRIM(rPatron))
),
AND(
OR(
UPPER(TRIM(rTipo))=""CONTIENE"",
UPPER(TRIM(rTipo))=""COINCIDENCIA""
),
ISNUMBER(SEARCH(UPPER(TRIM(rPatron)),UPPER(TRIM(D1543))))
)
)
),
rConce"&amp;"pto,
""""
)
)
)&lt;&gt;""""
),
1
),
""""
)"),"PAPELERIA")</f>
        <v>PAPELERIA</v>
      </c>
      <c r="L1543" s="27"/>
      <c r="M1543" s="27"/>
      <c r="N1543" s="27"/>
      <c r="O1543" s="27"/>
      <c r="P1543" s="27"/>
      <c r="Q1543" s="27"/>
      <c r="R1543" s="27"/>
      <c r="S1543" s="27"/>
      <c r="T1543" s="27"/>
      <c r="U1543" s="27"/>
      <c r="V1543" s="27"/>
      <c r="W1543" s="27"/>
      <c r="X1543" s="27"/>
      <c r="Y1543" s="27"/>
    </row>
    <row r="1544">
      <c r="A1544" s="32"/>
      <c r="B1544" s="32"/>
      <c r="C1544" s="29" t="s">
        <v>236</v>
      </c>
      <c r="D1544" s="29" t="s">
        <v>1808</v>
      </c>
      <c r="E1544" s="28">
        <v>18.0</v>
      </c>
      <c r="F1544" s="28">
        <v>0.0</v>
      </c>
      <c r="G1544" s="99" t="s">
        <v>74</v>
      </c>
      <c r="H1544" s="28">
        <f t="array" ref="H1544">INDEX(CC!C:C,MATCH(1,(CC!A:A=G1544)*(CC!B:B=I1544),0))</f>
        <v>1502</v>
      </c>
      <c r="I1544" s="28" t="s">
        <v>25</v>
      </c>
      <c r="J1544" s="31">
        <v>18.0</v>
      </c>
      <c r="K1544" s="28" t="str">
        <f>IFERROR(__xludf.DUMMYFUNCTION("IFERROR(
INDEX(
FILTER(
MAP(
reglas!$B$2:$B$240,
reglas!$C$2:$C$240,
reglas!$D$2:$D$240,
reglas!$E$2:$E$240,
LAMBDA(rEmisor,rPatron,rConcepto,rTipo,
IF(
AND(
OR(
UPPER(TRIM(rEmisor))=UPPER(TRIM(C1544)),
UPPER(TRIM(rEmisor))=""CUALQUIERA""
),
OR(
UPPER(TRI"&amp;"M(rTipo))=""SOLO EMISOR"",
AND(
UPPER(TRIM(rTipo))=""EXACTA"",
UPPER(TRIM(AG1544))=UPPER(TRIM(rPatron))
),
AND(
OR(
UPPER(TRIM(rTipo))=""CONTIENE"",
UPPER(TRIM(rTipo))=""COINCIDENCIA""
),
ISNUMBER(SEARCH(UPPER(TRIM(rPatron)),UPPER(TRIM(D1544))))
)
)
),
rC"&amp;"oncepto,
""""
)
)
),
MAP(
reglas!$B$2:$B$240,
reglas!$C$2:$C$240,
reglas!$D$2:$D$240,
reglas!$E$2:$E$240,
LAMBDA(rEmisor,rPatron,rConcepto,rTipo,
IF(
AND(
OR(
UPPER(TRIM(rEmisor))=UPPER(TRIM(C1544)),
UPPER(TRIM(rEmisor))=""CUALQUIERA""
),
OR(
UPPER(TRIM(r"&amp;"Tipo))=""SOLO EMISOR"",
AND(
UPPER(TRIM(rTipo))=""EXACTA"",
UPPER(TRIM(D1544))=UPPER(TRIM(rPatron))
),
AND(
OR(
UPPER(TRIM(rTipo))=""CONTIENE"",
UPPER(TRIM(rTipo))=""COINCIDENCIA""
),
ISNUMBER(SEARCH(UPPER(TRIM(rPatron)),UPPER(TRIM(D1544))))
)
)
),
rConce"&amp;"pto,
""""
)
)
)&lt;&gt;""""
),
1
),
""""
)"),"PAPELERIA")</f>
        <v>PAPELERIA</v>
      </c>
      <c r="L1544" s="27"/>
      <c r="M1544" s="27"/>
      <c r="N1544" s="27"/>
      <c r="O1544" s="27"/>
      <c r="P1544" s="27"/>
      <c r="Q1544" s="27"/>
      <c r="R1544" s="27"/>
      <c r="S1544" s="27"/>
      <c r="T1544" s="27"/>
      <c r="U1544" s="27"/>
      <c r="V1544" s="27"/>
      <c r="W1544" s="27"/>
      <c r="X1544" s="27"/>
      <c r="Y1544" s="27"/>
    </row>
    <row r="1545">
      <c r="A1545" s="32"/>
      <c r="B1545" s="32"/>
      <c r="C1545" s="29" t="s">
        <v>236</v>
      </c>
      <c r="D1545" s="29" t="s">
        <v>1799</v>
      </c>
      <c r="E1545" s="28">
        <v>327.0</v>
      </c>
      <c r="F1545" s="28">
        <v>0.0</v>
      </c>
      <c r="G1545" s="99" t="s">
        <v>74</v>
      </c>
      <c r="H1545" s="28">
        <f t="array" ref="H1545">INDEX(CC!C:C,MATCH(1,(CC!A:A=G1545)*(CC!B:B=I1545),0))</f>
        <v>1502</v>
      </c>
      <c r="I1545" s="28" t="s">
        <v>25</v>
      </c>
      <c r="J1545" s="31">
        <v>327.0</v>
      </c>
      <c r="K1545" s="28" t="str">
        <f>IFERROR(__xludf.DUMMYFUNCTION("IFERROR(
INDEX(
FILTER(
MAP(
reglas!$B$2:$B$240,
reglas!$C$2:$C$240,
reglas!$D$2:$D$240,
reglas!$E$2:$E$240,
LAMBDA(rEmisor,rPatron,rConcepto,rTipo,
IF(
AND(
OR(
UPPER(TRIM(rEmisor))=UPPER(TRIM(C1545)),
UPPER(TRIM(rEmisor))=""CUALQUIERA""
),
OR(
UPPER(TRI"&amp;"M(rTipo))=""SOLO EMISOR"",
AND(
UPPER(TRIM(rTipo))=""EXACTA"",
UPPER(TRIM(AG1545))=UPPER(TRIM(rPatron))
),
AND(
OR(
UPPER(TRIM(rTipo))=""CONTIENE"",
UPPER(TRIM(rTipo))=""COINCIDENCIA""
),
ISNUMBER(SEARCH(UPPER(TRIM(rPatron)),UPPER(TRIM(D1545))))
)
)
),
rC"&amp;"oncepto,
""""
)
)
),
MAP(
reglas!$B$2:$B$240,
reglas!$C$2:$C$240,
reglas!$D$2:$D$240,
reglas!$E$2:$E$240,
LAMBDA(rEmisor,rPatron,rConcepto,rTipo,
IF(
AND(
OR(
UPPER(TRIM(rEmisor))=UPPER(TRIM(C1545)),
UPPER(TRIM(rEmisor))=""CUALQUIERA""
),
OR(
UPPER(TRIM(r"&amp;"Tipo))=""SOLO EMISOR"",
AND(
UPPER(TRIM(rTipo))=""EXACTA"",
UPPER(TRIM(D1545))=UPPER(TRIM(rPatron))
),
AND(
OR(
UPPER(TRIM(rTipo))=""CONTIENE"",
UPPER(TRIM(rTipo))=""COINCIDENCIA""
),
ISNUMBER(SEARCH(UPPER(TRIM(rPatron)),UPPER(TRIM(D1545))))
)
)
),
rConce"&amp;"pto,
""""
)
)
)&lt;&gt;""""
),
1
),
""""
)"),"PAPELERIA")</f>
        <v>PAPELERIA</v>
      </c>
      <c r="L1545" s="27"/>
      <c r="M1545" s="27"/>
      <c r="N1545" s="27"/>
      <c r="O1545" s="27"/>
      <c r="P1545" s="27"/>
      <c r="Q1545" s="27"/>
      <c r="R1545" s="27"/>
      <c r="S1545" s="27"/>
      <c r="T1545" s="27"/>
      <c r="U1545" s="27"/>
      <c r="V1545" s="27"/>
      <c r="W1545" s="27"/>
      <c r="X1545" s="27"/>
      <c r="Y1545" s="27"/>
    </row>
    <row r="1546">
      <c r="A1546" s="32"/>
      <c r="B1546" s="32"/>
      <c r="C1546" s="29" t="s">
        <v>236</v>
      </c>
      <c r="D1546" s="29" t="s">
        <v>1798</v>
      </c>
      <c r="E1546" s="28">
        <v>929.0</v>
      </c>
      <c r="F1546" s="28">
        <v>0.0</v>
      </c>
      <c r="G1546" s="99" t="s">
        <v>74</v>
      </c>
      <c r="H1546" s="28">
        <f t="array" ref="H1546">INDEX(CC!C:C,MATCH(1,(CC!A:A=G1546)*(CC!B:B=I1546),0))</f>
        <v>1502</v>
      </c>
      <c r="I1546" s="28" t="s">
        <v>25</v>
      </c>
      <c r="J1546" s="31">
        <v>929.0</v>
      </c>
      <c r="K1546" s="28" t="str">
        <f>IFERROR(__xludf.DUMMYFUNCTION("IFERROR(
INDEX(
FILTER(
MAP(
reglas!$B$2:$B$240,
reglas!$C$2:$C$240,
reglas!$D$2:$D$240,
reglas!$E$2:$E$240,
LAMBDA(rEmisor,rPatron,rConcepto,rTipo,
IF(
AND(
OR(
UPPER(TRIM(rEmisor))=UPPER(TRIM(C1546)),
UPPER(TRIM(rEmisor))=""CUALQUIERA""
),
OR(
UPPER(TRI"&amp;"M(rTipo))=""SOLO EMISOR"",
AND(
UPPER(TRIM(rTipo))=""EXACTA"",
UPPER(TRIM(AG1546))=UPPER(TRIM(rPatron))
),
AND(
OR(
UPPER(TRIM(rTipo))=""CONTIENE"",
UPPER(TRIM(rTipo))=""COINCIDENCIA""
),
ISNUMBER(SEARCH(UPPER(TRIM(rPatron)),UPPER(TRIM(D1546))))
)
)
),
rC"&amp;"oncepto,
""""
)
)
),
MAP(
reglas!$B$2:$B$240,
reglas!$C$2:$C$240,
reglas!$D$2:$D$240,
reglas!$E$2:$E$240,
LAMBDA(rEmisor,rPatron,rConcepto,rTipo,
IF(
AND(
OR(
UPPER(TRIM(rEmisor))=UPPER(TRIM(C1546)),
UPPER(TRIM(rEmisor))=""CUALQUIERA""
),
OR(
UPPER(TRIM(r"&amp;"Tipo))=""SOLO EMISOR"",
AND(
UPPER(TRIM(rTipo))=""EXACTA"",
UPPER(TRIM(D1546))=UPPER(TRIM(rPatron))
),
AND(
OR(
UPPER(TRIM(rTipo))=""CONTIENE"",
UPPER(TRIM(rTipo))=""COINCIDENCIA""
),
ISNUMBER(SEARCH(UPPER(TRIM(rPatron)),UPPER(TRIM(D1546))))
)
)
),
rConce"&amp;"pto,
""""
)
)
)&lt;&gt;""""
),
1
),
""""
)"),"PAPELERIA")</f>
        <v>PAPELERIA</v>
      </c>
      <c r="L1546" s="27"/>
      <c r="M1546" s="27"/>
      <c r="N1546" s="27"/>
      <c r="O1546" s="27"/>
      <c r="P1546" s="27"/>
      <c r="Q1546" s="27"/>
      <c r="R1546" s="27"/>
      <c r="S1546" s="27"/>
      <c r="T1546" s="27"/>
      <c r="U1546" s="27"/>
      <c r="V1546" s="27"/>
      <c r="W1546" s="27"/>
      <c r="X1546" s="27"/>
      <c r="Y1546" s="27"/>
    </row>
    <row r="1547">
      <c r="A1547" s="32"/>
      <c r="B1547" s="32"/>
      <c r="C1547" s="29" t="s">
        <v>236</v>
      </c>
      <c r="D1547" s="29" t="s">
        <v>1917</v>
      </c>
      <c r="E1547" s="28">
        <v>96.0</v>
      </c>
      <c r="F1547" s="28">
        <v>0.0</v>
      </c>
      <c r="G1547" s="99" t="s">
        <v>74</v>
      </c>
      <c r="H1547" s="28">
        <f t="array" ref="H1547">INDEX(CC!C:C,MATCH(1,(CC!A:A=G1547)*(CC!B:B=I1547),0))</f>
        <v>1502</v>
      </c>
      <c r="I1547" s="28" t="s">
        <v>25</v>
      </c>
      <c r="J1547" s="31">
        <v>96.0</v>
      </c>
      <c r="K1547" s="28" t="str">
        <f>IFERROR(__xludf.DUMMYFUNCTION("IFERROR(
INDEX(
FILTER(
MAP(
reglas!$B$2:$B$240,
reglas!$C$2:$C$240,
reglas!$D$2:$D$240,
reglas!$E$2:$E$240,
LAMBDA(rEmisor,rPatron,rConcepto,rTipo,
IF(
AND(
OR(
UPPER(TRIM(rEmisor))=UPPER(TRIM(C1547)),
UPPER(TRIM(rEmisor))=""CUALQUIERA""
),
OR(
UPPER(TRI"&amp;"M(rTipo))=""SOLO EMISOR"",
AND(
UPPER(TRIM(rTipo))=""EXACTA"",
UPPER(TRIM(AG1547))=UPPER(TRIM(rPatron))
),
AND(
OR(
UPPER(TRIM(rTipo))=""CONTIENE"",
UPPER(TRIM(rTipo))=""COINCIDENCIA""
),
ISNUMBER(SEARCH(UPPER(TRIM(rPatron)),UPPER(TRIM(D1547))))
)
)
),
rC"&amp;"oncepto,
""""
)
)
),
MAP(
reglas!$B$2:$B$240,
reglas!$C$2:$C$240,
reglas!$D$2:$D$240,
reglas!$E$2:$E$240,
LAMBDA(rEmisor,rPatron,rConcepto,rTipo,
IF(
AND(
OR(
UPPER(TRIM(rEmisor))=UPPER(TRIM(C1547)),
UPPER(TRIM(rEmisor))=""CUALQUIERA""
),
OR(
UPPER(TRIM(r"&amp;"Tipo))=""SOLO EMISOR"",
AND(
UPPER(TRIM(rTipo))=""EXACTA"",
UPPER(TRIM(D1547))=UPPER(TRIM(rPatron))
),
AND(
OR(
UPPER(TRIM(rTipo))=""CONTIENE"",
UPPER(TRIM(rTipo))=""COINCIDENCIA""
),
ISNUMBER(SEARCH(UPPER(TRIM(rPatron)),UPPER(TRIM(D1547))))
)
)
),
rConce"&amp;"pto,
""""
)
)
)&lt;&gt;""""
),
1
),
""""
)"),"PAPELERIA")</f>
        <v>PAPELERIA</v>
      </c>
      <c r="L1547" s="27"/>
      <c r="M1547" s="27"/>
      <c r="N1547" s="27"/>
      <c r="O1547" s="27"/>
      <c r="P1547" s="27"/>
      <c r="Q1547" s="27"/>
      <c r="R1547" s="27"/>
      <c r="S1547" s="27"/>
      <c r="T1547" s="27"/>
      <c r="U1547" s="27"/>
      <c r="V1547" s="27"/>
      <c r="W1547" s="27"/>
      <c r="X1547" s="27"/>
      <c r="Y1547" s="27"/>
    </row>
    <row r="1548">
      <c r="A1548" s="32"/>
      <c r="B1548" s="32"/>
      <c r="C1548" s="29" t="s">
        <v>236</v>
      </c>
      <c r="D1548" s="29" t="s">
        <v>1918</v>
      </c>
      <c r="E1548" s="28">
        <v>66.0</v>
      </c>
      <c r="F1548" s="28">
        <v>0.0</v>
      </c>
      <c r="G1548" s="99" t="s">
        <v>74</v>
      </c>
      <c r="H1548" s="28">
        <f t="array" ref="H1548">INDEX(CC!C:C,MATCH(1,(CC!A:A=G1548)*(CC!B:B=I1548),0))</f>
        <v>1502</v>
      </c>
      <c r="I1548" s="28" t="s">
        <v>25</v>
      </c>
      <c r="J1548" s="31">
        <v>66.0</v>
      </c>
      <c r="K1548" s="28" t="str">
        <f>IFERROR(__xludf.DUMMYFUNCTION("IFERROR(
INDEX(
FILTER(
MAP(
reglas!$B$2:$B$240,
reglas!$C$2:$C$240,
reglas!$D$2:$D$240,
reglas!$E$2:$E$240,
LAMBDA(rEmisor,rPatron,rConcepto,rTipo,
IF(
AND(
OR(
UPPER(TRIM(rEmisor))=UPPER(TRIM(C1548)),
UPPER(TRIM(rEmisor))=""CUALQUIERA""
),
OR(
UPPER(TRI"&amp;"M(rTipo))=""SOLO EMISOR"",
AND(
UPPER(TRIM(rTipo))=""EXACTA"",
UPPER(TRIM(AG1548))=UPPER(TRIM(rPatron))
),
AND(
OR(
UPPER(TRIM(rTipo))=""CONTIENE"",
UPPER(TRIM(rTipo))=""COINCIDENCIA""
),
ISNUMBER(SEARCH(UPPER(TRIM(rPatron)),UPPER(TRIM(D1548))))
)
)
),
rC"&amp;"oncepto,
""""
)
)
),
MAP(
reglas!$B$2:$B$240,
reglas!$C$2:$C$240,
reglas!$D$2:$D$240,
reglas!$E$2:$E$240,
LAMBDA(rEmisor,rPatron,rConcepto,rTipo,
IF(
AND(
OR(
UPPER(TRIM(rEmisor))=UPPER(TRIM(C1548)),
UPPER(TRIM(rEmisor))=""CUALQUIERA""
),
OR(
UPPER(TRIM(r"&amp;"Tipo))=""SOLO EMISOR"",
AND(
UPPER(TRIM(rTipo))=""EXACTA"",
UPPER(TRIM(D1548))=UPPER(TRIM(rPatron))
),
AND(
OR(
UPPER(TRIM(rTipo))=""CONTIENE"",
UPPER(TRIM(rTipo))=""COINCIDENCIA""
),
ISNUMBER(SEARCH(UPPER(TRIM(rPatron)),UPPER(TRIM(D1548))))
)
)
),
rConce"&amp;"pto,
""""
)
)
)&lt;&gt;""""
),
1
),
""""
)"),"PAPELERIA")</f>
        <v>PAPELERIA</v>
      </c>
      <c r="L1548" s="27"/>
      <c r="M1548" s="27"/>
      <c r="N1548" s="27"/>
      <c r="O1548" s="27"/>
      <c r="P1548" s="27"/>
      <c r="Q1548" s="27"/>
      <c r="R1548" s="27"/>
      <c r="S1548" s="27"/>
      <c r="T1548" s="27"/>
      <c r="U1548" s="27"/>
      <c r="V1548" s="27"/>
      <c r="W1548" s="27"/>
      <c r="X1548" s="27"/>
      <c r="Y1548" s="27"/>
    </row>
    <row r="1549">
      <c r="A1549" s="32"/>
      <c r="B1549" s="32"/>
      <c r="C1549" s="29" t="s">
        <v>236</v>
      </c>
      <c r="D1549" s="29" t="s">
        <v>1806</v>
      </c>
      <c r="E1549" s="28">
        <v>84.0</v>
      </c>
      <c r="F1549" s="28">
        <v>0.0</v>
      </c>
      <c r="G1549" s="99" t="s">
        <v>74</v>
      </c>
      <c r="H1549" s="28">
        <f t="array" ref="H1549">INDEX(CC!C:C,MATCH(1,(CC!A:A=G1549)*(CC!B:B=I1549),0))</f>
        <v>1502</v>
      </c>
      <c r="I1549" s="28" t="s">
        <v>25</v>
      </c>
      <c r="J1549" s="31">
        <v>84.0</v>
      </c>
      <c r="K1549" s="28" t="str">
        <f>IFERROR(__xludf.DUMMYFUNCTION("IFERROR(
INDEX(
FILTER(
MAP(
reglas!$B$2:$B$240,
reglas!$C$2:$C$240,
reglas!$D$2:$D$240,
reglas!$E$2:$E$240,
LAMBDA(rEmisor,rPatron,rConcepto,rTipo,
IF(
AND(
OR(
UPPER(TRIM(rEmisor))=UPPER(TRIM(C1549)),
UPPER(TRIM(rEmisor))=""CUALQUIERA""
),
OR(
UPPER(TRI"&amp;"M(rTipo))=""SOLO EMISOR"",
AND(
UPPER(TRIM(rTipo))=""EXACTA"",
UPPER(TRIM(AG1549))=UPPER(TRIM(rPatron))
),
AND(
OR(
UPPER(TRIM(rTipo))=""CONTIENE"",
UPPER(TRIM(rTipo))=""COINCIDENCIA""
),
ISNUMBER(SEARCH(UPPER(TRIM(rPatron)),UPPER(TRIM(D1549))))
)
)
),
rC"&amp;"oncepto,
""""
)
)
),
MAP(
reglas!$B$2:$B$240,
reglas!$C$2:$C$240,
reglas!$D$2:$D$240,
reglas!$E$2:$E$240,
LAMBDA(rEmisor,rPatron,rConcepto,rTipo,
IF(
AND(
OR(
UPPER(TRIM(rEmisor))=UPPER(TRIM(C1549)),
UPPER(TRIM(rEmisor))=""CUALQUIERA""
),
OR(
UPPER(TRIM(r"&amp;"Tipo))=""SOLO EMISOR"",
AND(
UPPER(TRIM(rTipo))=""EXACTA"",
UPPER(TRIM(D1549))=UPPER(TRIM(rPatron))
),
AND(
OR(
UPPER(TRIM(rTipo))=""CONTIENE"",
UPPER(TRIM(rTipo))=""COINCIDENCIA""
),
ISNUMBER(SEARCH(UPPER(TRIM(rPatron)),UPPER(TRIM(D1549))))
)
)
),
rConce"&amp;"pto,
""""
)
)
)&lt;&gt;""""
),
1
),
""""
)"),"PAPELERIA")</f>
        <v>PAPELERIA</v>
      </c>
      <c r="L1549" s="27"/>
      <c r="M1549" s="27"/>
      <c r="N1549" s="27"/>
      <c r="O1549" s="27"/>
      <c r="P1549" s="27"/>
      <c r="Q1549" s="27"/>
      <c r="R1549" s="27"/>
      <c r="S1549" s="27"/>
      <c r="T1549" s="27"/>
      <c r="U1549" s="27"/>
      <c r="V1549" s="27"/>
      <c r="W1549" s="27"/>
      <c r="X1549" s="27"/>
      <c r="Y1549" s="27"/>
    </row>
    <row r="1550">
      <c r="A1550" s="32"/>
      <c r="B1550" s="32"/>
      <c r="C1550" s="29" t="s">
        <v>236</v>
      </c>
      <c r="D1550" s="29" t="s">
        <v>1919</v>
      </c>
      <c r="E1550" s="28">
        <v>125.86</v>
      </c>
      <c r="F1550" s="28">
        <v>0.0</v>
      </c>
      <c r="G1550" s="99" t="s">
        <v>74</v>
      </c>
      <c r="H1550" s="28">
        <f t="array" ref="H1550">INDEX(CC!C:C,MATCH(1,(CC!A:A=G1550)*(CC!B:B=I1550),0))</f>
        <v>1502</v>
      </c>
      <c r="I1550" s="28" t="s">
        <v>25</v>
      </c>
      <c r="J1550" s="31">
        <v>125.86</v>
      </c>
      <c r="K1550" s="28" t="str">
        <f>IFERROR(__xludf.DUMMYFUNCTION("IFERROR(
INDEX(
FILTER(
MAP(
reglas!$B$2:$B$240,
reglas!$C$2:$C$240,
reglas!$D$2:$D$240,
reglas!$E$2:$E$240,
LAMBDA(rEmisor,rPatron,rConcepto,rTipo,
IF(
AND(
OR(
UPPER(TRIM(rEmisor))=UPPER(TRIM(C1550)),
UPPER(TRIM(rEmisor))=""CUALQUIERA""
),
OR(
UPPER(TRI"&amp;"M(rTipo))=""SOLO EMISOR"",
AND(
UPPER(TRIM(rTipo))=""EXACTA"",
UPPER(TRIM(AG1550))=UPPER(TRIM(rPatron))
),
AND(
OR(
UPPER(TRIM(rTipo))=""CONTIENE"",
UPPER(TRIM(rTipo))=""COINCIDENCIA""
),
ISNUMBER(SEARCH(UPPER(TRIM(rPatron)),UPPER(TRIM(D1550))))
)
)
),
rC"&amp;"oncepto,
""""
)
)
),
MAP(
reglas!$B$2:$B$240,
reglas!$C$2:$C$240,
reglas!$D$2:$D$240,
reglas!$E$2:$E$240,
LAMBDA(rEmisor,rPatron,rConcepto,rTipo,
IF(
AND(
OR(
UPPER(TRIM(rEmisor))=UPPER(TRIM(C1550)),
UPPER(TRIM(rEmisor))=""CUALQUIERA""
),
OR(
UPPER(TRIM(r"&amp;"Tipo))=""SOLO EMISOR"",
AND(
UPPER(TRIM(rTipo))=""EXACTA"",
UPPER(TRIM(D1550))=UPPER(TRIM(rPatron))
),
AND(
OR(
UPPER(TRIM(rTipo))=""CONTIENE"",
UPPER(TRIM(rTipo))=""COINCIDENCIA""
),
ISNUMBER(SEARCH(UPPER(TRIM(rPatron)),UPPER(TRIM(D1550))))
)
)
),
rConce"&amp;"pto,
""""
)
)
)&lt;&gt;""""
),
1
),
""""
)"),"PAPELERIA")</f>
        <v>PAPELERIA</v>
      </c>
      <c r="L1550" s="27"/>
      <c r="M1550" s="27"/>
      <c r="N1550" s="27"/>
      <c r="O1550" s="27"/>
      <c r="P1550" s="27"/>
      <c r="Q1550" s="27"/>
      <c r="R1550" s="27"/>
      <c r="S1550" s="27"/>
      <c r="T1550" s="27"/>
      <c r="U1550" s="27"/>
      <c r="V1550" s="27"/>
      <c r="W1550" s="27"/>
      <c r="X1550" s="27"/>
      <c r="Y1550" s="27"/>
    </row>
    <row r="1551">
      <c r="A1551" s="32"/>
      <c r="B1551" s="32"/>
      <c r="C1551" s="29" t="s">
        <v>236</v>
      </c>
      <c r="D1551" s="29" t="s">
        <v>1920</v>
      </c>
      <c r="E1551" s="28">
        <v>185.0</v>
      </c>
      <c r="F1551" s="28">
        <v>0.0</v>
      </c>
      <c r="G1551" s="99" t="s">
        <v>74</v>
      </c>
      <c r="H1551" s="28">
        <f t="array" ref="H1551">INDEX(CC!C:C,MATCH(1,(CC!A:A=G1551)*(CC!B:B=I1551),0))</f>
        <v>1502</v>
      </c>
      <c r="I1551" s="28" t="s">
        <v>25</v>
      </c>
      <c r="J1551" s="31">
        <v>185.0</v>
      </c>
      <c r="K1551" s="28" t="str">
        <f>IFERROR(__xludf.DUMMYFUNCTION("IFERROR(
INDEX(
FILTER(
MAP(
reglas!$B$2:$B$240,
reglas!$C$2:$C$240,
reglas!$D$2:$D$240,
reglas!$E$2:$E$240,
LAMBDA(rEmisor,rPatron,rConcepto,rTipo,
IF(
AND(
OR(
UPPER(TRIM(rEmisor))=UPPER(TRIM(C1551)),
UPPER(TRIM(rEmisor))=""CUALQUIERA""
),
OR(
UPPER(TRI"&amp;"M(rTipo))=""SOLO EMISOR"",
AND(
UPPER(TRIM(rTipo))=""EXACTA"",
UPPER(TRIM(AG1551))=UPPER(TRIM(rPatron))
),
AND(
OR(
UPPER(TRIM(rTipo))=""CONTIENE"",
UPPER(TRIM(rTipo))=""COINCIDENCIA""
),
ISNUMBER(SEARCH(UPPER(TRIM(rPatron)),UPPER(TRIM(D1551))))
)
)
),
rC"&amp;"oncepto,
""""
)
)
),
MAP(
reglas!$B$2:$B$240,
reglas!$C$2:$C$240,
reglas!$D$2:$D$240,
reglas!$E$2:$E$240,
LAMBDA(rEmisor,rPatron,rConcepto,rTipo,
IF(
AND(
OR(
UPPER(TRIM(rEmisor))=UPPER(TRIM(C1551)),
UPPER(TRIM(rEmisor))=""CUALQUIERA""
),
OR(
UPPER(TRIM(r"&amp;"Tipo))=""SOLO EMISOR"",
AND(
UPPER(TRIM(rTipo))=""EXACTA"",
UPPER(TRIM(D1551))=UPPER(TRIM(rPatron))
),
AND(
OR(
UPPER(TRIM(rTipo))=""CONTIENE"",
UPPER(TRIM(rTipo))=""COINCIDENCIA""
),
ISNUMBER(SEARCH(UPPER(TRIM(rPatron)),UPPER(TRIM(D1551))))
)
)
),
rConce"&amp;"pto,
""""
)
)
)&lt;&gt;""""
),
1
),
""""
)"),"PAPELERIA")</f>
        <v>PAPELERIA</v>
      </c>
      <c r="L1551" s="27"/>
      <c r="M1551" s="27"/>
      <c r="N1551" s="27"/>
      <c r="O1551" s="27"/>
      <c r="P1551" s="27"/>
      <c r="Q1551" s="27"/>
      <c r="R1551" s="27"/>
      <c r="S1551" s="27"/>
      <c r="T1551" s="27"/>
      <c r="U1551" s="27"/>
      <c r="V1551" s="27"/>
      <c r="W1551" s="27"/>
      <c r="X1551" s="27"/>
      <c r="Y1551" s="27"/>
    </row>
    <row r="1552">
      <c r="A1552" s="32"/>
      <c r="B1552" s="32"/>
      <c r="C1552" s="29" t="s">
        <v>236</v>
      </c>
      <c r="D1552" s="29" t="s">
        <v>1804</v>
      </c>
      <c r="E1552" s="28">
        <v>480.0</v>
      </c>
      <c r="F1552" s="28">
        <v>0.0</v>
      </c>
      <c r="G1552" s="99" t="s">
        <v>74</v>
      </c>
      <c r="H1552" s="28">
        <f t="array" ref="H1552">INDEX(CC!C:C,MATCH(1,(CC!A:A=G1552)*(CC!B:B=I1552),0))</f>
        <v>1502</v>
      </c>
      <c r="I1552" s="28" t="s">
        <v>25</v>
      </c>
      <c r="J1552" s="31">
        <v>480.0</v>
      </c>
      <c r="K1552" s="28" t="str">
        <f>IFERROR(__xludf.DUMMYFUNCTION("IFERROR(
INDEX(
FILTER(
MAP(
reglas!$B$2:$B$240,
reglas!$C$2:$C$240,
reglas!$D$2:$D$240,
reglas!$E$2:$E$240,
LAMBDA(rEmisor,rPatron,rConcepto,rTipo,
IF(
AND(
OR(
UPPER(TRIM(rEmisor))=UPPER(TRIM(C1552)),
UPPER(TRIM(rEmisor))=""CUALQUIERA""
),
OR(
UPPER(TRI"&amp;"M(rTipo))=""SOLO EMISOR"",
AND(
UPPER(TRIM(rTipo))=""EXACTA"",
UPPER(TRIM(AG1552))=UPPER(TRIM(rPatron))
),
AND(
OR(
UPPER(TRIM(rTipo))=""CONTIENE"",
UPPER(TRIM(rTipo))=""COINCIDENCIA""
),
ISNUMBER(SEARCH(UPPER(TRIM(rPatron)),UPPER(TRIM(D1552))))
)
)
),
rC"&amp;"oncepto,
""""
)
)
),
MAP(
reglas!$B$2:$B$240,
reglas!$C$2:$C$240,
reglas!$D$2:$D$240,
reglas!$E$2:$E$240,
LAMBDA(rEmisor,rPatron,rConcepto,rTipo,
IF(
AND(
OR(
UPPER(TRIM(rEmisor))=UPPER(TRIM(C1552)),
UPPER(TRIM(rEmisor))=""CUALQUIERA""
),
OR(
UPPER(TRIM(r"&amp;"Tipo))=""SOLO EMISOR"",
AND(
UPPER(TRIM(rTipo))=""EXACTA"",
UPPER(TRIM(D1552))=UPPER(TRIM(rPatron))
),
AND(
OR(
UPPER(TRIM(rTipo))=""CONTIENE"",
UPPER(TRIM(rTipo))=""COINCIDENCIA""
),
ISNUMBER(SEARCH(UPPER(TRIM(rPatron)),UPPER(TRIM(D1552))))
)
)
),
rConce"&amp;"pto,
""""
)
)
)&lt;&gt;""""
),
1
),
""""
)"),"PAPELERIA")</f>
        <v>PAPELERIA</v>
      </c>
      <c r="L1552" s="27"/>
      <c r="M1552" s="27"/>
      <c r="N1552" s="27"/>
      <c r="O1552" s="27"/>
      <c r="P1552" s="27"/>
      <c r="Q1552" s="27"/>
      <c r="R1552" s="27"/>
      <c r="S1552" s="27"/>
      <c r="T1552" s="27"/>
      <c r="U1552" s="27"/>
      <c r="V1552" s="27"/>
      <c r="W1552" s="27"/>
      <c r="X1552" s="27"/>
      <c r="Y1552" s="27"/>
    </row>
    <row r="1553">
      <c r="A1553" s="32"/>
      <c r="B1553" s="32"/>
      <c r="C1553" s="29" t="s">
        <v>236</v>
      </c>
      <c r="D1553" s="29" t="s">
        <v>1921</v>
      </c>
      <c r="E1553" s="28">
        <v>60.0</v>
      </c>
      <c r="F1553" s="28">
        <v>0.0</v>
      </c>
      <c r="G1553" s="99" t="s">
        <v>74</v>
      </c>
      <c r="H1553" s="28">
        <f t="array" ref="H1553">INDEX(CC!C:C,MATCH(1,(CC!A:A=G1553)*(CC!B:B=I1553),0))</f>
        <v>1502</v>
      </c>
      <c r="I1553" s="28" t="s">
        <v>25</v>
      </c>
      <c r="J1553" s="31">
        <v>60.0</v>
      </c>
      <c r="K1553" s="28" t="str">
        <f>IFERROR(__xludf.DUMMYFUNCTION("IFERROR(
INDEX(
FILTER(
MAP(
reglas!$B$2:$B$240,
reglas!$C$2:$C$240,
reglas!$D$2:$D$240,
reglas!$E$2:$E$240,
LAMBDA(rEmisor,rPatron,rConcepto,rTipo,
IF(
AND(
OR(
UPPER(TRIM(rEmisor))=UPPER(TRIM(C1553)),
UPPER(TRIM(rEmisor))=""CUALQUIERA""
),
OR(
UPPER(TRI"&amp;"M(rTipo))=""SOLO EMISOR"",
AND(
UPPER(TRIM(rTipo))=""EXACTA"",
UPPER(TRIM(AG1553))=UPPER(TRIM(rPatron))
),
AND(
OR(
UPPER(TRIM(rTipo))=""CONTIENE"",
UPPER(TRIM(rTipo))=""COINCIDENCIA""
),
ISNUMBER(SEARCH(UPPER(TRIM(rPatron)),UPPER(TRIM(D1553))))
)
)
),
rC"&amp;"oncepto,
""""
)
)
),
MAP(
reglas!$B$2:$B$240,
reglas!$C$2:$C$240,
reglas!$D$2:$D$240,
reglas!$E$2:$E$240,
LAMBDA(rEmisor,rPatron,rConcepto,rTipo,
IF(
AND(
OR(
UPPER(TRIM(rEmisor))=UPPER(TRIM(C1553)),
UPPER(TRIM(rEmisor))=""CUALQUIERA""
),
OR(
UPPER(TRIM(r"&amp;"Tipo))=""SOLO EMISOR"",
AND(
UPPER(TRIM(rTipo))=""EXACTA"",
UPPER(TRIM(D1553))=UPPER(TRIM(rPatron))
),
AND(
OR(
UPPER(TRIM(rTipo))=""CONTIENE"",
UPPER(TRIM(rTipo))=""COINCIDENCIA""
),
ISNUMBER(SEARCH(UPPER(TRIM(rPatron)),UPPER(TRIM(D1553))))
)
)
),
rConce"&amp;"pto,
""""
)
)
)&lt;&gt;""""
),
1
),
""""
)"),"PAPELERIA")</f>
        <v>PAPELERIA</v>
      </c>
      <c r="L1553" s="27"/>
      <c r="M1553" s="27"/>
      <c r="N1553" s="27"/>
      <c r="O1553" s="27"/>
      <c r="P1553" s="27"/>
      <c r="Q1553" s="27"/>
      <c r="R1553" s="27"/>
      <c r="S1553" s="27"/>
      <c r="T1553" s="27"/>
      <c r="U1553" s="27"/>
      <c r="V1553" s="27"/>
      <c r="W1553" s="27"/>
      <c r="X1553" s="27"/>
      <c r="Y1553" s="27"/>
    </row>
    <row r="1554">
      <c r="A1554" s="32"/>
      <c r="B1554" s="28" t="s">
        <v>29</v>
      </c>
      <c r="C1554" s="29" t="s">
        <v>213</v>
      </c>
      <c r="D1554" s="29" t="s">
        <v>1883</v>
      </c>
      <c r="E1554" s="30">
        <v>12090.32</v>
      </c>
      <c r="F1554" s="28">
        <v>0.0</v>
      </c>
      <c r="G1554" s="99" t="s">
        <v>225</v>
      </c>
      <c r="H1554" s="28">
        <f t="array" ref="H1554">INDEX(CC!C:C,MATCH(1,(CC!A:A=G1554)*(CC!B:B=I1554),0))</f>
        <v>102</v>
      </c>
      <c r="I1554" s="99" t="s">
        <v>25</v>
      </c>
      <c r="J1554" s="31">
        <v>12090.32</v>
      </c>
      <c r="K1554" s="28" t="str">
        <f>IFERROR(__xludf.DUMMYFUNCTION("IFERROR(
INDEX(
FILTER(
MAP(
reglas!$B$2:$B$240,
reglas!$C$2:$C$240,
reglas!$D$2:$D$240,
reglas!$E$2:$E$240,
LAMBDA(rEmisor,rPatron,rConcepto,rTipo,
IF(
AND(
OR(
UPPER(TRIM(rEmisor))=UPPER(TRIM(C1554)),
UPPER(TRIM(rEmisor))=""CUALQUIERA""
),
OR(
UPPER(TRI"&amp;"M(rTipo))=""SOLO EMISOR"",
AND(
UPPER(TRIM(rTipo))=""EXACTA"",
UPPER(TRIM(AG1554))=UPPER(TRIM(rPatron))
),
AND(
OR(
UPPER(TRIM(rTipo))=""CONTIENE"",
UPPER(TRIM(rTipo))=""COINCIDENCIA""
),
ISNUMBER(SEARCH(UPPER(TRIM(rPatron)),UPPER(TRIM(D1554))))
)
)
),
rC"&amp;"oncepto,
""""
)
)
),
MAP(
reglas!$B$2:$B$240,
reglas!$C$2:$C$240,
reglas!$D$2:$D$240,
reglas!$E$2:$E$240,
LAMBDA(rEmisor,rPatron,rConcepto,rTipo,
IF(
AND(
OR(
UPPER(TRIM(rEmisor))=UPPER(TRIM(C1554)),
UPPER(TRIM(rEmisor))=""CUALQUIERA""
),
OR(
UPPER(TRIM(r"&amp;"Tipo))=""SOLO EMISOR"",
AND(
UPPER(TRIM(rTipo))=""EXACTA"",
UPPER(TRIM(D1554))=UPPER(TRIM(rPatron))
),
AND(
OR(
UPPER(TRIM(rTipo))=""CONTIENE"",
UPPER(TRIM(rTipo))=""COINCIDENCIA""
),
ISNUMBER(SEARCH(UPPER(TRIM(rPatron)),UPPER(TRIM(D1554))))
)
)
),
rConce"&amp;"pto,
""""
)
)
)&lt;&gt;""""
),
1
),
""""
)"),"OTRAS ASESORIAS")</f>
        <v>OTRAS ASESORIAS</v>
      </c>
      <c r="L1554" s="27"/>
      <c r="M1554" s="27"/>
      <c r="N1554" s="27"/>
      <c r="O1554" s="27"/>
      <c r="P1554" s="27"/>
      <c r="Q1554" s="27"/>
      <c r="R1554" s="27"/>
      <c r="S1554" s="27"/>
      <c r="T1554" s="27"/>
      <c r="U1554" s="27"/>
      <c r="V1554" s="27"/>
      <c r="W1554" s="27"/>
      <c r="X1554" s="27"/>
      <c r="Y1554" s="27"/>
    </row>
    <row r="1555">
      <c r="A1555" s="28">
        <v>1.0</v>
      </c>
      <c r="B1555" s="28" t="s">
        <v>29</v>
      </c>
      <c r="C1555" s="29" t="s">
        <v>437</v>
      </c>
      <c r="D1555" s="29" t="s">
        <v>1922</v>
      </c>
      <c r="E1555" s="30">
        <v>3380.36</v>
      </c>
      <c r="F1555" s="28">
        <v>0.0</v>
      </c>
      <c r="G1555" s="28" t="s">
        <v>250</v>
      </c>
      <c r="H1555" s="28">
        <f t="array" ref="H1555">INDEX(CC!C:C,MATCH(1,(CC!A:A=G1555)*(CC!B:B=I1555),0))</f>
        <v>1402</v>
      </c>
      <c r="I1555" s="99" t="s">
        <v>25</v>
      </c>
      <c r="J1555" s="31">
        <v>3380.36</v>
      </c>
      <c r="K1555" s="28" t="str">
        <f>IFERROR(__xludf.DUMMYFUNCTION("IFERROR(
INDEX(
FILTER(
MAP(
reglas!$B$2:$B$240,
reglas!$C$2:$C$240,
reglas!$D$2:$D$240,
reglas!$E$2:$E$240,
LAMBDA(rEmisor,rPatron,rConcepto,rTipo,
IF(
AND(
OR(
UPPER(TRIM(rEmisor))=UPPER(TRIM(C1555)),
UPPER(TRIM(rEmisor))=""CUALQUIERA""
),
OR(
UPPER(TRI"&amp;"M(rTipo))=""SOLO EMISOR"",
AND(
UPPER(TRIM(rTipo))=""EXACTA"",
UPPER(TRIM(AG1555))=UPPER(TRIM(rPatron))
),
AND(
OR(
UPPER(TRIM(rTipo))=""CONTIENE"",
UPPER(TRIM(rTipo))=""COINCIDENCIA""
),
ISNUMBER(SEARCH(UPPER(TRIM(rPatron)),UPPER(TRIM(D1555))))
)
)
),
rC"&amp;"oncepto,
""""
)
)
),
MAP(
reglas!$B$2:$B$240,
reglas!$C$2:$C$240,
reglas!$D$2:$D$240,
reglas!$E$2:$E$240,
LAMBDA(rEmisor,rPatron,rConcepto,rTipo,
IF(
AND(
OR(
UPPER(TRIM(rEmisor))=UPPER(TRIM(C1555)),
UPPER(TRIM(rEmisor))=""CUALQUIERA""
),
OR(
UPPER(TRIM(r"&amp;"Tipo))=""SOLO EMISOR"",
AND(
UPPER(TRIM(rTipo))=""EXACTA"",
UPPER(TRIM(D1555))=UPPER(TRIM(rPatron))
),
AND(
OR(
UPPER(TRIM(rTipo))=""CONTIENE"",
UPPER(TRIM(rTipo))=""COINCIDENCIA""
),
ISNUMBER(SEARCH(UPPER(TRIM(rPatron)),UPPER(TRIM(D1555))))
)
)
),
rConce"&amp;"pto,
""""
)
)
)&lt;&gt;""""
),
1
),
""""
)"),"MANIOBRAS")</f>
        <v>MANIOBRAS</v>
      </c>
      <c r="L1555" s="27"/>
      <c r="M1555" s="27"/>
      <c r="N1555" s="27"/>
      <c r="O1555" s="27"/>
      <c r="P1555" s="27"/>
      <c r="Q1555" s="27"/>
      <c r="R1555" s="27"/>
      <c r="S1555" s="27"/>
      <c r="T1555" s="27"/>
      <c r="U1555" s="27"/>
      <c r="V1555" s="27"/>
      <c r="W1555" s="27"/>
      <c r="X1555" s="27"/>
      <c r="Y1555" s="27"/>
    </row>
    <row r="1556">
      <c r="A1556" s="28">
        <v>1.0</v>
      </c>
      <c r="B1556" s="28" t="s">
        <v>29</v>
      </c>
      <c r="C1556" s="29" t="s">
        <v>271</v>
      </c>
      <c r="D1556" s="29" t="s">
        <v>589</v>
      </c>
      <c r="E1556" s="28">
        <v>619.88</v>
      </c>
      <c r="F1556" s="28">
        <v>0.0</v>
      </c>
      <c r="G1556" s="28" t="s">
        <v>84</v>
      </c>
      <c r="H1556" s="28">
        <f t="array" ref="H1556">INDEX(CC!C:C,MATCH(1,(CC!A:A=G1556)*(CC!B:B=I1556),0))</f>
        <v>1002</v>
      </c>
      <c r="I1556" s="28" t="s">
        <v>25</v>
      </c>
      <c r="J1556" s="31">
        <v>619.88</v>
      </c>
      <c r="K1556" s="28" t="str">
        <f>IFERROR(__xludf.DUMMYFUNCTION("IFERROR(
INDEX(
FILTER(
MAP(
reglas!$B$2:$B$240,
reglas!$C$2:$C$240,
reglas!$D$2:$D$240,
reglas!$E$2:$E$240,
LAMBDA(rEmisor,rPatron,rConcepto,rTipo,
IF(
AND(
OR(
UPPER(TRIM(rEmisor))=UPPER(TRIM(C1556)),
UPPER(TRIM(rEmisor))=""CUALQUIERA""
),
OR(
UPPER(TRI"&amp;"M(rTipo))=""SOLO EMISOR"",
AND(
UPPER(TRIM(rTipo))=""EXACTA"",
UPPER(TRIM(AG1556))=UPPER(TRIM(rPatron))
),
AND(
OR(
UPPER(TRIM(rTipo))=""CONTIENE"",
UPPER(TRIM(rTipo))=""COINCIDENCIA""
),
ISNUMBER(SEARCH(UPPER(TRIM(rPatron)),UPPER(TRIM(D1556))))
)
)
),
rC"&amp;"oncepto,
""""
)
)
),
MAP(
reglas!$B$2:$B$240,
reglas!$C$2:$C$240,
reglas!$D$2:$D$240,
reglas!$E$2:$E$240,
LAMBDA(rEmisor,rPatron,rConcepto,rTipo,
IF(
AND(
OR(
UPPER(TRIM(rEmisor))=UPPER(TRIM(C1556)),
UPPER(TRIM(rEmisor))=""CUALQUIERA""
),
OR(
UPPER(TRIM(r"&amp;"Tipo))=""SOLO EMISOR"",
AND(
UPPER(TRIM(rTipo))=""EXACTA"",
UPPER(TRIM(D1556))=UPPER(TRIM(rPatron))
),
AND(
OR(
UPPER(TRIM(rTipo))=""CONTIENE"",
UPPER(TRIM(rTipo))=""COINCIDENCIA""
),
ISNUMBER(SEARCH(UPPER(TRIM(rPatron)),UPPER(TRIM(D1556))))
)
)
),
rConce"&amp;"pto,
""""
)
)
)&lt;&gt;""""
),
1
),
""""
)"),"MANIOBRAS")</f>
        <v>MANIOBRAS</v>
      </c>
      <c r="L1556" s="27"/>
      <c r="M1556" s="27"/>
      <c r="N1556" s="27"/>
      <c r="O1556" s="27"/>
      <c r="P1556" s="27"/>
      <c r="Q1556" s="27"/>
      <c r="R1556" s="27"/>
      <c r="S1556" s="27"/>
      <c r="T1556" s="27"/>
      <c r="U1556" s="27"/>
      <c r="V1556" s="27"/>
      <c r="W1556" s="27"/>
      <c r="X1556" s="27"/>
      <c r="Y1556" s="27"/>
    </row>
    <row r="1557">
      <c r="A1557" s="28">
        <v>1.0</v>
      </c>
      <c r="B1557" s="28" t="s">
        <v>29</v>
      </c>
      <c r="C1557" s="29" t="s">
        <v>271</v>
      </c>
      <c r="D1557" s="29" t="s">
        <v>589</v>
      </c>
      <c r="E1557" s="28">
        <v>619.88</v>
      </c>
      <c r="F1557" s="28">
        <v>0.0</v>
      </c>
      <c r="G1557" s="28" t="s">
        <v>84</v>
      </c>
      <c r="H1557" s="28">
        <f t="array" ref="H1557">INDEX(CC!C:C,MATCH(1,(CC!A:A=G1557)*(CC!B:B=I1557),0))</f>
        <v>1002</v>
      </c>
      <c r="I1557" s="28" t="s">
        <v>25</v>
      </c>
      <c r="J1557" s="31">
        <v>619.88</v>
      </c>
      <c r="K1557" s="28" t="str">
        <f>IFERROR(__xludf.DUMMYFUNCTION("IFERROR(
INDEX(
FILTER(
MAP(
reglas!$B$2:$B$240,
reglas!$C$2:$C$240,
reglas!$D$2:$D$240,
reglas!$E$2:$E$240,
LAMBDA(rEmisor,rPatron,rConcepto,rTipo,
IF(
AND(
OR(
UPPER(TRIM(rEmisor))=UPPER(TRIM(C1557)),
UPPER(TRIM(rEmisor))=""CUALQUIERA""
),
OR(
UPPER(TRI"&amp;"M(rTipo))=""SOLO EMISOR"",
AND(
UPPER(TRIM(rTipo))=""EXACTA"",
UPPER(TRIM(AG1557))=UPPER(TRIM(rPatron))
),
AND(
OR(
UPPER(TRIM(rTipo))=""CONTIENE"",
UPPER(TRIM(rTipo))=""COINCIDENCIA""
),
ISNUMBER(SEARCH(UPPER(TRIM(rPatron)),UPPER(TRIM(D1557))))
)
)
),
rC"&amp;"oncepto,
""""
)
)
),
MAP(
reglas!$B$2:$B$240,
reglas!$C$2:$C$240,
reglas!$D$2:$D$240,
reglas!$E$2:$E$240,
LAMBDA(rEmisor,rPatron,rConcepto,rTipo,
IF(
AND(
OR(
UPPER(TRIM(rEmisor))=UPPER(TRIM(C1557)),
UPPER(TRIM(rEmisor))=""CUALQUIERA""
),
OR(
UPPER(TRIM(r"&amp;"Tipo))=""SOLO EMISOR"",
AND(
UPPER(TRIM(rTipo))=""EXACTA"",
UPPER(TRIM(D1557))=UPPER(TRIM(rPatron))
),
AND(
OR(
UPPER(TRIM(rTipo))=""CONTIENE"",
UPPER(TRIM(rTipo))=""COINCIDENCIA""
),
ISNUMBER(SEARCH(UPPER(TRIM(rPatron)),UPPER(TRIM(D1557))))
)
)
),
rConce"&amp;"pto,
""""
)
)
)&lt;&gt;""""
),
1
),
""""
)"),"MANIOBRAS")</f>
        <v>MANIOBRAS</v>
      </c>
      <c r="L1557" s="27"/>
      <c r="M1557" s="27"/>
      <c r="N1557" s="27"/>
      <c r="O1557" s="27"/>
      <c r="P1557" s="27"/>
      <c r="Q1557" s="27"/>
      <c r="R1557" s="27"/>
      <c r="S1557" s="27"/>
      <c r="T1557" s="27"/>
      <c r="U1557" s="27"/>
      <c r="V1557" s="27"/>
      <c r="W1557" s="27"/>
      <c r="X1557" s="27"/>
      <c r="Y1557" s="27"/>
    </row>
    <row r="1558">
      <c r="A1558" s="32"/>
      <c r="B1558" s="28" t="s">
        <v>29</v>
      </c>
      <c r="C1558" s="29" t="s">
        <v>213</v>
      </c>
      <c r="D1558" s="42" t="s">
        <v>1871</v>
      </c>
      <c r="E1558" s="30">
        <v>5953.56</v>
      </c>
      <c r="F1558" s="28">
        <v>0.0</v>
      </c>
      <c r="G1558" s="99" t="s">
        <v>225</v>
      </c>
      <c r="H1558" s="28">
        <f t="array" ref="H1558">INDEX(CC!C:C,MATCH(1,(CC!A:A=G1558)*(CC!B:B=I1558),0))</f>
        <v>102</v>
      </c>
      <c r="I1558" s="99" t="s">
        <v>25</v>
      </c>
      <c r="J1558" s="31">
        <v>5953.56</v>
      </c>
      <c r="K1558" s="28" t="str">
        <f>IFERROR(__xludf.DUMMYFUNCTION("IFERROR(
INDEX(
FILTER(
MAP(
reglas!$B$2:$B$240,
reglas!$C$2:$C$240,
reglas!$D$2:$D$240,
reglas!$E$2:$E$240,
LAMBDA(rEmisor,rPatron,rConcepto,rTipo,
IF(
AND(
OR(
UPPER(TRIM(rEmisor))=UPPER(TRIM(C1558)),
UPPER(TRIM(rEmisor))=""CUALQUIERA""
),
OR(
UPPER(TRI"&amp;"M(rTipo))=""SOLO EMISOR"",
AND(
UPPER(TRIM(rTipo))=""EXACTA"",
UPPER(TRIM(AG1558))=UPPER(TRIM(rPatron))
),
AND(
OR(
UPPER(TRIM(rTipo))=""CONTIENE"",
UPPER(TRIM(rTipo))=""COINCIDENCIA""
),
ISNUMBER(SEARCH(UPPER(TRIM(rPatron)),UPPER(TRIM(D1558))))
)
)
),
rC"&amp;"oncepto,
""""
)
)
),
MAP(
reglas!$B$2:$B$240,
reglas!$C$2:$C$240,
reglas!$D$2:$D$240,
reglas!$E$2:$E$240,
LAMBDA(rEmisor,rPatron,rConcepto,rTipo,
IF(
AND(
OR(
UPPER(TRIM(rEmisor))=UPPER(TRIM(C1558)),
UPPER(TRIM(rEmisor))=""CUALQUIERA""
),
OR(
UPPER(TRIM(r"&amp;"Tipo))=""SOLO EMISOR"",
AND(
UPPER(TRIM(rTipo))=""EXACTA"",
UPPER(TRIM(D1558))=UPPER(TRIM(rPatron))
),
AND(
OR(
UPPER(TRIM(rTipo))=""CONTIENE"",
UPPER(TRIM(rTipo))=""COINCIDENCIA""
),
ISNUMBER(SEARCH(UPPER(TRIM(rPatron)),UPPER(TRIM(D1558))))
)
)
),
rConce"&amp;"pto,
""""
)
)
)&lt;&gt;""""
),
1
),
""""
)"),"OTRAS ASESORIAS")</f>
        <v>OTRAS ASESORIAS</v>
      </c>
      <c r="L1558" s="27"/>
      <c r="M1558" s="27"/>
      <c r="N1558" s="27"/>
      <c r="O1558" s="27"/>
      <c r="P1558" s="27"/>
      <c r="Q1558" s="27"/>
      <c r="R1558" s="27"/>
      <c r="S1558" s="27"/>
      <c r="T1558" s="27"/>
      <c r="U1558" s="27"/>
      <c r="V1558" s="27"/>
      <c r="W1558" s="27"/>
      <c r="X1558" s="27"/>
      <c r="Y1558" s="27"/>
    </row>
    <row r="1559">
      <c r="A1559" s="32"/>
      <c r="B1559" s="28" t="s">
        <v>29</v>
      </c>
      <c r="C1559" s="29" t="s">
        <v>509</v>
      </c>
      <c r="D1559" s="42" t="s">
        <v>1923</v>
      </c>
      <c r="E1559" s="28">
        <v>225.0</v>
      </c>
      <c r="F1559" s="28">
        <v>0.0</v>
      </c>
      <c r="G1559" s="99" t="s">
        <v>581</v>
      </c>
      <c r="H1559" s="28">
        <f t="array" ref="H1559">INDEX(CC!C:C,MATCH(1,(CC!A:A=G1559)*(CC!B:B=I1559),0))</f>
        <v>202</v>
      </c>
      <c r="I1559" s="99" t="s">
        <v>25</v>
      </c>
      <c r="J1559" s="31">
        <v>225.0</v>
      </c>
      <c r="K1559" s="28" t="str">
        <f>IFERROR(__xludf.DUMMYFUNCTION("IFERROR(
INDEX(
FILTER(
MAP(
reglas!$B$2:$B$240,
reglas!$C$2:$C$240,
reglas!$D$2:$D$240,
reglas!$E$2:$E$240,
LAMBDA(rEmisor,rPatron,rConcepto,rTipo,
IF(
AND(
OR(
UPPER(TRIM(rEmisor))=UPPER(TRIM(C1559)),
UPPER(TRIM(rEmisor))=""CUALQUIERA""
),
OR(
UPPER(TRI"&amp;"M(rTipo))=""SOLO EMISOR"",
AND(
UPPER(TRIM(rTipo))=""EXACTA"",
UPPER(TRIM(AG1559))=UPPER(TRIM(rPatron))
),
AND(
OR(
UPPER(TRIM(rTipo))=""CONTIENE"",
UPPER(TRIM(rTipo))=""COINCIDENCIA""
),
ISNUMBER(SEARCH(UPPER(TRIM(rPatron)),UPPER(TRIM(D1559))))
)
)
),
rC"&amp;"oncepto,
""""
)
)
),
MAP(
reglas!$B$2:$B$240,
reglas!$C$2:$C$240,
reglas!$D$2:$D$240,
reglas!$E$2:$E$240,
LAMBDA(rEmisor,rPatron,rConcepto,rTipo,
IF(
AND(
OR(
UPPER(TRIM(rEmisor))=UPPER(TRIM(C1559)),
UPPER(TRIM(rEmisor))=""CUALQUIERA""
),
OR(
UPPER(TRIM(r"&amp;"Tipo))=""SOLO EMISOR"",
AND(
UPPER(TRIM(rTipo))=""EXACTA"",
UPPER(TRIM(D1559))=UPPER(TRIM(rPatron))
),
AND(
OR(
UPPER(TRIM(rTipo))=""CONTIENE"",
UPPER(TRIM(rTipo))=""COINCIDENCIA""
),
ISNUMBER(SEARCH(UPPER(TRIM(rPatron)),UPPER(TRIM(D1559))))
)
)
),
rConce"&amp;"pto,
""""
)
)
)&lt;&gt;""""
),
1
),
""""
)"),"OTROS GASTOS")</f>
        <v>OTROS GASTOS</v>
      </c>
      <c r="L1559" s="27"/>
      <c r="M1559" s="27"/>
      <c r="N1559" s="27"/>
      <c r="O1559" s="27"/>
      <c r="P1559" s="27"/>
      <c r="Q1559" s="27"/>
      <c r="R1559" s="27"/>
      <c r="S1559" s="27"/>
      <c r="T1559" s="27"/>
      <c r="U1559" s="27"/>
      <c r="V1559" s="27"/>
      <c r="W1559" s="27"/>
      <c r="X1559" s="27"/>
      <c r="Y1559" s="27"/>
    </row>
    <row r="1560">
      <c r="A1560" s="28">
        <v>1.0</v>
      </c>
      <c r="B1560" s="28" t="s">
        <v>29</v>
      </c>
      <c r="C1560" s="29" t="s">
        <v>507</v>
      </c>
      <c r="D1560" s="42" t="s">
        <v>1924</v>
      </c>
      <c r="E1560" s="28">
        <v>400.0</v>
      </c>
      <c r="F1560" s="28">
        <v>0.0</v>
      </c>
      <c r="G1560" s="99" t="s">
        <v>225</v>
      </c>
      <c r="H1560" s="28">
        <f t="array" ref="H1560">INDEX(CC!C:C,MATCH(1,(CC!A:A=G1560)*(CC!B:B=I1560),0))</f>
        <v>102</v>
      </c>
      <c r="I1560" s="99" t="s">
        <v>25</v>
      </c>
      <c r="J1560" s="31">
        <v>400.0</v>
      </c>
      <c r="K1560" s="28" t="str">
        <f>IFERROR(__xludf.DUMMYFUNCTION("IFERROR(
INDEX(
FILTER(
MAP(
reglas!$B$2:$B$240,
reglas!$C$2:$C$240,
reglas!$D$2:$D$240,
reglas!$E$2:$E$240,
LAMBDA(rEmisor,rPatron,rConcepto,rTipo,
IF(
AND(
OR(
UPPER(TRIM(rEmisor))=UPPER(TRIM(C1560)),
UPPER(TRIM(rEmisor))=""CUALQUIERA""
),
OR(
UPPER(TRI"&amp;"M(rTipo))=""SOLO EMISOR"",
AND(
UPPER(TRIM(rTipo))=""EXACTA"",
UPPER(TRIM(AG1560))=UPPER(TRIM(rPatron))
),
AND(
OR(
UPPER(TRIM(rTipo))=""CONTIENE"",
UPPER(TRIM(rTipo))=""COINCIDENCIA""
),
ISNUMBER(SEARCH(UPPER(TRIM(rPatron)),UPPER(TRIM(D1560))))
)
)
),
rC"&amp;"oncepto,
""""
)
)
),
MAP(
reglas!$B$2:$B$240,
reglas!$C$2:$C$240,
reglas!$D$2:$D$240,
reglas!$E$2:$E$240,
LAMBDA(rEmisor,rPatron,rConcepto,rTipo,
IF(
AND(
OR(
UPPER(TRIM(rEmisor))=UPPER(TRIM(C1560)),
UPPER(TRIM(rEmisor))=""CUALQUIERA""
),
OR(
UPPER(TRIM(r"&amp;"Tipo))=""SOLO EMISOR"",
AND(
UPPER(TRIM(rTipo))=""EXACTA"",
UPPER(TRIM(D1560))=UPPER(TRIM(rPatron))
),
AND(
OR(
UPPER(TRIM(rTipo))=""CONTIENE"",
UPPER(TRIM(rTipo))=""COINCIDENCIA""
),
ISNUMBER(SEARCH(UPPER(TRIM(rPatron)),UPPER(TRIM(D1560))))
)
)
),
rConce"&amp;"pto,
""""
)
)
)&lt;&gt;""""
),
1
),
""""
)"),"OTROS GASTOS")</f>
        <v>OTROS GASTOS</v>
      </c>
      <c r="L1560" s="27"/>
      <c r="M1560" s="27"/>
      <c r="N1560" s="27"/>
      <c r="O1560" s="27"/>
      <c r="P1560" s="27"/>
      <c r="Q1560" s="27"/>
      <c r="R1560" s="27"/>
      <c r="S1560" s="27"/>
      <c r="T1560" s="27"/>
      <c r="U1560" s="27"/>
      <c r="V1560" s="27"/>
      <c r="W1560" s="27"/>
      <c r="X1560" s="27"/>
      <c r="Y1560" s="27"/>
    </row>
    <row r="1561">
      <c r="A1561" s="32"/>
      <c r="B1561" s="32"/>
      <c r="C1561" s="29" t="s">
        <v>507</v>
      </c>
      <c r="D1561" s="42" t="s">
        <v>1925</v>
      </c>
      <c r="E1561" s="28">
        <v>750.0</v>
      </c>
      <c r="F1561" s="28">
        <v>0.0</v>
      </c>
      <c r="G1561" s="99" t="s">
        <v>225</v>
      </c>
      <c r="H1561" s="28">
        <f t="array" ref="H1561">INDEX(CC!C:C,MATCH(1,(CC!A:A=G1561)*(CC!B:B=I1561),0))</f>
        <v>102</v>
      </c>
      <c r="I1561" s="99" t="s">
        <v>25</v>
      </c>
      <c r="J1561" s="31">
        <v>750.0</v>
      </c>
      <c r="K1561" s="28" t="str">
        <f>IFERROR(__xludf.DUMMYFUNCTION("IFERROR(
INDEX(
FILTER(
MAP(
reglas!$B$2:$B$240,
reglas!$C$2:$C$240,
reglas!$D$2:$D$240,
reglas!$E$2:$E$240,
LAMBDA(rEmisor,rPatron,rConcepto,rTipo,
IF(
AND(
OR(
UPPER(TRIM(rEmisor))=UPPER(TRIM(C1561)),
UPPER(TRIM(rEmisor))=""CUALQUIERA""
),
OR(
UPPER(TRI"&amp;"M(rTipo))=""SOLO EMISOR"",
AND(
UPPER(TRIM(rTipo))=""EXACTA"",
UPPER(TRIM(AG1561))=UPPER(TRIM(rPatron))
),
AND(
OR(
UPPER(TRIM(rTipo))=""CONTIENE"",
UPPER(TRIM(rTipo))=""COINCIDENCIA""
),
ISNUMBER(SEARCH(UPPER(TRIM(rPatron)),UPPER(TRIM(D1561))))
)
)
),
rC"&amp;"oncepto,
""""
)
)
),
MAP(
reglas!$B$2:$B$240,
reglas!$C$2:$C$240,
reglas!$D$2:$D$240,
reglas!$E$2:$E$240,
LAMBDA(rEmisor,rPatron,rConcepto,rTipo,
IF(
AND(
OR(
UPPER(TRIM(rEmisor))=UPPER(TRIM(C1561)),
UPPER(TRIM(rEmisor))=""CUALQUIERA""
),
OR(
UPPER(TRIM(r"&amp;"Tipo))=""SOLO EMISOR"",
AND(
UPPER(TRIM(rTipo))=""EXACTA"",
UPPER(TRIM(D1561))=UPPER(TRIM(rPatron))
),
AND(
OR(
UPPER(TRIM(rTipo))=""CONTIENE"",
UPPER(TRIM(rTipo))=""COINCIDENCIA""
),
ISNUMBER(SEARCH(UPPER(TRIM(rPatron)),UPPER(TRIM(D1561))))
)
)
),
rConce"&amp;"pto,
""""
)
)
)&lt;&gt;""""
),
1
),
""""
)"),"OTROS GASTOS")</f>
        <v>OTROS GASTOS</v>
      </c>
      <c r="L1561" s="27"/>
      <c r="M1561" s="27"/>
      <c r="N1561" s="27"/>
      <c r="O1561" s="27"/>
      <c r="P1561" s="27"/>
      <c r="Q1561" s="27"/>
      <c r="R1561" s="27"/>
      <c r="S1561" s="27"/>
      <c r="T1561" s="27"/>
      <c r="U1561" s="27"/>
      <c r="V1561" s="27"/>
      <c r="W1561" s="27"/>
      <c r="X1561" s="27"/>
      <c r="Y1561" s="27"/>
    </row>
    <row r="1562">
      <c r="A1562" s="32"/>
      <c r="B1562" s="32"/>
      <c r="C1562" s="29" t="s">
        <v>507</v>
      </c>
      <c r="D1562" s="42" t="s">
        <v>1926</v>
      </c>
      <c r="E1562" s="28">
        <v>600.0</v>
      </c>
      <c r="F1562" s="28">
        <v>0.0</v>
      </c>
      <c r="G1562" s="99" t="s">
        <v>225</v>
      </c>
      <c r="H1562" s="28">
        <f t="array" ref="H1562">INDEX(CC!C:C,MATCH(1,(CC!A:A=G1562)*(CC!B:B=I1562),0))</f>
        <v>102</v>
      </c>
      <c r="I1562" s="99" t="s">
        <v>25</v>
      </c>
      <c r="J1562" s="31">
        <v>600.0</v>
      </c>
      <c r="K1562" s="28" t="str">
        <f>IFERROR(__xludf.DUMMYFUNCTION("IFERROR(
INDEX(
FILTER(
MAP(
reglas!$B$2:$B$240,
reglas!$C$2:$C$240,
reglas!$D$2:$D$240,
reglas!$E$2:$E$240,
LAMBDA(rEmisor,rPatron,rConcepto,rTipo,
IF(
AND(
OR(
UPPER(TRIM(rEmisor))=UPPER(TRIM(C1562)),
UPPER(TRIM(rEmisor))=""CUALQUIERA""
),
OR(
UPPER(TRI"&amp;"M(rTipo))=""SOLO EMISOR"",
AND(
UPPER(TRIM(rTipo))=""EXACTA"",
UPPER(TRIM(AG1562))=UPPER(TRIM(rPatron))
),
AND(
OR(
UPPER(TRIM(rTipo))=""CONTIENE"",
UPPER(TRIM(rTipo))=""COINCIDENCIA""
),
ISNUMBER(SEARCH(UPPER(TRIM(rPatron)),UPPER(TRIM(D1562))))
)
)
),
rC"&amp;"oncepto,
""""
)
)
),
MAP(
reglas!$B$2:$B$240,
reglas!$C$2:$C$240,
reglas!$D$2:$D$240,
reglas!$E$2:$E$240,
LAMBDA(rEmisor,rPatron,rConcepto,rTipo,
IF(
AND(
OR(
UPPER(TRIM(rEmisor))=UPPER(TRIM(C1562)),
UPPER(TRIM(rEmisor))=""CUALQUIERA""
),
OR(
UPPER(TRIM(r"&amp;"Tipo))=""SOLO EMISOR"",
AND(
UPPER(TRIM(rTipo))=""EXACTA"",
UPPER(TRIM(D1562))=UPPER(TRIM(rPatron))
),
AND(
OR(
UPPER(TRIM(rTipo))=""CONTIENE"",
UPPER(TRIM(rTipo))=""COINCIDENCIA""
),
ISNUMBER(SEARCH(UPPER(TRIM(rPatron)),UPPER(TRIM(D1562))))
)
)
),
rConce"&amp;"pto,
""""
)
)
)&lt;&gt;""""
),
1
),
""""
)"),"OTROS GASTOS")</f>
        <v>OTROS GASTOS</v>
      </c>
      <c r="L1562" s="27"/>
      <c r="M1562" s="27"/>
      <c r="N1562" s="27"/>
      <c r="O1562" s="27"/>
      <c r="P1562" s="27"/>
      <c r="Q1562" s="27"/>
      <c r="R1562" s="27"/>
      <c r="S1562" s="27"/>
      <c r="T1562" s="27"/>
      <c r="U1562" s="27"/>
      <c r="V1562" s="27"/>
      <c r="W1562" s="27"/>
      <c r="X1562" s="27"/>
      <c r="Y1562" s="27"/>
    </row>
    <row r="1563">
      <c r="A1563" s="32"/>
      <c r="B1563" s="32"/>
      <c r="C1563" s="29" t="s">
        <v>507</v>
      </c>
      <c r="D1563" s="42" t="s">
        <v>1927</v>
      </c>
      <c r="E1563" s="30">
        <v>1200.0</v>
      </c>
      <c r="F1563" s="28">
        <v>0.0</v>
      </c>
      <c r="G1563" s="99" t="s">
        <v>225</v>
      </c>
      <c r="H1563" s="28">
        <f t="array" ref="H1563">INDEX(CC!C:C,MATCH(1,(CC!A:A=G1563)*(CC!B:B=I1563),0))</f>
        <v>102</v>
      </c>
      <c r="I1563" s="99" t="s">
        <v>25</v>
      </c>
      <c r="J1563" s="31">
        <v>1200.0</v>
      </c>
      <c r="K1563" s="28" t="str">
        <f>IFERROR(__xludf.DUMMYFUNCTION("IFERROR(
INDEX(
FILTER(
MAP(
reglas!$B$2:$B$240,
reglas!$C$2:$C$240,
reglas!$D$2:$D$240,
reglas!$E$2:$E$240,
LAMBDA(rEmisor,rPatron,rConcepto,rTipo,
IF(
AND(
OR(
UPPER(TRIM(rEmisor))=UPPER(TRIM(C1563)),
UPPER(TRIM(rEmisor))=""CUALQUIERA""
),
OR(
UPPER(TRI"&amp;"M(rTipo))=""SOLO EMISOR"",
AND(
UPPER(TRIM(rTipo))=""EXACTA"",
UPPER(TRIM(AG1563))=UPPER(TRIM(rPatron))
),
AND(
OR(
UPPER(TRIM(rTipo))=""CONTIENE"",
UPPER(TRIM(rTipo))=""COINCIDENCIA""
),
ISNUMBER(SEARCH(UPPER(TRIM(rPatron)),UPPER(TRIM(D1563))))
)
)
),
rC"&amp;"oncepto,
""""
)
)
),
MAP(
reglas!$B$2:$B$240,
reglas!$C$2:$C$240,
reglas!$D$2:$D$240,
reglas!$E$2:$E$240,
LAMBDA(rEmisor,rPatron,rConcepto,rTipo,
IF(
AND(
OR(
UPPER(TRIM(rEmisor))=UPPER(TRIM(C1563)),
UPPER(TRIM(rEmisor))=""CUALQUIERA""
),
OR(
UPPER(TRIM(r"&amp;"Tipo))=""SOLO EMISOR"",
AND(
UPPER(TRIM(rTipo))=""EXACTA"",
UPPER(TRIM(D1563))=UPPER(TRIM(rPatron))
),
AND(
OR(
UPPER(TRIM(rTipo))=""CONTIENE"",
UPPER(TRIM(rTipo))=""COINCIDENCIA""
),
ISNUMBER(SEARCH(UPPER(TRIM(rPatron)),UPPER(TRIM(D1563))))
)
)
),
rConce"&amp;"pto,
""""
)
)
)&lt;&gt;""""
),
1
),
""""
)"),"OTROS GASTOS")</f>
        <v>OTROS GASTOS</v>
      </c>
      <c r="L1563" s="27"/>
      <c r="M1563" s="27"/>
      <c r="N1563" s="27"/>
      <c r="O1563" s="27"/>
      <c r="P1563" s="27"/>
      <c r="Q1563" s="27"/>
      <c r="R1563" s="27"/>
      <c r="S1563" s="27"/>
      <c r="T1563" s="27"/>
      <c r="U1563" s="27"/>
      <c r="V1563" s="27"/>
      <c r="W1563" s="27"/>
      <c r="X1563" s="27"/>
      <c r="Y1563" s="27"/>
    </row>
    <row r="1564">
      <c r="A1564" s="32"/>
      <c r="B1564" s="28" t="s">
        <v>29</v>
      </c>
      <c r="C1564" s="29" t="s">
        <v>506</v>
      </c>
      <c r="D1564" s="29" t="s">
        <v>1928</v>
      </c>
      <c r="E1564" s="30">
        <v>1114.87</v>
      </c>
      <c r="F1564" s="28">
        <v>0.0</v>
      </c>
      <c r="G1564" s="99" t="s">
        <v>250</v>
      </c>
      <c r="H1564" s="28">
        <f t="array" ref="H1564">INDEX(CC!C:C,MATCH(1,(CC!A:A=G1564)*(CC!B:B=I1564),0))</f>
        <v>1402</v>
      </c>
      <c r="I1564" s="99" t="s">
        <v>25</v>
      </c>
      <c r="J1564" s="31">
        <v>1114.87</v>
      </c>
      <c r="K1564" s="28" t="str">
        <f>IFERROR(__xludf.DUMMYFUNCTION("IFERROR(
INDEX(
FILTER(
MAP(
reglas!$B$2:$B$240,
reglas!$C$2:$C$240,
reglas!$D$2:$D$240,
reglas!$E$2:$E$240,
LAMBDA(rEmisor,rPatron,rConcepto,rTipo,
IF(
AND(
OR(
UPPER(TRIM(rEmisor))=UPPER(TRIM(C1564)),
UPPER(TRIM(rEmisor))=""CUALQUIERA""
),
OR(
UPPER(TRI"&amp;"M(rTipo))=""SOLO EMISOR"",
AND(
UPPER(TRIM(rTipo))=""EXACTA"",
UPPER(TRIM(AG1564))=UPPER(TRIM(rPatron))
),
AND(
OR(
UPPER(TRIM(rTipo))=""CONTIENE"",
UPPER(TRIM(rTipo))=""COINCIDENCIA""
),
ISNUMBER(SEARCH(UPPER(TRIM(rPatron)),UPPER(TRIM(D1564))))
)
)
),
rC"&amp;"oncepto,
""""
)
)
),
MAP(
reglas!$B$2:$B$240,
reglas!$C$2:$C$240,
reglas!$D$2:$D$240,
reglas!$E$2:$E$240,
LAMBDA(rEmisor,rPatron,rConcepto,rTipo,
IF(
AND(
OR(
UPPER(TRIM(rEmisor))=UPPER(TRIM(C1564)),
UPPER(TRIM(rEmisor))=""CUALQUIERA""
),
OR(
UPPER(TRIM(r"&amp;"Tipo))=""SOLO EMISOR"",
AND(
UPPER(TRIM(rTipo))=""EXACTA"",
UPPER(TRIM(D1564))=UPPER(TRIM(rPatron))
),
AND(
OR(
UPPER(TRIM(rTipo))=""CONTIENE"",
UPPER(TRIM(rTipo))=""COINCIDENCIA""
),
ISNUMBER(SEARCH(UPPER(TRIM(rPatron)),UPPER(TRIM(D1564))))
)
)
),
rConce"&amp;"pto,
""""
)
)
)&lt;&gt;""""
),
1
),
""""
)"),"UNIFORMES")</f>
        <v>UNIFORMES</v>
      </c>
      <c r="L1564" s="27"/>
      <c r="M1564" s="27"/>
      <c r="N1564" s="27"/>
      <c r="O1564" s="27"/>
      <c r="P1564" s="27"/>
      <c r="Q1564" s="27"/>
      <c r="R1564" s="27"/>
      <c r="S1564" s="27"/>
      <c r="T1564" s="27"/>
      <c r="U1564" s="27"/>
      <c r="V1564" s="27"/>
      <c r="W1564" s="27"/>
      <c r="X1564" s="27"/>
      <c r="Y1564" s="27"/>
    </row>
    <row r="1565">
      <c r="A1565" s="32"/>
      <c r="B1565" s="32"/>
      <c r="C1565" s="29" t="s">
        <v>506</v>
      </c>
      <c r="D1565" s="42" t="s">
        <v>1929</v>
      </c>
      <c r="E1565" s="28">
        <v>289.66</v>
      </c>
      <c r="F1565" s="28">
        <v>0.0</v>
      </c>
      <c r="G1565" s="99" t="s">
        <v>250</v>
      </c>
      <c r="H1565" s="28">
        <f t="array" ref="H1565">INDEX(CC!C:C,MATCH(1,(CC!A:A=G1565)*(CC!B:B=I1565),0))</f>
        <v>1402</v>
      </c>
      <c r="I1565" s="99" t="s">
        <v>25</v>
      </c>
      <c r="J1565" s="31">
        <v>289.66</v>
      </c>
      <c r="K1565" s="28" t="str">
        <f>IFERROR(__xludf.DUMMYFUNCTION("IFERROR(
INDEX(
FILTER(
MAP(
reglas!$B$2:$B$240,
reglas!$C$2:$C$240,
reglas!$D$2:$D$240,
reglas!$E$2:$E$240,
LAMBDA(rEmisor,rPatron,rConcepto,rTipo,
IF(
AND(
OR(
UPPER(TRIM(rEmisor))=UPPER(TRIM(C1565)),
UPPER(TRIM(rEmisor))=""CUALQUIERA""
),
OR(
UPPER(TRI"&amp;"M(rTipo))=""SOLO EMISOR"",
AND(
UPPER(TRIM(rTipo))=""EXACTA"",
UPPER(TRIM(AG1565))=UPPER(TRIM(rPatron))
),
AND(
OR(
UPPER(TRIM(rTipo))=""CONTIENE"",
UPPER(TRIM(rTipo))=""COINCIDENCIA""
),
ISNUMBER(SEARCH(UPPER(TRIM(rPatron)),UPPER(TRIM(D1565))))
)
)
),
rC"&amp;"oncepto,
""""
)
)
),
MAP(
reglas!$B$2:$B$240,
reglas!$C$2:$C$240,
reglas!$D$2:$D$240,
reglas!$E$2:$E$240,
LAMBDA(rEmisor,rPatron,rConcepto,rTipo,
IF(
AND(
OR(
UPPER(TRIM(rEmisor))=UPPER(TRIM(C1565)),
UPPER(TRIM(rEmisor))=""CUALQUIERA""
),
OR(
UPPER(TRIM(r"&amp;"Tipo))=""SOLO EMISOR"",
AND(
UPPER(TRIM(rTipo))=""EXACTA"",
UPPER(TRIM(D1565))=UPPER(TRIM(rPatron))
),
AND(
OR(
UPPER(TRIM(rTipo))=""CONTIENE"",
UPPER(TRIM(rTipo))=""COINCIDENCIA""
),
ISNUMBER(SEARCH(UPPER(TRIM(rPatron)),UPPER(TRIM(D1565))))
)
)
),
rConce"&amp;"pto,
""""
)
)
)&lt;&gt;""""
),
1
),
""""
)"),"MANIOBRAS")</f>
        <v>MANIOBRAS</v>
      </c>
      <c r="L1565" s="27"/>
      <c r="M1565" s="27"/>
      <c r="N1565" s="27"/>
      <c r="O1565" s="27"/>
      <c r="P1565" s="27"/>
      <c r="Q1565" s="27"/>
      <c r="R1565" s="27"/>
      <c r="S1565" s="27"/>
      <c r="T1565" s="27"/>
      <c r="U1565" s="27"/>
      <c r="V1565" s="27"/>
      <c r="W1565" s="27"/>
      <c r="X1565" s="27"/>
      <c r="Y1565" s="27"/>
    </row>
    <row r="1566">
      <c r="A1566" s="32"/>
      <c r="B1566" s="28" t="s">
        <v>29</v>
      </c>
      <c r="C1566" s="29" t="s">
        <v>278</v>
      </c>
      <c r="D1566" s="29" t="s">
        <v>898</v>
      </c>
      <c r="E1566" s="30">
        <v>1000.0</v>
      </c>
      <c r="F1566" s="28">
        <v>0.0</v>
      </c>
      <c r="G1566" s="99" t="s">
        <v>250</v>
      </c>
      <c r="H1566" s="28">
        <f t="array" ref="H1566">INDEX(CC!C:C,MATCH(1,(CC!A:A=G1566)*(CC!B:B=I1566),0))</f>
        <v>1402</v>
      </c>
      <c r="I1566" s="99" t="s">
        <v>25</v>
      </c>
      <c r="J1566" s="31">
        <v>1000.0</v>
      </c>
      <c r="K1566" s="28" t="str">
        <f>IFERROR(__xludf.DUMMYFUNCTION("IFERROR(
INDEX(
FILTER(
MAP(
reglas!$B$2:$B$240,
reglas!$C$2:$C$240,
reglas!$D$2:$D$240,
reglas!$E$2:$E$240,
LAMBDA(rEmisor,rPatron,rConcepto,rTipo,
IF(
AND(
OR(
UPPER(TRIM(rEmisor))=UPPER(TRIM(C1566)),
UPPER(TRIM(rEmisor))=""CUALQUIERA""
),
OR(
UPPER(TRI"&amp;"M(rTipo))=""SOLO EMISOR"",
AND(
UPPER(TRIM(rTipo))=""EXACTA"",
UPPER(TRIM(AG1566))=UPPER(TRIM(rPatron))
),
AND(
OR(
UPPER(TRIM(rTipo))=""CONTIENE"",
UPPER(TRIM(rTipo))=""COINCIDENCIA""
),
ISNUMBER(SEARCH(UPPER(TRIM(rPatron)),UPPER(TRIM(D1566))))
)
)
),
rC"&amp;"oncepto,
""""
)
)
),
MAP(
reglas!$B$2:$B$240,
reglas!$C$2:$C$240,
reglas!$D$2:$D$240,
reglas!$E$2:$E$240,
LAMBDA(rEmisor,rPatron,rConcepto,rTipo,
IF(
AND(
OR(
UPPER(TRIM(rEmisor))=UPPER(TRIM(C1566)),
UPPER(TRIM(rEmisor))=""CUALQUIERA""
),
OR(
UPPER(TRIM(r"&amp;"Tipo))=""SOLO EMISOR"",
AND(
UPPER(TRIM(rTipo))=""EXACTA"",
UPPER(TRIM(D1566))=UPPER(TRIM(rPatron))
),
AND(
OR(
UPPER(TRIM(rTipo))=""CONTIENE"",
UPPER(TRIM(rTipo))=""COINCIDENCIA""
),
ISNUMBER(SEARCH(UPPER(TRIM(rPatron)),UPPER(TRIM(D1566))))
)
)
),
rConce"&amp;"pto,
""""
)
)
)&lt;&gt;""""
),
1
),
""""
)"),"MANIOBRAS")</f>
        <v>MANIOBRAS</v>
      </c>
      <c r="L1566" s="27"/>
      <c r="M1566" s="27"/>
      <c r="N1566" s="27"/>
      <c r="O1566" s="27"/>
      <c r="P1566" s="27"/>
      <c r="Q1566" s="27"/>
      <c r="R1566" s="27"/>
      <c r="S1566" s="27"/>
      <c r="T1566" s="27"/>
      <c r="U1566" s="27"/>
      <c r="V1566" s="27"/>
      <c r="W1566" s="27"/>
      <c r="X1566" s="27"/>
      <c r="Y1566" s="27"/>
    </row>
    <row r="1567">
      <c r="A1567" s="32"/>
      <c r="B1567" s="28" t="s">
        <v>29</v>
      </c>
      <c r="C1567" s="29" t="s">
        <v>278</v>
      </c>
      <c r="D1567" s="29" t="s">
        <v>560</v>
      </c>
      <c r="E1567" s="30">
        <v>3500.0</v>
      </c>
      <c r="F1567" s="28">
        <v>0.0</v>
      </c>
      <c r="G1567" s="99" t="s">
        <v>250</v>
      </c>
      <c r="H1567" s="28">
        <f t="array" ref="H1567">INDEX(CC!C:C,MATCH(1,(CC!A:A=G1567)*(CC!B:B=I1567),0))</f>
        <v>1402</v>
      </c>
      <c r="I1567" s="99" t="s">
        <v>25</v>
      </c>
      <c r="J1567" s="31">
        <v>3500.0</v>
      </c>
      <c r="K1567" s="28" t="str">
        <f>IFERROR(__xludf.DUMMYFUNCTION("IFERROR(
INDEX(
FILTER(
MAP(
reglas!$B$2:$B$240,
reglas!$C$2:$C$240,
reglas!$D$2:$D$240,
reglas!$E$2:$E$240,
LAMBDA(rEmisor,rPatron,rConcepto,rTipo,
IF(
AND(
OR(
UPPER(TRIM(rEmisor))=UPPER(TRIM(C1567)),
UPPER(TRIM(rEmisor))=""CUALQUIERA""
),
OR(
UPPER(TRI"&amp;"M(rTipo))=""SOLO EMISOR"",
AND(
UPPER(TRIM(rTipo))=""EXACTA"",
UPPER(TRIM(AG1567))=UPPER(TRIM(rPatron))
),
AND(
OR(
UPPER(TRIM(rTipo))=""CONTIENE"",
UPPER(TRIM(rTipo))=""COINCIDENCIA""
),
ISNUMBER(SEARCH(UPPER(TRIM(rPatron)),UPPER(TRIM(D1567))))
)
)
),
rC"&amp;"oncepto,
""""
)
)
),
MAP(
reglas!$B$2:$B$240,
reglas!$C$2:$C$240,
reglas!$D$2:$D$240,
reglas!$E$2:$E$240,
LAMBDA(rEmisor,rPatron,rConcepto,rTipo,
IF(
AND(
OR(
UPPER(TRIM(rEmisor))=UPPER(TRIM(C1567)),
UPPER(TRIM(rEmisor))=""CUALQUIERA""
),
OR(
UPPER(TRIM(r"&amp;"Tipo))=""SOLO EMISOR"",
AND(
UPPER(TRIM(rTipo))=""EXACTA"",
UPPER(TRIM(D1567))=UPPER(TRIM(rPatron))
),
AND(
OR(
UPPER(TRIM(rTipo))=""CONTIENE"",
UPPER(TRIM(rTipo))=""COINCIDENCIA""
),
ISNUMBER(SEARCH(UPPER(TRIM(rPatron)),UPPER(TRIM(D1567))))
)
)
),
rConce"&amp;"pto,
""""
)
)
)&lt;&gt;""""
),
1
),
""""
)"),"MANIOBRAS")</f>
        <v>MANIOBRAS</v>
      </c>
      <c r="L1567" s="27"/>
      <c r="M1567" s="27"/>
      <c r="N1567" s="27"/>
      <c r="O1567" s="27"/>
      <c r="P1567" s="27"/>
      <c r="Q1567" s="27"/>
      <c r="R1567" s="27"/>
      <c r="S1567" s="27"/>
      <c r="T1567" s="27"/>
      <c r="U1567" s="27"/>
      <c r="V1567" s="27"/>
      <c r="W1567" s="27"/>
      <c r="X1567" s="27"/>
      <c r="Y1567" s="27"/>
    </row>
    <row r="1568">
      <c r="A1568" s="28">
        <v>1.0</v>
      </c>
      <c r="B1568" s="28" t="s">
        <v>29</v>
      </c>
      <c r="C1568" s="29" t="s">
        <v>271</v>
      </c>
      <c r="D1568" s="29" t="s">
        <v>589</v>
      </c>
      <c r="E1568" s="28">
        <v>619.88</v>
      </c>
      <c r="F1568" s="28">
        <v>0.0</v>
      </c>
      <c r="G1568" s="28" t="s">
        <v>84</v>
      </c>
      <c r="H1568" s="28">
        <f t="array" ref="H1568">INDEX(CC!C:C,MATCH(1,(CC!A:A=G1568)*(CC!B:B=I1568),0))</f>
        <v>1002</v>
      </c>
      <c r="I1568" s="28" t="s">
        <v>25</v>
      </c>
      <c r="J1568" s="31">
        <v>619.88</v>
      </c>
      <c r="K1568" s="28" t="str">
        <f>IFERROR(__xludf.DUMMYFUNCTION("IFERROR(
INDEX(
FILTER(
MAP(
reglas!$B$2:$B$240,
reglas!$C$2:$C$240,
reglas!$D$2:$D$240,
reglas!$E$2:$E$240,
LAMBDA(rEmisor,rPatron,rConcepto,rTipo,
IF(
AND(
OR(
UPPER(TRIM(rEmisor))=UPPER(TRIM(C1568)),
UPPER(TRIM(rEmisor))=""CUALQUIERA""
),
OR(
UPPER(TRI"&amp;"M(rTipo))=""SOLO EMISOR"",
AND(
UPPER(TRIM(rTipo))=""EXACTA"",
UPPER(TRIM(AG1568))=UPPER(TRIM(rPatron))
),
AND(
OR(
UPPER(TRIM(rTipo))=""CONTIENE"",
UPPER(TRIM(rTipo))=""COINCIDENCIA""
),
ISNUMBER(SEARCH(UPPER(TRIM(rPatron)),UPPER(TRIM(D1568))))
)
)
),
rC"&amp;"oncepto,
""""
)
)
),
MAP(
reglas!$B$2:$B$240,
reglas!$C$2:$C$240,
reglas!$D$2:$D$240,
reglas!$E$2:$E$240,
LAMBDA(rEmisor,rPatron,rConcepto,rTipo,
IF(
AND(
OR(
UPPER(TRIM(rEmisor))=UPPER(TRIM(C1568)),
UPPER(TRIM(rEmisor))=""CUALQUIERA""
),
OR(
UPPER(TRIM(r"&amp;"Tipo))=""SOLO EMISOR"",
AND(
UPPER(TRIM(rTipo))=""EXACTA"",
UPPER(TRIM(D1568))=UPPER(TRIM(rPatron))
),
AND(
OR(
UPPER(TRIM(rTipo))=""CONTIENE"",
UPPER(TRIM(rTipo))=""COINCIDENCIA""
),
ISNUMBER(SEARCH(UPPER(TRIM(rPatron)),UPPER(TRIM(D1568))))
)
)
),
rConce"&amp;"pto,
""""
)
)
)&lt;&gt;""""
),
1
),
""""
)"),"MANIOBRAS")</f>
        <v>MANIOBRAS</v>
      </c>
      <c r="L1568" s="27"/>
      <c r="M1568" s="27"/>
      <c r="N1568" s="27"/>
      <c r="O1568" s="27"/>
      <c r="P1568" s="27"/>
      <c r="Q1568" s="27"/>
      <c r="R1568" s="27"/>
      <c r="S1568" s="27"/>
      <c r="T1568" s="27"/>
      <c r="U1568" s="27"/>
      <c r="V1568" s="27"/>
      <c r="W1568" s="27"/>
      <c r="X1568" s="27"/>
      <c r="Y1568" s="27"/>
    </row>
    <row r="1569">
      <c r="A1569" s="28">
        <v>1.0</v>
      </c>
      <c r="B1569" s="28" t="s">
        <v>29</v>
      </c>
      <c r="C1569" s="29" t="s">
        <v>271</v>
      </c>
      <c r="D1569" s="29" t="s">
        <v>585</v>
      </c>
      <c r="E1569" s="28">
        <v>619.55</v>
      </c>
      <c r="F1569" s="28">
        <v>0.0</v>
      </c>
      <c r="G1569" s="28" t="s">
        <v>84</v>
      </c>
      <c r="H1569" s="28">
        <f t="array" ref="H1569">INDEX(CC!C:C,MATCH(1,(CC!A:A=G1569)*(CC!B:B=I1569),0))</f>
        <v>1002</v>
      </c>
      <c r="I1569" s="28" t="s">
        <v>25</v>
      </c>
      <c r="J1569" s="31">
        <v>619.55</v>
      </c>
      <c r="K1569" s="28" t="str">
        <f>IFERROR(__xludf.DUMMYFUNCTION("IFERROR(
INDEX(
FILTER(
MAP(
reglas!$B$2:$B$240,
reglas!$C$2:$C$240,
reglas!$D$2:$D$240,
reglas!$E$2:$E$240,
LAMBDA(rEmisor,rPatron,rConcepto,rTipo,
IF(
AND(
OR(
UPPER(TRIM(rEmisor))=UPPER(TRIM(C1569)),
UPPER(TRIM(rEmisor))=""CUALQUIERA""
),
OR(
UPPER(TRI"&amp;"M(rTipo))=""SOLO EMISOR"",
AND(
UPPER(TRIM(rTipo))=""EXACTA"",
UPPER(TRIM(AG1569))=UPPER(TRIM(rPatron))
),
AND(
OR(
UPPER(TRIM(rTipo))=""CONTIENE"",
UPPER(TRIM(rTipo))=""COINCIDENCIA""
),
ISNUMBER(SEARCH(UPPER(TRIM(rPatron)),UPPER(TRIM(D1569))))
)
)
),
rC"&amp;"oncepto,
""""
)
)
),
MAP(
reglas!$B$2:$B$240,
reglas!$C$2:$C$240,
reglas!$D$2:$D$240,
reglas!$E$2:$E$240,
LAMBDA(rEmisor,rPatron,rConcepto,rTipo,
IF(
AND(
OR(
UPPER(TRIM(rEmisor))=UPPER(TRIM(C1569)),
UPPER(TRIM(rEmisor))=""CUALQUIERA""
),
OR(
UPPER(TRIM(r"&amp;"Tipo))=""SOLO EMISOR"",
AND(
UPPER(TRIM(rTipo))=""EXACTA"",
UPPER(TRIM(D1569))=UPPER(TRIM(rPatron))
),
AND(
OR(
UPPER(TRIM(rTipo))=""CONTIENE"",
UPPER(TRIM(rTipo))=""COINCIDENCIA""
),
ISNUMBER(SEARCH(UPPER(TRIM(rPatron)),UPPER(TRIM(D1569))))
)
)
),
rConce"&amp;"pto,
""""
)
)
)&lt;&gt;""""
),
1
),
""""
)"),"MANIOBRAS")</f>
        <v>MANIOBRAS</v>
      </c>
      <c r="L1569" s="27"/>
      <c r="M1569" s="27"/>
      <c r="N1569" s="27"/>
      <c r="O1569" s="27"/>
      <c r="P1569" s="27"/>
      <c r="Q1569" s="27"/>
      <c r="R1569" s="27"/>
      <c r="S1569" s="27"/>
      <c r="T1569" s="27"/>
      <c r="U1569" s="27"/>
      <c r="V1569" s="27"/>
      <c r="W1569" s="27"/>
      <c r="X1569" s="27"/>
      <c r="Y1569" s="27"/>
    </row>
    <row r="1570">
      <c r="A1570" s="32"/>
      <c r="B1570" s="32"/>
      <c r="C1570" s="29" t="s">
        <v>271</v>
      </c>
      <c r="D1570" s="29" t="s">
        <v>587</v>
      </c>
      <c r="E1570" s="28">
        <v>566.84</v>
      </c>
      <c r="F1570" s="28">
        <v>0.0</v>
      </c>
      <c r="G1570" s="28" t="s">
        <v>84</v>
      </c>
      <c r="H1570" s="28">
        <f t="array" ref="H1570">INDEX(CC!C:C,MATCH(1,(CC!A:A=G1570)*(CC!B:B=I1570),0))</f>
        <v>1002</v>
      </c>
      <c r="I1570" s="28" t="s">
        <v>25</v>
      </c>
      <c r="J1570" s="31">
        <v>566.84</v>
      </c>
      <c r="K1570" s="28" t="str">
        <f>IFERROR(__xludf.DUMMYFUNCTION("IFERROR(
INDEX(
FILTER(
MAP(
reglas!$B$2:$B$240,
reglas!$C$2:$C$240,
reglas!$D$2:$D$240,
reglas!$E$2:$E$240,
LAMBDA(rEmisor,rPatron,rConcepto,rTipo,
IF(
AND(
OR(
UPPER(TRIM(rEmisor))=UPPER(TRIM(C1570)),
UPPER(TRIM(rEmisor))=""CUALQUIERA""
),
OR(
UPPER(TRI"&amp;"M(rTipo))=""SOLO EMISOR"",
AND(
UPPER(TRIM(rTipo))=""EXACTA"",
UPPER(TRIM(AG1570))=UPPER(TRIM(rPatron))
),
AND(
OR(
UPPER(TRIM(rTipo))=""CONTIENE"",
UPPER(TRIM(rTipo))=""COINCIDENCIA""
),
ISNUMBER(SEARCH(UPPER(TRIM(rPatron)),UPPER(TRIM(D1570))))
)
)
),
rC"&amp;"oncepto,
""""
)
)
),
MAP(
reglas!$B$2:$B$240,
reglas!$C$2:$C$240,
reglas!$D$2:$D$240,
reglas!$E$2:$E$240,
LAMBDA(rEmisor,rPatron,rConcepto,rTipo,
IF(
AND(
OR(
UPPER(TRIM(rEmisor))=UPPER(TRIM(C1570)),
UPPER(TRIM(rEmisor))=""CUALQUIERA""
),
OR(
UPPER(TRIM(r"&amp;"Tipo))=""SOLO EMISOR"",
AND(
UPPER(TRIM(rTipo))=""EXACTA"",
UPPER(TRIM(D1570))=UPPER(TRIM(rPatron))
),
AND(
OR(
UPPER(TRIM(rTipo))=""CONTIENE"",
UPPER(TRIM(rTipo))=""COINCIDENCIA""
),
ISNUMBER(SEARCH(UPPER(TRIM(rPatron)),UPPER(TRIM(D1570))))
)
)
),
rConce"&amp;"pto,
""""
)
)
)&lt;&gt;""""
),
1
),
""""
)"),"MANIOBRAS")</f>
        <v>MANIOBRAS</v>
      </c>
      <c r="L1570" s="27"/>
      <c r="M1570" s="27"/>
      <c r="N1570" s="27"/>
      <c r="O1570" s="27"/>
      <c r="P1570" s="27"/>
      <c r="Q1570" s="27"/>
      <c r="R1570" s="27"/>
      <c r="S1570" s="27"/>
      <c r="T1570" s="27"/>
      <c r="U1570" s="27"/>
      <c r="V1570" s="27"/>
      <c r="W1570" s="27"/>
      <c r="X1570" s="27"/>
      <c r="Y1570" s="27"/>
    </row>
    <row r="1571">
      <c r="A1571" s="32"/>
      <c r="B1571" s="32"/>
      <c r="C1571" s="29" t="s">
        <v>271</v>
      </c>
      <c r="D1571" s="29" t="s">
        <v>589</v>
      </c>
      <c r="E1571" s="28">
        <v>619.88</v>
      </c>
      <c r="F1571" s="28">
        <v>0.0</v>
      </c>
      <c r="G1571" s="28" t="s">
        <v>84</v>
      </c>
      <c r="H1571" s="28">
        <f t="array" ref="H1571">INDEX(CC!C:C,MATCH(1,(CC!A:A=G1571)*(CC!B:B=I1571),0))</f>
        <v>1002</v>
      </c>
      <c r="I1571" s="28" t="s">
        <v>25</v>
      </c>
      <c r="J1571" s="31">
        <v>619.88</v>
      </c>
      <c r="K1571" s="28" t="str">
        <f>IFERROR(__xludf.DUMMYFUNCTION("IFERROR(
INDEX(
FILTER(
MAP(
reglas!$B$2:$B$240,
reglas!$C$2:$C$240,
reglas!$D$2:$D$240,
reglas!$E$2:$E$240,
LAMBDA(rEmisor,rPatron,rConcepto,rTipo,
IF(
AND(
OR(
UPPER(TRIM(rEmisor))=UPPER(TRIM(C1571)),
UPPER(TRIM(rEmisor))=""CUALQUIERA""
),
OR(
UPPER(TRI"&amp;"M(rTipo))=""SOLO EMISOR"",
AND(
UPPER(TRIM(rTipo))=""EXACTA"",
UPPER(TRIM(AG1571))=UPPER(TRIM(rPatron))
),
AND(
OR(
UPPER(TRIM(rTipo))=""CONTIENE"",
UPPER(TRIM(rTipo))=""COINCIDENCIA""
),
ISNUMBER(SEARCH(UPPER(TRIM(rPatron)),UPPER(TRIM(D1571))))
)
)
),
rC"&amp;"oncepto,
""""
)
)
),
MAP(
reglas!$B$2:$B$240,
reglas!$C$2:$C$240,
reglas!$D$2:$D$240,
reglas!$E$2:$E$240,
LAMBDA(rEmisor,rPatron,rConcepto,rTipo,
IF(
AND(
OR(
UPPER(TRIM(rEmisor))=UPPER(TRIM(C1571)),
UPPER(TRIM(rEmisor))=""CUALQUIERA""
),
OR(
UPPER(TRIM(r"&amp;"Tipo))=""SOLO EMISOR"",
AND(
UPPER(TRIM(rTipo))=""EXACTA"",
UPPER(TRIM(D1571))=UPPER(TRIM(rPatron))
),
AND(
OR(
UPPER(TRIM(rTipo))=""CONTIENE"",
UPPER(TRIM(rTipo))=""COINCIDENCIA""
),
ISNUMBER(SEARCH(UPPER(TRIM(rPatron)),UPPER(TRIM(D1571))))
)
)
),
rConce"&amp;"pto,
""""
)
)
)&lt;&gt;""""
),
1
),
""""
)"),"MANIOBRAS")</f>
        <v>MANIOBRAS</v>
      </c>
      <c r="L1571" s="27"/>
      <c r="M1571" s="27"/>
      <c r="N1571" s="27"/>
      <c r="O1571" s="27"/>
      <c r="P1571" s="27"/>
      <c r="Q1571" s="27"/>
      <c r="R1571" s="27"/>
      <c r="S1571" s="27"/>
      <c r="T1571" s="27"/>
      <c r="U1571" s="27"/>
      <c r="V1571" s="27"/>
      <c r="W1571" s="27"/>
      <c r="X1571" s="27"/>
      <c r="Y1571" s="27"/>
    </row>
    <row r="1572">
      <c r="A1572" s="32"/>
      <c r="B1572" s="32"/>
      <c r="C1572" s="29" t="s">
        <v>271</v>
      </c>
      <c r="D1572" s="29" t="s">
        <v>596</v>
      </c>
      <c r="E1572" s="28">
        <v>650.39</v>
      </c>
      <c r="F1572" s="28">
        <v>0.0</v>
      </c>
      <c r="G1572" s="28" t="s">
        <v>84</v>
      </c>
      <c r="H1572" s="28">
        <f t="array" ref="H1572">INDEX(CC!C:C,MATCH(1,(CC!A:A=G1572)*(CC!B:B=I1572),0))</f>
        <v>1002</v>
      </c>
      <c r="I1572" s="28" t="s">
        <v>25</v>
      </c>
      <c r="J1572" s="31">
        <v>650.39</v>
      </c>
      <c r="K1572" s="28" t="str">
        <f>IFERROR(__xludf.DUMMYFUNCTION("IFERROR(
INDEX(
FILTER(
MAP(
reglas!$B$2:$B$240,
reglas!$C$2:$C$240,
reglas!$D$2:$D$240,
reglas!$E$2:$E$240,
LAMBDA(rEmisor,rPatron,rConcepto,rTipo,
IF(
AND(
OR(
UPPER(TRIM(rEmisor))=UPPER(TRIM(C1572)),
UPPER(TRIM(rEmisor))=""CUALQUIERA""
),
OR(
UPPER(TRI"&amp;"M(rTipo))=""SOLO EMISOR"",
AND(
UPPER(TRIM(rTipo))=""EXACTA"",
UPPER(TRIM(AG1572))=UPPER(TRIM(rPatron))
),
AND(
OR(
UPPER(TRIM(rTipo))=""CONTIENE"",
UPPER(TRIM(rTipo))=""COINCIDENCIA""
),
ISNUMBER(SEARCH(UPPER(TRIM(rPatron)),UPPER(TRIM(D1572))))
)
)
),
rC"&amp;"oncepto,
""""
)
)
),
MAP(
reglas!$B$2:$B$240,
reglas!$C$2:$C$240,
reglas!$D$2:$D$240,
reglas!$E$2:$E$240,
LAMBDA(rEmisor,rPatron,rConcepto,rTipo,
IF(
AND(
OR(
UPPER(TRIM(rEmisor))=UPPER(TRIM(C1572)),
UPPER(TRIM(rEmisor))=""CUALQUIERA""
),
OR(
UPPER(TRIM(r"&amp;"Tipo))=""SOLO EMISOR"",
AND(
UPPER(TRIM(rTipo))=""EXACTA"",
UPPER(TRIM(D1572))=UPPER(TRIM(rPatron))
),
AND(
OR(
UPPER(TRIM(rTipo))=""CONTIENE"",
UPPER(TRIM(rTipo))=""COINCIDENCIA""
),
ISNUMBER(SEARCH(UPPER(TRIM(rPatron)),UPPER(TRIM(D1572))))
)
)
),
rConce"&amp;"pto,
""""
)
)
)&lt;&gt;""""
),
1
),
""""
)"),"MANIOBRAS")</f>
        <v>MANIOBRAS</v>
      </c>
      <c r="L1572" s="27"/>
      <c r="M1572" s="27"/>
      <c r="N1572" s="27"/>
      <c r="O1572" s="27"/>
      <c r="P1572" s="27"/>
      <c r="Q1572" s="27"/>
      <c r="R1572" s="27"/>
      <c r="S1572" s="27"/>
      <c r="T1572" s="27"/>
      <c r="U1572" s="27"/>
      <c r="V1572" s="27"/>
      <c r="W1572" s="27"/>
      <c r="X1572" s="27"/>
      <c r="Y1572" s="27"/>
    </row>
    <row r="1573">
      <c r="A1573" s="28">
        <v>1.0</v>
      </c>
      <c r="B1573" s="28" t="s">
        <v>29</v>
      </c>
      <c r="C1573" s="29" t="s">
        <v>89</v>
      </c>
      <c r="D1573" s="29" t="s">
        <v>91</v>
      </c>
      <c r="E1573" s="30">
        <v>1283.04</v>
      </c>
      <c r="F1573" s="28">
        <v>0.0</v>
      </c>
      <c r="G1573" s="99" t="s">
        <v>601</v>
      </c>
      <c r="H1573" s="28">
        <f t="array" ref="H1573">INDEX(CC!C:C,MATCH(1,(CC!A:A=G1573)*(CC!B:B=I1573),0))</f>
        <v>402</v>
      </c>
      <c r="I1573" s="28" t="s">
        <v>25</v>
      </c>
      <c r="J1573" s="31">
        <v>1283.04</v>
      </c>
      <c r="K1573" s="28" t="str">
        <f>IFERROR(__xludf.DUMMYFUNCTION("IFERROR(
INDEX(
FILTER(
MAP(
reglas!$B$2:$B$240,
reglas!$C$2:$C$240,
reglas!$D$2:$D$240,
reglas!$E$2:$E$240,
LAMBDA(rEmisor,rPatron,rConcepto,rTipo,
IF(
AND(
OR(
UPPER(TRIM(rEmisor))=UPPER(TRIM(C1573)),
UPPER(TRIM(rEmisor))=""CUALQUIERA""
),
OR(
UPPER(TRI"&amp;"M(rTipo))=""SOLO EMISOR"",
AND(
UPPER(TRIM(rTipo))=""EXACTA"",
UPPER(TRIM(AG1573))=UPPER(TRIM(rPatron))
),
AND(
OR(
UPPER(TRIM(rTipo))=""CONTIENE"",
UPPER(TRIM(rTipo))=""COINCIDENCIA""
),
ISNUMBER(SEARCH(UPPER(TRIM(rPatron)),UPPER(TRIM(D1573))))
)
)
),
rC"&amp;"oncepto,
""""
)
)
),
MAP(
reglas!$B$2:$B$240,
reglas!$C$2:$C$240,
reglas!$D$2:$D$240,
reglas!$E$2:$E$240,
LAMBDA(rEmisor,rPatron,rConcepto,rTipo,
IF(
AND(
OR(
UPPER(TRIM(rEmisor))=UPPER(TRIM(C1573)),
UPPER(TRIM(rEmisor))=""CUALQUIERA""
),
OR(
UPPER(TRIM(r"&amp;"Tipo))=""SOLO EMISOR"",
AND(
UPPER(TRIM(rTipo))=""EXACTA"",
UPPER(TRIM(D1573))=UPPER(TRIM(rPatron))
),
AND(
OR(
UPPER(TRIM(rTipo))=""CONTIENE"",
UPPER(TRIM(rTipo))=""COINCIDENCIA""
),
ISNUMBER(SEARCH(UPPER(TRIM(rPatron)),UPPER(TRIM(D1573))))
)
)
),
rConce"&amp;"pto,
""""
)
)
)&lt;&gt;""""
),
1
),
""""
)"),"MANIOBRAS")</f>
        <v>MANIOBRAS</v>
      </c>
      <c r="L1573" s="27"/>
      <c r="M1573" s="27"/>
      <c r="N1573" s="27"/>
      <c r="O1573" s="27"/>
      <c r="P1573" s="27"/>
      <c r="Q1573" s="27"/>
      <c r="R1573" s="27"/>
      <c r="S1573" s="27"/>
      <c r="T1573" s="27"/>
      <c r="U1573" s="27"/>
      <c r="V1573" s="27"/>
      <c r="W1573" s="27"/>
      <c r="X1573" s="27"/>
      <c r="Y1573" s="27"/>
    </row>
    <row r="1574">
      <c r="A1574" s="32"/>
      <c r="B1574" s="28" t="s">
        <v>29</v>
      </c>
      <c r="C1574" s="29" t="s">
        <v>278</v>
      </c>
      <c r="D1574" s="29" t="s">
        <v>560</v>
      </c>
      <c r="E1574" s="30">
        <v>3500.0</v>
      </c>
      <c r="F1574" s="28">
        <v>0.0</v>
      </c>
      <c r="G1574" s="99" t="s">
        <v>250</v>
      </c>
      <c r="H1574" s="28">
        <f t="array" ref="H1574">INDEX(CC!C:C,MATCH(1,(CC!A:A=G1574)*(CC!B:B=I1574),0))</f>
        <v>1402</v>
      </c>
      <c r="I1574" s="28" t="s">
        <v>25</v>
      </c>
      <c r="J1574" s="31">
        <v>3500.0</v>
      </c>
      <c r="K1574" s="28" t="str">
        <f>IFERROR(__xludf.DUMMYFUNCTION("IFERROR(
INDEX(
FILTER(
MAP(
reglas!$B$2:$B$240,
reglas!$C$2:$C$240,
reglas!$D$2:$D$240,
reglas!$E$2:$E$240,
LAMBDA(rEmisor,rPatron,rConcepto,rTipo,
IF(
AND(
OR(
UPPER(TRIM(rEmisor))=UPPER(TRIM(C1574)),
UPPER(TRIM(rEmisor))=""CUALQUIERA""
),
OR(
UPPER(TRI"&amp;"M(rTipo))=""SOLO EMISOR"",
AND(
UPPER(TRIM(rTipo))=""EXACTA"",
UPPER(TRIM(AG1574))=UPPER(TRIM(rPatron))
),
AND(
OR(
UPPER(TRIM(rTipo))=""CONTIENE"",
UPPER(TRIM(rTipo))=""COINCIDENCIA""
),
ISNUMBER(SEARCH(UPPER(TRIM(rPatron)),UPPER(TRIM(D1574))))
)
)
),
rC"&amp;"oncepto,
""""
)
)
),
MAP(
reglas!$B$2:$B$240,
reglas!$C$2:$C$240,
reglas!$D$2:$D$240,
reglas!$E$2:$E$240,
LAMBDA(rEmisor,rPatron,rConcepto,rTipo,
IF(
AND(
OR(
UPPER(TRIM(rEmisor))=UPPER(TRIM(C1574)),
UPPER(TRIM(rEmisor))=""CUALQUIERA""
),
OR(
UPPER(TRIM(r"&amp;"Tipo))=""SOLO EMISOR"",
AND(
UPPER(TRIM(rTipo))=""EXACTA"",
UPPER(TRIM(D1574))=UPPER(TRIM(rPatron))
),
AND(
OR(
UPPER(TRIM(rTipo))=""CONTIENE"",
UPPER(TRIM(rTipo))=""COINCIDENCIA""
),
ISNUMBER(SEARCH(UPPER(TRIM(rPatron)),UPPER(TRIM(D1574))))
)
)
),
rConce"&amp;"pto,
""""
)
)
)&lt;&gt;""""
),
1
),
""""
)"),"MANIOBRAS")</f>
        <v>MANIOBRAS</v>
      </c>
      <c r="L1574" s="27"/>
      <c r="M1574" s="27"/>
      <c r="N1574" s="27"/>
      <c r="O1574" s="27"/>
      <c r="P1574" s="27"/>
      <c r="Q1574" s="27"/>
      <c r="R1574" s="27"/>
      <c r="S1574" s="27"/>
      <c r="T1574" s="27"/>
      <c r="U1574" s="27"/>
      <c r="V1574" s="27"/>
      <c r="W1574" s="27"/>
      <c r="X1574" s="27"/>
      <c r="Y1574" s="27"/>
    </row>
    <row r="1575">
      <c r="A1575" s="28">
        <v>1.0</v>
      </c>
      <c r="B1575" s="28" t="s">
        <v>29</v>
      </c>
      <c r="C1575" s="29" t="s">
        <v>505</v>
      </c>
      <c r="D1575" s="42" t="s">
        <v>1930</v>
      </c>
      <c r="E1575" s="28">
        <v>844.82</v>
      </c>
      <c r="F1575" s="28">
        <v>0.0</v>
      </c>
      <c r="G1575" s="99" t="s">
        <v>225</v>
      </c>
      <c r="H1575" s="28">
        <f t="array" ref="H1575">INDEX(CC!C:C,MATCH(1,(CC!A:A=G1575)*(CC!B:B=I1575),0))</f>
        <v>102</v>
      </c>
      <c r="I1575" s="99" t="s">
        <v>25</v>
      </c>
      <c r="J1575" s="31">
        <v>844.82</v>
      </c>
      <c r="K1575" s="28" t="str">
        <f>IFERROR(__xludf.DUMMYFUNCTION("IFERROR(
INDEX(
FILTER(
MAP(
reglas!$B$2:$B$240,
reglas!$C$2:$C$240,
reglas!$D$2:$D$240,
reglas!$E$2:$E$240,
LAMBDA(rEmisor,rPatron,rConcepto,rTipo,
IF(
AND(
OR(
UPPER(TRIM(rEmisor))=UPPER(TRIM(C1575)),
UPPER(TRIM(rEmisor))=""CUALQUIERA""
),
OR(
UPPER(TRI"&amp;"M(rTipo))=""SOLO EMISOR"",
AND(
UPPER(TRIM(rTipo))=""EXACTA"",
UPPER(TRIM(AG1575))=UPPER(TRIM(rPatron))
),
AND(
OR(
UPPER(TRIM(rTipo))=""CONTIENE"",
UPPER(TRIM(rTipo))=""COINCIDENCIA""
),
ISNUMBER(SEARCH(UPPER(TRIM(rPatron)),UPPER(TRIM(D1575))))
)
)
),
rC"&amp;"oncepto,
""""
)
)
),
MAP(
reglas!$B$2:$B$240,
reglas!$C$2:$C$240,
reglas!$D$2:$D$240,
reglas!$E$2:$E$240,
LAMBDA(rEmisor,rPatron,rConcepto,rTipo,
IF(
AND(
OR(
UPPER(TRIM(rEmisor))=UPPER(TRIM(C1575)),
UPPER(TRIM(rEmisor))=""CUALQUIERA""
),
OR(
UPPER(TRIM(r"&amp;"Tipo))=""SOLO EMISOR"",
AND(
UPPER(TRIM(rTipo))=""EXACTA"",
UPPER(TRIM(D1575))=UPPER(TRIM(rPatron))
),
AND(
OR(
UPPER(TRIM(rTipo))=""CONTIENE"",
UPPER(TRIM(rTipo))=""COINCIDENCIA""
),
ISNUMBER(SEARCH(UPPER(TRIM(rPatron)),UPPER(TRIM(D1575))))
)
)
),
rConce"&amp;"pto,
""""
)
)
)&lt;&gt;""""
),
1
),
""""
)"),"PERIFERICOS")</f>
        <v>PERIFERICOS</v>
      </c>
      <c r="L1575" s="27"/>
      <c r="M1575" s="27"/>
      <c r="N1575" s="27"/>
      <c r="O1575" s="27"/>
      <c r="P1575" s="27"/>
      <c r="Q1575" s="27"/>
      <c r="R1575" s="27"/>
      <c r="S1575" s="27"/>
      <c r="T1575" s="27"/>
      <c r="U1575" s="27"/>
      <c r="V1575" s="27"/>
      <c r="W1575" s="27"/>
      <c r="X1575" s="27"/>
      <c r="Y1575" s="27"/>
    </row>
    <row r="1576">
      <c r="A1576" s="32"/>
      <c r="B1576" s="32"/>
      <c r="C1576" s="29" t="s">
        <v>505</v>
      </c>
      <c r="D1576" s="42" t="s">
        <v>1931</v>
      </c>
      <c r="E1576" s="28">
        <v>104.31</v>
      </c>
      <c r="F1576" s="28">
        <v>0.0</v>
      </c>
      <c r="G1576" s="99" t="s">
        <v>225</v>
      </c>
      <c r="H1576" s="28">
        <f t="array" ref="H1576">INDEX(CC!C:C,MATCH(1,(CC!A:A=G1576)*(CC!B:B=I1576),0))</f>
        <v>102</v>
      </c>
      <c r="I1576" s="99" t="s">
        <v>25</v>
      </c>
      <c r="J1576" s="31">
        <v>104.31</v>
      </c>
      <c r="K1576" s="28" t="str">
        <f>IFERROR(__xludf.DUMMYFUNCTION("IFERROR(
INDEX(
FILTER(
MAP(
reglas!$B$2:$B$240,
reglas!$C$2:$C$240,
reglas!$D$2:$D$240,
reglas!$E$2:$E$240,
LAMBDA(rEmisor,rPatron,rConcepto,rTipo,
IF(
AND(
OR(
UPPER(TRIM(rEmisor))=UPPER(TRIM(C1576)),
UPPER(TRIM(rEmisor))=""CUALQUIERA""
),
OR(
UPPER(TRI"&amp;"M(rTipo))=""SOLO EMISOR"",
AND(
UPPER(TRIM(rTipo))=""EXACTA"",
UPPER(TRIM(AG1576))=UPPER(TRIM(rPatron))
),
AND(
OR(
UPPER(TRIM(rTipo))=""CONTIENE"",
UPPER(TRIM(rTipo))=""COINCIDENCIA""
),
ISNUMBER(SEARCH(UPPER(TRIM(rPatron)),UPPER(TRIM(D1576))))
)
)
),
rC"&amp;"oncepto,
""""
)
)
),
MAP(
reglas!$B$2:$B$240,
reglas!$C$2:$C$240,
reglas!$D$2:$D$240,
reglas!$E$2:$E$240,
LAMBDA(rEmisor,rPatron,rConcepto,rTipo,
IF(
AND(
OR(
UPPER(TRIM(rEmisor))=UPPER(TRIM(C1576)),
UPPER(TRIM(rEmisor))=""CUALQUIERA""
),
OR(
UPPER(TRIM(r"&amp;"Tipo))=""SOLO EMISOR"",
AND(
UPPER(TRIM(rTipo))=""EXACTA"",
UPPER(TRIM(D1576))=UPPER(TRIM(rPatron))
),
AND(
OR(
UPPER(TRIM(rTipo))=""CONTIENE"",
UPPER(TRIM(rTipo))=""COINCIDENCIA""
),
ISNUMBER(SEARCH(UPPER(TRIM(rPatron)),UPPER(TRIM(D1576))))
)
)
),
rConce"&amp;"pto,
""""
)
)
)&lt;&gt;""""
),
1
),
""""
)"),"PERIFERICOS")</f>
        <v>PERIFERICOS</v>
      </c>
      <c r="L1576" s="27"/>
      <c r="M1576" s="27"/>
      <c r="N1576" s="27"/>
      <c r="O1576" s="27"/>
      <c r="P1576" s="27"/>
      <c r="Q1576" s="27"/>
      <c r="R1576" s="27"/>
      <c r="S1576" s="27"/>
      <c r="T1576" s="27"/>
      <c r="U1576" s="27"/>
      <c r="V1576" s="27"/>
      <c r="W1576" s="27"/>
      <c r="X1576" s="27"/>
      <c r="Y1576" s="27"/>
    </row>
    <row r="1577">
      <c r="A1577" s="32"/>
      <c r="B1577" s="28" t="s">
        <v>29</v>
      </c>
      <c r="C1577" s="29" t="s">
        <v>172</v>
      </c>
      <c r="D1577" s="29" t="s">
        <v>1932</v>
      </c>
      <c r="E1577" s="30">
        <v>11500.0</v>
      </c>
      <c r="F1577" s="28">
        <v>0.0</v>
      </c>
      <c r="G1577" s="99" t="s">
        <v>250</v>
      </c>
      <c r="H1577" s="28">
        <f t="array" ref="H1577">INDEX(CC!C:C,MATCH(1,(CC!A:A=G1577)*(CC!B:B=I1577),0))</f>
        <v>1402</v>
      </c>
      <c r="I1577" s="99" t="s">
        <v>25</v>
      </c>
      <c r="J1577" s="31">
        <v>11500.0</v>
      </c>
      <c r="K1577" s="28" t="str">
        <f>IFERROR(__xludf.DUMMYFUNCTION("IFERROR(
INDEX(
FILTER(
MAP(
reglas!$B$2:$B$240,
reglas!$C$2:$C$240,
reglas!$D$2:$D$240,
reglas!$E$2:$E$240,
LAMBDA(rEmisor,rPatron,rConcepto,rTipo,
IF(
AND(
OR(
UPPER(TRIM(rEmisor))=UPPER(TRIM(C1577)),
UPPER(TRIM(rEmisor))=""CUALQUIERA""
),
OR(
UPPER(TRI"&amp;"M(rTipo))=""SOLO EMISOR"",
AND(
UPPER(TRIM(rTipo))=""EXACTA"",
UPPER(TRIM(AG1577))=UPPER(TRIM(rPatron))
),
AND(
OR(
UPPER(TRIM(rTipo))=""CONTIENE"",
UPPER(TRIM(rTipo))=""COINCIDENCIA""
),
ISNUMBER(SEARCH(UPPER(TRIM(rPatron)),UPPER(TRIM(D1577))))
)
)
),
rC"&amp;"oncepto,
""""
)
)
),
MAP(
reglas!$B$2:$B$240,
reglas!$C$2:$C$240,
reglas!$D$2:$D$240,
reglas!$E$2:$E$240,
LAMBDA(rEmisor,rPatron,rConcepto,rTipo,
IF(
AND(
OR(
UPPER(TRIM(rEmisor))=UPPER(TRIM(C1577)),
UPPER(TRIM(rEmisor))=""CUALQUIERA""
),
OR(
UPPER(TRIM(r"&amp;"Tipo))=""SOLO EMISOR"",
AND(
UPPER(TRIM(rTipo))=""EXACTA"",
UPPER(TRIM(D1577))=UPPER(TRIM(rPatron))
),
AND(
OR(
UPPER(TRIM(rTipo))=""CONTIENE"",
UPPER(TRIM(rTipo))=""COINCIDENCIA""
),
ISNUMBER(SEARCH(UPPER(TRIM(rPatron)),UPPER(TRIM(D1577))))
)
)
),
rConce"&amp;"pto,
""""
)
)
)&lt;&gt;""""
),
1
),
""""
)"),"TRANSPORTE")</f>
        <v>TRANSPORTE</v>
      </c>
      <c r="L1577" s="27"/>
      <c r="M1577" s="27"/>
      <c r="N1577" s="27"/>
      <c r="O1577" s="27"/>
      <c r="P1577" s="27"/>
      <c r="Q1577" s="27"/>
      <c r="R1577" s="27"/>
      <c r="S1577" s="27"/>
      <c r="T1577" s="27"/>
      <c r="U1577" s="27"/>
      <c r="V1577" s="27"/>
      <c r="W1577" s="27"/>
      <c r="X1577" s="27"/>
      <c r="Y1577" s="27"/>
    </row>
    <row r="1578">
      <c r="A1578" s="28">
        <v>1.0</v>
      </c>
      <c r="B1578" s="28" t="s">
        <v>29</v>
      </c>
      <c r="C1578" s="29" t="s">
        <v>271</v>
      </c>
      <c r="D1578" s="29" t="s">
        <v>585</v>
      </c>
      <c r="E1578" s="28">
        <v>620.23</v>
      </c>
      <c r="F1578" s="28">
        <v>0.0</v>
      </c>
      <c r="G1578" s="28" t="s">
        <v>84</v>
      </c>
      <c r="H1578" s="28">
        <f t="array" ref="H1578">INDEX(CC!C:C,MATCH(1,(CC!A:A=G1578)*(CC!B:B=I1578),0))</f>
        <v>1002</v>
      </c>
      <c r="I1578" s="28" t="s">
        <v>25</v>
      </c>
      <c r="J1578" s="31">
        <v>620.23</v>
      </c>
      <c r="K1578" s="28" t="str">
        <f>IFERROR(__xludf.DUMMYFUNCTION("IFERROR(
INDEX(
FILTER(
MAP(
reglas!$B$2:$B$240,
reglas!$C$2:$C$240,
reglas!$D$2:$D$240,
reglas!$E$2:$E$240,
LAMBDA(rEmisor,rPatron,rConcepto,rTipo,
IF(
AND(
OR(
UPPER(TRIM(rEmisor))=UPPER(TRIM(C1578)),
UPPER(TRIM(rEmisor))=""CUALQUIERA""
),
OR(
UPPER(TRI"&amp;"M(rTipo))=""SOLO EMISOR"",
AND(
UPPER(TRIM(rTipo))=""EXACTA"",
UPPER(TRIM(AG1578))=UPPER(TRIM(rPatron))
),
AND(
OR(
UPPER(TRIM(rTipo))=""CONTIENE"",
UPPER(TRIM(rTipo))=""COINCIDENCIA""
),
ISNUMBER(SEARCH(UPPER(TRIM(rPatron)),UPPER(TRIM(D1578))))
)
)
),
rC"&amp;"oncepto,
""""
)
)
),
MAP(
reglas!$B$2:$B$240,
reglas!$C$2:$C$240,
reglas!$D$2:$D$240,
reglas!$E$2:$E$240,
LAMBDA(rEmisor,rPatron,rConcepto,rTipo,
IF(
AND(
OR(
UPPER(TRIM(rEmisor))=UPPER(TRIM(C1578)),
UPPER(TRIM(rEmisor))=""CUALQUIERA""
),
OR(
UPPER(TRIM(r"&amp;"Tipo))=""SOLO EMISOR"",
AND(
UPPER(TRIM(rTipo))=""EXACTA"",
UPPER(TRIM(D1578))=UPPER(TRIM(rPatron))
),
AND(
OR(
UPPER(TRIM(rTipo))=""CONTIENE"",
UPPER(TRIM(rTipo))=""COINCIDENCIA""
),
ISNUMBER(SEARCH(UPPER(TRIM(rPatron)),UPPER(TRIM(D1578))))
)
)
),
rConce"&amp;"pto,
""""
)
)
)&lt;&gt;""""
),
1
),
""""
)"),"MANIOBRAS")</f>
        <v>MANIOBRAS</v>
      </c>
      <c r="L1578" s="27"/>
      <c r="M1578" s="27"/>
      <c r="N1578" s="27"/>
      <c r="O1578" s="27"/>
      <c r="P1578" s="27"/>
      <c r="Q1578" s="27"/>
      <c r="R1578" s="27"/>
      <c r="S1578" s="27"/>
      <c r="T1578" s="27"/>
      <c r="U1578" s="27"/>
      <c r="V1578" s="27"/>
      <c r="W1578" s="27"/>
      <c r="X1578" s="27"/>
      <c r="Y1578" s="27"/>
    </row>
    <row r="1579">
      <c r="A1579" s="32"/>
      <c r="B1579" s="32"/>
      <c r="C1579" s="29" t="s">
        <v>271</v>
      </c>
      <c r="D1579" s="29" t="s">
        <v>587</v>
      </c>
      <c r="E1579" s="28">
        <v>567.47</v>
      </c>
      <c r="F1579" s="28">
        <v>0.0</v>
      </c>
      <c r="G1579" s="28" t="s">
        <v>84</v>
      </c>
      <c r="H1579" s="28">
        <f t="array" ref="H1579">INDEX(CC!C:C,MATCH(1,(CC!A:A=G1579)*(CC!B:B=I1579),0))</f>
        <v>1002</v>
      </c>
      <c r="I1579" s="28" t="s">
        <v>25</v>
      </c>
      <c r="J1579" s="31">
        <v>567.47</v>
      </c>
      <c r="K1579" s="28" t="str">
        <f>IFERROR(__xludf.DUMMYFUNCTION("IFERROR(
INDEX(
FILTER(
MAP(
reglas!$B$2:$B$240,
reglas!$C$2:$C$240,
reglas!$D$2:$D$240,
reglas!$E$2:$E$240,
LAMBDA(rEmisor,rPatron,rConcepto,rTipo,
IF(
AND(
OR(
UPPER(TRIM(rEmisor))=UPPER(TRIM(C1579)),
UPPER(TRIM(rEmisor))=""CUALQUIERA""
),
OR(
UPPER(TRI"&amp;"M(rTipo))=""SOLO EMISOR"",
AND(
UPPER(TRIM(rTipo))=""EXACTA"",
UPPER(TRIM(AG1579))=UPPER(TRIM(rPatron))
),
AND(
OR(
UPPER(TRIM(rTipo))=""CONTIENE"",
UPPER(TRIM(rTipo))=""COINCIDENCIA""
),
ISNUMBER(SEARCH(UPPER(TRIM(rPatron)),UPPER(TRIM(D1579))))
)
)
),
rC"&amp;"oncepto,
""""
)
)
),
MAP(
reglas!$B$2:$B$240,
reglas!$C$2:$C$240,
reglas!$D$2:$D$240,
reglas!$E$2:$E$240,
LAMBDA(rEmisor,rPatron,rConcepto,rTipo,
IF(
AND(
OR(
UPPER(TRIM(rEmisor))=UPPER(TRIM(C1579)),
UPPER(TRIM(rEmisor))=""CUALQUIERA""
),
OR(
UPPER(TRIM(r"&amp;"Tipo))=""SOLO EMISOR"",
AND(
UPPER(TRIM(rTipo))=""EXACTA"",
UPPER(TRIM(D1579))=UPPER(TRIM(rPatron))
),
AND(
OR(
UPPER(TRIM(rTipo))=""CONTIENE"",
UPPER(TRIM(rTipo))=""COINCIDENCIA""
),
ISNUMBER(SEARCH(UPPER(TRIM(rPatron)),UPPER(TRIM(D1579))))
)
)
),
rConce"&amp;"pto,
""""
)
)
)&lt;&gt;""""
),
1
),
""""
)"),"MANIOBRAS")</f>
        <v>MANIOBRAS</v>
      </c>
      <c r="L1579" s="27"/>
      <c r="M1579" s="27"/>
      <c r="N1579" s="27"/>
      <c r="O1579" s="27"/>
      <c r="P1579" s="27"/>
      <c r="Q1579" s="27"/>
      <c r="R1579" s="27"/>
      <c r="S1579" s="27"/>
      <c r="T1579" s="27"/>
      <c r="U1579" s="27"/>
      <c r="V1579" s="27"/>
      <c r="W1579" s="27"/>
      <c r="X1579" s="27"/>
      <c r="Y1579" s="27"/>
    </row>
    <row r="1580">
      <c r="A1580" s="32"/>
      <c r="B1580" s="32"/>
      <c r="C1580" s="29" t="s">
        <v>271</v>
      </c>
      <c r="D1580" s="29" t="s">
        <v>589</v>
      </c>
      <c r="E1580" s="28">
        <v>620.57</v>
      </c>
      <c r="F1580" s="28">
        <v>0.0</v>
      </c>
      <c r="G1580" s="28" t="s">
        <v>84</v>
      </c>
      <c r="H1580" s="28">
        <f t="array" ref="H1580">INDEX(CC!C:C,MATCH(1,(CC!A:A=G1580)*(CC!B:B=I1580),0))</f>
        <v>1002</v>
      </c>
      <c r="I1580" s="28" t="s">
        <v>25</v>
      </c>
      <c r="J1580" s="31">
        <v>620.57</v>
      </c>
      <c r="K1580" s="28" t="str">
        <f>IFERROR(__xludf.DUMMYFUNCTION("IFERROR(
INDEX(
FILTER(
MAP(
reglas!$B$2:$B$240,
reglas!$C$2:$C$240,
reglas!$D$2:$D$240,
reglas!$E$2:$E$240,
LAMBDA(rEmisor,rPatron,rConcepto,rTipo,
IF(
AND(
OR(
UPPER(TRIM(rEmisor))=UPPER(TRIM(C1580)),
UPPER(TRIM(rEmisor))=""CUALQUIERA""
),
OR(
UPPER(TRI"&amp;"M(rTipo))=""SOLO EMISOR"",
AND(
UPPER(TRIM(rTipo))=""EXACTA"",
UPPER(TRIM(AG1580))=UPPER(TRIM(rPatron))
),
AND(
OR(
UPPER(TRIM(rTipo))=""CONTIENE"",
UPPER(TRIM(rTipo))=""COINCIDENCIA""
),
ISNUMBER(SEARCH(UPPER(TRIM(rPatron)),UPPER(TRIM(D1580))))
)
)
),
rC"&amp;"oncepto,
""""
)
)
),
MAP(
reglas!$B$2:$B$240,
reglas!$C$2:$C$240,
reglas!$D$2:$D$240,
reglas!$E$2:$E$240,
LAMBDA(rEmisor,rPatron,rConcepto,rTipo,
IF(
AND(
OR(
UPPER(TRIM(rEmisor))=UPPER(TRIM(C1580)),
UPPER(TRIM(rEmisor))=""CUALQUIERA""
),
OR(
UPPER(TRIM(r"&amp;"Tipo))=""SOLO EMISOR"",
AND(
UPPER(TRIM(rTipo))=""EXACTA"",
UPPER(TRIM(D1580))=UPPER(TRIM(rPatron))
),
AND(
OR(
UPPER(TRIM(rTipo))=""CONTIENE"",
UPPER(TRIM(rTipo))=""COINCIDENCIA""
),
ISNUMBER(SEARCH(UPPER(TRIM(rPatron)),UPPER(TRIM(D1580))))
)
)
),
rConce"&amp;"pto,
""""
)
)
)&lt;&gt;""""
),
1
),
""""
)"),"MANIOBRAS")</f>
        <v>MANIOBRAS</v>
      </c>
      <c r="L1580" s="27"/>
      <c r="M1580" s="27"/>
      <c r="N1580" s="27"/>
      <c r="O1580" s="27"/>
      <c r="P1580" s="27"/>
      <c r="Q1580" s="27"/>
      <c r="R1580" s="27"/>
      <c r="S1580" s="27"/>
      <c r="T1580" s="27"/>
      <c r="U1580" s="27"/>
      <c r="V1580" s="27"/>
      <c r="W1580" s="27"/>
      <c r="X1580" s="27"/>
      <c r="Y1580" s="27"/>
    </row>
    <row r="1581">
      <c r="A1581" s="32"/>
      <c r="B1581" s="32"/>
      <c r="C1581" s="29" t="s">
        <v>271</v>
      </c>
      <c r="D1581" s="29" t="s">
        <v>596</v>
      </c>
      <c r="E1581" s="28">
        <v>651.11</v>
      </c>
      <c r="F1581" s="28">
        <v>0.0</v>
      </c>
      <c r="G1581" s="28" t="s">
        <v>84</v>
      </c>
      <c r="H1581" s="28">
        <f t="array" ref="H1581">INDEX(CC!C:C,MATCH(1,(CC!A:A=G1581)*(CC!B:B=I1581),0))</f>
        <v>1002</v>
      </c>
      <c r="I1581" s="28" t="s">
        <v>25</v>
      </c>
      <c r="J1581" s="31">
        <v>651.11</v>
      </c>
      <c r="K1581" s="28" t="str">
        <f>IFERROR(__xludf.DUMMYFUNCTION("IFERROR(
INDEX(
FILTER(
MAP(
reglas!$B$2:$B$240,
reglas!$C$2:$C$240,
reglas!$D$2:$D$240,
reglas!$E$2:$E$240,
LAMBDA(rEmisor,rPatron,rConcepto,rTipo,
IF(
AND(
OR(
UPPER(TRIM(rEmisor))=UPPER(TRIM(C1581)),
UPPER(TRIM(rEmisor))=""CUALQUIERA""
),
OR(
UPPER(TRI"&amp;"M(rTipo))=""SOLO EMISOR"",
AND(
UPPER(TRIM(rTipo))=""EXACTA"",
UPPER(TRIM(AG1581))=UPPER(TRIM(rPatron))
),
AND(
OR(
UPPER(TRIM(rTipo))=""CONTIENE"",
UPPER(TRIM(rTipo))=""COINCIDENCIA""
),
ISNUMBER(SEARCH(UPPER(TRIM(rPatron)),UPPER(TRIM(D1581))))
)
)
),
rC"&amp;"oncepto,
""""
)
)
),
MAP(
reglas!$B$2:$B$240,
reglas!$C$2:$C$240,
reglas!$D$2:$D$240,
reglas!$E$2:$E$240,
LAMBDA(rEmisor,rPatron,rConcepto,rTipo,
IF(
AND(
OR(
UPPER(TRIM(rEmisor))=UPPER(TRIM(C1581)),
UPPER(TRIM(rEmisor))=""CUALQUIERA""
),
OR(
UPPER(TRIM(r"&amp;"Tipo))=""SOLO EMISOR"",
AND(
UPPER(TRIM(rTipo))=""EXACTA"",
UPPER(TRIM(D1581))=UPPER(TRIM(rPatron))
),
AND(
OR(
UPPER(TRIM(rTipo))=""CONTIENE"",
UPPER(TRIM(rTipo))=""COINCIDENCIA""
),
ISNUMBER(SEARCH(UPPER(TRIM(rPatron)),UPPER(TRIM(D1581))))
)
)
),
rConce"&amp;"pto,
""""
)
)
)&lt;&gt;""""
),
1
),
""""
)"),"MANIOBRAS")</f>
        <v>MANIOBRAS</v>
      </c>
      <c r="L1581" s="27"/>
      <c r="M1581" s="27"/>
      <c r="N1581" s="27"/>
      <c r="O1581" s="27"/>
      <c r="P1581" s="27"/>
      <c r="Q1581" s="27"/>
      <c r="R1581" s="27"/>
      <c r="S1581" s="27"/>
      <c r="T1581" s="27"/>
      <c r="U1581" s="27"/>
      <c r="V1581" s="27"/>
      <c r="W1581" s="27"/>
      <c r="X1581" s="27"/>
      <c r="Y1581" s="27"/>
    </row>
    <row r="1582">
      <c r="A1582" s="28">
        <v>1.0</v>
      </c>
      <c r="B1582" s="28" t="s">
        <v>29</v>
      </c>
      <c r="C1582" s="29" t="s">
        <v>503</v>
      </c>
      <c r="D1582" s="42" t="s">
        <v>73</v>
      </c>
      <c r="E1582" s="28">
        <v>917.53</v>
      </c>
      <c r="F1582" s="28">
        <v>0.0</v>
      </c>
      <c r="G1582" s="99" t="s">
        <v>74</v>
      </c>
      <c r="H1582" s="28">
        <f t="array" ref="H1582">INDEX(CC!C:C,MATCH(1,(CC!A:A=G1582)*(CC!B:B=I1582),0))</f>
        <v>1502</v>
      </c>
      <c r="I1582" s="28" t="s">
        <v>25</v>
      </c>
      <c r="J1582" s="31">
        <v>917.53</v>
      </c>
      <c r="K1582" s="28" t="str">
        <f>IFERROR(__xludf.DUMMYFUNCTION("IFERROR(
INDEX(
FILTER(
MAP(
reglas!$B$2:$B$240,
reglas!$C$2:$C$240,
reglas!$D$2:$D$240,
reglas!$E$2:$E$240,
LAMBDA(rEmisor,rPatron,rConcepto,rTipo,
IF(
AND(
OR(
UPPER(TRIM(rEmisor))=UPPER(TRIM(C1582)),
UPPER(TRIM(rEmisor))=""CUALQUIERA""
),
OR(
UPPER(TRI"&amp;"M(rTipo))=""SOLO EMISOR"",
AND(
UPPER(TRIM(rTipo))=""EXACTA"",
UPPER(TRIM(AG1582))=UPPER(TRIM(rPatron))
),
AND(
OR(
UPPER(TRIM(rTipo))=""CONTIENE"",
UPPER(TRIM(rTipo))=""COINCIDENCIA""
),
ISNUMBER(SEARCH(UPPER(TRIM(rPatron)),UPPER(TRIM(D1582))))
)
)
),
rC"&amp;"oncepto,
""""
)
)
),
MAP(
reglas!$B$2:$B$240,
reglas!$C$2:$C$240,
reglas!$D$2:$D$240,
reglas!$E$2:$E$240,
LAMBDA(rEmisor,rPatron,rConcepto,rTipo,
IF(
AND(
OR(
UPPER(TRIM(rEmisor))=UPPER(TRIM(C1582)),
UPPER(TRIM(rEmisor))=""CUALQUIERA""
),
OR(
UPPER(TRIM(r"&amp;"Tipo))=""SOLO EMISOR"",
AND(
UPPER(TRIM(rTipo))=""EXACTA"",
UPPER(TRIM(D1582))=UPPER(TRIM(rPatron))
),
AND(
OR(
UPPER(TRIM(rTipo))=""CONTIENE"",
UPPER(TRIM(rTipo))=""COINCIDENCIA""
),
ISNUMBER(SEARCH(UPPER(TRIM(rPatron)),UPPER(TRIM(D1582))))
)
)
),
rConce"&amp;"pto,
""""
)
)
)&lt;&gt;""""
),
1
),
""""
)"),"MANIOBRAS")</f>
        <v>MANIOBRAS</v>
      </c>
      <c r="L1582" s="27"/>
      <c r="M1582" s="27"/>
      <c r="N1582" s="27"/>
      <c r="O1582" s="27"/>
      <c r="P1582" s="27"/>
      <c r="Q1582" s="27"/>
      <c r="R1582" s="27"/>
      <c r="S1582" s="27"/>
      <c r="T1582" s="27"/>
      <c r="U1582" s="27"/>
      <c r="V1582" s="27"/>
      <c r="W1582" s="27"/>
      <c r="X1582" s="27"/>
      <c r="Y1582" s="27"/>
    </row>
    <row r="1583">
      <c r="A1583" s="32"/>
      <c r="B1583" s="32"/>
      <c r="C1583" s="29" t="s">
        <v>503</v>
      </c>
      <c r="D1583" s="42" t="s">
        <v>1038</v>
      </c>
      <c r="E1583" s="30">
        <v>3164.89</v>
      </c>
      <c r="F1583" s="28">
        <v>0.0</v>
      </c>
      <c r="G1583" s="99" t="s">
        <v>74</v>
      </c>
      <c r="H1583" s="28">
        <f t="array" ref="H1583">INDEX(CC!C:C,MATCH(1,(CC!A:A=G1583)*(CC!B:B=I1583),0))</f>
        <v>1502</v>
      </c>
      <c r="I1583" s="28" t="s">
        <v>25</v>
      </c>
      <c r="J1583" s="31">
        <v>3164.89</v>
      </c>
      <c r="K1583" s="28" t="str">
        <f>IFERROR(__xludf.DUMMYFUNCTION("IFERROR(
INDEX(
FILTER(
MAP(
reglas!$B$2:$B$240,
reglas!$C$2:$C$240,
reglas!$D$2:$D$240,
reglas!$E$2:$E$240,
LAMBDA(rEmisor,rPatron,rConcepto,rTipo,
IF(
AND(
OR(
UPPER(TRIM(rEmisor))=UPPER(TRIM(C1583)),
UPPER(TRIM(rEmisor))=""CUALQUIERA""
),
OR(
UPPER(TRI"&amp;"M(rTipo))=""SOLO EMISOR"",
AND(
UPPER(TRIM(rTipo))=""EXACTA"",
UPPER(TRIM(AG1583))=UPPER(TRIM(rPatron))
),
AND(
OR(
UPPER(TRIM(rTipo))=""CONTIENE"",
UPPER(TRIM(rTipo))=""COINCIDENCIA""
),
ISNUMBER(SEARCH(UPPER(TRIM(rPatron)),UPPER(TRIM(D1583))))
)
)
),
rC"&amp;"oncepto,
""""
)
)
),
MAP(
reglas!$B$2:$B$240,
reglas!$C$2:$C$240,
reglas!$D$2:$D$240,
reglas!$E$2:$E$240,
LAMBDA(rEmisor,rPatron,rConcepto,rTipo,
IF(
AND(
OR(
UPPER(TRIM(rEmisor))=UPPER(TRIM(C1583)),
UPPER(TRIM(rEmisor))=""CUALQUIERA""
),
OR(
UPPER(TRIM(r"&amp;"Tipo))=""SOLO EMISOR"",
AND(
UPPER(TRIM(rTipo))=""EXACTA"",
UPPER(TRIM(D1583))=UPPER(TRIM(rPatron))
),
AND(
OR(
UPPER(TRIM(rTipo))=""CONTIENE"",
UPPER(TRIM(rTipo))=""COINCIDENCIA""
),
ISNUMBER(SEARCH(UPPER(TRIM(rPatron)),UPPER(TRIM(D1583))))
)
)
),
rConce"&amp;"pto,
""""
)
)
)&lt;&gt;""""
),
1
),
""""
)"),"MANIOBRAS")</f>
        <v>MANIOBRAS</v>
      </c>
      <c r="L1583" s="27"/>
      <c r="M1583" s="27"/>
      <c r="N1583" s="27"/>
      <c r="O1583" s="27"/>
      <c r="P1583" s="27"/>
      <c r="Q1583" s="27"/>
      <c r="R1583" s="27"/>
      <c r="S1583" s="27"/>
      <c r="T1583" s="27"/>
      <c r="U1583" s="27"/>
      <c r="V1583" s="27"/>
      <c r="W1583" s="27"/>
      <c r="X1583" s="27"/>
      <c r="Y1583" s="27"/>
    </row>
    <row r="1584">
      <c r="A1584" s="32"/>
      <c r="B1584" s="32"/>
      <c r="C1584" s="29" t="s">
        <v>503</v>
      </c>
      <c r="D1584" s="42" t="s">
        <v>77</v>
      </c>
      <c r="E1584" s="28">
        <v>609.33</v>
      </c>
      <c r="F1584" s="28">
        <v>0.0</v>
      </c>
      <c r="G1584" s="99" t="s">
        <v>74</v>
      </c>
      <c r="H1584" s="28">
        <f t="array" ref="H1584">INDEX(CC!C:C,MATCH(1,(CC!A:A=G1584)*(CC!B:B=I1584),0))</f>
        <v>1502</v>
      </c>
      <c r="I1584" s="28" t="s">
        <v>25</v>
      </c>
      <c r="J1584" s="31">
        <v>609.33</v>
      </c>
      <c r="K1584" s="28" t="str">
        <f>IFERROR(__xludf.DUMMYFUNCTION("IFERROR(
INDEX(
FILTER(
MAP(
reglas!$B$2:$B$240,
reglas!$C$2:$C$240,
reglas!$D$2:$D$240,
reglas!$E$2:$E$240,
LAMBDA(rEmisor,rPatron,rConcepto,rTipo,
IF(
AND(
OR(
UPPER(TRIM(rEmisor))=UPPER(TRIM(C1584)),
UPPER(TRIM(rEmisor))=""CUALQUIERA""
),
OR(
UPPER(TRI"&amp;"M(rTipo))=""SOLO EMISOR"",
AND(
UPPER(TRIM(rTipo))=""EXACTA"",
UPPER(TRIM(AG1584))=UPPER(TRIM(rPatron))
),
AND(
OR(
UPPER(TRIM(rTipo))=""CONTIENE"",
UPPER(TRIM(rTipo))=""COINCIDENCIA""
),
ISNUMBER(SEARCH(UPPER(TRIM(rPatron)),UPPER(TRIM(D1584))))
)
)
),
rC"&amp;"oncepto,
""""
)
)
),
MAP(
reglas!$B$2:$B$240,
reglas!$C$2:$C$240,
reglas!$D$2:$D$240,
reglas!$E$2:$E$240,
LAMBDA(rEmisor,rPatron,rConcepto,rTipo,
IF(
AND(
OR(
UPPER(TRIM(rEmisor))=UPPER(TRIM(C1584)),
UPPER(TRIM(rEmisor))=""CUALQUIERA""
),
OR(
UPPER(TRIM(r"&amp;"Tipo))=""SOLO EMISOR"",
AND(
UPPER(TRIM(rTipo))=""EXACTA"",
UPPER(TRIM(D1584))=UPPER(TRIM(rPatron))
),
AND(
OR(
UPPER(TRIM(rTipo))=""CONTIENE"",
UPPER(TRIM(rTipo))=""COINCIDENCIA""
),
ISNUMBER(SEARCH(UPPER(TRIM(rPatron)),UPPER(TRIM(D1584))))
)
)
),
rConce"&amp;"pto,
""""
)
)
)&lt;&gt;""""
),
1
),
""""
)"),"MANIOBRAS")</f>
        <v>MANIOBRAS</v>
      </c>
      <c r="L1584" s="27"/>
      <c r="M1584" s="27"/>
      <c r="N1584" s="27"/>
      <c r="O1584" s="27"/>
      <c r="P1584" s="27"/>
      <c r="Q1584" s="27"/>
      <c r="R1584" s="27"/>
      <c r="S1584" s="27"/>
      <c r="T1584" s="27"/>
      <c r="U1584" s="27"/>
      <c r="V1584" s="27"/>
      <c r="W1584" s="27"/>
      <c r="X1584" s="27"/>
      <c r="Y1584" s="27"/>
    </row>
    <row r="1585">
      <c r="A1585" s="32"/>
      <c r="B1585" s="32"/>
      <c r="C1585" s="29" t="s">
        <v>503</v>
      </c>
      <c r="D1585" s="42" t="s">
        <v>1933</v>
      </c>
      <c r="E1585" s="28">
        <v>917.53</v>
      </c>
      <c r="F1585" s="28">
        <v>0.0</v>
      </c>
      <c r="G1585" s="99" t="s">
        <v>74</v>
      </c>
      <c r="H1585" s="28">
        <f t="array" ref="H1585">INDEX(CC!C:C,MATCH(1,(CC!A:A=G1585)*(CC!B:B=I1585),0))</f>
        <v>1502</v>
      </c>
      <c r="I1585" s="28" t="s">
        <v>25</v>
      </c>
      <c r="J1585" s="31">
        <v>917.53</v>
      </c>
      <c r="K1585" s="28" t="str">
        <f>IFERROR(__xludf.DUMMYFUNCTION("IFERROR(
INDEX(
FILTER(
MAP(
reglas!$B$2:$B$240,
reglas!$C$2:$C$240,
reglas!$D$2:$D$240,
reglas!$E$2:$E$240,
LAMBDA(rEmisor,rPatron,rConcepto,rTipo,
IF(
AND(
OR(
UPPER(TRIM(rEmisor))=UPPER(TRIM(C1585)),
UPPER(TRIM(rEmisor))=""CUALQUIERA""
),
OR(
UPPER(TRI"&amp;"M(rTipo))=""SOLO EMISOR"",
AND(
UPPER(TRIM(rTipo))=""EXACTA"",
UPPER(TRIM(AG1585))=UPPER(TRIM(rPatron))
),
AND(
OR(
UPPER(TRIM(rTipo))=""CONTIENE"",
UPPER(TRIM(rTipo))=""COINCIDENCIA""
),
ISNUMBER(SEARCH(UPPER(TRIM(rPatron)),UPPER(TRIM(D1585))))
)
)
),
rC"&amp;"oncepto,
""""
)
)
),
MAP(
reglas!$B$2:$B$240,
reglas!$C$2:$C$240,
reglas!$D$2:$D$240,
reglas!$E$2:$E$240,
LAMBDA(rEmisor,rPatron,rConcepto,rTipo,
IF(
AND(
OR(
UPPER(TRIM(rEmisor))=UPPER(TRIM(C1585)),
UPPER(TRIM(rEmisor))=""CUALQUIERA""
),
OR(
UPPER(TRIM(r"&amp;"Tipo))=""SOLO EMISOR"",
AND(
UPPER(TRIM(rTipo))=""EXACTA"",
UPPER(TRIM(D1585))=UPPER(TRIM(rPatron))
),
AND(
OR(
UPPER(TRIM(rTipo))=""CONTIENE"",
UPPER(TRIM(rTipo))=""COINCIDENCIA""
),
ISNUMBER(SEARCH(UPPER(TRIM(rPatron)),UPPER(TRIM(D1585))))
)
)
),
rConce"&amp;"pto,
""""
)
)
)&lt;&gt;""""
),
1
),
""""
)"),"MANIOBRAS")</f>
        <v>MANIOBRAS</v>
      </c>
      <c r="L1585" s="27"/>
      <c r="M1585" s="27"/>
      <c r="N1585" s="27"/>
      <c r="O1585" s="27"/>
      <c r="P1585" s="27"/>
      <c r="Q1585" s="27"/>
      <c r="R1585" s="27"/>
      <c r="S1585" s="27"/>
      <c r="T1585" s="27"/>
      <c r="U1585" s="27"/>
      <c r="V1585" s="27"/>
      <c r="W1585" s="27"/>
      <c r="X1585" s="27"/>
      <c r="Y1585" s="27"/>
    </row>
    <row r="1586">
      <c r="A1586" s="28">
        <v>1.0</v>
      </c>
      <c r="B1586" s="28" t="s">
        <v>29</v>
      </c>
      <c r="C1586" s="29" t="s">
        <v>271</v>
      </c>
      <c r="D1586" s="29" t="s">
        <v>585</v>
      </c>
      <c r="E1586" s="28">
        <v>619.55</v>
      </c>
      <c r="F1586" s="28">
        <v>0.0</v>
      </c>
      <c r="G1586" s="28" t="s">
        <v>84</v>
      </c>
      <c r="H1586" s="28">
        <f t="array" ref="H1586">INDEX(CC!C:C,MATCH(1,(CC!A:A=G1586)*(CC!B:B=I1586),0))</f>
        <v>1002</v>
      </c>
      <c r="I1586" s="28" t="s">
        <v>25</v>
      </c>
      <c r="J1586" s="31">
        <v>619.55</v>
      </c>
      <c r="K1586" s="28" t="str">
        <f>IFERROR(__xludf.DUMMYFUNCTION("IFERROR(
INDEX(
FILTER(
MAP(
reglas!$B$2:$B$240,
reglas!$C$2:$C$240,
reglas!$D$2:$D$240,
reglas!$E$2:$E$240,
LAMBDA(rEmisor,rPatron,rConcepto,rTipo,
IF(
AND(
OR(
UPPER(TRIM(rEmisor))=UPPER(TRIM(C1586)),
UPPER(TRIM(rEmisor))=""CUALQUIERA""
),
OR(
UPPER(TRI"&amp;"M(rTipo))=""SOLO EMISOR"",
AND(
UPPER(TRIM(rTipo))=""EXACTA"",
UPPER(TRIM(AG1586))=UPPER(TRIM(rPatron))
),
AND(
OR(
UPPER(TRIM(rTipo))=""CONTIENE"",
UPPER(TRIM(rTipo))=""COINCIDENCIA""
),
ISNUMBER(SEARCH(UPPER(TRIM(rPatron)),UPPER(TRIM(D1586))))
)
)
),
rC"&amp;"oncepto,
""""
)
)
),
MAP(
reglas!$B$2:$B$240,
reglas!$C$2:$C$240,
reglas!$D$2:$D$240,
reglas!$E$2:$E$240,
LAMBDA(rEmisor,rPatron,rConcepto,rTipo,
IF(
AND(
OR(
UPPER(TRIM(rEmisor))=UPPER(TRIM(C1586)),
UPPER(TRIM(rEmisor))=""CUALQUIERA""
),
OR(
UPPER(TRIM(r"&amp;"Tipo))=""SOLO EMISOR"",
AND(
UPPER(TRIM(rTipo))=""EXACTA"",
UPPER(TRIM(D1586))=UPPER(TRIM(rPatron))
),
AND(
OR(
UPPER(TRIM(rTipo))=""CONTIENE"",
UPPER(TRIM(rTipo))=""COINCIDENCIA""
),
ISNUMBER(SEARCH(UPPER(TRIM(rPatron)),UPPER(TRIM(D1586))))
)
)
),
rConce"&amp;"pto,
""""
)
)
)&lt;&gt;""""
),
1
),
""""
)"),"MANIOBRAS")</f>
        <v>MANIOBRAS</v>
      </c>
      <c r="L1586" s="27"/>
      <c r="M1586" s="27"/>
      <c r="N1586" s="27"/>
      <c r="O1586" s="27"/>
      <c r="P1586" s="27"/>
      <c r="Q1586" s="27"/>
      <c r="R1586" s="27"/>
      <c r="S1586" s="27"/>
      <c r="T1586" s="27"/>
      <c r="U1586" s="27"/>
      <c r="V1586" s="27"/>
      <c r="W1586" s="27"/>
      <c r="X1586" s="27"/>
      <c r="Y1586" s="27"/>
    </row>
    <row r="1587">
      <c r="A1587" s="32"/>
      <c r="B1587" s="32"/>
      <c r="C1587" s="29" t="s">
        <v>271</v>
      </c>
      <c r="D1587" s="29" t="s">
        <v>587</v>
      </c>
      <c r="E1587" s="28">
        <v>566.84</v>
      </c>
      <c r="F1587" s="28">
        <v>0.0</v>
      </c>
      <c r="G1587" s="28" t="s">
        <v>84</v>
      </c>
      <c r="H1587" s="28">
        <f t="array" ref="H1587">INDEX(CC!C:C,MATCH(1,(CC!A:A=G1587)*(CC!B:B=I1587),0))</f>
        <v>1002</v>
      </c>
      <c r="I1587" s="28" t="s">
        <v>25</v>
      </c>
      <c r="J1587" s="31">
        <v>566.84</v>
      </c>
      <c r="K1587" s="28" t="str">
        <f>IFERROR(__xludf.DUMMYFUNCTION("IFERROR(
INDEX(
FILTER(
MAP(
reglas!$B$2:$B$240,
reglas!$C$2:$C$240,
reglas!$D$2:$D$240,
reglas!$E$2:$E$240,
LAMBDA(rEmisor,rPatron,rConcepto,rTipo,
IF(
AND(
OR(
UPPER(TRIM(rEmisor))=UPPER(TRIM(C1587)),
UPPER(TRIM(rEmisor))=""CUALQUIERA""
),
OR(
UPPER(TRI"&amp;"M(rTipo))=""SOLO EMISOR"",
AND(
UPPER(TRIM(rTipo))=""EXACTA"",
UPPER(TRIM(AG1587))=UPPER(TRIM(rPatron))
),
AND(
OR(
UPPER(TRIM(rTipo))=""CONTIENE"",
UPPER(TRIM(rTipo))=""COINCIDENCIA""
),
ISNUMBER(SEARCH(UPPER(TRIM(rPatron)),UPPER(TRIM(D1587))))
)
)
),
rC"&amp;"oncepto,
""""
)
)
),
MAP(
reglas!$B$2:$B$240,
reglas!$C$2:$C$240,
reglas!$D$2:$D$240,
reglas!$E$2:$E$240,
LAMBDA(rEmisor,rPatron,rConcepto,rTipo,
IF(
AND(
OR(
UPPER(TRIM(rEmisor))=UPPER(TRIM(C1587)),
UPPER(TRIM(rEmisor))=""CUALQUIERA""
),
OR(
UPPER(TRIM(r"&amp;"Tipo))=""SOLO EMISOR"",
AND(
UPPER(TRIM(rTipo))=""EXACTA"",
UPPER(TRIM(D1587))=UPPER(TRIM(rPatron))
),
AND(
OR(
UPPER(TRIM(rTipo))=""CONTIENE"",
UPPER(TRIM(rTipo))=""COINCIDENCIA""
),
ISNUMBER(SEARCH(UPPER(TRIM(rPatron)),UPPER(TRIM(D1587))))
)
)
),
rConce"&amp;"pto,
""""
)
)
)&lt;&gt;""""
),
1
),
""""
)"),"MANIOBRAS")</f>
        <v>MANIOBRAS</v>
      </c>
      <c r="L1587" s="27"/>
      <c r="M1587" s="27"/>
      <c r="N1587" s="27"/>
      <c r="O1587" s="27"/>
      <c r="P1587" s="27"/>
      <c r="Q1587" s="27"/>
      <c r="R1587" s="27"/>
      <c r="S1587" s="27"/>
      <c r="T1587" s="27"/>
      <c r="U1587" s="27"/>
      <c r="V1587" s="27"/>
      <c r="W1587" s="27"/>
      <c r="X1587" s="27"/>
      <c r="Y1587" s="27"/>
    </row>
    <row r="1588">
      <c r="A1588" s="32"/>
      <c r="B1588" s="32"/>
      <c r="C1588" s="29" t="s">
        <v>271</v>
      </c>
      <c r="D1588" s="29" t="s">
        <v>589</v>
      </c>
      <c r="E1588" s="28">
        <v>619.88</v>
      </c>
      <c r="F1588" s="28">
        <v>0.0</v>
      </c>
      <c r="G1588" s="28" t="s">
        <v>84</v>
      </c>
      <c r="H1588" s="28">
        <f t="array" ref="H1588">INDEX(CC!C:C,MATCH(1,(CC!A:A=G1588)*(CC!B:B=I1588),0))</f>
        <v>1002</v>
      </c>
      <c r="I1588" s="28" t="s">
        <v>25</v>
      </c>
      <c r="J1588" s="31">
        <v>619.88</v>
      </c>
      <c r="K1588" s="28" t="str">
        <f>IFERROR(__xludf.DUMMYFUNCTION("IFERROR(
INDEX(
FILTER(
MAP(
reglas!$B$2:$B$240,
reglas!$C$2:$C$240,
reglas!$D$2:$D$240,
reglas!$E$2:$E$240,
LAMBDA(rEmisor,rPatron,rConcepto,rTipo,
IF(
AND(
OR(
UPPER(TRIM(rEmisor))=UPPER(TRIM(C1588)),
UPPER(TRIM(rEmisor))=""CUALQUIERA""
),
OR(
UPPER(TRI"&amp;"M(rTipo))=""SOLO EMISOR"",
AND(
UPPER(TRIM(rTipo))=""EXACTA"",
UPPER(TRIM(AG1588))=UPPER(TRIM(rPatron))
),
AND(
OR(
UPPER(TRIM(rTipo))=""CONTIENE"",
UPPER(TRIM(rTipo))=""COINCIDENCIA""
),
ISNUMBER(SEARCH(UPPER(TRIM(rPatron)),UPPER(TRIM(D1588))))
)
)
),
rC"&amp;"oncepto,
""""
)
)
),
MAP(
reglas!$B$2:$B$240,
reglas!$C$2:$C$240,
reglas!$D$2:$D$240,
reglas!$E$2:$E$240,
LAMBDA(rEmisor,rPatron,rConcepto,rTipo,
IF(
AND(
OR(
UPPER(TRIM(rEmisor))=UPPER(TRIM(C1588)),
UPPER(TRIM(rEmisor))=""CUALQUIERA""
),
OR(
UPPER(TRIM(r"&amp;"Tipo))=""SOLO EMISOR"",
AND(
UPPER(TRIM(rTipo))=""EXACTA"",
UPPER(TRIM(D1588))=UPPER(TRIM(rPatron))
),
AND(
OR(
UPPER(TRIM(rTipo))=""CONTIENE"",
UPPER(TRIM(rTipo))=""COINCIDENCIA""
),
ISNUMBER(SEARCH(UPPER(TRIM(rPatron)),UPPER(TRIM(D1588))))
)
)
),
rConce"&amp;"pto,
""""
)
)
)&lt;&gt;""""
),
1
),
""""
)"),"MANIOBRAS")</f>
        <v>MANIOBRAS</v>
      </c>
      <c r="L1588" s="27"/>
      <c r="M1588" s="27"/>
      <c r="N1588" s="27"/>
      <c r="O1588" s="27"/>
      <c r="P1588" s="27"/>
      <c r="Q1588" s="27"/>
      <c r="R1588" s="27"/>
      <c r="S1588" s="27"/>
      <c r="T1588" s="27"/>
      <c r="U1588" s="27"/>
      <c r="V1588" s="27"/>
      <c r="W1588" s="27"/>
      <c r="X1588" s="27"/>
      <c r="Y1588" s="27"/>
    </row>
    <row r="1589">
      <c r="A1589" s="32"/>
      <c r="B1589" s="32"/>
      <c r="C1589" s="29" t="s">
        <v>271</v>
      </c>
      <c r="D1589" s="29" t="s">
        <v>596</v>
      </c>
      <c r="E1589" s="28">
        <v>650.39</v>
      </c>
      <c r="F1589" s="28">
        <v>0.0</v>
      </c>
      <c r="G1589" s="28" t="s">
        <v>84</v>
      </c>
      <c r="H1589" s="28">
        <f t="array" ref="H1589">INDEX(CC!C:C,MATCH(1,(CC!A:A=G1589)*(CC!B:B=I1589),0))</f>
        <v>1002</v>
      </c>
      <c r="I1589" s="28" t="s">
        <v>25</v>
      </c>
      <c r="J1589" s="31">
        <v>650.39</v>
      </c>
      <c r="K1589" s="28" t="str">
        <f>IFERROR(__xludf.DUMMYFUNCTION("IFERROR(
INDEX(
FILTER(
MAP(
reglas!$B$2:$B$240,
reglas!$C$2:$C$240,
reglas!$D$2:$D$240,
reglas!$E$2:$E$240,
LAMBDA(rEmisor,rPatron,rConcepto,rTipo,
IF(
AND(
OR(
UPPER(TRIM(rEmisor))=UPPER(TRIM(C1589)),
UPPER(TRIM(rEmisor))=""CUALQUIERA""
),
OR(
UPPER(TRI"&amp;"M(rTipo))=""SOLO EMISOR"",
AND(
UPPER(TRIM(rTipo))=""EXACTA"",
UPPER(TRIM(AG1589))=UPPER(TRIM(rPatron))
),
AND(
OR(
UPPER(TRIM(rTipo))=""CONTIENE"",
UPPER(TRIM(rTipo))=""COINCIDENCIA""
),
ISNUMBER(SEARCH(UPPER(TRIM(rPatron)),UPPER(TRIM(D1589))))
)
)
),
rC"&amp;"oncepto,
""""
)
)
),
MAP(
reglas!$B$2:$B$240,
reglas!$C$2:$C$240,
reglas!$D$2:$D$240,
reglas!$E$2:$E$240,
LAMBDA(rEmisor,rPatron,rConcepto,rTipo,
IF(
AND(
OR(
UPPER(TRIM(rEmisor))=UPPER(TRIM(C1589)),
UPPER(TRIM(rEmisor))=""CUALQUIERA""
),
OR(
UPPER(TRIM(r"&amp;"Tipo))=""SOLO EMISOR"",
AND(
UPPER(TRIM(rTipo))=""EXACTA"",
UPPER(TRIM(D1589))=UPPER(TRIM(rPatron))
),
AND(
OR(
UPPER(TRIM(rTipo))=""CONTIENE"",
UPPER(TRIM(rTipo))=""COINCIDENCIA""
),
ISNUMBER(SEARCH(UPPER(TRIM(rPatron)),UPPER(TRIM(D1589))))
)
)
),
rConce"&amp;"pto,
""""
)
)
)&lt;&gt;""""
),
1
),
""""
)"),"MANIOBRAS")</f>
        <v>MANIOBRAS</v>
      </c>
      <c r="L1589" s="27"/>
      <c r="M1589" s="27"/>
      <c r="N1589" s="27"/>
      <c r="O1589" s="27"/>
      <c r="P1589" s="27"/>
      <c r="Q1589" s="27"/>
      <c r="R1589" s="27"/>
      <c r="S1589" s="27"/>
      <c r="T1589" s="27"/>
      <c r="U1589" s="27"/>
      <c r="V1589" s="27"/>
      <c r="W1589" s="27"/>
      <c r="X1589" s="27"/>
      <c r="Y1589" s="27"/>
    </row>
    <row r="1590">
      <c r="A1590" s="32"/>
      <c r="B1590" s="28" t="s">
        <v>29</v>
      </c>
      <c r="C1590" s="29" t="s">
        <v>172</v>
      </c>
      <c r="D1590" s="29" t="s">
        <v>1909</v>
      </c>
      <c r="E1590" s="30">
        <v>11500.0</v>
      </c>
      <c r="F1590" s="28">
        <v>0.0</v>
      </c>
      <c r="G1590" s="99" t="s">
        <v>250</v>
      </c>
      <c r="H1590" s="28">
        <f t="array" ref="H1590">INDEX(CC!C:C,MATCH(1,(CC!A:A=G1590)*(CC!B:B=I1590),0))</f>
        <v>1402</v>
      </c>
      <c r="I1590" s="99" t="s">
        <v>25</v>
      </c>
      <c r="J1590" s="31">
        <v>11500.0</v>
      </c>
      <c r="K1590" s="28" t="str">
        <f>IFERROR(__xludf.DUMMYFUNCTION("IFERROR(
INDEX(
FILTER(
MAP(
reglas!$B$2:$B$240,
reglas!$C$2:$C$240,
reglas!$D$2:$D$240,
reglas!$E$2:$E$240,
LAMBDA(rEmisor,rPatron,rConcepto,rTipo,
IF(
AND(
OR(
UPPER(TRIM(rEmisor))=UPPER(TRIM(C1590)),
UPPER(TRIM(rEmisor))=""CUALQUIERA""
),
OR(
UPPER(TRI"&amp;"M(rTipo))=""SOLO EMISOR"",
AND(
UPPER(TRIM(rTipo))=""EXACTA"",
UPPER(TRIM(AG1590))=UPPER(TRIM(rPatron))
),
AND(
OR(
UPPER(TRIM(rTipo))=""CONTIENE"",
UPPER(TRIM(rTipo))=""COINCIDENCIA""
),
ISNUMBER(SEARCH(UPPER(TRIM(rPatron)),UPPER(TRIM(D1590))))
)
)
),
rC"&amp;"oncepto,
""""
)
)
),
MAP(
reglas!$B$2:$B$240,
reglas!$C$2:$C$240,
reglas!$D$2:$D$240,
reglas!$E$2:$E$240,
LAMBDA(rEmisor,rPatron,rConcepto,rTipo,
IF(
AND(
OR(
UPPER(TRIM(rEmisor))=UPPER(TRIM(C1590)),
UPPER(TRIM(rEmisor))=""CUALQUIERA""
),
OR(
UPPER(TRIM(r"&amp;"Tipo))=""SOLO EMISOR"",
AND(
UPPER(TRIM(rTipo))=""EXACTA"",
UPPER(TRIM(D1590))=UPPER(TRIM(rPatron))
),
AND(
OR(
UPPER(TRIM(rTipo))=""CONTIENE"",
UPPER(TRIM(rTipo))=""COINCIDENCIA""
),
ISNUMBER(SEARCH(UPPER(TRIM(rPatron)),UPPER(TRIM(D1590))))
)
)
),
rConce"&amp;"pto,
""""
)
)
)&lt;&gt;""""
),
1
),
""""
)"),"TRANSPORTE")</f>
        <v>TRANSPORTE</v>
      </c>
      <c r="L1590" s="27"/>
      <c r="M1590" s="27"/>
      <c r="N1590" s="27"/>
      <c r="O1590" s="27"/>
      <c r="P1590" s="27"/>
      <c r="Q1590" s="27"/>
      <c r="R1590" s="27"/>
      <c r="S1590" s="27"/>
      <c r="T1590" s="27"/>
      <c r="U1590" s="27"/>
      <c r="V1590" s="27"/>
      <c r="W1590" s="27"/>
      <c r="X1590" s="27"/>
      <c r="Y1590" s="27"/>
    </row>
    <row r="1591">
      <c r="A1591" s="32"/>
      <c r="B1591" s="28" t="s">
        <v>29</v>
      </c>
      <c r="C1591" s="29" t="s">
        <v>278</v>
      </c>
      <c r="D1591" s="29" t="s">
        <v>560</v>
      </c>
      <c r="E1591" s="30">
        <v>3500.0</v>
      </c>
      <c r="F1591" s="28">
        <v>0.0</v>
      </c>
      <c r="G1591" s="99" t="s">
        <v>250</v>
      </c>
      <c r="H1591" s="28">
        <f t="array" ref="H1591">INDEX(CC!C:C,MATCH(1,(CC!A:A=G1591)*(CC!B:B=I1591),0))</f>
        <v>1402</v>
      </c>
      <c r="I1591" s="99" t="s">
        <v>25</v>
      </c>
      <c r="J1591" s="31">
        <v>3500.0</v>
      </c>
      <c r="K1591" s="28" t="str">
        <f>IFERROR(__xludf.DUMMYFUNCTION("IFERROR(
INDEX(
FILTER(
MAP(
reglas!$B$2:$B$240,
reglas!$C$2:$C$240,
reglas!$D$2:$D$240,
reglas!$E$2:$E$240,
LAMBDA(rEmisor,rPatron,rConcepto,rTipo,
IF(
AND(
OR(
UPPER(TRIM(rEmisor))=UPPER(TRIM(C1591)),
UPPER(TRIM(rEmisor))=""CUALQUIERA""
),
OR(
UPPER(TRI"&amp;"M(rTipo))=""SOLO EMISOR"",
AND(
UPPER(TRIM(rTipo))=""EXACTA"",
UPPER(TRIM(AG1591))=UPPER(TRIM(rPatron))
),
AND(
OR(
UPPER(TRIM(rTipo))=""CONTIENE"",
UPPER(TRIM(rTipo))=""COINCIDENCIA""
),
ISNUMBER(SEARCH(UPPER(TRIM(rPatron)),UPPER(TRIM(D1591))))
)
)
),
rC"&amp;"oncepto,
""""
)
)
),
MAP(
reglas!$B$2:$B$240,
reglas!$C$2:$C$240,
reglas!$D$2:$D$240,
reglas!$E$2:$E$240,
LAMBDA(rEmisor,rPatron,rConcepto,rTipo,
IF(
AND(
OR(
UPPER(TRIM(rEmisor))=UPPER(TRIM(C1591)),
UPPER(TRIM(rEmisor))=""CUALQUIERA""
),
OR(
UPPER(TRIM(r"&amp;"Tipo))=""SOLO EMISOR"",
AND(
UPPER(TRIM(rTipo))=""EXACTA"",
UPPER(TRIM(D1591))=UPPER(TRIM(rPatron))
),
AND(
OR(
UPPER(TRIM(rTipo))=""CONTIENE"",
UPPER(TRIM(rTipo))=""COINCIDENCIA""
),
ISNUMBER(SEARCH(UPPER(TRIM(rPatron)),UPPER(TRIM(D1591))))
)
)
),
rConce"&amp;"pto,
""""
)
)
)&lt;&gt;""""
),
1
),
""""
)"),"MANIOBRAS")</f>
        <v>MANIOBRAS</v>
      </c>
      <c r="L1591" s="27"/>
      <c r="M1591" s="27"/>
      <c r="N1591" s="27"/>
      <c r="O1591" s="27"/>
      <c r="P1591" s="27"/>
      <c r="Q1591" s="27"/>
      <c r="R1591" s="27"/>
      <c r="S1591" s="27"/>
      <c r="T1591" s="27"/>
      <c r="U1591" s="27"/>
      <c r="V1591" s="27"/>
      <c r="W1591" s="27"/>
      <c r="X1591" s="27"/>
      <c r="Y1591" s="27"/>
    </row>
    <row r="1592">
      <c r="A1592" s="32"/>
      <c r="B1592" s="28" t="s">
        <v>29</v>
      </c>
      <c r="C1592" s="29" t="s">
        <v>483</v>
      </c>
      <c r="D1592" s="42" t="s">
        <v>1908</v>
      </c>
      <c r="E1592" s="30">
        <v>2000.0</v>
      </c>
      <c r="F1592" s="28">
        <v>0.0</v>
      </c>
      <c r="G1592" s="99" t="s">
        <v>74</v>
      </c>
      <c r="H1592" s="28">
        <f t="array" ref="H1592">INDEX(CC!C:C,MATCH(1,(CC!A:A=G1592)*(CC!B:B=I1592),0))</f>
        <v>1502</v>
      </c>
      <c r="I1592" s="99" t="s">
        <v>25</v>
      </c>
      <c r="J1592" s="31">
        <v>2000.0</v>
      </c>
      <c r="K1592" s="28" t="str">
        <f>IFERROR(__xludf.DUMMYFUNCTION("IFERROR(
INDEX(
FILTER(
MAP(
reglas!$B$2:$B$240,
reglas!$C$2:$C$240,
reglas!$D$2:$D$240,
reglas!$E$2:$E$240,
LAMBDA(rEmisor,rPatron,rConcepto,rTipo,
IF(
AND(
OR(
UPPER(TRIM(rEmisor))=UPPER(TRIM(C1592)),
UPPER(TRIM(rEmisor))=""CUALQUIERA""
),
OR(
UPPER(TRI"&amp;"M(rTipo))=""SOLO EMISOR"",
AND(
UPPER(TRIM(rTipo))=""EXACTA"",
UPPER(TRIM(AG1592))=UPPER(TRIM(rPatron))
),
AND(
OR(
UPPER(TRIM(rTipo))=""CONTIENE"",
UPPER(TRIM(rTipo))=""COINCIDENCIA""
),
ISNUMBER(SEARCH(UPPER(TRIM(rPatron)),UPPER(TRIM(D1592))))
)
)
),
rC"&amp;"oncepto,
""""
)
)
),
MAP(
reglas!$B$2:$B$240,
reglas!$C$2:$C$240,
reglas!$D$2:$D$240,
reglas!$E$2:$E$240,
LAMBDA(rEmisor,rPatron,rConcepto,rTipo,
IF(
AND(
OR(
UPPER(TRIM(rEmisor))=UPPER(TRIM(C1592)),
UPPER(TRIM(rEmisor))=""CUALQUIERA""
),
OR(
UPPER(TRIM(r"&amp;"Tipo))=""SOLO EMISOR"",
AND(
UPPER(TRIM(rTipo))=""EXACTA"",
UPPER(TRIM(D1592))=UPPER(TRIM(rPatron))
),
AND(
OR(
UPPER(TRIM(rTipo))=""CONTIENE"",
UPPER(TRIM(rTipo))=""COINCIDENCIA""
),
ISNUMBER(SEARCH(UPPER(TRIM(rPatron)),UPPER(TRIM(D1592))))
)
)
),
rConce"&amp;"pto,
""""
)
)
)&lt;&gt;""""
),
1
),
""""
)"),"CARTA DE LABORATORIO")</f>
        <v>CARTA DE LABORATORIO</v>
      </c>
      <c r="L1592" s="27"/>
      <c r="M1592" s="27"/>
      <c r="N1592" s="27"/>
      <c r="O1592" s="27"/>
      <c r="P1592" s="27"/>
      <c r="Q1592" s="27"/>
      <c r="R1592" s="27"/>
      <c r="S1592" s="27"/>
      <c r="T1592" s="27"/>
      <c r="U1592" s="27"/>
      <c r="V1592" s="27"/>
      <c r="W1592" s="27"/>
      <c r="X1592" s="27"/>
      <c r="Y1592" s="27"/>
    </row>
    <row r="1593">
      <c r="A1593" s="32"/>
      <c r="B1593" s="28" t="s">
        <v>29</v>
      </c>
      <c r="C1593" s="29" t="s">
        <v>172</v>
      </c>
      <c r="D1593" s="29" t="s">
        <v>1932</v>
      </c>
      <c r="E1593" s="30">
        <v>11500.0</v>
      </c>
      <c r="F1593" s="28">
        <v>0.0</v>
      </c>
      <c r="G1593" s="99" t="s">
        <v>250</v>
      </c>
      <c r="H1593" s="28">
        <f t="array" ref="H1593">INDEX(CC!C:C,MATCH(1,(CC!A:A=G1593)*(CC!B:B=I1593),0))</f>
        <v>1402</v>
      </c>
      <c r="I1593" s="99" t="s">
        <v>25</v>
      </c>
      <c r="J1593" s="31">
        <v>11500.0</v>
      </c>
      <c r="K1593" s="28" t="str">
        <f>IFERROR(__xludf.DUMMYFUNCTION("IFERROR(
INDEX(
FILTER(
MAP(
reglas!$B$2:$B$240,
reglas!$C$2:$C$240,
reglas!$D$2:$D$240,
reglas!$E$2:$E$240,
LAMBDA(rEmisor,rPatron,rConcepto,rTipo,
IF(
AND(
OR(
UPPER(TRIM(rEmisor))=UPPER(TRIM(C1593)),
UPPER(TRIM(rEmisor))=""CUALQUIERA""
),
OR(
UPPER(TRI"&amp;"M(rTipo))=""SOLO EMISOR"",
AND(
UPPER(TRIM(rTipo))=""EXACTA"",
UPPER(TRIM(AG1593))=UPPER(TRIM(rPatron))
),
AND(
OR(
UPPER(TRIM(rTipo))=""CONTIENE"",
UPPER(TRIM(rTipo))=""COINCIDENCIA""
),
ISNUMBER(SEARCH(UPPER(TRIM(rPatron)),UPPER(TRIM(D1593))))
)
)
),
rC"&amp;"oncepto,
""""
)
)
),
MAP(
reglas!$B$2:$B$240,
reglas!$C$2:$C$240,
reglas!$D$2:$D$240,
reglas!$E$2:$E$240,
LAMBDA(rEmisor,rPatron,rConcepto,rTipo,
IF(
AND(
OR(
UPPER(TRIM(rEmisor))=UPPER(TRIM(C1593)),
UPPER(TRIM(rEmisor))=""CUALQUIERA""
),
OR(
UPPER(TRIM(r"&amp;"Tipo))=""SOLO EMISOR"",
AND(
UPPER(TRIM(rTipo))=""EXACTA"",
UPPER(TRIM(D1593))=UPPER(TRIM(rPatron))
),
AND(
OR(
UPPER(TRIM(rTipo))=""CONTIENE"",
UPPER(TRIM(rTipo))=""COINCIDENCIA""
),
ISNUMBER(SEARCH(UPPER(TRIM(rPatron)),UPPER(TRIM(D1593))))
)
)
),
rConce"&amp;"pto,
""""
)
)
)&lt;&gt;""""
),
1
),
""""
)"),"TRANSPORTE")</f>
        <v>TRANSPORTE</v>
      </c>
      <c r="L1593" s="27"/>
      <c r="M1593" s="27"/>
      <c r="N1593" s="27"/>
      <c r="O1593" s="27"/>
      <c r="P1593" s="27"/>
      <c r="Q1593" s="27"/>
      <c r="R1593" s="27"/>
      <c r="S1593" s="27"/>
      <c r="T1593" s="27"/>
      <c r="U1593" s="27"/>
      <c r="V1593" s="27"/>
      <c r="W1593" s="27"/>
      <c r="X1593" s="27"/>
      <c r="Y1593" s="27"/>
    </row>
    <row r="1594">
      <c r="A1594" s="28">
        <v>1.0</v>
      </c>
      <c r="B1594" s="28" t="s">
        <v>29</v>
      </c>
      <c r="C1594" s="29" t="s">
        <v>462</v>
      </c>
      <c r="D1594" s="29" t="s">
        <v>1934</v>
      </c>
      <c r="E1594" s="28">
        <v>163.79</v>
      </c>
      <c r="F1594" s="28">
        <v>0.0</v>
      </c>
      <c r="G1594" s="99" t="s">
        <v>395</v>
      </c>
      <c r="H1594" s="28">
        <f t="array" ref="H1594">INDEX(CC!C:C,MATCH(1,(CC!A:A=G1594)*(CC!B:B=I1594),0))</f>
        <v>1103</v>
      </c>
      <c r="I1594" s="99" t="s">
        <v>44</v>
      </c>
      <c r="J1594" s="31">
        <v>163.79</v>
      </c>
      <c r="K1594" s="28" t="str">
        <f>IFERROR(__xludf.DUMMYFUNCTION("IFERROR(
INDEX(
FILTER(
MAP(
reglas!$B$2:$B$240,
reglas!$C$2:$C$240,
reglas!$D$2:$D$240,
reglas!$E$2:$E$240,
LAMBDA(rEmisor,rPatron,rConcepto,rTipo,
IF(
AND(
OR(
UPPER(TRIM(rEmisor))=UPPER(TRIM(C1594)),
UPPER(TRIM(rEmisor))=""CUALQUIERA""
),
OR(
UPPER(TRI"&amp;"M(rTipo))=""SOLO EMISOR"",
AND(
UPPER(TRIM(rTipo))=""EXACTA"",
UPPER(TRIM(AG1594))=UPPER(TRIM(rPatron))
),
AND(
OR(
UPPER(TRIM(rTipo))=""CONTIENE"",
UPPER(TRIM(rTipo))=""COINCIDENCIA""
),
ISNUMBER(SEARCH(UPPER(TRIM(rPatron)),UPPER(TRIM(D1594))))
)
)
),
rC"&amp;"oncepto,
""""
)
)
),
MAP(
reglas!$B$2:$B$240,
reglas!$C$2:$C$240,
reglas!$D$2:$D$240,
reglas!$E$2:$E$240,
LAMBDA(rEmisor,rPatron,rConcepto,rTipo,
IF(
AND(
OR(
UPPER(TRIM(rEmisor))=UPPER(TRIM(C1594)),
UPPER(TRIM(rEmisor))=""CUALQUIERA""
),
OR(
UPPER(TRIM(r"&amp;"Tipo))=""SOLO EMISOR"",
AND(
UPPER(TRIM(rTipo))=""EXACTA"",
UPPER(TRIM(D1594))=UPPER(TRIM(rPatron))
),
AND(
OR(
UPPER(TRIM(rTipo))=""CONTIENE"",
UPPER(TRIM(rTipo))=""COINCIDENCIA""
),
ISNUMBER(SEARCH(UPPER(TRIM(rPatron)),UPPER(TRIM(D1594))))
)
)
),
rConce"&amp;"pto,
""""
)
)
)&lt;&gt;""""
),
1
),
""""
)"),"MANIOBRAS")</f>
        <v>MANIOBRAS</v>
      </c>
      <c r="L1594" s="27"/>
      <c r="M1594" s="27"/>
      <c r="N1594" s="27"/>
      <c r="O1594" s="27"/>
      <c r="P1594" s="27"/>
      <c r="Q1594" s="27"/>
      <c r="R1594" s="27"/>
      <c r="S1594" s="27"/>
      <c r="T1594" s="27"/>
      <c r="U1594" s="27"/>
      <c r="V1594" s="27"/>
      <c r="W1594" s="27"/>
      <c r="X1594" s="27"/>
      <c r="Y1594" s="27"/>
    </row>
    <row r="1595">
      <c r="A1595" s="32"/>
      <c r="B1595" s="32"/>
      <c r="C1595" s="29" t="s">
        <v>462</v>
      </c>
      <c r="D1595" s="29" t="s">
        <v>1935</v>
      </c>
      <c r="E1595" s="28">
        <v>500.0</v>
      </c>
      <c r="F1595" s="28">
        <v>0.0</v>
      </c>
      <c r="G1595" s="99" t="s">
        <v>395</v>
      </c>
      <c r="H1595" s="28">
        <f t="array" ref="H1595">INDEX(CC!C:C,MATCH(1,(CC!A:A=G1595)*(CC!B:B=I1595),0))</f>
        <v>1103</v>
      </c>
      <c r="I1595" s="99" t="s">
        <v>44</v>
      </c>
      <c r="J1595" s="31">
        <v>500.0</v>
      </c>
      <c r="K1595" s="28" t="str">
        <f>IFERROR(__xludf.DUMMYFUNCTION("IFERROR(
INDEX(
FILTER(
MAP(
reglas!$B$2:$B$240,
reglas!$C$2:$C$240,
reglas!$D$2:$D$240,
reglas!$E$2:$E$240,
LAMBDA(rEmisor,rPatron,rConcepto,rTipo,
IF(
AND(
OR(
UPPER(TRIM(rEmisor))=UPPER(TRIM(C1595)),
UPPER(TRIM(rEmisor))=""CUALQUIERA""
),
OR(
UPPER(TRI"&amp;"M(rTipo))=""SOLO EMISOR"",
AND(
UPPER(TRIM(rTipo))=""EXACTA"",
UPPER(TRIM(AG1595))=UPPER(TRIM(rPatron))
),
AND(
OR(
UPPER(TRIM(rTipo))=""CONTIENE"",
UPPER(TRIM(rTipo))=""COINCIDENCIA""
),
ISNUMBER(SEARCH(UPPER(TRIM(rPatron)),UPPER(TRIM(D1595))))
)
)
),
rC"&amp;"oncepto,
""""
)
)
),
MAP(
reglas!$B$2:$B$240,
reglas!$C$2:$C$240,
reglas!$D$2:$D$240,
reglas!$E$2:$E$240,
LAMBDA(rEmisor,rPatron,rConcepto,rTipo,
IF(
AND(
OR(
UPPER(TRIM(rEmisor))=UPPER(TRIM(C1595)),
UPPER(TRIM(rEmisor))=""CUALQUIERA""
),
OR(
UPPER(TRIM(r"&amp;"Tipo))=""SOLO EMISOR"",
AND(
UPPER(TRIM(rTipo))=""EXACTA"",
UPPER(TRIM(D1595))=UPPER(TRIM(rPatron))
),
AND(
OR(
UPPER(TRIM(rTipo))=""CONTIENE"",
UPPER(TRIM(rTipo))=""COINCIDENCIA""
),
ISNUMBER(SEARCH(UPPER(TRIM(rPatron)),UPPER(TRIM(D1595))))
)
)
),
rConce"&amp;"pto,
""""
)
)
)&lt;&gt;""""
),
1
),
""""
)"),"MANIOBRAS")</f>
        <v>MANIOBRAS</v>
      </c>
      <c r="L1595" s="27"/>
      <c r="M1595" s="27"/>
      <c r="N1595" s="27"/>
      <c r="O1595" s="27"/>
      <c r="P1595" s="27"/>
      <c r="Q1595" s="27"/>
      <c r="R1595" s="27"/>
      <c r="S1595" s="27"/>
      <c r="T1595" s="27"/>
      <c r="U1595" s="27"/>
      <c r="V1595" s="27"/>
      <c r="W1595" s="27"/>
      <c r="X1595" s="27"/>
      <c r="Y1595" s="27"/>
    </row>
    <row r="1596">
      <c r="A1596" s="32"/>
      <c r="B1596" s="32"/>
      <c r="C1596" s="29" t="s">
        <v>462</v>
      </c>
      <c r="D1596" s="29" t="s">
        <v>1936</v>
      </c>
      <c r="E1596" s="30">
        <v>3011.0</v>
      </c>
      <c r="F1596" s="28">
        <v>0.0</v>
      </c>
      <c r="G1596" s="99" t="s">
        <v>395</v>
      </c>
      <c r="H1596" s="28">
        <f t="array" ref="H1596">INDEX(CC!C:C,MATCH(1,(CC!A:A=G1596)*(CC!B:B=I1596),0))</f>
        <v>1103</v>
      </c>
      <c r="I1596" s="99" t="s">
        <v>44</v>
      </c>
      <c r="J1596" s="31">
        <v>3011.0</v>
      </c>
      <c r="K1596" s="28" t="str">
        <f>IFERROR(__xludf.DUMMYFUNCTION("IFERROR(
INDEX(
FILTER(
MAP(
reglas!$B$2:$B$240,
reglas!$C$2:$C$240,
reglas!$D$2:$D$240,
reglas!$E$2:$E$240,
LAMBDA(rEmisor,rPatron,rConcepto,rTipo,
IF(
AND(
OR(
UPPER(TRIM(rEmisor))=UPPER(TRIM(C1596)),
UPPER(TRIM(rEmisor))=""CUALQUIERA""
),
OR(
UPPER(TRI"&amp;"M(rTipo))=""SOLO EMISOR"",
AND(
UPPER(TRIM(rTipo))=""EXACTA"",
UPPER(TRIM(AG1596))=UPPER(TRIM(rPatron))
),
AND(
OR(
UPPER(TRIM(rTipo))=""CONTIENE"",
UPPER(TRIM(rTipo))=""COINCIDENCIA""
),
ISNUMBER(SEARCH(UPPER(TRIM(rPatron)),UPPER(TRIM(D1596))))
)
)
),
rC"&amp;"oncepto,
""""
)
)
),
MAP(
reglas!$B$2:$B$240,
reglas!$C$2:$C$240,
reglas!$D$2:$D$240,
reglas!$E$2:$E$240,
LAMBDA(rEmisor,rPatron,rConcepto,rTipo,
IF(
AND(
OR(
UPPER(TRIM(rEmisor))=UPPER(TRIM(C1596)),
UPPER(TRIM(rEmisor))=""CUALQUIERA""
),
OR(
UPPER(TRIM(r"&amp;"Tipo))=""SOLO EMISOR"",
AND(
UPPER(TRIM(rTipo))=""EXACTA"",
UPPER(TRIM(D1596))=UPPER(TRIM(rPatron))
),
AND(
OR(
UPPER(TRIM(rTipo))=""CONTIENE"",
UPPER(TRIM(rTipo))=""COINCIDENCIA""
),
ISNUMBER(SEARCH(UPPER(TRIM(rPatron)),UPPER(TRIM(D1596))))
)
)
),
rConce"&amp;"pto,
""""
)
)
)&lt;&gt;""""
),
1
),
""""
)"),"MANIOBRAS")</f>
        <v>MANIOBRAS</v>
      </c>
      <c r="L1596" s="27"/>
      <c r="M1596" s="27"/>
      <c r="N1596" s="27"/>
      <c r="O1596" s="27"/>
      <c r="P1596" s="27"/>
      <c r="Q1596" s="27"/>
      <c r="R1596" s="27"/>
      <c r="S1596" s="27"/>
      <c r="T1596" s="27"/>
      <c r="U1596" s="27"/>
      <c r="V1596" s="27"/>
      <c r="W1596" s="27"/>
      <c r="X1596" s="27"/>
      <c r="Y1596" s="27"/>
    </row>
    <row r="1597">
      <c r="A1597" s="32"/>
      <c r="B1597" s="32"/>
      <c r="C1597" s="29" t="s">
        <v>462</v>
      </c>
      <c r="D1597" s="29" t="s">
        <v>1937</v>
      </c>
      <c r="E1597" s="28">
        <v>218.0</v>
      </c>
      <c r="F1597" s="28">
        <v>0.0</v>
      </c>
      <c r="G1597" s="99" t="s">
        <v>395</v>
      </c>
      <c r="H1597" s="28">
        <f t="array" ref="H1597">INDEX(CC!C:C,MATCH(1,(CC!A:A=G1597)*(CC!B:B=I1597),0))</f>
        <v>1103</v>
      </c>
      <c r="I1597" s="99" t="s">
        <v>44</v>
      </c>
      <c r="J1597" s="31">
        <v>218.0</v>
      </c>
      <c r="K1597" s="28" t="str">
        <f>IFERROR(__xludf.DUMMYFUNCTION("IFERROR(
INDEX(
FILTER(
MAP(
reglas!$B$2:$B$240,
reglas!$C$2:$C$240,
reglas!$D$2:$D$240,
reglas!$E$2:$E$240,
LAMBDA(rEmisor,rPatron,rConcepto,rTipo,
IF(
AND(
OR(
UPPER(TRIM(rEmisor))=UPPER(TRIM(C1597)),
UPPER(TRIM(rEmisor))=""CUALQUIERA""
),
OR(
UPPER(TRI"&amp;"M(rTipo))=""SOLO EMISOR"",
AND(
UPPER(TRIM(rTipo))=""EXACTA"",
UPPER(TRIM(AG1597))=UPPER(TRIM(rPatron))
),
AND(
OR(
UPPER(TRIM(rTipo))=""CONTIENE"",
UPPER(TRIM(rTipo))=""COINCIDENCIA""
),
ISNUMBER(SEARCH(UPPER(TRIM(rPatron)),UPPER(TRIM(D1597))))
)
)
),
rC"&amp;"oncepto,
""""
)
)
),
MAP(
reglas!$B$2:$B$240,
reglas!$C$2:$C$240,
reglas!$D$2:$D$240,
reglas!$E$2:$E$240,
LAMBDA(rEmisor,rPatron,rConcepto,rTipo,
IF(
AND(
OR(
UPPER(TRIM(rEmisor))=UPPER(TRIM(C1597)),
UPPER(TRIM(rEmisor))=""CUALQUIERA""
),
OR(
UPPER(TRIM(r"&amp;"Tipo))=""SOLO EMISOR"",
AND(
UPPER(TRIM(rTipo))=""EXACTA"",
UPPER(TRIM(D1597))=UPPER(TRIM(rPatron))
),
AND(
OR(
UPPER(TRIM(rTipo))=""CONTIENE"",
UPPER(TRIM(rTipo))=""COINCIDENCIA""
),
ISNUMBER(SEARCH(UPPER(TRIM(rPatron)),UPPER(TRIM(D1597))))
)
)
),
rConce"&amp;"pto,
""""
)
)
)&lt;&gt;""""
),
1
),
""""
)"),"MANIOBRAS")</f>
        <v>MANIOBRAS</v>
      </c>
      <c r="L1597" s="27"/>
      <c r="M1597" s="27"/>
      <c r="N1597" s="27"/>
      <c r="O1597" s="27"/>
      <c r="P1597" s="27"/>
      <c r="Q1597" s="27"/>
      <c r="R1597" s="27"/>
      <c r="S1597" s="27"/>
      <c r="T1597" s="27"/>
      <c r="U1597" s="27"/>
      <c r="V1597" s="27"/>
      <c r="W1597" s="27"/>
      <c r="X1597" s="27"/>
      <c r="Y1597" s="27"/>
    </row>
    <row r="1598">
      <c r="A1598" s="32"/>
      <c r="B1598" s="32"/>
      <c r="C1598" s="29" t="s">
        <v>462</v>
      </c>
      <c r="D1598" s="29" t="s">
        <v>1938</v>
      </c>
      <c r="E1598" s="30">
        <v>3971.0</v>
      </c>
      <c r="F1598" s="28">
        <v>0.0</v>
      </c>
      <c r="G1598" s="99" t="s">
        <v>395</v>
      </c>
      <c r="H1598" s="28">
        <f t="array" ref="H1598">INDEX(CC!C:C,MATCH(1,(CC!A:A=G1598)*(CC!B:B=I1598),0))</f>
        <v>1103</v>
      </c>
      <c r="I1598" s="99" t="s">
        <v>44</v>
      </c>
      <c r="J1598" s="31">
        <v>3971.0</v>
      </c>
      <c r="K1598" s="28" t="str">
        <f>IFERROR(__xludf.DUMMYFUNCTION("IFERROR(
INDEX(
FILTER(
MAP(
reglas!$B$2:$B$240,
reglas!$C$2:$C$240,
reglas!$D$2:$D$240,
reglas!$E$2:$E$240,
LAMBDA(rEmisor,rPatron,rConcepto,rTipo,
IF(
AND(
OR(
UPPER(TRIM(rEmisor))=UPPER(TRIM(C1598)),
UPPER(TRIM(rEmisor))=""CUALQUIERA""
),
OR(
UPPER(TRI"&amp;"M(rTipo))=""SOLO EMISOR"",
AND(
UPPER(TRIM(rTipo))=""EXACTA"",
UPPER(TRIM(AG1598))=UPPER(TRIM(rPatron))
),
AND(
OR(
UPPER(TRIM(rTipo))=""CONTIENE"",
UPPER(TRIM(rTipo))=""COINCIDENCIA""
),
ISNUMBER(SEARCH(UPPER(TRIM(rPatron)),UPPER(TRIM(D1598))))
)
)
),
rC"&amp;"oncepto,
""""
)
)
),
MAP(
reglas!$B$2:$B$240,
reglas!$C$2:$C$240,
reglas!$D$2:$D$240,
reglas!$E$2:$E$240,
LAMBDA(rEmisor,rPatron,rConcepto,rTipo,
IF(
AND(
OR(
UPPER(TRIM(rEmisor))=UPPER(TRIM(C1598)),
UPPER(TRIM(rEmisor))=""CUALQUIERA""
),
OR(
UPPER(TRIM(r"&amp;"Tipo))=""SOLO EMISOR"",
AND(
UPPER(TRIM(rTipo))=""EXACTA"",
UPPER(TRIM(D1598))=UPPER(TRIM(rPatron))
),
AND(
OR(
UPPER(TRIM(rTipo))=""CONTIENE"",
UPPER(TRIM(rTipo))=""COINCIDENCIA""
),
ISNUMBER(SEARCH(UPPER(TRIM(rPatron)),UPPER(TRIM(D1598))))
)
)
),
rConce"&amp;"pto,
""""
)
)
)&lt;&gt;""""
),
1
),
""""
)"),"MANIOBRAS")</f>
        <v>MANIOBRAS</v>
      </c>
      <c r="L1598" s="27"/>
      <c r="M1598" s="27"/>
      <c r="N1598" s="27"/>
      <c r="O1598" s="27"/>
      <c r="P1598" s="27"/>
      <c r="Q1598" s="27"/>
      <c r="R1598" s="27"/>
      <c r="S1598" s="27"/>
      <c r="T1598" s="27"/>
      <c r="U1598" s="27"/>
      <c r="V1598" s="27"/>
      <c r="W1598" s="27"/>
      <c r="X1598" s="27"/>
      <c r="Y1598" s="27"/>
    </row>
    <row r="1599">
      <c r="A1599" s="32"/>
      <c r="B1599" s="28" t="s">
        <v>29</v>
      </c>
      <c r="C1599" s="29" t="s">
        <v>172</v>
      </c>
      <c r="D1599" s="29" t="s">
        <v>1932</v>
      </c>
      <c r="E1599" s="30">
        <v>11500.0</v>
      </c>
      <c r="F1599" s="28">
        <v>0.0</v>
      </c>
      <c r="G1599" s="99" t="s">
        <v>250</v>
      </c>
      <c r="H1599" s="28">
        <f t="array" ref="H1599">INDEX(CC!C:C,MATCH(1,(CC!A:A=G1599)*(CC!B:B=I1599),0))</f>
        <v>1402</v>
      </c>
      <c r="I1599" s="99" t="s">
        <v>25</v>
      </c>
      <c r="J1599" s="31">
        <v>11500.0</v>
      </c>
      <c r="K1599" s="28" t="str">
        <f>IFERROR(__xludf.DUMMYFUNCTION("IFERROR(
INDEX(
FILTER(
MAP(
reglas!$B$2:$B$240,
reglas!$C$2:$C$240,
reglas!$D$2:$D$240,
reglas!$E$2:$E$240,
LAMBDA(rEmisor,rPatron,rConcepto,rTipo,
IF(
AND(
OR(
UPPER(TRIM(rEmisor))=UPPER(TRIM(C1599)),
UPPER(TRIM(rEmisor))=""CUALQUIERA""
),
OR(
UPPER(TRI"&amp;"M(rTipo))=""SOLO EMISOR"",
AND(
UPPER(TRIM(rTipo))=""EXACTA"",
UPPER(TRIM(AG1599))=UPPER(TRIM(rPatron))
),
AND(
OR(
UPPER(TRIM(rTipo))=""CONTIENE"",
UPPER(TRIM(rTipo))=""COINCIDENCIA""
),
ISNUMBER(SEARCH(UPPER(TRIM(rPatron)),UPPER(TRIM(D1599))))
)
)
),
rC"&amp;"oncepto,
""""
)
)
),
MAP(
reglas!$B$2:$B$240,
reglas!$C$2:$C$240,
reglas!$D$2:$D$240,
reglas!$E$2:$E$240,
LAMBDA(rEmisor,rPatron,rConcepto,rTipo,
IF(
AND(
OR(
UPPER(TRIM(rEmisor))=UPPER(TRIM(C1599)),
UPPER(TRIM(rEmisor))=""CUALQUIERA""
),
OR(
UPPER(TRIM(r"&amp;"Tipo))=""SOLO EMISOR"",
AND(
UPPER(TRIM(rTipo))=""EXACTA"",
UPPER(TRIM(D1599))=UPPER(TRIM(rPatron))
),
AND(
OR(
UPPER(TRIM(rTipo))=""CONTIENE"",
UPPER(TRIM(rTipo))=""COINCIDENCIA""
),
ISNUMBER(SEARCH(UPPER(TRIM(rPatron)),UPPER(TRIM(D1599))))
)
)
),
rConce"&amp;"pto,
""""
)
)
)&lt;&gt;""""
),
1
),
""""
)"),"TRANSPORTE")</f>
        <v>TRANSPORTE</v>
      </c>
      <c r="L1599" s="27"/>
      <c r="M1599" s="27"/>
      <c r="N1599" s="27"/>
      <c r="O1599" s="27"/>
      <c r="P1599" s="27"/>
      <c r="Q1599" s="27"/>
      <c r="R1599" s="27"/>
      <c r="S1599" s="27"/>
      <c r="T1599" s="27"/>
      <c r="U1599" s="27"/>
      <c r="V1599" s="27"/>
      <c r="W1599" s="27"/>
      <c r="X1599" s="27"/>
      <c r="Y1599" s="27"/>
    </row>
    <row r="1600">
      <c r="A1600" s="32"/>
      <c r="B1600" s="28" t="s">
        <v>29</v>
      </c>
      <c r="C1600" s="29" t="s">
        <v>278</v>
      </c>
      <c r="D1600" s="29" t="s">
        <v>560</v>
      </c>
      <c r="E1600" s="30">
        <v>3500.0</v>
      </c>
      <c r="F1600" s="28">
        <v>0.0</v>
      </c>
      <c r="G1600" s="99" t="s">
        <v>250</v>
      </c>
      <c r="H1600" s="28">
        <f t="array" ref="H1600">INDEX(CC!C:C,MATCH(1,(CC!A:A=G1600)*(CC!B:B=I1600),0))</f>
        <v>1402</v>
      </c>
      <c r="I1600" s="99" t="s">
        <v>25</v>
      </c>
      <c r="J1600" s="31">
        <v>3500.0</v>
      </c>
      <c r="K1600" s="28" t="str">
        <f>IFERROR(__xludf.DUMMYFUNCTION("IFERROR(
INDEX(
FILTER(
MAP(
reglas!$B$2:$B$240,
reglas!$C$2:$C$240,
reglas!$D$2:$D$240,
reglas!$E$2:$E$240,
LAMBDA(rEmisor,rPatron,rConcepto,rTipo,
IF(
AND(
OR(
UPPER(TRIM(rEmisor))=UPPER(TRIM(C1600)),
UPPER(TRIM(rEmisor))=""CUALQUIERA""
),
OR(
UPPER(TRI"&amp;"M(rTipo))=""SOLO EMISOR"",
AND(
UPPER(TRIM(rTipo))=""EXACTA"",
UPPER(TRIM(AG1600))=UPPER(TRIM(rPatron))
),
AND(
OR(
UPPER(TRIM(rTipo))=""CONTIENE"",
UPPER(TRIM(rTipo))=""COINCIDENCIA""
),
ISNUMBER(SEARCH(UPPER(TRIM(rPatron)),UPPER(TRIM(D1600))))
)
)
),
rC"&amp;"oncepto,
""""
)
)
),
MAP(
reglas!$B$2:$B$240,
reglas!$C$2:$C$240,
reglas!$D$2:$D$240,
reglas!$E$2:$E$240,
LAMBDA(rEmisor,rPatron,rConcepto,rTipo,
IF(
AND(
OR(
UPPER(TRIM(rEmisor))=UPPER(TRIM(C1600)),
UPPER(TRIM(rEmisor))=""CUALQUIERA""
),
OR(
UPPER(TRIM(r"&amp;"Tipo))=""SOLO EMISOR"",
AND(
UPPER(TRIM(rTipo))=""EXACTA"",
UPPER(TRIM(D1600))=UPPER(TRIM(rPatron))
),
AND(
OR(
UPPER(TRIM(rTipo))=""CONTIENE"",
UPPER(TRIM(rTipo))=""COINCIDENCIA""
),
ISNUMBER(SEARCH(UPPER(TRIM(rPatron)),UPPER(TRIM(D1600))))
)
)
),
rConce"&amp;"pto,
""""
)
)
)&lt;&gt;""""
),
1
),
""""
)"),"MANIOBRAS")</f>
        <v>MANIOBRAS</v>
      </c>
      <c r="L1600" s="27"/>
      <c r="M1600" s="27"/>
      <c r="N1600" s="27"/>
      <c r="O1600" s="27"/>
      <c r="P1600" s="27"/>
      <c r="Q1600" s="27"/>
      <c r="R1600" s="27"/>
      <c r="S1600" s="27"/>
      <c r="T1600" s="27"/>
      <c r="U1600" s="27"/>
      <c r="V1600" s="27"/>
      <c r="W1600" s="27"/>
      <c r="X1600" s="27"/>
      <c r="Y1600" s="27"/>
    </row>
    <row r="1601">
      <c r="A1601" s="32"/>
      <c r="B1601" s="28" t="s">
        <v>29</v>
      </c>
      <c r="C1601" s="29" t="s">
        <v>278</v>
      </c>
      <c r="D1601" s="29" t="s">
        <v>898</v>
      </c>
      <c r="E1601" s="30">
        <v>1000.0</v>
      </c>
      <c r="F1601" s="28">
        <v>0.0</v>
      </c>
      <c r="G1601" s="99" t="s">
        <v>250</v>
      </c>
      <c r="H1601" s="28">
        <f t="array" ref="H1601">INDEX(CC!C:C,MATCH(1,(CC!A:A=G1601)*(CC!B:B=I1601),0))</f>
        <v>1402</v>
      </c>
      <c r="I1601" s="99" t="s">
        <v>25</v>
      </c>
      <c r="J1601" s="31">
        <v>1000.0</v>
      </c>
      <c r="K1601" s="28" t="str">
        <f>IFERROR(__xludf.DUMMYFUNCTION("IFERROR(
INDEX(
FILTER(
MAP(
reglas!$B$2:$B$240,
reglas!$C$2:$C$240,
reglas!$D$2:$D$240,
reglas!$E$2:$E$240,
LAMBDA(rEmisor,rPatron,rConcepto,rTipo,
IF(
AND(
OR(
UPPER(TRIM(rEmisor))=UPPER(TRIM(C1601)),
UPPER(TRIM(rEmisor))=""CUALQUIERA""
),
OR(
UPPER(TRI"&amp;"M(rTipo))=""SOLO EMISOR"",
AND(
UPPER(TRIM(rTipo))=""EXACTA"",
UPPER(TRIM(AG1601))=UPPER(TRIM(rPatron))
),
AND(
OR(
UPPER(TRIM(rTipo))=""CONTIENE"",
UPPER(TRIM(rTipo))=""COINCIDENCIA""
),
ISNUMBER(SEARCH(UPPER(TRIM(rPatron)),UPPER(TRIM(D1601))))
)
)
),
rC"&amp;"oncepto,
""""
)
)
),
MAP(
reglas!$B$2:$B$240,
reglas!$C$2:$C$240,
reglas!$D$2:$D$240,
reglas!$E$2:$E$240,
LAMBDA(rEmisor,rPatron,rConcepto,rTipo,
IF(
AND(
OR(
UPPER(TRIM(rEmisor))=UPPER(TRIM(C1601)),
UPPER(TRIM(rEmisor))=""CUALQUIERA""
),
OR(
UPPER(TRIM(r"&amp;"Tipo))=""SOLO EMISOR"",
AND(
UPPER(TRIM(rTipo))=""EXACTA"",
UPPER(TRIM(D1601))=UPPER(TRIM(rPatron))
),
AND(
OR(
UPPER(TRIM(rTipo))=""CONTIENE"",
UPPER(TRIM(rTipo))=""COINCIDENCIA""
),
ISNUMBER(SEARCH(UPPER(TRIM(rPatron)),UPPER(TRIM(D1601))))
)
)
),
rConce"&amp;"pto,
""""
)
)
)&lt;&gt;""""
),
1
),
""""
)"),"MANIOBRAS")</f>
        <v>MANIOBRAS</v>
      </c>
      <c r="L1601" s="27"/>
      <c r="M1601" s="27"/>
      <c r="N1601" s="27"/>
      <c r="O1601" s="27"/>
      <c r="P1601" s="27"/>
      <c r="Q1601" s="27"/>
      <c r="R1601" s="27"/>
      <c r="S1601" s="27"/>
      <c r="T1601" s="27"/>
      <c r="U1601" s="27"/>
      <c r="V1601" s="27"/>
      <c r="W1601" s="27"/>
      <c r="X1601" s="27"/>
      <c r="Y1601" s="27"/>
    </row>
    <row r="1602">
      <c r="A1602" s="28">
        <v>1.0</v>
      </c>
      <c r="B1602" s="28" t="s">
        <v>29</v>
      </c>
      <c r="C1602" s="29" t="s">
        <v>271</v>
      </c>
      <c r="D1602" s="29" t="s">
        <v>585</v>
      </c>
      <c r="E1602" s="28">
        <v>619.55</v>
      </c>
      <c r="F1602" s="28">
        <v>0.0</v>
      </c>
      <c r="G1602" s="28" t="s">
        <v>84</v>
      </c>
      <c r="H1602" s="28">
        <f t="array" ref="H1602">INDEX(CC!C:C,MATCH(1,(CC!A:A=G1602)*(CC!B:B=I1602),0))</f>
        <v>1002</v>
      </c>
      <c r="I1602" s="28" t="s">
        <v>25</v>
      </c>
      <c r="J1602" s="31">
        <v>619.55</v>
      </c>
      <c r="K1602" s="28" t="str">
        <f>IFERROR(__xludf.DUMMYFUNCTION("IFERROR(
INDEX(
FILTER(
MAP(
reglas!$B$2:$B$240,
reglas!$C$2:$C$240,
reglas!$D$2:$D$240,
reglas!$E$2:$E$240,
LAMBDA(rEmisor,rPatron,rConcepto,rTipo,
IF(
AND(
OR(
UPPER(TRIM(rEmisor))=UPPER(TRIM(C1602)),
UPPER(TRIM(rEmisor))=""CUALQUIERA""
),
OR(
UPPER(TRI"&amp;"M(rTipo))=""SOLO EMISOR"",
AND(
UPPER(TRIM(rTipo))=""EXACTA"",
UPPER(TRIM(AG1602))=UPPER(TRIM(rPatron))
),
AND(
OR(
UPPER(TRIM(rTipo))=""CONTIENE"",
UPPER(TRIM(rTipo))=""COINCIDENCIA""
),
ISNUMBER(SEARCH(UPPER(TRIM(rPatron)),UPPER(TRIM(D1602))))
)
)
),
rC"&amp;"oncepto,
""""
)
)
),
MAP(
reglas!$B$2:$B$240,
reglas!$C$2:$C$240,
reglas!$D$2:$D$240,
reglas!$E$2:$E$240,
LAMBDA(rEmisor,rPatron,rConcepto,rTipo,
IF(
AND(
OR(
UPPER(TRIM(rEmisor))=UPPER(TRIM(C1602)),
UPPER(TRIM(rEmisor))=""CUALQUIERA""
),
OR(
UPPER(TRIM(r"&amp;"Tipo))=""SOLO EMISOR"",
AND(
UPPER(TRIM(rTipo))=""EXACTA"",
UPPER(TRIM(D1602))=UPPER(TRIM(rPatron))
),
AND(
OR(
UPPER(TRIM(rTipo))=""CONTIENE"",
UPPER(TRIM(rTipo))=""COINCIDENCIA""
),
ISNUMBER(SEARCH(UPPER(TRIM(rPatron)),UPPER(TRIM(D1602))))
)
)
),
rConce"&amp;"pto,
""""
)
)
)&lt;&gt;""""
),
1
),
""""
)"),"MANIOBRAS")</f>
        <v>MANIOBRAS</v>
      </c>
      <c r="L1602" s="27"/>
      <c r="M1602" s="27"/>
      <c r="N1602" s="27"/>
      <c r="O1602" s="27"/>
      <c r="P1602" s="27"/>
      <c r="Q1602" s="27"/>
      <c r="R1602" s="27"/>
      <c r="S1602" s="27"/>
      <c r="T1602" s="27"/>
      <c r="U1602" s="27"/>
      <c r="V1602" s="27"/>
      <c r="W1602" s="27"/>
      <c r="X1602" s="27"/>
      <c r="Y1602" s="27"/>
    </row>
    <row r="1603">
      <c r="A1603" s="32"/>
      <c r="B1603" s="32"/>
      <c r="C1603" s="29" t="s">
        <v>271</v>
      </c>
      <c r="D1603" s="29" t="s">
        <v>587</v>
      </c>
      <c r="E1603" s="28">
        <v>566.84</v>
      </c>
      <c r="F1603" s="28">
        <v>0.0</v>
      </c>
      <c r="G1603" s="28" t="s">
        <v>84</v>
      </c>
      <c r="H1603" s="28">
        <f t="array" ref="H1603">INDEX(CC!C:C,MATCH(1,(CC!A:A=G1603)*(CC!B:B=I1603),0))</f>
        <v>1002</v>
      </c>
      <c r="I1603" s="28" t="s">
        <v>25</v>
      </c>
      <c r="J1603" s="31">
        <v>566.84</v>
      </c>
      <c r="K1603" s="28" t="str">
        <f>IFERROR(__xludf.DUMMYFUNCTION("IFERROR(
INDEX(
FILTER(
MAP(
reglas!$B$2:$B$240,
reglas!$C$2:$C$240,
reglas!$D$2:$D$240,
reglas!$E$2:$E$240,
LAMBDA(rEmisor,rPatron,rConcepto,rTipo,
IF(
AND(
OR(
UPPER(TRIM(rEmisor))=UPPER(TRIM(C1603)),
UPPER(TRIM(rEmisor))=""CUALQUIERA""
),
OR(
UPPER(TRI"&amp;"M(rTipo))=""SOLO EMISOR"",
AND(
UPPER(TRIM(rTipo))=""EXACTA"",
UPPER(TRIM(AG1603))=UPPER(TRIM(rPatron))
),
AND(
OR(
UPPER(TRIM(rTipo))=""CONTIENE"",
UPPER(TRIM(rTipo))=""COINCIDENCIA""
),
ISNUMBER(SEARCH(UPPER(TRIM(rPatron)),UPPER(TRIM(D1603))))
)
)
),
rC"&amp;"oncepto,
""""
)
)
),
MAP(
reglas!$B$2:$B$240,
reglas!$C$2:$C$240,
reglas!$D$2:$D$240,
reglas!$E$2:$E$240,
LAMBDA(rEmisor,rPatron,rConcepto,rTipo,
IF(
AND(
OR(
UPPER(TRIM(rEmisor))=UPPER(TRIM(C1603)),
UPPER(TRIM(rEmisor))=""CUALQUIERA""
),
OR(
UPPER(TRIM(r"&amp;"Tipo))=""SOLO EMISOR"",
AND(
UPPER(TRIM(rTipo))=""EXACTA"",
UPPER(TRIM(D1603))=UPPER(TRIM(rPatron))
),
AND(
OR(
UPPER(TRIM(rTipo))=""CONTIENE"",
UPPER(TRIM(rTipo))=""COINCIDENCIA""
),
ISNUMBER(SEARCH(UPPER(TRIM(rPatron)),UPPER(TRIM(D1603))))
)
)
),
rConce"&amp;"pto,
""""
)
)
)&lt;&gt;""""
),
1
),
""""
)"),"MANIOBRAS")</f>
        <v>MANIOBRAS</v>
      </c>
      <c r="L1603" s="27"/>
      <c r="M1603" s="27"/>
      <c r="N1603" s="27"/>
      <c r="O1603" s="27"/>
      <c r="P1603" s="27"/>
      <c r="Q1603" s="27"/>
      <c r="R1603" s="27"/>
      <c r="S1603" s="27"/>
      <c r="T1603" s="27"/>
      <c r="U1603" s="27"/>
      <c r="V1603" s="27"/>
      <c r="W1603" s="27"/>
      <c r="X1603" s="27"/>
      <c r="Y1603" s="27"/>
    </row>
    <row r="1604">
      <c r="A1604" s="32"/>
      <c r="B1604" s="32"/>
      <c r="C1604" s="29" t="s">
        <v>271</v>
      </c>
      <c r="D1604" s="29" t="s">
        <v>586</v>
      </c>
      <c r="E1604" s="28">
        <v>619.88</v>
      </c>
      <c r="F1604" s="28">
        <v>0.0</v>
      </c>
      <c r="G1604" s="28" t="s">
        <v>84</v>
      </c>
      <c r="H1604" s="28">
        <f t="array" ref="H1604">INDEX(CC!C:C,MATCH(1,(CC!A:A=G1604)*(CC!B:B=I1604),0))</f>
        <v>1002</v>
      </c>
      <c r="I1604" s="28" t="s">
        <v>25</v>
      </c>
      <c r="J1604" s="31">
        <v>619.88</v>
      </c>
      <c r="K1604" s="28" t="str">
        <f>IFERROR(__xludf.DUMMYFUNCTION("IFERROR(
INDEX(
FILTER(
MAP(
reglas!$B$2:$B$240,
reglas!$C$2:$C$240,
reglas!$D$2:$D$240,
reglas!$E$2:$E$240,
LAMBDA(rEmisor,rPatron,rConcepto,rTipo,
IF(
AND(
OR(
UPPER(TRIM(rEmisor))=UPPER(TRIM(C1604)),
UPPER(TRIM(rEmisor))=""CUALQUIERA""
),
OR(
UPPER(TRI"&amp;"M(rTipo))=""SOLO EMISOR"",
AND(
UPPER(TRIM(rTipo))=""EXACTA"",
UPPER(TRIM(AG1604))=UPPER(TRIM(rPatron))
),
AND(
OR(
UPPER(TRIM(rTipo))=""CONTIENE"",
UPPER(TRIM(rTipo))=""COINCIDENCIA""
),
ISNUMBER(SEARCH(UPPER(TRIM(rPatron)),UPPER(TRIM(D1604))))
)
)
),
rC"&amp;"oncepto,
""""
)
)
),
MAP(
reglas!$B$2:$B$240,
reglas!$C$2:$C$240,
reglas!$D$2:$D$240,
reglas!$E$2:$E$240,
LAMBDA(rEmisor,rPatron,rConcepto,rTipo,
IF(
AND(
OR(
UPPER(TRIM(rEmisor))=UPPER(TRIM(C1604)),
UPPER(TRIM(rEmisor))=""CUALQUIERA""
),
OR(
UPPER(TRIM(r"&amp;"Tipo))=""SOLO EMISOR"",
AND(
UPPER(TRIM(rTipo))=""EXACTA"",
UPPER(TRIM(D1604))=UPPER(TRIM(rPatron))
),
AND(
OR(
UPPER(TRIM(rTipo))=""CONTIENE"",
UPPER(TRIM(rTipo))=""COINCIDENCIA""
),
ISNUMBER(SEARCH(UPPER(TRIM(rPatron)),UPPER(TRIM(D1604))))
)
)
),
rConce"&amp;"pto,
""""
)
)
)&lt;&gt;""""
),
1
),
""""
)"),"MANIOBRAS")</f>
        <v>MANIOBRAS</v>
      </c>
      <c r="L1604" s="27"/>
      <c r="M1604" s="27"/>
      <c r="N1604" s="27"/>
      <c r="O1604" s="27"/>
      <c r="P1604" s="27"/>
      <c r="Q1604" s="27"/>
      <c r="R1604" s="27"/>
      <c r="S1604" s="27"/>
      <c r="T1604" s="27"/>
      <c r="U1604" s="27"/>
      <c r="V1604" s="27"/>
      <c r="W1604" s="27"/>
      <c r="X1604" s="27"/>
      <c r="Y1604" s="27"/>
    </row>
    <row r="1605">
      <c r="A1605" s="32"/>
      <c r="B1605" s="32"/>
      <c r="C1605" s="29" t="s">
        <v>271</v>
      </c>
      <c r="D1605" s="29" t="s">
        <v>589</v>
      </c>
      <c r="E1605" s="28">
        <v>619.88</v>
      </c>
      <c r="F1605" s="28">
        <v>0.0</v>
      </c>
      <c r="G1605" s="28" t="s">
        <v>84</v>
      </c>
      <c r="H1605" s="28">
        <f t="array" ref="H1605">INDEX(CC!C:C,MATCH(1,(CC!A:A=G1605)*(CC!B:B=I1605),0))</f>
        <v>1002</v>
      </c>
      <c r="I1605" s="28" t="s">
        <v>25</v>
      </c>
      <c r="J1605" s="31">
        <v>619.88</v>
      </c>
      <c r="K1605" s="28" t="str">
        <f>IFERROR(__xludf.DUMMYFUNCTION("IFERROR(
INDEX(
FILTER(
MAP(
reglas!$B$2:$B$240,
reglas!$C$2:$C$240,
reglas!$D$2:$D$240,
reglas!$E$2:$E$240,
LAMBDA(rEmisor,rPatron,rConcepto,rTipo,
IF(
AND(
OR(
UPPER(TRIM(rEmisor))=UPPER(TRIM(C1605)),
UPPER(TRIM(rEmisor))=""CUALQUIERA""
),
OR(
UPPER(TRI"&amp;"M(rTipo))=""SOLO EMISOR"",
AND(
UPPER(TRIM(rTipo))=""EXACTA"",
UPPER(TRIM(AG1605))=UPPER(TRIM(rPatron))
),
AND(
OR(
UPPER(TRIM(rTipo))=""CONTIENE"",
UPPER(TRIM(rTipo))=""COINCIDENCIA""
),
ISNUMBER(SEARCH(UPPER(TRIM(rPatron)),UPPER(TRIM(D1605))))
)
)
),
rC"&amp;"oncepto,
""""
)
)
),
MAP(
reglas!$B$2:$B$240,
reglas!$C$2:$C$240,
reglas!$D$2:$D$240,
reglas!$E$2:$E$240,
LAMBDA(rEmisor,rPatron,rConcepto,rTipo,
IF(
AND(
OR(
UPPER(TRIM(rEmisor))=UPPER(TRIM(C1605)),
UPPER(TRIM(rEmisor))=""CUALQUIERA""
),
OR(
UPPER(TRIM(r"&amp;"Tipo))=""SOLO EMISOR"",
AND(
UPPER(TRIM(rTipo))=""EXACTA"",
UPPER(TRIM(D1605))=UPPER(TRIM(rPatron))
),
AND(
OR(
UPPER(TRIM(rTipo))=""CONTIENE"",
UPPER(TRIM(rTipo))=""COINCIDENCIA""
),
ISNUMBER(SEARCH(UPPER(TRIM(rPatron)),UPPER(TRIM(D1605))))
)
)
),
rConce"&amp;"pto,
""""
)
)
)&lt;&gt;""""
),
1
),
""""
)"),"MANIOBRAS")</f>
        <v>MANIOBRAS</v>
      </c>
      <c r="L1605" s="27"/>
      <c r="M1605" s="27"/>
      <c r="N1605" s="27"/>
      <c r="O1605" s="27"/>
      <c r="P1605" s="27"/>
      <c r="Q1605" s="27"/>
      <c r="R1605" s="27"/>
      <c r="S1605" s="27"/>
      <c r="T1605" s="27"/>
      <c r="U1605" s="27"/>
      <c r="V1605" s="27"/>
      <c r="W1605" s="27"/>
      <c r="X1605" s="27"/>
      <c r="Y1605" s="27"/>
    </row>
    <row r="1606">
      <c r="A1606" s="32"/>
      <c r="B1606" s="32"/>
      <c r="C1606" s="29" t="s">
        <v>271</v>
      </c>
      <c r="D1606" s="29" t="s">
        <v>593</v>
      </c>
      <c r="E1606" s="28">
        <v>648.69</v>
      </c>
      <c r="F1606" s="28">
        <v>0.0</v>
      </c>
      <c r="G1606" s="28" t="s">
        <v>84</v>
      </c>
      <c r="H1606" s="28">
        <f t="array" ref="H1606">INDEX(CC!C:C,MATCH(1,(CC!A:A=G1606)*(CC!B:B=I1606),0))</f>
        <v>1002</v>
      </c>
      <c r="I1606" s="28" t="s">
        <v>25</v>
      </c>
      <c r="J1606" s="31">
        <v>648.69</v>
      </c>
      <c r="K1606" s="28" t="str">
        <f>IFERROR(__xludf.DUMMYFUNCTION("IFERROR(
INDEX(
FILTER(
MAP(
reglas!$B$2:$B$240,
reglas!$C$2:$C$240,
reglas!$D$2:$D$240,
reglas!$E$2:$E$240,
LAMBDA(rEmisor,rPatron,rConcepto,rTipo,
IF(
AND(
OR(
UPPER(TRIM(rEmisor))=UPPER(TRIM(C1606)),
UPPER(TRIM(rEmisor))=""CUALQUIERA""
),
OR(
UPPER(TRI"&amp;"M(rTipo))=""SOLO EMISOR"",
AND(
UPPER(TRIM(rTipo))=""EXACTA"",
UPPER(TRIM(AG1606))=UPPER(TRIM(rPatron))
),
AND(
OR(
UPPER(TRIM(rTipo))=""CONTIENE"",
UPPER(TRIM(rTipo))=""COINCIDENCIA""
),
ISNUMBER(SEARCH(UPPER(TRIM(rPatron)),UPPER(TRIM(D1606))))
)
)
),
rC"&amp;"oncepto,
""""
)
)
),
MAP(
reglas!$B$2:$B$240,
reglas!$C$2:$C$240,
reglas!$D$2:$D$240,
reglas!$E$2:$E$240,
LAMBDA(rEmisor,rPatron,rConcepto,rTipo,
IF(
AND(
OR(
UPPER(TRIM(rEmisor))=UPPER(TRIM(C1606)),
UPPER(TRIM(rEmisor))=""CUALQUIERA""
),
OR(
UPPER(TRIM(r"&amp;"Tipo))=""SOLO EMISOR"",
AND(
UPPER(TRIM(rTipo))=""EXACTA"",
UPPER(TRIM(D1606))=UPPER(TRIM(rPatron))
),
AND(
OR(
UPPER(TRIM(rTipo))=""CONTIENE"",
UPPER(TRIM(rTipo))=""COINCIDENCIA""
),
ISNUMBER(SEARCH(UPPER(TRIM(rPatron)),UPPER(TRIM(D1606))))
)
)
),
rConce"&amp;"pto,
""""
)
)
)&lt;&gt;""""
),
1
),
""""
)"),"MANIOBRAS")</f>
        <v>MANIOBRAS</v>
      </c>
      <c r="L1606" s="27"/>
      <c r="M1606" s="27"/>
      <c r="N1606" s="27"/>
      <c r="O1606" s="27"/>
      <c r="P1606" s="27"/>
      <c r="Q1606" s="27"/>
      <c r="R1606" s="27"/>
      <c r="S1606" s="27"/>
      <c r="T1606" s="27"/>
      <c r="U1606" s="27"/>
      <c r="V1606" s="27"/>
      <c r="W1606" s="27"/>
      <c r="X1606" s="27"/>
      <c r="Y1606" s="27"/>
    </row>
    <row r="1607">
      <c r="A1607" s="32"/>
      <c r="B1607" s="32"/>
      <c r="C1607" s="29" t="s">
        <v>271</v>
      </c>
      <c r="D1607" s="29" t="s">
        <v>596</v>
      </c>
      <c r="E1607" s="28">
        <v>650.39</v>
      </c>
      <c r="F1607" s="28">
        <v>0.0</v>
      </c>
      <c r="G1607" s="28" t="s">
        <v>84</v>
      </c>
      <c r="H1607" s="28">
        <f t="array" ref="H1607">INDEX(CC!C:C,MATCH(1,(CC!A:A=G1607)*(CC!B:B=I1607),0))</f>
        <v>1002</v>
      </c>
      <c r="I1607" s="28" t="s">
        <v>25</v>
      </c>
      <c r="J1607" s="31">
        <v>650.39</v>
      </c>
      <c r="K1607" s="28" t="str">
        <f>IFERROR(__xludf.DUMMYFUNCTION("IFERROR(
INDEX(
FILTER(
MAP(
reglas!$B$2:$B$240,
reglas!$C$2:$C$240,
reglas!$D$2:$D$240,
reglas!$E$2:$E$240,
LAMBDA(rEmisor,rPatron,rConcepto,rTipo,
IF(
AND(
OR(
UPPER(TRIM(rEmisor))=UPPER(TRIM(C1607)),
UPPER(TRIM(rEmisor))=""CUALQUIERA""
),
OR(
UPPER(TRI"&amp;"M(rTipo))=""SOLO EMISOR"",
AND(
UPPER(TRIM(rTipo))=""EXACTA"",
UPPER(TRIM(AG1607))=UPPER(TRIM(rPatron))
),
AND(
OR(
UPPER(TRIM(rTipo))=""CONTIENE"",
UPPER(TRIM(rTipo))=""COINCIDENCIA""
),
ISNUMBER(SEARCH(UPPER(TRIM(rPatron)),UPPER(TRIM(D1607))))
)
)
),
rC"&amp;"oncepto,
""""
)
)
),
MAP(
reglas!$B$2:$B$240,
reglas!$C$2:$C$240,
reglas!$D$2:$D$240,
reglas!$E$2:$E$240,
LAMBDA(rEmisor,rPatron,rConcepto,rTipo,
IF(
AND(
OR(
UPPER(TRIM(rEmisor))=UPPER(TRIM(C1607)),
UPPER(TRIM(rEmisor))=""CUALQUIERA""
),
OR(
UPPER(TRIM(r"&amp;"Tipo))=""SOLO EMISOR"",
AND(
UPPER(TRIM(rTipo))=""EXACTA"",
UPPER(TRIM(D1607))=UPPER(TRIM(rPatron))
),
AND(
OR(
UPPER(TRIM(rTipo))=""CONTIENE"",
UPPER(TRIM(rTipo))=""COINCIDENCIA""
),
ISNUMBER(SEARCH(UPPER(TRIM(rPatron)),UPPER(TRIM(D1607))))
)
)
),
rConce"&amp;"pto,
""""
)
)
)&lt;&gt;""""
),
1
),
""""
)"),"MANIOBRAS")</f>
        <v>MANIOBRAS</v>
      </c>
      <c r="L1607" s="27"/>
      <c r="M1607" s="27"/>
      <c r="N1607" s="27"/>
      <c r="O1607" s="27"/>
      <c r="P1607" s="27"/>
      <c r="Q1607" s="27"/>
      <c r="R1607" s="27"/>
      <c r="S1607" s="27"/>
      <c r="T1607" s="27"/>
      <c r="U1607" s="27"/>
      <c r="V1607" s="27"/>
      <c r="W1607" s="27"/>
      <c r="X1607" s="27"/>
      <c r="Y1607" s="27"/>
    </row>
    <row r="1608">
      <c r="A1608" s="32"/>
      <c r="B1608" s="28" t="s">
        <v>29</v>
      </c>
      <c r="C1608" s="29" t="s">
        <v>236</v>
      </c>
      <c r="D1608" s="29" t="s">
        <v>1939</v>
      </c>
      <c r="E1608" s="28">
        <v>54.0</v>
      </c>
      <c r="F1608" s="28">
        <v>0.0</v>
      </c>
      <c r="G1608" s="99" t="s">
        <v>84</v>
      </c>
      <c r="H1608" s="28">
        <f t="array" ref="H1608">INDEX(CC!C:C,MATCH(1,(CC!A:A=G1608)*(CC!B:B=I1608),0))</f>
        <v>1002</v>
      </c>
      <c r="I1608" s="28" t="s">
        <v>25</v>
      </c>
      <c r="J1608" s="31">
        <v>54.0</v>
      </c>
      <c r="K1608" s="28" t="str">
        <f>IFERROR(__xludf.DUMMYFUNCTION("IFERROR(
INDEX(
FILTER(
MAP(
reglas!$B$2:$B$240,
reglas!$C$2:$C$240,
reglas!$D$2:$D$240,
reglas!$E$2:$E$240,
LAMBDA(rEmisor,rPatron,rConcepto,rTipo,
IF(
AND(
OR(
UPPER(TRIM(rEmisor))=UPPER(TRIM(C1608)),
UPPER(TRIM(rEmisor))=""CUALQUIERA""
),
OR(
UPPER(TRI"&amp;"M(rTipo))=""SOLO EMISOR"",
AND(
UPPER(TRIM(rTipo))=""EXACTA"",
UPPER(TRIM(AG1608))=UPPER(TRIM(rPatron))
),
AND(
OR(
UPPER(TRIM(rTipo))=""CONTIENE"",
UPPER(TRIM(rTipo))=""COINCIDENCIA""
),
ISNUMBER(SEARCH(UPPER(TRIM(rPatron)),UPPER(TRIM(D1608))))
)
)
),
rC"&amp;"oncepto,
""""
)
)
),
MAP(
reglas!$B$2:$B$240,
reglas!$C$2:$C$240,
reglas!$D$2:$D$240,
reglas!$E$2:$E$240,
LAMBDA(rEmisor,rPatron,rConcepto,rTipo,
IF(
AND(
OR(
UPPER(TRIM(rEmisor))=UPPER(TRIM(C1608)),
UPPER(TRIM(rEmisor))=""CUALQUIERA""
),
OR(
UPPER(TRIM(r"&amp;"Tipo))=""SOLO EMISOR"",
AND(
UPPER(TRIM(rTipo))=""EXACTA"",
UPPER(TRIM(D1608))=UPPER(TRIM(rPatron))
),
AND(
OR(
UPPER(TRIM(rTipo))=""CONTIENE"",
UPPER(TRIM(rTipo))=""COINCIDENCIA""
),
ISNUMBER(SEARCH(UPPER(TRIM(rPatron)),UPPER(TRIM(D1608))))
)
)
),
rConce"&amp;"pto,
""""
)
)
)&lt;&gt;""""
),
1
),
""""
)"),"PAPELERIA")</f>
        <v>PAPELERIA</v>
      </c>
      <c r="L1608" s="27"/>
      <c r="M1608" s="27"/>
      <c r="N1608" s="27"/>
      <c r="O1608" s="27"/>
      <c r="P1608" s="27"/>
      <c r="Q1608" s="27"/>
      <c r="R1608" s="27"/>
      <c r="S1608" s="27"/>
      <c r="T1608" s="27"/>
      <c r="U1608" s="27"/>
      <c r="V1608" s="27"/>
      <c r="W1608" s="27"/>
      <c r="X1608" s="27"/>
      <c r="Y1608" s="27"/>
    </row>
    <row r="1609">
      <c r="A1609" s="32"/>
      <c r="B1609" s="32"/>
      <c r="C1609" s="29" t="s">
        <v>236</v>
      </c>
      <c r="D1609" s="29" t="s">
        <v>1779</v>
      </c>
      <c r="E1609" s="28">
        <v>54.0</v>
      </c>
      <c r="F1609" s="28">
        <v>0.0</v>
      </c>
      <c r="G1609" s="99" t="s">
        <v>84</v>
      </c>
      <c r="H1609" s="28">
        <f t="array" ref="H1609">INDEX(CC!C:C,MATCH(1,(CC!A:A=G1609)*(CC!B:B=I1609),0))</f>
        <v>1002</v>
      </c>
      <c r="I1609" s="28" t="s">
        <v>25</v>
      </c>
      <c r="J1609" s="31">
        <v>54.0</v>
      </c>
      <c r="K1609" s="28" t="str">
        <f>IFERROR(__xludf.DUMMYFUNCTION("IFERROR(
INDEX(
FILTER(
MAP(
reglas!$B$2:$B$240,
reglas!$C$2:$C$240,
reglas!$D$2:$D$240,
reglas!$E$2:$E$240,
LAMBDA(rEmisor,rPatron,rConcepto,rTipo,
IF(
AND(
OR(
UPPER(TRIM(rEmisor))=UPPER(TRIM(C1609)),
UPPER(TRIM(rEmisor))=""CUALQUIERA""
),
OR(
UPPER(TRI"&amp;"M(rTipo))=""SOLO EMISOR"",
AND(
UPPER(TRIM(rTipo))=""EXACTA"",
UPPER(TRIM(AG1609))=UPPER(TRIM(rPatron))
),
AND(
OR(
UPPER(TRIM(rTipo))=""CONTIENE"",
UPPER(TRIM(rTipo))=""COINCIDENCIA""
),
ISNUMBER(SEARCH(UPPER(TRIM(rPatron)),UPPER(TRIM(D1609))))
)
)
),
rC"&amp;"oncepto,
""""
)
)
),
MAP(
reglas!$B$2:$B$240,
reglas!$C$2:$C$240,
reglas!$D$2:$D$240,
reglas!$E$2:$E$240,
LAMBDA(rEmisor,rPatron,rConcepto,rTipo,
IF(
AND(
OR(
UPPER(TRIM(rEmisor))=UPPER(TRIM(C1609)),
UPPER(TRIM(rEmisor))=""CUALQUIERA""
),
OR(
UPPER(TRIM(r"&amp;"Tipo))=""SOLO EMISOR"",
AND(
UPPER(TRIM(rTipo))=""EXACTA"",
UPPER(TRIM(D1609))=UPPER(TRIM(rPatron))
),
AND(
OR(
UPPER(TRIM(rTipo))=""CONTIENE"",
UPPER(TRIM(rTipo))=""COINCIDENCIA""
),
ISNUMBER(SEARCH(UPPER(TRIM(rPatron)),UPPER(TRIM(D1609))))
)
)
),
rConce"&amp;"pto,
""""
)
)
)&lt;&gt;""""
),
1
),
""""
)"),"PAPELERIA")</f>
        <v>PAPELERIA</v>
      </c>
      <c r="L1609" s="27"/>
      <c r="M1609" s="27"/>
      <c r="N1609" s="27"/>
      <c r="O1609" s="27"/>
      <c r="P1609" s="27"/>
      <c r="Q1609" s="27"/>
      <c r="R1609" s="27"/>
      <c r="S1609" s="27"/>
      <c r="T1609" s="27"/>
      <c r="U1609" s="27"/>
      <c r="V1609" s="27"/>
      <c r="W1609" s="27"/>
      <c r="X1609" s="27"/>
      <c r="Y1609" s="27"/>
    </row>
    <row r="1610">
      <c r="A1610" s="32"/>
      <c r="B1610" s="32"/>
      <c r="C1610" s="29" t="s">
        <v>236</v>
      </c>
      <c r="D1610" s="29" t="s">
        <v>1780</v>
      </c>
      <c r="E1610" s="28">
        <v>54.0</v>
      </c>
      <c r="F1610" s="28">
        <v>0.0</v>
      </c>
      <c r="G1610" s="99" t="s">
        <v>84</v>
      </c>
      <c r="H1610" s="28">
        <f t="array" ref="H1610">INDEX(CC!C:C,MATCH(1,(CC!A:A=G1610)*(CC!B:B=I1610),0))</f>
        <v>1002</v>
      </c>
      <c r="I1610" s="28" t="s">
        <v>25</v>
      </c>
      <c r="J1610" s="31">
        <v>54.0</v>
      </c>
      <c r="K1610" s="28" t="str">
        <f>IFERROR(__xludf.DUMMYFUNCTION("IFERROR(
INDEX(
FILTER(
MAP(
reglas!$B$2:$B$240,
reglas!$C$2:$C$240,
reglas!$D$2:$D$240,
reglas!$E$2:$E$240,
LAMBDA(rEmisor,rPatron,rConcepto,rTipo,
IF(
AND(
OR(
UPPER(TRIM(rEmisor))=UPPER(TRIM(C1610)),
UPPER(TRIM(rEmisor))=""CUALQUIERA""
),
OR(
UPPER(TRI"&amp;"M(rTipo))=""SOLO EMISOR"",
AND(
UPPER(TRIM(rTipo))=""EXACTA"",
UPPER(TRIM(AG1610))=UPPER(TRIM(rPatron))
),
AND(
OR(
UPPER(TRIM(rTipo))=""CONTIENE"",
UPPER(TRIM(rTipo))=""COINCIDENCIA""
),
ISNUMBER(SEARCH(UPPER(TRIM(rPatron)),UPPER(TRIM(D1610))))
)
)
),
rC"&amp;"oncepto,
""""
)
)
),
MAP(
reglas!$B$2:$B$240,
reglas!$C$2:$C$240,
reglas!$D$2:$D$240,
reglas!$E$2:$E$240,
LAMBDA(rEmisor,rPatron,rConcepto,rTipo,
IF(
AND(
OR(
UPPER(TRIM(rEmisor))=UPPER(TRIM(C1610)),
UPPER(TRIM(rEmisor))=""CUALQUIERA""
),
OR(
UPPER(TRIM(r"&amp;"Tipo))=""SOLO EMISOR"",
AND(
UPPER(TRIM(rTipo))=""EXACTA"",
UPPER(TRIM(D1610))=UPPER(TRIM(rPatron))
),
AND(
OR(
UPPER(TRIM(rTipo))=""CONTIENE"",
UPPER(TRIM(rTipo))=""COINCIDENCIA""
),
ISNUMBER(SEARCH(UPPER(TRIM(rPatron)),UPPER(TRIM(D1610))))
)
)
),
rConce"&amp;"pto,
""""
)
)
)&lt;&gt;""""
),
1
),
""""
)"),"PAPELERIA")</f>
        <v>PAPELERIA</v>
      </c>
      <c r="L1610" s="27"/>
      <c r="M1610" s="27"/>
      <c r="N1610" s="27"/>
      <c r="O1610" s="27"/>
      <c r="P1610" s="27"/>
      <c r="Q1610" s="27"/>
      <c r="R1610" s="27"/>
      <c r="S1610" s="27"/>
      <c r="T1610" s="27"/>
      <c r="U1610" s="27"/>
      <c r="V1610" s="27"/>
      <c r="W1610" s="27"/>
      <c r="X1610" s="27"/>
      <c r="Y1610" s="27"/>
    </row>
    <row r="1611">
      <c r="A1611" s="32"/>
      <c r="B1611" s="32"/>
      <c r="C1611" s="29" t="s">
        <v>236</v>
      </c>
      <c r="D1611" s="29" t="s">
        <v>1940</v>
      </c>
      <c r="E1611" s="30">
        <v>1173.2</v>
      </c>
      <c r="F1611" s="28">
        <v>0.0</v>
      </c>
      <c r="G1611" s="99" t="s">
        <v>84</v>
      </c>
      <c r="H1611" s="28">
        <f t="array" ref="H1611">INDEX(CC!C:C,MATCH(1,(CC!A:A=G1611)*(CC!B:B=I1611),0))</f>
        <v>1002</v>
      </c>
      <c r="I1611" s="28" t="s">
        <v>25</v>
      </c>
      <c r="J1611" s="31">
        <v>1173.2</v>
      </c>
      <c r="K1611" s="28" t="str">
        <f>IFERROR(__xludf.DUMMYFUNCTION("IFERROR(
INDEX(
FILTER(
MAP(
reglas!$B$2:$B$240,
reglas!$C$2:$C$240,
reglas!$D$2:$D$240,
reglas!$E$2:$E$240,
LAMBDA(rEmisor,rPatron,rConcepto,rTipo,
IF(
AND(
OR(
UPPER(TRIM(rEmisor))=UPPER(TRIM(C1611)),
UPPER(TRIM(rEmisor))=""CUALQUIERA""
),
OR(
UPPER(TRI"&amp;"M(rTipo))=""SOLO EMISOR"",
AND(
UPPER(TRIM(rTipo))=""EXACTA"",
UPPER(TRIM(AG1611))=UPPER(TRIM(rPatron))
),
AND(
OR(
UPPER(TRIM(rTipo))=""CONTIENE"",
UPPER(TRIM(rTipo))=""COINCIDENCIA""
),
ISNUMBER(SEARCH(UPPER(TRIM(rPatron)),UPPER(TRIM(D1611))))
)
)
),
rC"&amp;"oncepto,
""""
)
)
),
MAP(
reglas!$B$2:$B$240,
reglas!$C$2:$C$240,
reglas!$D$2:$D$240,
reglas!$E$2:$E$240,
LAMBDA(rEmisor,rPatron,rConcepto,rTipo,
IF(
AND(
OR(
UPPER(TRIM(rEmisor))=UPPER(TRIM(C1611)),
UPPER(TRIM(rEmisor))=""CUALQUIERA""
),
OR(
UPPER(TRIM(r"&amp;"Tipo))=""SOLO EMISOR"",
AND(
UPPER(TRIM(rTipo))=""EXACTA"",
UPPER(TRIM(D1611))=UPPER(TRIM(rPatron))
),
AND(
OR(
UPPER(TRIM(rTipo))=""CONTIENE"",
UPPER(TRIM(rTipo))=""COINCIDENCIA""
),
ISNUMBER(SEARCH(UPPER(TRIM(rPatron)),UPPER(TRIM(D1611))))
)
)
),
rConce"&amp;"pto,
""""
)
)
)&lt;&gt;""""
),
1
),
""""
)"),"PAPELERIA")</f>
        <v>PAPELERIA</v>
      </c>
      <c r="L1611" s="27"/>
      <c r="M1611" s="27"/>
      <c r="N1611" s="27"/>
      <c r="O1611" s="27"/>
      <c r="P1611" s="27"/>
      <c r="Q1611" s="27"/>
      <c r="R1611" s="27"/>
      <c r="S1611" s="27"/>
      <c r="T1611" s="27"/>
      <c r="U1611" s="27"/>
      <c r="V1611" s="27"/>
      <c r="W1611" s="27"/>
      <c r="X1611" s="27"/>
      <c r="Y1611" s="27"/>
    </row>
    <row r="1612">
      <c r="A1612" s="32"/>
      <c r="B1612" s="32"/>
      <c r="C1612" s="29" t="s">
        <v>236</v>
      </c>
      <c r="D1612" s="29" t="s">
        <v>1816</v>
      </c>
      <c r="E1612" s="28">
        <v>18.0</v>
      </c>
      <c r="F1612" s="28">
        <v>0.0</v>
      </c>
      <c r="G1612" s="99" t="s">
        <v>84</v>
      </c>
      <c r="H1612" s="28">
        <f t="array" ref="H1612">INDEX(CC!C:C,MATCH(1,(CC!A:A=G1612)*(CC!B:B=I1612),0))</f>
        <v>1002</v>
      </c>
      <c r="I1612" s="28" t="s">
        <v>25</v>
      </c>
      <c r="J1612" s="31">
        <v>18.0</v>
      </c>
      <c r="K1612" s="28" t="str">
        <f>IFERROR(__xludf.DUMMYFUNCTION("IFERROR(
INDEX(
FILTER(
MAP(
reglas!$B$2:$B$240,
reglas!$C$2:$C$240,
reglas!$D$2:$D$240,
reglas!$E$2:$E$240,
LAMBDA(rEmisor,rPatron,rConcepto,rTipo,
IF(
AND(
OR(
UPPER(TRIM(rEmisor))=UPPER(TRIM(C1612)),
UPPER(TRIM(rEmisor))=""CUALQUIERA""
),
OR(
UPPER(TRI"&amp;"M(rTipo))=""SOLO EMISOR"",
AND(
UPPER(TRIM(rTipo))=""EXACTA"",
UPPER(TRIM(AG1612))=UPPER(TRIM(rPatron))
),
AND(
OR(
UPPER(TRIM(rTipo))=""CONTIENE"",
UPPER(TRIM(rTipo))=""COINCIDENCIA""
),
ISNUMBER(SEARCH(UPPER(TRIM(rPatron)),UPPER(TRIM(D1612))))
)
)
),
rC"&amp;"oncepto,
""""
)
)
),
MAP(
reglas!$B$2:$B$240,
reglas!$C$2:$C$240,
reglas!$D$2:$D$240,
reglas!$E$2:$E$240,
LAMBDA(rEmisor,rPatron,rConcepto,rTipo,
IF(
AND(
OR(
UPPER(TRIM(rEmisor))=UPPER(TRIM(C1612)),
UPPER(TRIM(rEmisor))=""CUALQUIERA""
),
OR(
UPPER(TRIM(r"&amp;"Tipo))=""SOLO EMISOR"",
AND(
UPPER(TRIM(rTipo))=""EXACTA"",
UPPER(TRIM(D1612))=UPPER(TRIM(rPatron))
),
AND(
OR(
UPPER(TRIM(rTipo))=""CONTIENE"",
UPPER(TRIM(rTipo))=""COINCIDENCIA""
),
ISNUMBER(SEARCH(UPPER(TRIM(rPatron)),UPPER(TRIM(D1612))))
)
)
),
rConce"&amp;"pto,
""""
)
)
)&lt;&gt;""""
),
1
),
""""
)"),"PAPELERIA")</f>
        <v>PAPELERIA</v>
      </c>
      <c r="L1612" s="27"/>
      <c r="M1612" s="27"/>
      <c r="N1612" s="27"/>
      <c r="O1612" s="27"/>
      <c r="P1612" s="27"/>
      <c r="Q1612" s="27"/>
      <c r="R1612" s="27"/>
      <c r="S1612" s="27"/>
      <c r="T1612" s="27"/>
      <c r="U1612" s="27"/>
      <c r="V1612" s="27"/>
      <c r="W1612" s="27"/>
      <c r="X1612" s="27"/>
      <c r="Y1612" s="27"/>
    </row>
    <row r="1613">
      <c r="A1613" s="32"/>
      <c r="B1613" s="32"/>
      <c r="C1613" s="29" t="s">
        <v>236</v>
      </c>
      <c r="D1613" s="29" t="s">
        <v>1781</v>
      </c>
      <c r="E1613" s="28">
        <v>98.0</v>
      </c>
      <c r="F1613" s="28">
        <v>0.0</v>
      </c>
      <c r="G1613" s="99" t="s">
        <v>84</v>
      </c>
      <c r="H1613" s="28">
        <f t="array" ref="H1613">INDEX(CC!C:C,MATCH(1,(CC!A:A=G1613)*(CC!B:B=I1613),0))</f>
        <v>1002</v>
      </c>
      <c r="I1613" s="28" t="s">
        <v>25</v>
      </c>
      <c r="J1613" s="31">
        <v>98.0</v>
      </c>
      <c r="K1613" s="28" t="str">
        <f>IFERROR(__xludf.DUMMYFUNCTION("IFERROR(
INDEX(
FILTER(
MAP(
reglas!$B$2:$B$240,
reglas!$C$2:$C$240,
reglas!$D$2:$D$240,
reglas!$E$2:$E$240,
LAMBDA(rEmisor,rPatron,rConcepto,rTipo,
IF(
AND(
OR(
UPPER(TRIM(rEmisor))=UPPER(TRIM(C1613)),
UPPER(TRIM(rEmisor))=""CUALQUIERA""
),
OR(
UPPER(TRI"&amp;"M(rTipo))=""SOLO EMISOR"",
AND(
UPPER(TRIM(rTipo))=""EXACTA"",
UPPER(TRIM(AG1613))=UPPER(TRIM(rPatron))
),
AND(
OR(
UPPER(TRIM(rTipo))=""CONTIENE"",
UPPER(TRIM(rTipo))=""COINCIDENCIA""
),
ISNUMBER(SEARCH(UPPER(TRIM(rPatron)),UPPER(TRIM(D1613))))
)
)
),
rC"&amp;"oncepto,
""""
)
)
),
MAP(
reglas!$B$2:$B$240,
reglas!$C$2:$C$240,
reglas!$D$2:$D$240,
reglas!$E$2:$E$240,
LAMBDA(rEmisor,rPatron,rConcepto,rTipo,
IF(
AND(
OR(
UPPER(TRIM(rEmisor))=UPPER(TRIM(C1613)),
UPPER(TRIM(rEmisor))=""CUALQUIERA""
),
OR(
UPPER(TRIM(r"&amp;"Tipo))=""SOLO EMISOR"",
AND(
UPPER(TRIM(rTipo))=""EXACTA"",
UPPER(TRIM(D1613))=UPPER(TRIM(rPatron))
),
AND(
OR(
UPPER(TRIM(rTipo))=""CONTIENE"",
UPPER(TRIM(rTipo))=""COINCIDENCIA""
),
ISNUMBER(SEARCH(UPPER(TRIM(rPatron)),UPPER(TRIM(D1613))))
)
)
),
rConce"&amp;"pto,
""""
)
)
)&lt;&gt;""""
),
1
),
""""
)"),"PAPELERIA")</f>
        <v>PAPELERIA</v>
      </c>
      <c r="L1613" s="27"/>
      <c r="M1613" s="27"/>
      <c r="N1613" s="27"/>
      <c r="O1613" s="27"/>
      <c r="P1613" s="27"/>
      <c r="Q1613" s="27"/>
      <c r="R1613" s="27"/>
      <c r="S1613" s="27"/>
      <c r="T1613" s="27"/>
      <c r="U1613" s="27"/>
      <c r="V1613" s="27"/>
      <c r="W1613" s="27"/>
      <c r="X1613" s="27"/>
      <c r="Y1613" s="27"/>
    </row>
    <row r="1614">
      <c r="A1614" s="32"/>
      <c r="B1614" s="32"/>
      <c r="C1614" s="29" t="s">
        <v>236</v>
      </c>
      <c r="D1614" s="29" t="s">
        <v>1941</v>
      </c>
      <c r="E1614" s="28">
        <v>105.0</v>
      </c>
      <c r="F1614" s="28">
        <v>0.0</v>
      </c>
      <c r="G1614" s="99" t="s">
        <v>84</v>
      </c>
      <c r="H1614" s="28">
        <f t="array" ref="H1614">INDEX(CC!C:C,MATCH(1,(CC!A:A=G1614)*(CC!B:B=I1614),0))</f>
        <v>1002</v>
      </c>
      <c r="I1614" s="28" t="s">
        <v>25</v>
      </c>
      <c r="J1614" s="31">
        <v>105.0</v>
      </c>
      <c r="K1614" s="28" t="str">
        <f>IFERROR(__xludf.DUMMYFUNCTION("IFERROR(
INDEX(
FILTER(
MAP(
reglas!$B$2:$B$240,
reglas!$C$2:$C$240,
reglas!$D$2:$D$240,
reglas!$E$2:$E$240,
LAMBDA(rEmisor,rPatron,rConcepto,rTipo,
IF(
AND(
OR(
UPPER(TRIM(rEmisor))=UPPER(TRIM(C1614)),
UPPER(TRIM(rEmisor))=""CUALQUIERA""
),
OR(
UPPER(TRI"&amp;"M(rTipo))=""SOLO EMISOR"",
AND(
UPPER(TRIM(rTipo))=""EXACTA"",
UPPER(TRIM(AG1614))=UPPER(TRIM(rPatron))
),
AND(
OR(
UPPER(TRIM(rTipo))=""CONTIENE"",
UPPER(TRIM(rTipo))=""COINCIDENCIA""
),
ISNUMBER(SEARCH(UPPER(TRIM(rPatron)),UPPER(TRIM(D1614))))
)
)
),
rC"&amp;"oncepto,
""""
)
)
),
MAP(
reglas!$B$2:$B$240,
reglas!$C$2:$C$240,
reglas!$D$2:$D$240,
reglas!$E$2:$E$240,
LAMBDA(rEmisor,rPatron,rConcepto,rTipo,
IF(
AND(
OR(
UPPER(TRIM(rEmisor))=UPPER(TRIM(C1614)),
UPPER(TRIM(rEmisor))=""CUALQUIERA""
),
OR(
UPPER(TRIM(r"&amp;"Tipo))=""SOLO EMISOR"",
AND(
UPPER(TRIM(rTipo))=""EXACTA"",
UPPER(TRIM(D1614))=UPPER(TRIM(rPatron))
),
AND(
OR(
UPPER(TRIM(rTipo))=""CONTIENE"",
UPPER(TRIM(rTipo))=""COINCIDENCIA""
),
ISNUMBER(SEARCH(UPPER(TRIM(rPatron)),UPPER(TRIM(D1614))))
)
)
),
rConce"&amp;"pto,
""""
)
)
)&lt;&gt;""""
),
1
),
""""
)"),"PAPELERIA")</f>
        <v>PAPELERIA</v>
      </c>
      <c r="L1614" s="27"/>
      <c r="M1614" s="27"/>
      <c r="N1614" s="27"/>
      <c r="O1614" s="27"/>
      <c r="P1614" s="27"/>
      <c r="Q1614" s="27"/>
      <c r="R1614" s="27"/>
      <c r="S1614" s="27"/>
      <c r="T1614" s="27"/>
      <c r="U1614" s="27"/>
      <c r="V1614" s="27"/>
      <c r="W1614" s="27"/>
      <c r="X1614" s="27"/>
      <c r="Y1614" s="27"/>
    </row>
    <row r="1615">
      <c r="A1615" s="32"/>
      <c r="B1615" s="32"/>
      <c r="C1615" s="29" t="s">
        <v>236</v>
      </c>
      <c r="D1615" s="29" t="s">
        <v>1919</v>
      </c>
      <c r="E1615" s="28">
        <v>387.0</v>
      </c>
      <c r="F1615" s="28">
        <v>0.0</v>
      </c>
      <c r="G1615" s="99" t="s">
        <v>84</v>
      </c>
      <c r="H1615" s="28">
        <f t="array" ref="H1615">INDEX(CC!C:C,MATCH(1,(CC!A:A=G1615)*(CC!B:B=I1615),0))</f>
        <v>1002</v>
      </c>
      <c r="I1615" s="28" t="s">
        <v>25</v>
      </c>
      <c r="J1615" s="31">
        <v>387.0</v>
      </c>
      <c r="K1615" s="28" t="str">
        <f>IFERROR(__xludf.DUMMYFUNCTION("IFERROR(
INDEX(
FILTER(
MAP(
reglas!$B$2:$B$240,
reglas!$C$2:$C$240,
reglas!$D$2:$D$240,
reglas!$E$2:$E$240,
LAMBDA(rEmisor,rPatron,rConcepto,rTipo,
IF(
AND(
OR(
UPPER(TRIM(rEmisor))=UPPER(TRIM(C1615)),
UPPER(TRIM(rEmisor))=""CUALQUIERA""
),
OR(
UPPER(TRI"&amp;"M(rTipo))=""SOLO EMISOR"",
AND(
UPPER(TRIM(rTipo))=""EXACTA"",
UPPER(TRIM(AG1615))=UPPER(TRIM(rPatron))
),
AND(
OR(
UPPER(TRIM(rTipo))=""CONTIENE"",
UPPER(TRIM(rTipo))=""COINCIDENCIA""
),
ISNUMBER(SEARCH(UPPER(TRIM(rPatron)),UPPER(TRIM(D1615))))
)
)
),
rC"&amp;"oncepto,
""""
)
)
),
MAP(
reglas!$B$2:$B$240,
reglas!$C$2:$C$240,
reglas!$D$2:$D$240,
reglas!$E$2:$E$240,
LAMBDA(rEmisor,rPatron,rConcepto,rTipo,
IF(
AND(
OR(
UPPER(TRIM(rEmisor))=UPPER(TRIM(C1615)),
UPPER(TRIM(rEmisor))=""CUALQUIERA""
),
OR(
UPPER(TRIM(r"&amp;"Tipo))=""SOLO EMISOR"",
AND(
UPPER(TRIM(rTipo))=""EXACTA"",
UPPER(TRIM(D1615))=UPPER(TRIM(rPatron))
),
AND(
OR(
UPPER(TRIM(rTipo))=""CONTIENE"",
UPPER(TRIM(rTipo))=""COINCIDENCIA""
),
ISNUMBER(SEARCH(UPPER(TRIM(rPatron)),UPPER(TRIM(D1615))))
)
)
),
rConce"&amp;"pto,
""""
)
)
)&lt;&gt;""""
),
1
),
""""
)"),"PAPELERIA")</f>
        <v>PAPELERIA</v>
      </c>
      <c r="L1615" s="27"/>
      <c r="M1615" s="27"/>
      <c r="N1615" s="27"/>
      <c r="O1615" s="27"/>
      <c r="P1615" s="27"/>
      <c r="Q1615" s="27"/>
      <c r="R1615" s="27"/>
      <c r="S1615" s="27"/>
      <c r="T1615" s="27"/>
      <c r="U1615" s="27"/>
      <c r="V1615" s="27"/>
      <c r="W1615" s="27"/>
      <c r="X1615" s="27"/>
      <c r="Y1615" s="27"/>
    </row>
    <row r="1616">
      <c r="A1616" s="32"/>
      <c r="B1616" s="32"/>
      <c r="C1616" s="29" t="s">
        <v>236</v>
      </c>
      <c r="D1616" s="29" t="s">
        <v>1808</v>
      </c>
      <c r="E1616" s="28">
        <v>54.0</v>
      </c>
      <c r="F1616" s="28">
        <v>0.0</v>
      </c>
      <c r="G1616" s="99" t="s">
        <v>84</v>
      </c>
      <c r="H1616" s="28">
        <f t="array" ref="H1616">INDEX(CC!C:C,MATCH(1,(CC!A:A=G1616)*(CC!B:B=I1616),0))</f>
        <v>1002</v>
      </c>
      <c r="I1616" s="28" t="s">
        <v>25</v>
      </c>
      <c r="J1616" s="31">
        <v>54.0</v>
      </c>
      <c r="K1616" s="28" t="str">
        <f>IFERROR(__xludf.DUMMYFUNCTION("IFERROR(
INDEX(
FILTER(
MAP(
reglas!$B$2:$B$240,
reglas!$C$2:$C$240,
reglas!$D$2:$D$240,
reglas!$E$2:$E$240,
LAMBDA(rEmisor,rPatron,rConcepto,rTipo,
IF(
AND(
OR(
UPPER(TRIM(rEmisor))=UPPER(TRIM(C1616)),
UPPER(TRIM(rEmisor))=""CUALQUIERA""
),
OR(
UPPER(TRI"&amp;"M(rTipo))=""SOLO EMISOR"",
AND(
UPPER(TRIM(rTipo))=""EXACTA"",
UPPER(TRIM(AG1616))=UPPER(TRIM(rPatron))
),
AND(
OR(
UPPER(TRIM(rTipo))=""CONTIENE"",
UPPER(TRIM(rTipo))=""COINCIDENCIA""
),
ISNUMBER(SEARCH(UPPER(TRIM(rPatron)),UPPER(TRIM(D1616))))
)
)
),
rC"&amp;"oncepto,
""""
)
)
),
MAP(
reglas!$B$2:$B$240,
reglas!$C$2:$C$240,
reglas!$D$2:$D$240,
reglas!$E$2:$E$240,
LAMBDA(rEmisor,rPatron,rConcepto,rTipo,
IF(
AND(
OR(
UPPER(TRIM(rEmisor))=UPPER(TRIM(C1616)),
UPPER(TRIM(rEmisor))=""CUALQUIERA""
),
OR(
UPPER(TRIM(r"&amp;"Tipo))=""SOLO EMISOR"",
AND(
UPPER(TRIM(rTipo))=""EXACTA"",
UPPER(TRIM(D1616))=UPPER(TRIM(rPatron))
),
AND(
OR(
UPPER(TRIM(rTipo))=""CONTIENE"",
UPPER(TRIM(rTipo))=""COINCIDENCIA""
),
ISNUMBER(SEARCH(UPPER(TRIM(rPatron)),UPPER(TRIM(D1616))))
)
)
),
rConce"&amp;"pto,
""""
)
)
)&lt;&gt;""""
),
1
),
""""
)"),"PAPELERIA")</f>
        <v>PAPELERIA</v>
      </c>
      <c r="L1616" s="27"/>
      <c r="M1616" s="27"/>
      <c r="N1616" s="27"/>
      <c r="O1616" s="27"/>
      <c r="P1616" s="27"/>
      <c r="Q1616" s="27"/>
      <c r="R1616" s="27"/>
      <c r="S1616" s="27"/>
      <c r="T1616" s="27"/>
      <c r="U1616" s="27"/>
      <c r="V1616" s="27"/>
      <c r="W1616" s="27"/>
      <c r="X1616" s="27"/>
      <c r="Y1616" s="27"/>
    </row>
    <row r="1617">
      <c r="A1617" s="32"/>
      <c r="B1617" s="32"/>
      <c r="C1617" s="29" t="s">
        <v>236</v>
      </c>
      <c r="D1617" s="29" t="s">
        <v>1942</v>
      </c>
      <c r="E1617" s="28">
        <v>147.0</v>
      </c>
      <c r="F1617" s="28">
        <v>0.0</v>
      </c>
      <c r="G1617" s="99" t="s">
        <v>84</v>
      </c>
      <c r="H1617" s="28">
        <f t="array" ref="H1617">INDEX(CC!C:C,MATCH(1,(CC!A:A=G1617)*(CC!B:B=I1617),0))</f>
        <v>1002</v>
      </c>
      <c r="I1617" s="28" t="s">
        <v>25</v>
      </c>
      <c r="J1617" s="31">
        <v>147.0</v>
      </c>
      <c r="K1617" s="28" t="str">
        <f>IFERROR(__xludf.DUMMYFUNCTION("IFERROR(
INDEX(
FILTER(
MAP(
reglas!$B$2:$B$240,
reglas!$C$2:$C$240,
reglas!$D$2:$D$240,
reglas!$E$2:$E$240,
LAMBDA(rEmisor,rPatron,rConcepto,rTipo,
IF(
AND(
OR(
UPPER(TRIM(rEmisor))=UPPER(TRIM(C1617)),
UPPER(TRIM(rEmisor))=""CUALQUIERA""
),
OR(
UPPER(TRI"&amp;"M(rTipo))=""SOLO EMISOR"",
AND(
UPPER(TRIM(rTipo))=""EXACTA"",
UPPER(TRIM(AG1617))=UPPER(TRIM(rPatron))
),
AND(
OR(
UPPER(TRIM(rTipo))=""CONTIENE"",
UPPER(TRIM(rTipo))=""COINCIDENCIA""
),
ISNUMBER(SEARCH(UPPER(TRIM(rPatron)),UPPER(TRIM(D1617))))
)
)
),
rC"&amp;"oncepto,
""""
)
)
),
MAP(
reglas!$B$2:$B$240,
reglas!$C$2:$C$240,
reglas!$D$2:$D$240,
reglas!$E$2:$E$240,
LAMBDA(rEmisor,rPatron,rConcepto,rTipo,
IF(
AND(
OR(
UPPER(TRIM(rEmisor))=UPPER(TRIM(C1617)),
UPPER(TRIM(rEmisor))=""CUALQUIERA""
),
OR(
UPPER(TRIM(r"&amp;"Tipo))=""SOLO EMISOR"",
AND(
UPPER(TRIM(rTipo))=""EXACTA"",
UPPER(TRIM(D1617))=UPPER(TRIM(rPatron))
),
AND(
OR(
UPPER(TRIM(rTipo))=""CONTIENE"",
UPPER(TRIM(rTipo))=""COINCIDENCIA""
),
ISNUMBER(SEARCH(UPPER(TRIM(rPatron)),UPPER(TRIM(D1617))))
)
)
),
rConce"&amp;"pto,
""""
)
)
)&lt;&gt;""""
),
1
),
""""
)"),"PAPELERIA")</f>
        <v>PAPELERIA</v>
      </c>
      <c r="L1617" s="27"/>
      <c r="M1617" s="27"/>
      <c r="N1617" s="27"/>
      <c r="O1617" s="27"/>
      <c r="P1617" s="27"/>
      <c r="Q1617" s="27"/>
      <c r="R1617" s="27"/>
      <c r="S1617" s="27"/>
      <c r="T1617" s="27"/>
      <c r="U1617" s="27"/>
      <c r="V1617" s="27"/>
      <c r="W1617" s="27"/>
      <c r="X1617" s="27"/>
      <c r="Y1617" s="27"/>
    </row>
    <row r="1618">
      <c r="A1618" s="32"/>
      <c r="B1618" s="32"/>
      <c r="C1618" s="29" t="s">
        <v>236</v>
      </c>
      <c r="D1618" s="29" t="s">
        <v>1943</v>
      </c>
      <c r="E1618" s="28">
        <v>60.0</v>
      </c>
      <c r="F1618" s="28">
        <v>0.0</v>
      </c>
      <c r="G1618" s="99" t="s">
        <v>84</v>
      </c>
      <c r="H1618" s="28">
        <f t="array" ref="H1618">INDEX(CC!C:C,MATCH(1,(CC!A:A=G1618)*(CC!B:B=I1618),0))</f>
        <v>1002</v>
      </c>
      <c r="I1618" s="28" t="s">
        <v>25</v>
      </c>
      <c r="J1618" s="31">
        <v>60.0</v>
      </c>
      <c r="K1618" s="28" t="str">
        <f>IFERROR(__xludf.DUMMYFUNCTION("IFERROR(
INDEX(
FILTER(
MAP(
reglas!$B$2:$B$240,
reglas!$C$2:$C$240,
reglas!$D$2:$D$240,
reglas!$E$2:$E$240,
LAMBDA(rEmisor,rPatron,rConcepto,rTipo,
IF(
AND(
OR(
UPPER(TRIM(rEmisor))=UPPER(TRIM(C1618)),
UPPER(TRIM(rEmisor))=""CUALQUIERA""
),
OR(
UPPER(TRI"&amp;"M(rTipo))=""SOLO EMISOR"",
AND(
UPPER(TRIM(rTipo))=""EXACTA"",
UPPER(TRIM(AG1618))=UPPER(TRIM(rPatron))
),
AND(
OR(
UPPER(TRIM(rTipo))=""CONTIENE"",
UPPER(TRIM(rTipo))=""COINCIDENCIA""
),
ISNUMBER(SEARCH(UPPER(TRIM(rPatron)),UPPER(TRIM(D1618))))
)
)
),
rC"&amp;"oncepto,
""""
)
)
),
MAP(
reglas!$B$2:$B$240,
reglas!$C$2:$C$240,
reglas!$D$2:$D$240,
reglas!$E$2:$E$240,
LAMBDA(rEmisor,rPatron,rConcepto,rTipo,
IF(
AND(
OR(
UPPER(TRIM(rEmisor))=UPPER(TRIM(C1618)),
UPPER(TRIM(rEmisor))=""CUALQUIERA""
),
OR(
UPPER(TRIM(r"&amp;"Tipo))=""SOLO EMISOR"",
AND(
UPPER(TRIM(rTipo))=""EXACTA"",
UPPER(TRIM(D1618))=UPPER(TRIM(rPatron))
),
AND(
OR(
UPPER(TRIM(rTipo))=""CONTIENE"",
UPPER(TRIM(rTipo))=""COINCIDENCIA""
),
ISNUMBER(SEARCH(UPPER(TRIM(rPatron)),UPPER(TRIM(D1618))))
)
)
),
rConce"&amp;"pto,
""""
)
)
)&lt;&gt;""""
),
1
),
""""
)"),"PAPELERIA")</f>
        <v>PAPELERIA</v>
      </c>
      <c r="L1618" s="27"/>
      <c r="M1618" s="27"/>
      <c r="N1618" s="27"/>
      <c r="O1618" s="27"/>
      <c r="P1618" s="27"/>
      <c r="Q1618" s="27"/>
      <c r="R1618" s="27"/>
      <c r="S1618" s="27"/>
      <c r="T1618" s="27"/>
      <c r="U1618" s="27"/>
      <c r="V1618" s="27"/>
      <c r="W1618" s="27"/>
      <c r="X1618" s="27"/>
      <c r="Y1618" s="27"/>
    </row>
    <row r="1619">
      <c r="A1619" s="32"/>
      <c r="B1619" s="32"/>
      <c r="C1619" s="29" t="s">
        <v>236</v>
      </c>
      <c r="D1619" s="29" t="s">
        <v>1944</v>
      </c>
      <c r="E1619" s="28">
        <v>85.0</v>
      </c>
      <c r="F1619" s="28">
        <v>0.0</v>
      </c>
      <c r="G1619" s="99" t="s">
        <v>84</v>
      </c>
      <c r="H1619" s="28">
        <f t="array" ref="H1619">INDEX(CC!C:C,MATCH(1,(CC!A:A=G1619)*(CC!B:B=I1619),0))</f>
        <v>1002</v>
      </c>
      <c r="I1619" s="28" t="s">
        <v>25</v>
      </c>
      <c r="J1619" s="31">
        <v>85.0</v>
      </c>
      <c r="K1619" s="28" t="str">
        <f>IFERROR(__xludf.DUMMYFUNCTION("IFERROR(
INDEX(
FILTER(
MAP(
reglas!$B$2:$B$240,
reglas!$C$2:$C$240,
reglas!$D$2:$D$240,
reglas!$E$2:$E$240,
LAMBDA(rEmisor,rPatron,rConcepto,rTipo,
IF(
AND(
OR(
UPPER(TRIM(rEmisor))=UPPER(TRIM(C1619)),
UPPER(TRIM(rEmisor))=""CUALQUIERA""
),
OR(
UPPER(TRI"&amp;"M(rTipo))=""SOLO EMISOR"",
AND(
UPPER(TRIM(rTipo))=""EXACTA"",
UPPER(TRIM(AG1619))=UPPER(TRIM(rPatron))
),
AND(
OR(
UPPER(TRIM(rTipo))=""CONTIENE"",
UPPER(TRIM(rTipo))=""COINCIDENCIA""
),
ISNUMBER(SEARCH(UPPER(TRIM(rPatron)),UPPER(TRIM(D1619))))
)
)
),
rC"&amp;"oncepto,
""""
)
)
),
MAP(
reglas!$B$2:$B$240,
reglas!$C$2:$C$240,
reglas!$D$2:$D$240,
reglas!$E$2:$E$240,
LAMBDA(rEmisor,rPatron,rConcepto,rTipo,
IF(
AND(
OR(
UPPER(TRIM(rEmisor))=UPPER(TRIM(C1619)),
UPPER(TRIM(rEmisor))=""CUALQUIERA""
),
OR(
UPPER(TRIM(r"&amp;"Tipo))=""SOLO EMISOR"",
AND(
UPPER(TRIM(rTipo))=""EXACTA"",
UPPER(TRIM(D1619))=UPPER(TRIM(rPatron))
),
AND(
OR(
UPPER(TRIM(rTipo))=""CONTIENE"",
UPPER(TRIM(rTipo))=""COINCIDENCIA""
),
ISNUMBER(SEARCH(UPPER(TRIM(rPatron)),UPPER(TRIM(D1619))))
)
)
),
rConce"&amp;"pto,
""""
)
)
)&lt;&gt;""""
),
1
),
""""
)"),"PAPELERIA")</f>
        <v>PAPELERIA</v>
      </c>
      <c r="L1619" s="27"/>
      <c r="M1619" s="27"/>
      <c r="N1619" s="27"/>
      <c r="O1619" s="27"/>
      <c r="P1619" s="27"/>
      <c r="Q1619" s="27"/>
      <c r="R1619" s="27"/>
      <c r="S1619" s="27"/>
      <c r="T1619" s="27"/>
      <c r="U1619" s="27"/>
      <c r="V1619" s="27"/>
      <c r="W1619" s="27"/>
      <c r="X1619" s="27"/>
      <c r="Y1619" s="27"/>
    </row>
    <row r="1620">
      <c r="A1620" s="32"/>
      <c r="B1620" s="32"/>
      <c r="C1620" s="29" t="s">
        <v>236</v>
      </c>
      <c r="D1620" s="29" t="s">
        <v>1804</v>
      </c>
      <c r="E1620" s="28">
        <v>240.0</v>
      </c>
      <c r="F1620" s="28">
        <v>0.0</v>
      </c>
      <c r="G1620" s="99" t="s">
        <v>84</v>
      </c>
      <c r="H1620" s="28">
        <f t="array" ref="H1620">INDEX(CC!C:C,MATCH(1,(CC!A:A=G1620)*(CC!B:B=I1620),0))</f>
        <v>1002</v>
      </c>
      <c r="I1620" s="28" t="s">
        <v>25</v>
      </c>
      <c r="J1620" s="31">
        <v>240.0</v>
      </c>
      <c r="K1620" s="28" t="str">
        <f>IFERROR(__xludf.DUMMYFUNCTION("IFERROR(
INDEX(
FILTER(
MAP(
reglas!$B$2:$B$240,
reglas!$C$2:$C$240,
reglas!$D$2:$D$240,
reglas!$E$2:$E$240,
LAMBDA(rEmisor,rPatron,rConcepto,rTipo,
IF(
AND(
OR(
UPPER(TRIM(rEmisor))=UPPER(TRIM(C1620)),
UPPER(TRIM(rEmisor))=""CUALQUIERA""
),
OR(
UPPER(TRI"&amp;"M(rTipo))=""SOLO EMISOR"",
AND(
UPPER(TRIM(rTipo))=""EXACTA"",
UPPER(TRIM(AG1620))=UPPER(TRIM(rPatron))
),
AND(
OR(
UPPER(TRIM(rTipo))=""CONTIENE"",
UPPER(TRIM(rTipo))=""COINCIDENCIA""
),
ISNUMBER(SEARCH(UPPER(TRIM(rPatron)),UPPER(TRIM(D1620))))
)
)
),
rC"&amp;"oncepto,
""""
)
)
),
MAP(
reglas!$B$2:$B$240,
reglas!$C$2:$C$240,
reglas!$D$2:$D$240,
reglas!$E$2:$E$240,
LAMBDA(rEmisor,rPatron,rConcepto,rTipo,
IF(
AND(
OR(
UPPER(TRIM(rEmisor))=UPPER(TRIM(C1620)),
UPPER(TRIM(rEmisor))=""CUALQUIERA""
),
OR(
UPPER(TRIM(r"&amp;"Tipo))=""SOLO EMISOR"",
AND(
UPPER(TRIM(rTipo))=""EXACTA"",
UPPER(TRIM(D1620))=UPPER(TRIM(rPatron))
),
AND(
OR(
UPPER(TRIM(rTipo))=""CONTIENE"",
UPPER(TRIM(rTipo))=""COINCIDENCIA""
),
ISNUMBER(SEARCH(UPPER(TRIM(rPatron)),UPPER(TRIM(D1620))))
)
)
),
rConce"&amp;"pto,
""""
)
)
)&lt;&gt;""""
),
1
),
""""
)"),"PAPELERIA")</f>
        <v>PAPELERIA</v>
      </c>
      <c r="L1620" s="27"/>
      <c r="M1620" s="27"/>
      <c r="N1620" s="27"/>
      <c r="O1620" s="27"/>
      <c r="P1620" s="27"/>
      <c r="Q1620" s="27"/>
      <c r="R1620" s="27"/>
      <c r="S1620" s="27"/>
      <c r="T1620" s="27"/>
      <c r="U1620" s="27"/>
      <c r="V1620" s="27"/>
      <c r="W1620" s="27"/>
      <c r="X1620" s="27"/>
      <c r="Y1620" s="27"/>
    </row>
    <row r="1621">
      <c r="A1621" s="32"/>
      <c r="B1621" s="32"/>
      <c r="C1621" s="29" t="s">
        <v>236</v>
      </c>
      <c r="D1621" s="29" t="s">
        <v>1806</v>
      </c>
      <c r="E1621" s="28">
        <v>84.0</v>
      </c>
      <c r="F1621" s="28">
        <v>0.0</v>
      </c>
      <c r="G1621" s="99" t="s">
        <v>84</v>
      </c>
      <c r="H1621" s="28">
        <f t="array" ref="H1621">INDEX(CC!C:C,MATCH(1,(CC!A:A=G1621)*(CC!B:B=I1621),0))</f>
        <v>1002</v>
      </c>
      <c r="I1621" s="28" t="s">
        <v>25</v>
      </c>
      <c r="J1621" s="31">
        <v>84.0</v>
      </c>
      <c r="K1621" s="28" t="str">
        <f>IFERROR(__xludf.DUMMYFUNCTION("IFERROR(
INDEX(
FILTER(
MAP(
reglas!$B$2:$B$240,
reglas!$C$2:$C$240,
reglas!$D$2:$D$240,
reglas!$E$2:$E$240,
LAMBDA(rEmisor,rPatron,rConcepto,rTipo,
IF(
AND(
OR(
UPPER(TRIM(rEmisor))=UPPER(TRIM(C1621)),
UPPER(TRIM(rEmisor))=""CUALQUIERA""
),
OR(
UPPER(TRI"&amp;"M(rTipo))=""SOLO EMISOR"",
AND(
UPPER(TRIM(rTipo))=""EXACTA"",
UPPER(TRIM(AG1621))=UPPER(TRIM(rPatron))
),
AND(
OR(
UPPER(TRIM(rTipo))=""CONTIENE"",
UPPER(TRIM(rTipo))=""COINCIDENCIA""
),
ISNUMBER(SEARCH(UPPER(TRIM(rPatron)),UPPER(TRIM(D1621))))
)
)
),
rC"&amp;"oncepto,
""""
)
)
),
MAP(
reglas!$B$2:$B$240,
reglas!$C$2:$C$240,
reglas!$D$2:$D$240,
reglas!$E$2:$E$240,
LAMBDA(rEmisor,rPatron,rConcepto,rTipo,
IF(
AND(
OR(
UPPER(TRIM(rEmisor))=UPPER(TRIM(C1621)),
UPPER(TRIM(rEmisor))=""CUALQUIERA""
),
OR(
UPPER(TRIM(r"&amp;"Tipo))=""SOLO EMISOR"",
AND(
UPPER(TRIM(rTipo))=""EXACTA"",
UPPER(TRIM(D1621))=UPPER(TRIM(rPatron))
),
AND(
OR(
UPPER(TRIM(rTipo))=""CONTIENE"",
UPPER(TRIM(rTipo))=""COINCIDENCIA""
),
ISNUMBER(SEARCH(UPPER(TRIM(rPatron)),UPPER(TRIM(D1621))))
)
)
),
rConce"&amp;"pto,
""""
)
)
)&lt;&gt;""""
),
1
),
""""
)"),"PAPELERIA")</f>
        <v>PAPELERIA</v>
      </c>
      <c r="L1621" s="27"/>
      <c r="M1621" s="27"/>
      <c r="N1621" s="27"/>
      <c r="O1621" s="27"/>
      <c r="P1621" s="27"/>
      <c r="Q1621" s="27"/>
      <c r="R1621" s="27"/>
      <c r="S1621" s="27"/>
      <c r="T1621" s="27"/>
      <c r="U1621" s="27"/>
      <c r="V1621" s="27"/>
      <c r="W1621" s="27"/>
      <c r="X1621" s="27"/>
      <c r="Y1621" s="27"/>
    </row>
    <row r="1622">
      <c r="A1622" s="32"/>
      <c r="B1622" s="32"/>
      <c r="C1622" s="29" t="s">
        <v>236</v>
      </c>
      <c r="D1622" s="29" t="s">
        <v>1945</v>
      </c>
      <c r="E1622" s="28">
        <v>135.0</v>
      </c>
      <c r="F1622" s="28">
        <v>0.0</v>
      </c>
      <c r="G1622" s="99" t="s">
        <v>84</v>
      </c>
      <c r="H1622" s="28">
        <f t="array" ref="H1622">INDEX(CC!C:C,MATCH(1,(CC!A:A=G1622)*(CC!B:B=I1622),0))</f>
        <v>1002</v>
      </c>
      <c r="I1622" s="28" t="s">
        <v>25</v>
      </c>
      <c r="J1622" s="31">
        <v>135.0</v>
      </c>
      <c r="K1622" s="28" t="str">
        <f>IFERROR(__xludf.DUMMYFUNCTION("IFERROR(
INDEX(
FILTER(
MAP(
reglas!$B$2:$B$240,
reglas!$C$2:$C$240,
reglas!$D$2:$D$240,
reglas!$E$2:$E$240,
LAMBDA(rEmisor,rPatron,rConcepto,rTipo,
IF(
AND(
OR(
UPPER(TRIM(rEmisor))=UPPER(TRIM(C1622)),
UPPER(TRIM(rEmisor))=""CUALQUIERA""
),
OR(
UPPER(TRI"&amp;"M(rTipo))=""SOLO EMISOR"",
AND(
UPPER(TRIM(rTipo))=""EXACTA"",
UPPER(TRIM(AG1622))=UPPER(TRIM(rPatron))
),
AND(
OR(
UPPER(TRIM(rTipo))=""CONTIENE"",
UPPER(TRIM(rTipo))=""COINCIDENCIA""
),
ISNUMBER(SEARCH(UPPER(TRIM(rPatron)),UPPER(TRIM(D1622))))
)
)
),
rC"&amp;"oncepto,
""""
)
)
),
MAP(
reglas!$B$2:$B$240,
reglas!$C$2:$C$240,
reglas!$D$2:$D$240,
reglas!$E$2:$E$240,
LAMBDA(rEmisor,rPatron,rConcepto,rTipo,
IF(
AND(
OR(
UPPER(TRIM(rEmisor))=UPPER(TRIM(C1622)),
UPPER(TRIM(rEmisor))=""CUALQUIERA""
),
OR(
UPPER(TRIM(r"&amp;"Tipo))=""SOLO EMISOR"",
AND(
UPPER(TRIM(rTipo))=""EXACTA"",
UPPER(TRIM(D1622))=UPPER(TRIM(rPatron))
),
AND(
OR(
UPPER(TRIM(rTipo))=""CONTIENE"",
UPPER(TRIM(rTipo))=""COINCIDENCIA""
),
ISNUMBER(SEARCH(UPPER(TRIM(rPatron)),UPPER(TRIM(D1622))))
)
)
),
rConce"&amp;"pto,
""""
)
)
)&lt;&gt;""""
),
1
),
""""
)"),"PAPELERIA")</f>
        <v>PAPELERIA</v>
      </c>
      <c r="L1622" s="27"/>
      <c r="M1622" s="27"/>
      <c r="N1622" s="27"/>
      <c r="O1622" s="27"/>
      <c r="P1622" s="27"/>
      <c r="Q1622" s="27"/>
      <c r="R1622" s="27"/>
      <c r="S1622" s="27"/>
      <c r="T1622" s="27"/>
      <c r="U1622" s="27"/>
      <c r="V1622" s="27"/>
      <c r="W1622" s="27"/>
      <c r="X1622" s="27"/>
      <c r="Y1622" s="27"/>
    </row>
    <row r="1623">
      <c r="A1623" s="32"/>
      <c r="B1623" s="32"/>
      <c r="C1623" s="29" t="s">
        <v>236</v>
      </c>
      <c r="D1623" s="29" t="s">
        <v>1800</v>
      </c>
      <c r="E1623" s="28">
        <v>144.0</v>
      </c>
      <c r="F1623" s="28">
        <v>0.0</v>
      </c>
      <c r="G1623" s="99" t="s">
        <v>84</v>
      </c>
      <c r="H1623" s="28">
        <f t="array" ref="H1623">INDEX(CC!C:C,MATCH(1,(CC!A:A=G1623)*(CC!B:B=I1623),0))</f>
        <v>1002</v>
      </c>
      <c r="I1623" s="28" t="s">
        <v>25</v>
      </c>
      <c r="J1623" s="31">
        <v>144.0</v>
      </c>
      <c r="K1623" s="28" t="str">
        <f>IFERROR(__xludf.DUMMYFUNCTION("IFERROR(
INDEX(
FILTER(
MAP(
reglas!$B$2:$B$240,
reglas!$C$2:$C$240,
reglas!$D$2:$D$240,
reglas!$E$2:$E$240,
LAMBDA(rEmisor,rPatron,rConcepto,rTipo,
IF(
AND(
OR(
UPPER(TRIM(rEmisor))=UPPER(TRIM(C1623)),
UPPER(TRIM(rEmisor))=""CUALQUIERA""
),
OR(
UPPER(TRI"&amp;"M(rTipo))=""SOLO EMISOR"",
AND(
UPPER(TRIM(rTipo))=""EXACTA"",
UPPER(TRIM(AG1623))=UPPER(TRIM(rPatron))
),
AND(
OR(
UPPER(TRIM(rTipo))=""CONTIENE"",
UPPER(TRIM(rTipo))=""COINCIDENCIA""
),
ISNUMBER(SEARCH(UPPER(TRIM(rPatron)),UPPER(TRIM(D1623))))
)
)
),
rC"&amp;"oncepto,
""""
)
)
),
MAP(
reglas!$B$2:$B$240,
reglas!$C$2:$C$240,
reglas!$D$2:$D$240,
reglas!$E$2:$E$240,
LAMBDA(rEmisor,rPatron,rConcepto,rTipo,
IF(
AND(
OR(
UPPER(TRIM(rEmisor))=UPPER(TRIM(C1623)),
UPPER(TRIM(rEmisor))=""CUALQUIERA""
),
OR(
UPPER(TRIM(r"&amp;"Tipo))=""SOLO EMISOR"",
AND(
UPPER(TRIM(rTipo))=""EXACTA"",
UPPER(TRIM(D1623))=UPPER(TRIM(rPatron))
),
AND(
OR(
UPPER(TRIM(rTipo))=""CONTIENE"",
UPPER(TRIM(rTipo))=""COINCIDENCIA""
),
ISNUMBER(SEARCH(UPPER(TRIM(rPatron)),UPPER(TRIM(D1623))))
)
)
),
rConce"&amp;"pto,
""""
)
)
)&lt;&gt;""""
),
1
),
""""
)"),"PAPELERIA")</f>
        <v>PAPELERIA</v>
      </c>
      <c r="L1623" s="27"/>
      <c r="M1623" s="27"/>
      <c r="N1623" s="27"/>
      <c r="O1623" s="27"/>
      <c r="P1623" s="27"/>
      <c r="Q1623" s="27"/>
      <c r="R1623" s="27"/>
      <c r="S1623" s="27"/>
      <c r="T1623" s="27"/>
      <c r="U1623" s="27"/>
      <c r="V1623" s="27"/>
      <c r="W1623" s="27"/>
      <c r="X1623" s="27"/>
      <c r="Y1623" s="27"/>
    </row>
    <row r="1624">
      <c r="A1624" s="32"/>
      <c r="B1624" s="32"/>
      <c r="C1624" s="29" t="s">
        <v>236</v>
      </c>
      <c r="D1624" s="29" t="s">
        <v>1805</v>
      </c>
      <c r="E1624" s="28">
        <v>150.0</v>
      </c>
      <c r="F1624" s="28">
        <v>0.0</v>
      </c>
      <c r="G1624" s="99" t="s">
        <v>84</v>
      </c>
      <c r="H1624" s="28">
        <f t="array" ref="H1624">INDEX(CC!C:C,MATCH(1,(CC!A:A=G1624)*(CC!B:B=I1624),0))</f>
        <v>1002</v>
      </c>
      <c r="I1624" s="28" t="s">
        <v>25</v>
      </c>
      <c r="J1624" s="31">
        <v>150.0</v>
      </c>
      <c r="K1624" s="28" t="str">
        <f>IFERROR(__xludf.DUMMYFUNCTION("IFERROR(
INDEX(
FILTER(
MAP(
reglas!$B$2:$B$240,
reglas!$C$2:$C$240,
reglas!$D$2:$D$240,
reglas!$E$2:$E$240,
LAMBDA(rEmisor,rPatron,rConcepto,rTipo,
IF(
AND(
OR(
UPPER(TRIM(rEmisor))=UPPER(TRIM(C1624)),
UPPER(TRIM(rEmisor))=""CUALQUIERA""
),
OR(
UPPER(TRI"&amp;"M(rTipo))=""SOLO EMISOR"",
AND(
UPPER(TRIM(rTipo))=""EXACTA"",
UPPER(TRIM(AG1624))=UPPER(TRIM(rPatron))
),
AND(
OR(
UPPER(TRIM(rTipo))=""CONTIENE"",
UPPER(TRIM(rTipo))=""COINCIDENCIA""
),
ISNUMBER(SEARCH(UPPER(TRIM(rPatron)),UPPER(TRIM(D1624))))
)
)
),
rC"&amp;"oncepto,
""""
)
)
),
MAP(
reglas!$B$2:$B$240,
reglas!$C$2:$C$240,
reglas!$D$2:$D$240,
reglas!$E$2:$E$240,
LAMBDA(rEmisor,rPatron,rConcepto,rTipo,
IF(
AND(
OR(
UPPER(TRIM(rEmisor))=UPPER(TRIM(C1624)),
UPPER(TRIM(rEmisor))=""CUALQUIERA""
),
OR(
UPPER(TRIM(r"&amp;"Tipo))=""SOLO EMISOR"",
AND(
UPPER(TRIM(rTipo))=""EXACTA"",
UPPER(TRIM(D1624))=UPPER(TRIM(rPatron))
),
AND(
OR(
UPPER(TRIM(rTipo))=""CONTIENE"",
UPPER(TRIM(rTipo))=""COINCIDENCIA""
),
ISNUMBER(SEARCH(UPPER(TRIM(rPatron)),UPPER(TRIM(D1624))))
)
)
),
rConce"&amp;"pto,
""""
)
)
)&lt;&gt;""""
),
1
),
""""
)"),"PAPELERIA")</f>
        <v>PAPELERIA</v>
      </c>
      <c r="L1624" s="27"/>
      <c r="M1624" s="27"/>
      <c r="N1624" s="27"/>
      <c r="O1624" s="27"/>
      <c r="P1624" s="27"/>
      <c r="Q1624" s="27"/>
      <c r="R1624" s="27"/>
      <c r="S1624" s="27"/>
      <c r="T1624" s="27"/>
      <c r="U1624" s="27"/>
      <c r="V1624" s="27"/>
      <c r="W1624" s="27"/>
      <c r="X1624" s="27"/>
      <c r="Y1624" s="27"/>
    </row>
    <row r="1625">
      <c r="A1625" s="32"/>
      <c r="B1625" s="32"/>
      <c r="C1625" s="29" t="s">
        <v>236</v>
      </c>
      <c r="D1625" s="29" t="s">
        <v>1798</v>
      </c>
      <c r="E1625" s="28">
        <v>929.0</v>
      </c>
      <c r="F1625" s="28">
        <v>0.0</v>
      </c>
      <c r="G1625" s="99" t="s">
        <v>84</v>
      </c>
      <c r="H1625" s="28">
        <f t="array" ref="H1625">INDEX(CC!C:C,MATCH(1,(CC!A:A=G1625)*(CC!B:B=I1625),0))</f>
        <v>1002</v>
      </c>
      <c r="I1625" s="28" t="s">
        <v>25</v>
      </c>
      <c r="J1625" s="31">
        <v>929.0</v>
      </c>
      <c r="K1625" s="28" t="str">
        <f>IFERROR(__xludf.DUMMYFUNCTION("IFERROR(
INDEX(
FILTER(
MAP(
reglas!$B$2:$B$240,
reglas!$C$2:$C$240,
reglas!$D$2:$D$240,
reglas!$E$2:$E$240,
LAMBDA(rEmisor,rPatron,rConcepto,rTipo,
IF(
AND(
OR(
UPPER(TRIM(rEmisor))=UPPER(TRIM(C1625)),
UPPER(TRIM(rEmisor))=""CUALQUIERA""
),
OR(
UPPER(TRI"&amp;"M(rTipo))=""SOLO EMISOR"",
AND(
UPPER(TRIM(rTipo))=""EXACTA"",
UPPER(TRIM(AG1625))=UPPER(TRIM(rPatron))
),
AND(
OR(
UPPER(TRIM(rTipo))=""CONTIENE"",
UPPER(TRIM(rTipo))=""COINCIDENCIA""
),
ISNUMBER(SEARCH(UPPER(TRIM(rPatron)),UPPER(TRIM(D1625))))
)
)
),
rC"&amp;"oncepto,
""""
)
)
),
MAP(
reglas!$B$2:$B$240,
reglas!$C$2:$C$240,
reglas!$D$2:$D$240,
reglas!$E$2:$E$240,
LAMBDA(rEmisor,rPatron,rConcepto,rTipo,
IF(
AND(
OR(
UPPER(TRIM(rEmisor))=UPPER(TRIM(C1625)),
UPPER(TRIM(rEmisor))=""CUALQUIERA""
),
OR(
UPPER(TRIM(r"&amp;"Tipo))=""SOLO EMISOR"",
AND(
UPPER(TRIM(rTipo))=""EXACTA"",
UPPER(TRIM(D1625))=UPPER(TRIM(rPatron))
),
AND(
OR(
UPPER(TRIM(rTipo))=""CONTIENE"",
UPPER(TRIM(rTipo))=""COINCIDENCIA""
),
ISNUMBER(SEARCH(UPPER(TRIM(rPatron)),UPPER(TRIM(D1625))))
)
)
),
rConce"&amp;"pto,
""""
)
)
)&lt;&gt;""""
),
1
),
""""
)"),"PAPELERIA")</f>
        <v>PAPELERIA</v>
      </c>
      <c r="L1625" s="27"/>
      <c r="M1625" s="27"/>
      <c r="N1625" s="27"/>
      <c r="O1625" s="27"/>
      <c r="P1625" s="27"/>
      <c r="Q1625" s="27"/>
      <c r="R1625" s="27"/>
      <c r="S1625" s="27"/>
      <c r="T1625" s="27"/>
      <c r="U1625" s="27"/>
      <c r="V1625" s="27"/>
      <c r="W1625" s="27"/>
      <c r="X1625" s="27"/>
      <c r="Y1625" s="27"/>
    </row>
    <row r="1626">
      <c r="A1626" s="32"/>
      <c r="B1626" s="32"/>
      <c r="C1626" s="29" t="s">
        <v>236</v>
      </c>
      <c r="D1626" s="29" t="s">
        <v>1799</v>
      </c>
      <c r="E1626" s="28">
        <v>327.0</v>
      </c>
      <c r="F1626" s="28">
        <v>0.0</v>
      </c>
      <c r="G1626" s="99" t="s">
        <v>84</v>
      </c>
      <c r="H1626" s="28">
        <f t="array" ref="H1626">INDEX(CC!C:C,MATCH(1,(CC!A:A=G1626)*(CC!B:B=I1626),0))</f>
        <v>1002</v>
      </c>
      <c r="I1626" s="28" t="s">
        <v>25</v>
      </c>
      <c r="J1626" s="31">
        <v>327.0</v>
      </c>
      <c r="K1626" s="28" t="str">
        <f>IFERROR(__xludf.DUMMYFUNCTION("IFERROR(
INDEX(
FILTER(
MAP(
reglas!$B$2:$B$240,
reglas!$C$2:$C$240,
reglas!$D$2:$D$240,
reglas!$E$2:$E$240,
LAMBDA(rEmisor,rPatron,rConcepto,rTipo,
IF(
AND(
OR(
UPPER(TRIM(rEmisor))=UPPER(TRIM(C1626)),
UPPER(TRIM(rEmisor))=""CUALQUIERA""
),
OR(
UPPER(TRI"&amp;"M(rTipo))=""SOLO EMISOR"",
AND(
UPPER(TRIM(rTipo))=""EXACTA"",
UPPER(TRIM(AG1626))=UPPER(TRIM(rPatron))
),
AND(
OR(
UPPER(TRIM(rTipo))=""CONTIENE"",
UPPER(TRIM(rTipo))=""COINCIDENCIA""
),
ISNUMBER(SEARCH(UPPER(TRIM(rPatron)),UPPER(TRIM(D1626))))
)
)
),
rC"&amp;"oncepto,
""""
)
)
),
MAP(
reglas!$B$2:$B$240,
reglas!$C$2:$C$240,
reglas!$D$2:$D$240,
reglas!$E$2:$E$240,
LAMBDA(rEmisor,rPatron,rConcepto,rTipo,
IF(
AND(
OR(
UPPER(TRIM(rEmisor))=UPPER(TRIM(C1626)),
UPPER(TRIM(rEmisor))=""CUALQUIERA""
),
OR(
UPPER(TRIM(r"&amp;"Tipo))=""SOLO EMISOR"",
AND(
UPPER(TRIM(rTipo))=""EXACTA"",
UPPER(TRIM(D1626))=UPPER(TRIM(rPatron))
),
AND(
OR(
UPPER(TRIM(rTipo))=""CONTIENE"",
UPPER(TRIM(rTipo))=""COINCIDENCIA""
),
ISNUMBER(SEARCH(UPPER(TRIM(rPatron)),UPPER(TRIM(D1626))))
)
)
),
rConce"&amp;"pto,
""""
)
)
)&lt;&gt;""""
),
1
),
""""
)"),"PAPELERIA")</f>
        <v>PAPELERIA</v>
      </c>
      <c r="L1626" s="27"/>
      <c r="M1626" s="27"/>
      <c r="N1626" s="27"/>
      <c r="O1626" s="27"/>
      <c r="P1626" s="27"/>
      <c r="Q1626" s="27"/>
      <c r="R1626" s="27"/>
      <c r="S1626" s="27"/>
      <c r="T1626" s="27"/>
      <c r="U1626" s="27"/>
      <c r="V1626" s="27"/>
      <c r="W1626" s="27"/>
      <c r="X1626" s="27"/>
      <c r="Y1626" s="27"/>
    </row>
    <row r="1627">
      <c r="A1627" s="32"/>
      <c r="B1627" s="32"/>
      <c r="C1627" s="29" t="s">
        <v>236</v>
      </c>
      <c r="D1627" s="29" t="s">
        <v>1946</v>
      </c>
      <c r="E1627" s="30">
        <v>1600.0</v>
      </c>
      <c r="F1627" s="28">
        <v>0.0</v>
      </c>
      <c r="G1627" s="99" t="s">
        <v>84</v>
      </c>
      <c r="H1627" s="28">
        <f t="array" ref="H1627">INDEX(CC!C:C,MATCH(1,(CC!A:A=G1627)*(CC!B:B=I1627),0))</f>
        <v>1002</v>
      </c>
      <c r="I1627" s="28" t="s">
        <v>25</v>
      </c>
      <c r="J1627" s="31">
        <v>1600.0</v>
      </c>
      <c r="K1627" s="28" t="str">
        <f>IFERROR(__xludf.DUMMYFUNCTION("IFERROR(
INDEX(
FILTER(
MAP(
reglas!$B$2:$B$240,
reglas!$C$2:$C$240,
reglas!$D$2:$D$240,
reglas!$E$2:$E$240,
LAMBDA(rEmisor,rPatron,rConcepto,rTipo,
IF(
AND(
OR(
UPPER(TRIM(rEmisor))=UPPER(TRIM(C1627)),
UPPER(TRIM(rEmisor))=""CUALQUIERA""
),
OR(
UPPER(TRI"&amp;"M(rTipo))=""SOLO EMISOR"",
AND(
UPPER(TRIM(rTipo))=""EXACTA"",
UPPER(TRIM(AG1627))=UPPER(TRIM(rPatron))
),
AND(
OR(
UPPER(TRIM(rTipo))=""CONTIENE"",
UPPER(TRIM(rTipo))=""COINCIDENCIA""
),
ISNUMBER(SEARCH(UPPER(TRIM(rPatron)),UPPER(TRIM(D1627))))
)
)
),
rC"&amp;"oncepto,
""""
)
)
),
MAP(
reglas!$B$2:$B$240,
reglas!$C$2:$C$240,
reglas!$D$2:$D$240,
reglas!$E$2:$E$240,
LAMBDA(rEmisor,rPatron,rConcepto,rTipo,
IF(
AND(
OR(
UPPER(TRIM(rEmisor))=UPPER(TRIM(C1627)),
UPPER(TRIM(rEmisor))=""CUALQUIERA""
),
OR(
UPPER(TRIM(r"&amp;"Tipo))=""SOLO EMISOR"",
AND(
UPPER(TRIM(rTipo))=""EXACTA"",
UPPER(TRIM(D1627))=UPPER(TRIM(rPatron))
),
AND(
OR(
UPPER(TRIM(rTipo))=""CONTIENE"",
UPPER(TRIM(rTipo))=""COINCIDENCIA""
),
ISNUMBER(SEARCH(UPPER(TRIM(rPatron)),UPPER(TRIM(D1627))))
)
)
),
rConce"&amp;"pto,
""""
)
)
)&lt;&gt;""""
),
1
),
""""
)"),"PAPELERIA")</f>
        <v>PAPELERIA</v>
      </c>
      <c r="L1627" s="27"/>
      <c r="M1627" s="27"/>
      <c r="N1627" s="27"/>
      <c r="O1627" s="27"/>
      <c r="P1627" s="27"/>
      <c r="Q1627" s="27"/>
      <c r="R1627" s="27"/>
      <c r="S1627" s="27"/>
      <c r="T1627" s="27"/>
      <c r="U1627" s="27"/>
      <c r="V1627" s="27"/>
      <c r="W1627" s="27"/>
      <c r="X1627" s="27"/>
      <c r="Y1627" s="27"/>
    </row>
    <row r="1628">
      <c r="A1628" s="32"/>
      <c r="B1628" s="32"/>
      <c r="C1628" s="29" t="s">
        <v>236</v>
      </c>
      <c r="D1628" s="29" t="s">
        <v>1946</v>
      </c>
      <c r="E1628" s="28">
        <v>78.0</v>
      </c>
      <c r="F1628" s="28">
        <v>0.0</v>
      </c>
      <c r="G1628" s="99" t="s">
        <v>84</v>
      </c>
      <c r="H1628" s="28">
        <f t="array" ref="H1628">INDEX(CC!C:C,MATCH(1,(CC!A:A=G1628)*(CC!B:B=I1628),0))</f>
        <v>1002</v>
      </c>
      <c r="I1628" s="28" t="s">
        <v>25</v>
      </c>
      <c r="J1628" s="31">
        <v>78.0</v>
      </c>
      <c r="K1628" s="28" t="str">
        <f>IFERROR(__xludf.DUMMYFUNCTION("IFERROR(
INDEX(
FILTER(
MAP(
reglas!$B$2:$B$240,
reglas!$C$2:$C$240,
reglas!$D$2:$D$240,
reglas!$E$2:$E$240,
LAMBDA(rEmisor,rPatron,rConcepto,rTipo,
IF(
AND(
OR(
UPPER(TRIM(rEmisor))=UPPER(TRIM(C1628)),
UPPER(TRIM(rEmisor))=""CUALQUIERA""
),
OR(
UPPER(TRI"&amp;"M(rTipo))=""SOLO EMISOR"",
AND(
UPPER(TRIM(rTipo))=""EXACTA"",
UPPER(TRIM(AG1628))=UPPER(TRIM(rPatron))
),
AND(
OR(
UPPER(TRIM(rTipo))=""CONTIENE"",
UPPER(TRIM(rTipo))=""COINCIDENCIA""
),
ISNUMBER(SEARCH(UPPER(TRIM(rPatron)),UPPER(TRIM(D1628))))
)
)
),
rC"&amp;"oncepto,
""""
)
)
),
MAP(
reglas!$B$2:$B$240,
reglas!$C$2:$C$240,
reglas!$D$2:$D$240,
reglas!$E$2:$E$240,
LAMBDA(rEmisor,rPatron,rConcepto,rTipo,
IF(
AND(
OR(
UPPER(TRIM(rEmisor))=UPPER(TRIM(C1628)),
UPPER(TRIM(rEmisor))=""CUALQUIERA""
),
OR(
UPPER(TRIM(r"&amp;"Tipo))=""SOLO EMISOR"",
AND(
UPPER(TRIM(rTipo))=""EXACTA"",
UPPER(TRIM(D1628))=UPPER(TRIM(rPatron))
),
AND(
OR(
UPPER(TRIM(rTipo))=""CONTIENE"",
UPPER(TRIM(rTipo))=""COINCIDENCIA""
),
ISNUMBER(SEARCH(UPPER(TRIM(rPatron)),UPPER(TRIM(D1628))))
)
)
),
rConce"&amp;"pto,
""""
)
)
)&lt;&gt;""""
),
1
),
""""
)"),"PAPELERIA")</f>
        <v>PAPELERIA</v>
      </c>
      <c r="L1628" s="27"/>
      <c r="M1628" s="27"/>
      <c r="N1628" s="27"/>
      <c r="O1628" s="27"/>
      <c r="P1628" s="27"/>
      <c r="Q1628" s="27"/>
      <c r="R1628" s="27"/>
      <c r="S1628" s="27"/>
      <c r="T1628" s="27"/>
      <c r="U1628" s="27"/>
      <c r="V1628" s="27"/>
      <c r="W1628" s="27"/>
      <c r="X1628" s="27"/>
      <c r="Y1628" s="27"/>
    </row>
    <row r="1629">
      <c r="A1629" s="32"/>
      <c r="B1629" s="28" t="s">
        <v>29</v>
      </c>
      <c r="C1629" s="29" t="s">
        <v>278</v>
      </c>
      <c r="D1629" s="29" t="s">
        <v>898</v>
      </c>
      <c r="E1629" s="30">
        <v>1000.0</v>
      </c>
      <c r="F1629" s="28">
        <v>0.0</v>
      </c>
      <c r="G1629" s="99" t="s">
        <v>250</v>
      </c>
      <c r="H1629" s="28">
        <f t="array" ref="H1629">INDEX(CC!C:C,MATCH(1,(CC!A:A=G1629)*(CC!B:B=I1629),0))</f>
        <v>1402</v>
      </c>
      <c r="I1629" s="99" t="s">
        <v>25</v>
      </c>
      <c r="J1629" s="31">
        <v>1000.0</v>
      </c>
      <c r="K1629" s="28" t="str">
        <f>IFERROR(__xludf.DUMMYFUNCTION("IFERROR(
INDEX(
FILTER(
MAP(
reglas!$B$2:$B$240,
reglas!$C$2:$C$240,
reglas!$D$2:$D$240,
reglas!$E$2:$E$240,
LAMBDA(rEmisor,rPatron,rConcepto,rTipo,
IF(
AND(
OR(
UPPER(TRIM(rEmisor))=UPPER(TRIM(C1629)),
UPPER(TRIM(rEmisor))=""CUALQUIERA""
),
OR(
UPPER(TRI"&amp;"M(rTipo))=""SOLO EMISOR"",
AND(
UPPER(TRIM(rTipo))=""EXACTA"",
UPPER(TRIM(AG1629))=UPPER(TRIM(rPatron))
),
AND(
OR(
UPPER(TRIM(rTipo))=""CONTIENE"",
UPPER(TRIM(rTipo))=""COINCIDENCIA""
),
ISNUMBER(SEARCH(UPPER(TRIM(rPatron)),UPPER(TRIM(D1629))))
)
)
),
rC"&amp;"oncepto,
""""
)
)
),
MAP(
reglas!$B$2:$B$240,
reglas!$C$2:$C$240,
reglas!$D$2:$D$240,
reglas!$E$2:$E$240,
LAMBDA(rEmisor,rPatron,rConcepto,rTipo,
IF(
AND(
OR(
UPPER(TRIM(rEmisor))=UPPER(TRIM(C1629)),
UPPER(TRIM(rEmisor))=""CUALQUIERA""
),
OR(
UPPER(TRIM(r"&amp;"Tipo))=""SOLO EMISOR"",
AND(
UPPER(TRIM(rTipo))=""EXACTA"",
UPPER(TRIM(D1629))=UPPER(TRIM(rPatron))
),
AND(
OR(
UPPER(TRIM(rTipo))=""CONTIENE"",
UPPER(TRIM(rTipo))=""COINCIDENCIA""
),
ISNUMBER(SEARCH(UPPER(TRIM(rPatron)),UPPER(TRIM(D1629))))
)
)
),
rConce"&amp;"pto,
""""
)
)
)&lt;&gt;""""
),
1
),
""""
)"),"MANIOBRAS")</f>
        <v>MANIOBRAS</v>
      </c>
      <c r="L1629" s="27"/>
      <c r="M1629" s="27"/>
      <c r="N1629" s="27"/>
      <c r="O1629" s="27"/>
      <c r="P1629" s="27"/>
      <c r="Q1629" s="27"/>
      <c r="R1629" s="27"/>
      <c r="S1629" s="27"/>
      <c r="T1629" s="27"/>
      <c r="U1629" s="27"/>
      <c r="V1629" s="27"/>
      <c r="W1629" s="27"/>
      <c r="X1629" s="27"/>
      <c r="Y1629" s="27"/>
    </row>
    <row r="1630">
      <c r="A1630" s="28">
        <v>1.0</v>
      </c>
      <c r="B1630" s="28" t="s">
        <v>29</v>
      </c>
      <c r="C1630" s="29" t="s">
        <v>437</v>
      </c>
      <c r="D1630" s="29" t="s">
        <v>1947</v>
      </c>
      <c r="E1630" s="30">
        <v>3392.94</v>
      </c>
      <c r="F1630" s="28">
        <v>0.0</v>
      </c>
      <c r="G1630" s="99" t="s">
        <v>250</v>
      </c>
      <c r="H1630" s="28">
        <f t="array" ref="H1630">INDEX(CC!C:C,MATCH(1,(CC!A:A=G1630)*(CC!B:B=I1630),0))</f>
        <v>1402</v>
      </c>
      <c r="I1630" s="99" t="s">
        <v>25</v>
      </c>
      <c r="J1630" s="31">
        <v>3392.94</v>
      </c>
      <c r="K1630" s="28" t="str">
        <f>IFERROR(__xludf.DUMMYFUNCTION("IFERROR(
INDEX(
FILTER(
MAP(
reglas!$B$2:$B$240,
reglas!$C$2:$C$240,
reglas!$D$2:$D$240,
reglas!$E$2:$E$240,
LAMBDA(rEmisor,rPatron,rConcepto,rTipo,
IF(
AND(
OR(
UPPER(TRIM(rEmisor))=UPPER(TRIM(C1630)),
UPPER(TRIM(rEmisor))=""CUALQUIERA""
),
OR(
UPPER(TRI"&amp;"M(rTipo))=""SOLO EMISOR"",
AND(
UPPER(TRIM(rTipo))=""EXACTA"",
UPPER(TRIM(AG1630))=UPPER(TRIM(rPatron))
),
AND(
OR(
UPPER(TRIM(rTipo))=""CONTIENE"",
UPPER(TRIM(rTipo))=""COINCIDENCIA""
),
ISNUMBER(SEARCH(UPPER(TRIM(rPatron)),UPPER(TRIM(D1630))))
)
)
),
rC"&amp;"oncepto,
""""
)
)
),
MAP(
reglas!$B$2:$B$240,
reglas!$C$2:$C$240,
reglas!$D$2:$D$240,
reglas!$E$2:$E$240,
LAMBDA(rEmisor,rPatron,rConcepto,rTipo,
IF(
AND(
OR(
UPPER(TRIM(rEmisor))=UPPER(TRIM(C1630)),
UPPER(TRIM(rEmisor))=""CUALQUIERA""
),
OR(
UPPER(TRIM(r"&amp;"Tipo))=""SOLO EMISOR"",
AND(
UPPER(TRIM(rTipo))=""EXACTA"",
UPPER(TRIM(D1630))=UPPER(TRIM(rPatron))
),
AND(
OR(
UPPER(TRIM(rTipo))=""CONTIENE"",
UPPER(TRIM(rTipo))=""COINCIDENCIA""
),
ISNUMBER(SEARCH(UPPER(TRIM(rPatron)),UPPER(TRIM(D1630))))
)
)
),
rConce"&amp;"pto,
""""
)
)
)&lt;&gt;""""
),
1
),
""""
)"),"MANIOBRAS")</f>
        <v>MANIOBRAS</v>
      </c>
      <c r="L1630" s="27"/>
      <c r="M1630" s="27"/>
      <c r="N1630" s="27"/>
      <c r="O1630" s="27"/>
      <c r="P1630" s="27"/>
      <c r="Q1630" s="27"/>
      <c r="R1630" s="27"/>
      <c r="S1630" s="27"/>
      <c r="T1630" s="27"/>
      <c r="U1630" s="27"/>
      <c r="V1630" s="27"/>
      <c r="W1630" s="27"/>
      <c r="X1630" s="27"/>
      <c r="Y1630" s="27"/>
    </row>
    <row r="1631">
      <c r="A1631" s="32"/>
      <c r="B1631" s="28" t="s">
        <v>29</v>
      </c>
      <c r="C1631" s="29" t="s">
        <v>331</v>
      </c>
      <c r="D1631" s="29" t="s">
        <v>33</v>
      </c>
      <c r="E1631" s="28">
        <v>0.01</v>
      </c>
      <c r="F1631" s="28">
        <v>0.0</v>
      </c>
      <c r="G1631" s="99" t="s">
        <v>385</v>
      </c>
      <c r="H1631" s="28">
        <f t="array" ref="H1631">INDEX(CC!C:C,MATCH(1,(CC!A:A=G1631)*(CC!B:B=I1631),0))</f>
        <v>502</v>
      </c>
      <c r="I1631" s="99" t="s">
        <v>25</v>
      </c>
      <c r="J1631" s="31">
        <v>0.01</v>
      </c>
      <c r="K1631" s="28" t="str">
        <f>IFERROR(__xludf.DUMMYFUNCTION("IFERROR(
INDEX(
FILTER(
MAP(
reglas!$B$2:$B$240,
reglas!$C$2:$C$240,
reglas!$D$2:$D$240,
reglas!$E$2:$E$240,
LAMBDA(rEmisor,rPatron,rConcepto,rTipo,
IF(
AND(
OR(
UPPER(TRIM(rEmisor))=UPPER(TRIM(C1631)),
UPPER(TRIM(rEmisor))=""CUALQUIERA""
),
OR(
UPPER(TRI"&amp;"M(rTipo))=""SOLO EMISOR"",
AND(
UPPER(TRIM(rTipo))=""EXACTA"",
UPPER(TRIM(AG1631))=UPPER(TRIM(rPatron))
),
AND(
OR(
UPPER(TRIM(rTipo))=""CONTIENE"",
UPPER(TRIM(rTipo))=""COINCIDENCIA""
),
ISNUMBER(SEARCH(UPPER(TRIM(rPatron)),UPPER(TRIM(D1631))))
)
)
),
rC"&amp;"oncepto,
""""
)
)
),
MAP(
reglas!$B$2:$B$240,
reglas!$C$2:$C$240,
reglas!$D$2:$D$240,
reglas!$E$2:$E$240,
LAMBDA(rEmisor,rPatron,rConcepto,rTipo,
IF(
AND(
OR(
UPPER(TRIM(rEmisor))=UPPER(TRIM(C1631)),
UPPER(TRIM(rEmisor))=""CUALQUIERA""
),
OR(
UPPER(TRIM(r"&amp;"Tipo))=""SOLO EMISOR"",
AND(
UPPER(TRIM(rTipo))=""EXACTA"",
UPPER(TRIM(D1631))=UPPER(TRIM(rPatron))
),
AND(
OR(
UPPER(TRIM(rTipo))=""CONTIENE"",
UPPER(TRIM(rTipo))=""COINCIDENCIA""
),
ISNUMBER(SEARCH(UPPER(TRIM(rPatron)),UPPER(TRIM(D1631))))
)
)
),
rConce"&amp;"pto,
""""
)
)
)&lt;&gt;""""
),
1
),
""""
)"),"N/A")</f>
        <v>N/A</v>
      </c>
      <c r="L1631" s="27"/>
      <c r="M1631" s="27"/>
      <c r="N1631" s="27"/>
      <c r="O1631" s="27"/>
      <c r="P1631" s="27"/>
      <c r="Q1631" s="27"/>
      <c r="R1631" s="27"/>
      <c r="S1631" s="27"/>
      <c r="T1631" s="27"/>
      <c r="U1631" s="27"/>
      <c r="V1631" s="27"/>
      <c r="W1631" s="27"/>
      <c r="X1631" s="27"/>
      <c r="Y1631" s="27"/>
    </row>
    <row r="1632">
      <c r="A1632" s="32"/>
      <c r="B1632" s="28" t="s">
        <v>29</v>
      </c>
      <c r="C1632" s="29" t="s">
        <v>278</v>
      </c>
      <c r="D1632" s="29" t="s">
        <v>560</v>
      </c>
      <c r="E1632" s="30">
        <v>3500.0</v>
      </c>
      <c r="F1632" s="28">
        <v>0.0</v>
      </c>
      <c r="G1632" s="99" t="s">
        <v>250</v>
      </c>
      <c r="H1632" s="28">
        <f t="array" ref="H1632">INDEX(CC!C:C,MATCH(1,(CC!A:A=G1632)*(CC!B:B=I1632),0))</f>
        <v>1402</v>
      </c>
      <c r="I1632" s="99" t="s">
        <v>25</v>
      </c>
      <c r="J1632" s="31">
        <v>3500.0</v>
      </c>
      <c r="K1632" s="28" t="str">
        <f>IFERROR(__xludf.DUMMYFUNCTION("IFERROR(
INDEX(
FILTER(
MAP(
reglas!$B$2:$B$240,
reglas!$C$2:$C$240,
reglas!$D$2:$D$240,
reglas!$E$2:$E$240,
LAMBDA(rEmisor,rPatron,rConcepto,rTipo,
IF(
AND(
OR(
UPPER(TRIM(rEmisor))=UPPER(TRIM(C1632)),
UPPER(TRIM(rEmisor))=""CUALQUIERA""
),
OR(
UPPER(TRI"&amp;"M(rTipo))=""SOLO EMISOR"",
AND(
UPPER(TRIM(rTipo))=""EXACTA"",
UPPER(TRIM(AG1632))=UPPER(TRIM(rPatron))
),
AND(
OR(
UPPER(TRIM(rTipo))=""CONTIENE"",
UPPER(TRIM(rTipo))=""COINCIDENCIA""
),
ISNUMBER(SEARCH(UPPER(TRIM(rPatron)),UPPER(TRIM(D1632))))
)
)
),
rC"&amp;"oncepto,
""""
)
)
),
MAP(
reglas!$B$2:$B$240,
reglas!$C$2:$C$240,
reglas!$D$2:$D$240,
reglas!$E$2:$E$240,
LAMBDA(rEmisor,rPatron,rConcepto,rTipo,
IF(
AND(
OR(
UPPER(TRIM(rEmisor))=UPPER(TRIM(C1632)),
UPPER(TRIM(rEmisor))=""CUALQUIERA""
),
OR(
UPPER(TRIM(r"&amp;"Tipo))=""SOLO EMISOR"",
AND(
UPPER(TRIM(rTipo))=""EXACTA"",
UPPER(TRIM(D1632))=UPPER(TRIM(rPatron))
),
AND(
OR(
UPPER(TRIM(rTipo))=""CONTIENE"",
UPPER(TRIM(rTipo))=""COINCIDENCIA""
),
ISNUMBER(SEARCH(UPPER(TRIM(rPatron)),UPPER(TRIM(D1632))))
)
)
),
rConce"&amp;"pto,
""""
)
)
)&lt;&gt;""""
),
1
),
""""
)"),"MANIOBRAS")</f>
        <v>MANIOBRAS</v>
      </c>
      <c r="L1632" s="27"/>
      <c r="M1632" s="27"/>
      <c r="N1632" s="27"/>
      <c r="O1632" s="27"/>
      <c r="P1632" s="27"/>
      <c r="Q1632" s="27"/>
      <c r="R1632" s="27"/>
      <c r="S1632" s="27"/>
      <c r="T1632" s="27"/>
      <c r="U1632" s="27"/>
      <c r="V1632" s="27"/>
      <c r="W1632" s="27"/>
      <c r="X1632" s="27"/>
      <c r="Y1632" s="27"/>
    </row>
    <row r="1633">
      <c r="A1633" s="32"/>
      <c r="B1633" s="28" t="s">
        <v>29</v>
      </c>
      <c r="C1633" s="29" t="s">
        <v>172</v>
      </c>
      <c r="D1633" s="29" t="s">
        <v>1909</v>
      </c>
      <c r="E1633" s="30">
        <v>11500.0</v>
      </c>
      <c r="F1633" s="28">
        <v>0.0</v>
      </c>
      <c r="G1633" s="99" t="s">
        <v>250</v>
      </c>
      <c r="H1633" s="28">
        <f t="array" ref="H1633">INDEX(CC!C:C,MATCH(1,(CC!A:A=G1633)*(CC!B:B=I1633),0))</f>
        <v>1402</v>
      </c>
      <c r="I1633" s="99" t="s">
        <v>25</v>
      </c>
      <c r="J1633" s="31">
        <v>11500.0</v>
      </c>
      <c r="K1633" s="28" t="str">
        <f>IFERROR(__xludf.DUMMYFUNCTION("IFERROR(
INDEX(
FILTER(
MAP(
reglas!$B$2:$B$240,
reglas!$C$2:$C$240,
reglas!$D$2:$D$240,
reglas!$E$2:$E$240,
LAMBDA(rEmisor,rPatron,rConcepto,rTipo,
IF(
AND(
OR(
UPPER(TRIM(rEmisor))=UPPER(TRIM(C1633)),
UPPER(TRIM(rEmisor))=""CUALQUIERA""
),
OR(
UPPER(TRI"&amp;"M(rTipo))=""SOLO EMISOR"",
AND(
UPPER(TRIM(rTipo))=""EXACTA"",
UPPER(TRIM(AG1633))=UPPER(TRIM(rPatron))
),
AND(
OR(
UPPER(TRIM(rTipo))=""CONTIENE"",
UPPER(TRIM(rTipo))=""COINCIDENCIA""
),
ISNUMBER(SEARCH(UPPER(TRIM(rPatron)),UPPER(TRIM(D1633))))
)
)
),
rC"&amp;"oncepto,
""""
)
)
),
MAP(
reglas!$B$2:$B$240,
reglas!$C$2:$C$240,
reglas!$D$2:$D$240,
reglas!$E$2:$E$240,
LAMBDA(rEmisor,rPatron,rConcepto,rTipo,
IF(
AND(
OR(
UPPER(TRIM(rEmisor))=UPPER(TRIM(C1633)),
UPPER(TRIM(rEmisor))=""CUALQUIERA""
),
OR(
UPPER(TRIM(r"&amp;"Tipo))=""SOLO EMISOR"",
AND(
UPPER(TRIM(rTipo))=""EXACTA"",
UPPER(TRIM(D1633))=UPPER(TRIM(rPatron))
),
AND(
OR(
UPPER(TRIM(rTipo))=""CONTIENE"",
UPPER(TRIM(rTipo))=""COINCIDENCIA""
),
ISNUMBER(SEARCH(UPPER(TRIM(rPatron)),UPPER(TRIM(D1633))))
)
)
),
rConce"&amp;"pto,
""""
)
)
)&lt;&gt;""""
),
1
),
""""
)"),"TRANSPORTE")</f>
        <v>TRANSPORTE</v>
      </c>
      <c r="L1633" s="27"/>
      <c r="M1633" s="27"/>
      <c r="N1633" s="27"/>
      <c r="O1633" s="27"/>
      <c r="P1633" s="27"/>
      <c r="Q1633" s="27"/>
      <c r="R1633" s="27"/>
      <c r="S1633" s="27"/>
      <c r="T1633" s="27"/>
      <c r="U1633" s="27"/>
      <c r="V1633" s="27"/>
      <c r="W1633" s="27"/>
      <c r="X1633" s="27"/>
      <c r="Y1633" s="27"/>
    </row>
    <row r="1634">
      <c r="A1634" s="32"/>
      <c r="B1634" s="28" t="s">
        <v>29</v>
      </c>
      <c r="C1634" s="29" t="s">
        <v>500</v>
      </c>
      <c r="D1634" s="42" t="s">
        <v>501</v>
      </c>
      <c r="E1634" s="30">
        <v>6720.0</v>
      </c>
      <c r="F1634" s="28">
        <v>0.0</v>
      </c>
      <c r="G1634" s="99" t="s">
        <v>225</v>
      </c>
      <c r="H1634" s="28">
        <f t="array" ref="H1634">INDEX(CC!C:C,MATCH(1,(CC!A:A=G1634)*(CC!B:B=I1634),0))</f>
        <v>102</v>
      </c>
      <c r="I1634" s="99" t="s">
        <v>25</v>
      </c>
      <c r="J1634" s="31">
        <v>6720.0</v>
      </c>
      <c r="K1634" s="28" t="str">
        <f>IFERROR(__xludf.DUMMYFUNCTION("IFERROR(
INDEX(
FILTER(
MAP(
reglas!$B$2:$B$240,
reglas!$C$2:$C$240,
reglas!$D$2:$D$240,
reglas!$E$2:$E$240,
LAMBDA(rEmisor,rPatron,rConcepto,rTipo,
IF(
AND(
OR(
UPPER(TRIM(rEmisor))=UPPER(TRIM(C1634)),
UPPER(TRIM(rEmisor))=""CUALQUIERA""
),
OR(
UPPER(TRI"&amp;"M(rTipo))=""SOLO EMISOR"",
AND(
UPPER(TRIM(rTipo))=""EXACTA"",
UPPER(TRIM(AG1634))=UPPER(TRIM(rPatron))
),
AND(
OR(
UPPER(TRIM(rTipo))=""CONTIENE"",
UPPER(TRIM(rTipo))=""COINCIDENCIA""
),
ISNUMBER(SEARCH(UPPER(TRIM(rPatron)),UPPER(TRIM(D1634))))
)
)
),
rC"&amp;"oncepto,
""""
)
)
),
MAP(
reglas!$B$2:$B$240,
reglas!$C$2:$C$240,
reglas!$D$2:$D$240,
reglas!$E$2:$E$240,
LAMBDA(rEmisor,rPatron,rConcepto,rTipo,
IF(
AND(
OR(
UPPER(TRIM(rEmisor))=UPPER(TRIM(C1634)),
UPPER(TRIM(rEmisor))=""CUALQUIERA""
),
OR(
UPPER(TRIM(r"&amp;"Tipo))=""SOLO EMISOR"",
AND(
UPPER(TRIM(rTipo))=""EXACTA"",
UPPER(TRIM(D1634))=UPPER(TRIM(rPatron))
),
AND(
OR(
UPPER(TRIM(rTipo))=""CONTIENE"",
UPPER(TRIM(rTipo))=""COINCIDENCIA""
),
ISNUMBER(SEARCH(UPPER(TRIM(rPatron)),UPPER(TRIM(D1634))))
)
)
),
rConce"&amp;"pto,
""""
)
)
)&lt;&gt;""""
),
1
),
""""
)"),"CAPACITACION")</f>
        <v>CAPACITACION</v>
      </c>
      <c r="L1634" s="27"/>
      <c r="M1634" s="27"/>
      <c r="N1634" s="27"/>
      <c r="O1634" s="27"/>
      <c r="P1634" s="27"/>
      <c r="Q1634" s="27"/>
      <c r="R1634" s="27"/>
      <c r="S1634" s="27"/>
      <c r="T1634" s="27"/>
      <c r="U1634" s="27"/>
      <c r="V1634" s="27"/>
      <c r="W1634" s="27"/>
      <c r="X1634" s="27"/>
      <c r="Y1634" s="27"/>
    </row>
    <row r="1635">
      <c r="A1635" s="28">
        <v>1.0</v>
      </c>
      <c r="B1635" s="28" t="s">
        <v>29</v>
      </c>
      <c r="C1635" s="29" t="s">
        <v>92</v>
      </c>
      <c r="D1635" s="29" t="s">
        <v>1610</v>
      </c>
      <c r="E1635" s="30">
        <v>2835.0</v>
      </c>
      <c r="F1635" s="28">
        <v>0.0</v>
      </c>
      <c r="G1635" s="99" t="s">
        <v>74</v>
      </c>
      <c r="H1635" s="28">
        <f t="array" ref="H1635">INDEX(CC!C:C,MATCH(1,(CC!A:A=G1635)*(CC!B:B=I1635),0))</f>
        <v>1503</v>
      </c>
      <c r="I1635" s="99" t="s">
        <v>44</v>
      </c>
      <c r="J1635" s="31">
        <v>2835.0</v>
      </c>
      <c r="K1635" s="28" t="str">
        <f>IFERROR(__xludf.DUMMYFUNCTION("IFERROR(
INDEX(
FILTER(
MAP(
reglas!$B$2:$B$240,
reglas!$C$2:$C$240,
reglas!$D$2:$D$240,
reglas!$E$2:$E$240,
LAMBDA(rEmisor,rPatron,rConcepto,rTipo,
IF(
AND(
OR(
UPPER(TRIM(rEmisor))=UPPER(TRIM(C1635)),
UPPER(TRIM(rEmisor))=""CUALQUIERA""
),
OR(
UPPER(TRI"&amp;"M(rTipo))=""SOLO EMISOR"",
AND(
UPPER(TRIM(rTipo))=""EXACTA"",
UPPER(TRIM(AG1635))=UPPER(TRIM(rPatron))
),
AND(
OR(
UPPER(TRIM(rTipo))=""CONTIENE"",
UPPER(TRIM(rTipo))=""COINCIDENCIA""
),
ISNUMBER(SEARCH(UPPER(TRIM(rPatron)),UPPER(TRIM(D1635))))
)
)
),
rC"&amp;"oncepto,
""""
)
)
),
MAP(
reglas!$B$2:$B$240,
reglas!$C$2:$C$240,
reglas!$D$2:$D$240,
reglas!$E$2:$E$240,
LAMBDA(rEmisor,rPatron,rConcepto,rTipo,
IF(
AND(
OR(
UPPER(TRIM(rEmisor))=UPPER(TRIM(C1635)),
UPPER(TRIM(rEmisor))=""CUALQUIERA""
),
OR(
UPPER(TRIM(r"&amp;"Tipo))=""SOLO EMISOR"",
AND(
UPPER(TRIM(rTipo))=""EXACTA"",
UPPER(TRIM(D1635))=UPPER(TRIM(rPatron))
),
AND(
OR(
UPPER(TRIM(rTipo))=""CONTIENE"",
UPPER(TRIM(rTipo))=""COINCIDENCIA""
),
ISNUMBER(SEARCH(UPPER(TRIM(rPatron)),UPPER(TRIM(D1635))))
)
)
),
rConce"&amp;"pto,
""""
)
)
)&lt;&gt;""""
),
1
),
""""
)"),"MANIOBRAS")</f>
        <v>MANIOBRAS</v>
      </c>
      <c r="L1635" s="27"/>
      <c r="M1635" s="27"/>
      <c r="N1635" s="27"/>
      <c r="O1635" s="27"/>
      <c r="P1635" s="27"/>
      <c r="Q1635" s="27"/>
      <c r="R1635" s="27"/>
      <c r="S1635" s="27"/>
      <c r="T1635" s="27"/>
      <c r="U1635" s="27"/>
      <c r="V1635" s="27"/>
      <c r="W1635" s="27"/>
      <c r="X1635" s="27"/>
      <c r="Y1635" s="27"/>
    </row>
    <row r="1636">
      <c r="A1636" s="28">
        <v>1.0</v>
      </c>
      <c r="B1636" s="28" t="s">
        <v>29</v>
      </c>
      <c r="C1636" s="29" t="s">
        <v>271</v>
      </c>
      <c r="D1636" s="29" t="s">
        <v>585</v>
      </c>
      <c r="E1636" s="28">
        <v>619.55</v>
      </c>
      <c r="F1636" s="28">
        <v>0.0</v>
      </c>
      <c r="G1636" s="28" t="s">
        <v>84</v>
      </c>
      <c r="H1636" s="28">
        <f t="array" ref="H1636">INDEX(CC!C:C,MATCH(1,(CC!A:A=G1636)*(CC!B:B=I1636),0))</f>
        <v>1002</v>
      </c>
      <c r="I1636" s="28" t="s">
        <v>25</v>
      </c>
      <c r="J1636" s="31">
        <v>619.55</v>
      </c>
      <c r="K1636" s="28" t="str">
        <f>IFERROR(__xludf.DUMMYFUNCTION("IFERROR(
INDEX(
FILTER(
MAP(
reglas!$B$2:$B$240,
reglas!$C$2:$C$240,
reglas!$D$2:$D$240,
reglas!$E$2:$E$240,
LAMBDA(rEmisor,rPatron,rConcepto,rTipo,
IF(
AND(
OR(
UPPER(TRIM(rEmisor))=UPPER(TRIM(C1636)),
UPPER(TRIM(rEmisor))=""CUALQUIERA""
),
OR(
UPPER(TRI"&amp;"M(rTipo))=""SOLO EMISOR"",
AND(
UPPER(TRIM(rTipo))=""EXACTA"",
UPPER(TRIM(AG1636))=UPPER(TRIM(rPatron))
),
AND(
OR(
UPPER(TRIM(rTipo))=""CONTIENE"",
UPPER(TRIM(rTipo))=""COINCIDENCIA""
),
ISNUMBER(SEARCH(UPPER(TRIM(rPatron)),UPPER(TRIM(D1636))))
)
)
),
rC"&amp;"oncepto,
""""
)
)
),
MAP(
reglas!$B$2:$B$240,
reglas!$C$2:$C$240,
reglas!$D$2:$D$240,
reglas!$E$2:$E$240,
LAMBDA(rEmisor,rPatron,rConcepto,rTipo,
IF(
AND(
OR(
UPPER(TRIM(rEmisor))=UPPER(TRIM(C1636)),
UPPER(TRIM(rEmisor))=""CUALQUIERA""
),
OR(
UPPER(TRIM(r"&amp;"Tipo))=""SOLO EMISOR"",
AND(
UPPER(TRIM(rTipo))=""EXACTA"",
UPPER(TRIM(D1636))=UPPER(TRIM(rPatron))
),
AND(
OR(
UPPER(TRIM(rTipo))=""CONTIENE"",
UPPER(TRIM(rTipo))=""COINCIDENCIA""
),
ISNUMBER(SEARCH(UPPER(TRIM(rPatron)),UPPER(TRIM(D1636))))
)
)
),
rConce"&amp;"pto,
""""
)
)
)&lt;&gt;""""
),
1
),
""""
)"),"MANIOBRAS")</f>
        <v>MANIOBRAS</v>
      </c>
      <c r="L1636" s="27"/>
      <c r="M1636" s="27"/>
      <c r="N1636" s="27"/>
      <c r="O1636" s="27"/>
      <c r="P1636" s="27"/>
      <c r="Q1636" s="27"/>
      <c r="R1636" s="27"/>
      <c r="S1636" s="27"/>
      <c r="T1636" s="27"/>
      <c r="U1636" s="27"/>
      <c r="V1636" s="27"/>
      <c r="W1636" s="27"/>
      <c r="X1636" s="27"/>
      <c r="Y1636" s="27"/>
    </row>
    <row r="1637">
      <c r="A1637" s="32"/>
      <c r="B1637" s="32"/>
      <c r="C1637" s="29" t="s">
        <v>271</v>
      </c>
      <c r="D1637" s="29" t="s">
        <v>587</v>
      </c>
      <c r="E1637" s="28">
        <v>566.84</v>
      </c>
      <c r="F1637" s="28">
        <v>0.0</v>
      </c>
      <c r="G1637" s="28" t="s">
        <v>84</v>
      </c>
      <c r="H1637" s="28">
        <f t="array" ref="H1637">INDEX(CC!C:C,MATCH(1,(CC!A:A=G1637)*(CC!B:B=I1637),0))</f>
        <v>1002</v>
      </c>
      <c r="I1637" s="28" t="s">
        <v>25</v>
      </c>
      <c r="J1637" s="31">
        <v>566.84</v>
      </c>
      <c r="K1637" s="28" t="str">
        <f>IFERROR(__xludf.DUMMYFUNCTION("IFERROR(
INDEX(
FILTER(
MAP(
reglas!$B$2:$B$240,
reglas!$C$2:$C$240,
reglas!$D$2:$D$240,
reglas!$E$2:$E$240,
LAMBDA(rEmisor,rPatron,rConcepto,rTipo,
IF(
AND(
OR(
UPPER(TRIM(rEmisor))=UPPER(TRIM(C1637)),
UPPER(TRIM(rEmisor))=""CUALQUIERA""
),
OR(
UPPER(TRI"&amp;"M(rTipo))=""SOLO EMISOR"",
AND(
UPPER(TRIM(rTipo))=""EXACTA"",
UPPER(TRIM(AG1637))=UPPER(TRIM(rPatron))
),
AND(
OR(
UPPER(TRIM(rTipo))=""CONTIENE"",
UPPER(TRIM(rTipo))=""COINCIDENCIA""
),
ISNUMBER(SEARCH(UPPER(TRIM(rPatron)),UPPER(TRIM(D1637))))
)
)
),
rC"&amp;"oncepto,
""""
)
)
),
MAP(
reglas!$B$2:$B$240,
reglas!$C$2:$C$240,
reglas!$D$2:$D$240,
reglas!$E$2:$E$240,
LAMBDA(rEmisor,rPatron,rConcepto,rTipo,
IF(
AND(
OR(
UPPER(TRIM(rEmisor))=UPPER(TRIM(C1637)),
UPPER(TRIM(rEmisor))=""CUALQUIERA""
),
OR(
UPPER(TRIM(r"&amp;"Tipo))=""SOLO EMISOR"",
AND(
UPPER(TRIM(rTipo))=""EXACTA"",
UPPER(TRIM(D1637))=UPPER(TRIM(rPatron))
),
AND(
OR(
UPPER(TRIM(rTipo))=""CONTIENE"",
UPPER(TRIM(rTipo))=""COINCIDENCIA""
),
ISNUMBER(SEARCH(UPPER(TRIM(rPatron)),UPPER(TRIM(D1637))))
)
)
),
rConce"&amp;"pto,
""""
)
)
)&lt;&gt;""""
),
1
),
""""
)"),"MANIOBRAS")</f>
        <v>MANIOBRAS</v>
      </c>
      <c r="L1637" s="27"/>
      <c r="M1637" s="27"/>
      <c r="N1637" s="27"/>
      <c r="O1637" s="27"/>
      <c r="P1637" s="27"/>
      <c r="Q1637" s="27"/>
      <c r="R1637" s="27"/>
      <c r="S1637" s="27"/>
      <c r="T1637" s="27"/>
      <c r="U1637" s="27"/>
      <c r="V1637" s="27"/>
      <c r="W1637" s="27"/>
      <c r="X1637" s="27"/>
      <c r="Y1637" s="27"/>
    </row>
    <row r="1638">
      <c r="A1638" s="32"/>
      <c r="B1638" s="32"/>
      <c r="C1638" s="29" t="s">
        <v>271</v>
      </c>
      <c r="D1638" s="29" t="s">
        <v>589</v>
      </c>
      <c r="E1638" s="28">
        <v>619.88</v>
      </c>
      <c r="F1638" s="28">
        <v>0.0</v>
      </c>
      <c r="G1638" s="28" t="s">
        <v>84</v>
      </c>
      <c r="H1638" s="28">
        <f t="array" ref="H1638">INDEX(CC!C:C,MATCH(1,(CC!A:A=G1638)*(CC!B:B=I1638),0))</f>
        <v>1002</v>
      </c>
      <c r="I1638" s="28" t="s">
        <v>25</v>
      </c>
      <c r="J1638" s="31">
        <v>619.88</v>
      </c>
      <c r="K1638" s="28" t="str">
        <f>IFERROR(__xludf.DUMMYFUNCTION("IFERROR(
INDEX(
FILTER(
MAP(
reglas!$B$2:$B$240,
reglas!$C$2:$C$240,
reglas!$D$2:$D$240,
reglas!$E$2:$E$240,
LAMBDA(rEmisor,rPatron,rConcepto,rTipo,
IF(
AND(
OR(
UPPER(TRIM(rEmisor))=UPPER(TRIM(C1638)),
UPPER(TRIM(rEmisor))=""CUALQUIERA""
),
OR(
UPPER(TRI"&amp;"M(rTipo))=""SOLO EMISOR"",
AND(
UPPER(TRIM(rTipo))=""EXACTA"",
UPPER(TRIM(AG1638))=UPPER(TRIM(rPatron))
),
AND(
OR(
UPPER(TRIM(rTipo))=""CONTIENE"",
UPPER(TRIM(rTipo))=""COINCIDENCIA""
),
ISNUMBER(SEARCH(UPPER(TRIM(rPatron)),UPPER(TRIM(D1638))))
)
)
),
rC"&amp;"oncepto,
""""
)
)
),
MAP(
reglas!$B$2:$B$240,
reglas!$C$2:$C$240,
reglas!$D$2:$D$240,
reglas!$E$2:$E$240,
LAMBDA(rEmisor,rPatron,rConcepto,rTipo,
IF(
AND(
OR(
UPPER(TRIM(rEmisor))=UPPER(TRIM(C1638)),
UPPER(TRIM(rEmisor))=""CUALQUIERA""
),
OR(
UPPER(TRIM(r"&amp;"Tipo))=""SOLO EMISOR"",
AND(
UPPER(TRIM(rTipo))=""EXACTA"",
UPPER(TRIM(D1638))=UPPER(TRIM(rPatron))
),
AND(
OR(
UPPER(TRIM(rTipo))=""CONTIENE"",
UPPER(TRIM(rTipo))=""COINCIDENCIA""
),
ISNUMBER(SEARCH(UPPER(TRIM(rPatron)),UPPER(TRIM(D1638))))
)
)
),
rConce"&amp;"pto,
""""
)
)
)&lt;&gt;""""
),
1
),
""""
)"),"MANIOBRAS")</f>
        <v>MANIOBRAS</v>
      </c>
      <c r="L1638" s="27"/>
      <c r="M1638" s="27"/>
      <c r="N1638" s="27"/>
      <c r="O1638" s="27"/>
      <c r="P1638" s="27"/>
      <c r="Q1638" s="27"/>
      <c r="R1638" s="27"/>
      <c r="S1638" s="27"/>
      <c r="T1638" s="27"/>
      <c r="U1638" s="27"/>
      <c r="V1638" s="27"/>
      <c r="W1638" s="27"/>
      <c r="X1638" s="27"/>
      <c r="Y1638" s="27"/>
    </row>
    <row r="1639">
      <c r="A1639" s="32"/>
      <c r="B1639" s="32"/>
      <c r="C1639" s="29" t="s">
        <v>271</v>
      </c>
      <c r="D1639" s="29" t="s">
        <v>596</v>
      </c>
      <c r="E1639" s="28">
        <v>650.39</v>
      </c>
      <c r="F1639" s="28">
        <v>0.0</v>
      </c>
      <c r="G1639" s="28" t="s">
        <v>84</v>
      </c>
      <c r="H1639" s="28">
        <f t="array" ref="H1639">INDEX(CC!C:C,MATCH(1,(CC!A:A=G1639)*(CC!B:B=I1639),0))</f>
        <v>1002</v>
      </c>
      <c r="I1639" s="28" t="s">
        <v>25</v>
      </c>
      <c r="J1639" s="31">
        <v>650.39</v>
      </c>
      <c r="K1639" s="28" t="str">
        <f>IFERROR(__xludf.DUMMYFUNCTION("IFERROR(
INDEX(
FILTER(
MAP(
reglas!$B$2:$B$240,
reglas!$C$2:$C$240,
reglas!$D$2:$D$240,
reglas!$E$2:$E$240,
LAMBDA(rEmisor,rPatron,rConcepto,rTipo,
IF(
AND(
OR(
UPPER(TRIM(rEmisor))=UPPER(TRIM(C1639)),
UPPER(TRIM(rEmisor))=""CUALQUIERA""
),
OR(
UPPER(TRI"&amp;"M(rTipo))=""SOLO EMISOR"",
AND(
UPPER(TRIM(rTipo))=""EXACTA"",
UPPER(TRIM(AG1639))=UPPER(TRIM(rPatron))
),
AND(
OR(
UPPER(TRIM(rTipo))=""CONTIENE"",
UPPER(TRIM(rTipo))=""COINCIDENCIA""
),
ISNUMBER(SEARCH(UPPER(TRIM(rPatron)),UPPER(TRIM(D1639))))
)
)
),
rC"&amp;"oncepto,
""""
)
)
),
MAP(
reglas!$B$2:$B$240,
reglas!$C$2:$C$240,
reglas!$D$2:$D$240,
reglas!$E$2:$E$240,
LAMBDA(rEmisor,rPatron,rConcepto,rTipo,
IF(
AND(
OR(
UPPER(TRIM(rEmisor))=UPPER(TRIM(C1639)),
UPPER(TRIM(rEmisor))=""CUALQUIERA""
),
OR(
UPPER(TRIM(r"&amp;"Tipo))=""SOLO EMISOR"",
AND(
UPPER(TRIM(rTipo))=""EXACTA"",
UPPER(TRIM(D1639))=UPPER(TRIM(rPatron))
),
AND(
OR(
UPPER(TRIM(rTipo))=""CONTIENE"",
UPPER(TRIM(rTipo))=""COINCIDENCIA""
),
ISNUMBER(SEARCH(UPPER(TRIM(rPatron)),UPPER(TRIM(D1639))))
)
)
),
rConce"&amp;"pto,
""""
)
)
)&lt;&gt;""""
),
1
),
""""
)"),"MANIOBRAS")</f>
        <v>MANIOBRAS</v>
      </c>
      <c r="L1639" s="27"/>
      <c r="M1639" s="27"/>
      <c r="N1639" s="27"/>
      <c r="O1639" s="27"/>
      <c r="P1639" s="27"/>
      <c r="Q1639" s="27"/>
      <c r="R1639" s="27"/>
      <c r="S1639" s="27"/>
      <c r="T1639" s="27"/>
      <c r="U1639" s="27"/>
      <c r="V1639" s="27"/>
      <c r="W1639" s="27"/>
      <c r="X1639" s="27"/>
      <c r="Y1639" s="27"/>
    </row>
    <row r="1640">
      <c r="A1640" s="32"/>
      <c r="B1640" s="28" t="s">
        <v>29</v>
      </c>
      <c r="C1640" s="29" t="s">
        <v>278</v>
      </c>
      <c r="D1640" s="29" t="s">
        <v>560</v>
      </c>
      <c r="E1640" s="30">
        <v>3500.0</v>
      </c>
      <c r="F1640" s="28">
        <v>0.0</v>
      </c>
      <c r="G1640" s="99" t="s">
        <v>250</v>
      </c>
      <c r="H1640" s="28">
        <f t="array" ref="H1640">INDEX(CC!C:C,MATCH(1,(CC!A:A=G1640)*(CC!B:B=I1640),0))</f>
        <v>1402</v>
      </c>
      <c r="I1640" s="28" t="s">
        <v>25</v>
      </c>
      <c r="J1640" s="31">
        <v>3500.0</v>
      </c>
      <c r="K1640" s="28" t="str">
        <f>IFERROR(__xludf.DUMMYFUNCTION("IFERROR(
INDEX(
FILTER(
MAP(
reglas!$B$2:$B$240,
reglas!$C$2:$C$240,
reglas!$D$2:$D$240,
reglas!$E$2:$E$240,
LAMBDA(rEmisor,rPatron,rConcepto,rTipo,
IF(
AND(
OR(
UPPER(TRIM(rEmisor))=UPPER(TRIM(C1640)),
UPPER(TRIM(rEmisor))=""CUALQUIERA""
),
OR(
UPPER(TRI"&amp;"M(rTipo))=""SOLO EMISOR"",
AND(
UPPER(TRIM(rTipo))=""EXACTA"",
UPPER(TRIM(AG1640))=UPPER(TRIM(rPatron))
),
AND(
OR(
UPPER(TRIM(rTipo))=""CONTIENE"",
UPPER(TRIM(rTipo))=""COINCIDENCIA""
),
ISNUMBER(SEARCH(UPPER(TRIM(rPatron)),UPPER(TRIM(D1640))))
)
)
),
rC"&amp;"oncepto,
""""
)
)
),
MAP(
reglas!$B$2:$B$240,
reglas!$C$2:$C$240,
reglas!$D$2:$D$240,
reglas!$E$2:$E$240,
LAMBDA(rEmisor,rPatron,rConcepto,rTipo,
IF(
AND(
OR(
UPPER(TRIM(rEmisor))=UPPER(TRIM(C1640)),
UPPER(TRIM(rEmisor))=""CUALQUIERA""
),
OR(
UPPER(TRIM(r"&amp;"Tipo))=""SOLO EMISOR"",
AND(
UPPER(TRIM(rTipo))=""EXACTA"",
UPPER(TRIM(D1640))=UPPER(TRIM(rPatron))
),
AND(
OR(
UPPER(TRIM(rTipo))=""CONTIENE"",
UPPER(TRIM(rTipo))=""COINCIDENCIA""
),
ISNUMBER(SEARCH(UPPER(TRIM(rPatron)),UPPER(TRIM(D1640))))
)
)
),
rConce"&amp;"pto,
""""
)
)
)&lt;&gt;""""
),
1
),
""""
)"),"MANIOBRAS")</f>
        <v>MANIOBRAS</v>
      </c>
      <c r="L1640" s="27"/>
      <c r="M1640" s="27"/>
      <c r="N1640" s="27"/>
      <c r="O1640" s="27"/>
      <c r="P1640" s="27"/>
      <c r="Q1640" s="27"/>
      <c r="R1640" s="27"/>
      <c r="S1640" s="27"/>
      <c r="T1640" s="27"/>
      <c r="U1640" s="27"/>
      <c r="V1640" s="27"/>
      <c r="W1640" s="27"/>
      <c r="X1640" s="27"/>
      <c r="Y1640" s="27"/>
    </row>
    <row r="1641">
      <c r="A1641" s="28">
        <v>1.0</v>
      </c>
      <c r="B1641" s="28" t="s">
        <v>29</v>
      </c>
      <c r="C1641" s="29" t="s">
        <v>271</v>
      </c>
      <c r="D1641" s="29" t="s">
        <v>589</v>
      </c>
      <c r="E1641" s="28">
        <v>620.57</v>
      </c>
      <c r="F1641" s="28">
        <v>0.0</v>
      </c>
      <c r="G1641" s="28" t="s">
        <v>84</v>
      </c>
      <c r="H1641" s="28">
        <f t="array" ref="H1641">INDEX(CC!C:C,MATCH(1,(CC!A:A=G1641)*(CC!B:B=I1641),0))</f>
        <v>1002</v>
      </c>
      <c r="I1641" s="28" t="s">
        <v>25</v>
      </c>
      <c r="J1641" s="31">
        <v>620.57</v>
      </c>
      <c r="K1641" s="28" t="str">
        <f>IFERROR(__xludf.DUMMYFUNCTION("IFERROR(
INDEX(
FILTER(
MAP(
reglas!$B$2:$B$240,
reglas!$C$2:$C$240,
reglas!$D$2:$D$240,
reglas!$E$2:$E$240,
LAMBDA(rEmisor,rPatron,rConcepto,rTipo,
IF(
AND(
OR(
UPPER(TRIM(rEmisor))=UPPER(TRIM(C1641)),
UPPER(TRIM(rEmisor))=""CUALQUIERA""
),
OR(
UPPER(TRI"&amp;"M(rTipo))=""SOLO EMISOR"",
AND(
UPPER(TRIM(rTipo))=""EXACTA"",
UPPER(TRIM(AG1641))=UPPER(TRIM(rPatron))
),
AND(
OR(
UPPER(TRIM(rTipo))=""CONTIENE"",
UPPER(TRIM(rTipo))=""COINCIDENCIA""
),
ISNUMBER(SEARCH(UPPER(TRIM(rPatron)),UPPER(TRIM(D1641))))
)
)
),
rC"&amp;"oncepto,
""""
)
)
),
MAP(
reglas!$B$2:$B$240,
reglas!$C$2:$C$240,
reglas!$D$2:$D$240,
reglas!$E$2:$E$240,
LAMBDA(rEmisor,rPatron,rConcepto,rTipo,
IF(
AND(
OR(
UPPER(TRIM(rEmisor))=UPPER(TRIM(C1641)),
UPPER(TRIM(rEmisor))=""CUALQUIERA""
),
OR(
UPPER(TRIM(r"&amp;"Tipo))=""SOLO EMISOR"",
AND(
UPPER(TRIM(rTipo))=""EXACTA"",
UPPER(TRIM(D1641))=UPPER(TRIM(rPatron))
),
AND(
OR(
UPPER(TRIM(rTipo))=""CONTIENE"",
UPPER(TRIM(rTipo))=""COINCIDENCIA""
),
ISNUMBER(SEARCH(UPPER(TRIM(rPatron)),UPPER(TRIM(D1641))))
)
)
),
rConce"&amp;"pto,
""""
)
)
)&lt;&gt;""""
),
1
),
""""
)"),"MANIOBRAS")</f>
        <v>MANIOBRAS</v>
      </c>
      <c r="L1641" s="27"/>
      <c r="M1641" s="27"/>
      <c r="N1641" s="27"/>
      <c r="O1641" s="27"/>
      <c r="P1641" s="27"/>
      <c r="Q1641" s="27"/>
      <c r="R1641" s="27"/>
      <c r="S1641" s="27"/>
      <c r="T1641" s="27"/>
      <c r="U1641" s="27"/>
      <c r="V1641" s="27"/>
      <c r="W1641" s="27"/>
      <c r="X1641" s="27"/>
      <c r="Y1641" s="27"/>
    </row>
    <row r="1642">
      <c r="A1642" s="32"/>
      <c r="B1642" s="28" t="s">
        <v>29</v>
      </c>
      <c r="C1642" s="29" t="s">
        <v>172</v>
      </c>
      <c r="D1642" s="29" t="s">
        <v>1932</v>
      </c>
      <c r="E1642" s="30">
        <v>11500.0</v>
      </c>
      <c r="F1642" s="28">
        <v>0.0</v>
      </c>
      <c r="G1642" s="99" t="s">
        <v>250</v>
      </c>
      <c r="H1642" s="28">
        <f t="array" ref="H1642">INDEX(CC!C:C,MATCH(1,(CC!A:A=G1642)*(CC!B:B=I1642),0))</f>
        <v>1402</v>
      </c>
      <c r="I1642" s="99" t="s">
        <v>25</v>
      </c>
      <c r="J1642" s="31">
        <v>11500.0</v>
      </c>
      <c r="K1642" s="28" t="str">
        <f>IFERROR(__xludf.DUMMYFUNCTION("IFERROR(
INDEX(
FILTER(
MAP(
reglas!$B$2:$B$240,
reglas!$C$2:$C$240,
reglas!$D$2:$D$240,
reglas!$E$2:$E$240,
LAMBDA(rEmisor,rPatron,rConcepto,rTipo,
IF(
AND(
OR(
UPPER(TRIM(rEmisor))=UPPER(TRIM(C1642)),
UPPER(TRIM(rEmisor))=""CUALQUIERA""
),
OR(
UPPER(TRI"&amp;"M(rTipo))=""SOLO EMISOR"",
AND(
UPPER(TRIM(rTipo))=""EXACTA"",
UPPER(TRIM(AG1642))=UPPER(TRIM(rPatron))
),
AND(
OR(
UPPER(TRIM(rTipo))=""CONTIENE"",
UPPER(TRIM(rTipo))=""COINCIDENCIA""
),
ISNUMBER(SEARCH(UPPER(TRIM(rPatron)),UPPER(TRIM(D1642))))
)
)
),
rC"&amp;"oncepto,
""""
)
)
),
MAP(
reglas!$B$2:$B$240,
reglas!$C$2:$C$240,
reglas!$D$2:$D$240,
reglas!$E$2:$E$240,
LAMBDA(rEmisor,rPatron,rConcepto,rTipo,
IF(
AND(
OR(
UPPER(TRIM(rEmisor))=UPPER(TRIM(C1642)),
UPPER(TRIM(rEmisor))=""CUALQUIERA""
),
OR(
UPPER(TRIM(r"&amp;"Tipo))=""SOLO EMISOR"",
AND(
UPPER(TRIM(rTipo))=""EXACTA"",
UPPER(TRIM(D1642))=UPPER(TRIM(rPatron))
),
AND(
OR(
UPPER(TRIM(rTipo))=""CONTIENE"",
UPPER(TRIM(rTipo))=""COINCIDENCIA""
),
ISNUMBER(SEARCH(UPPER(TRIM(rPatron)),UPPER(TRIM(D1642))))
)
)
),
rConce"&amp;"pto,
""""
)
)
)&lt;&gt;""""
),
1
),
""""
)"),"TRANSPORTE")</f>
        <v>TRANSPORTE</v>
      </c>
      <c r="L1642" s="27"/>
      <c r="M1642" s="27"/>
      <c r="N1642" s="27"/>
      <c r="O1642" s="27"/>
      <c r="P1642" s="27"/>
      <c r="Q1642" s="27"/>
      <c r="R1642" s="27"/>
      <c r="S1642" s="27"/>
      <c r="T1642" s="27"/>
      <c r="U1642" s="27"/>
      <c r="V1642" s="27"/>
      <c r="W1642" s="27"/>
      <c r="X1642" s="27"/>
      <c r="Y1642" s="27"/>
    </row>
    <row r="1643">
      <c r="A1643" s="32"/>
      <c r="B1643" s="28" t="s">
        <v>29</v>
      </c>
      <c r="C1643" s="29" t="s">
        <v>172</v>
      </c>
      <c r="D1643" s="29" t="s">
        <v>1932</v>
      </c>
      <c r="E1643" s="30">
        <v>11500.0</v>
      </c>
      <c r="F1643" s="28">
        <v>0.0</v>
      </c>
      <c r="G1643" s="99" t="s">
        <v>250</v>
      </c>
      <c r="H1643" s="28">
        <f t="array" ref="H1643">INDEX(CC!C:C,MATCH(1,(CC!A:A=G1643)*(CC!B:B=I1643),0))</f>
        <v>1402</v>
      </c>
      <c r="I1643" s="99" t="s">
        <v>25</v>
      </c>
      <c r="J1643" s="31">
        <v>11500.0</v>
      </c>
      <c r="K1643" s="28" t="str">
        <f>IFERROR(__xludf.DUMMYFUNCTION("IFERROR(
INDEX(
FILTER(
MAP(
reglas!$B$2:$B$240,
reglas!$C$2:$C$240,
reglas!$D$2:$D$240,
reglas!$E$2:$E$240,
LAMBDA(rEmisor,rPatron,rConcepto,rTipo,
IF(
AND(
OR(
UPPER(TRIM(rEmisor))=UPPER(TRIM(C1643)),
UPPER(TRIM(rEmisor))=""CUALQUIERA""
),
OR(
UPPER(TRI"&amp;"M(rTipo))=""SOLO EMISOR"",
AND(
UPPER(TRIM(rTipo))=""EXACTA"",
UPPER(TRIM(AG1643))=UPPER(TRIM(rPatron))
),
AND(
OR(
UPPER(TRIM(rTipo))=""CONTIENE"",
UPPER(TRIM(rTipo))=""COINCIDENCIA""
),
ISNUMBER(SEARCH(UPPER(TRIM(rPatron)),UPPER(TRIM(D1643))))
)
)
),
rC"&amp;"oncepto,
""""
)
)
),
MAP(
reglas!$B$2:$B$240,
reglas!$C$2:$C$240,
reglas!$D$2:$D$240,
reglas!$E$2:$E$240,
LAMBDA(rEmisor,rPatron,rConcepto,rTipo,
IF(
AND(
OR(
UPPER(TRIM(rEmisor))=UPPER(TRIM(C1643)),
UPPER(TRIM(rEmisor))=""CUALQUIERA""
),
OR(
UPPER(TRIM(r"&amp;"Tipo))=""SOLO EMISOR"",
AND(
UPPER(TRIM(rTipo))=""EXACTA"",
UPPER(TRIM(D1643))=UPPER(TRIM(rPatron))
),
AND(
OR(
UPPER(TRIM(rTipo))=""CONTIENE"",
UPPER(TRIM(rTipo))=""COINCIDENCIA""
),
ISNUMBER(SEARCH(UPPER(TRIM(rPatron)),UPPER(TRIM(D1643))))
)
)
),
rConce"&amp;"pto,
""""
)
)
)&lt;&gt;""""
),
1
),
""""
)"),"TRANSPORTE")</f>
        <v>TRANSPORTE</v>
      </c>
      <c r="L1643" s="27"/>
      <c r="M1643" s="27"/>
      <c r="N1643" s="27"/>
      <c r="O1643" s="27"/>
      <c r="P1643" s="27"/>
      <c r="Q1643" s="27"/>
      <c r="R1643" s="27"/>
      <c r="S1643" s="27"/>
      <c r="T1643" s="27"/>
      <c r="U1643" s="27"/>
      <c r="V1643" s="27"/>
      <c r="W1643" s="27"/>
      <c r="X1643" s="27"/>
      <c r="Y1643" s="27"/>
    </row>
    <row r="1644">
      <c r="A1644" s="32"/>
      <c r="B1644" s="28" t="s">
        <v>29</v>
      </c>
      <c r="C1644" s="29" t="s">
        <v>278</v>
      </c>
      <c r="D1644" s="29" t="s">
        <v>898</v>
      </c>
      <c r="E1644" s="30">
        <v>1000.0</v>
      </c>
      <c r="F1644" s="28">
        <v>0.0</v>
      </c>
      <c r="G1644" s="99" t="s">
        <v>250</v>
      </c>
      <c r="H1644" s="28">
        <f t="array" ref="H1644">INDEX(CC!C:C,MATCH(1,(CC!A:A=G1644)*(CC!B:B=I1644),0))</f>
        <v>1402</v>
      </c>
      <c r="I1644" s="99" t="s">
        <v>25</v>
      </c>
      <c r="J1644" s="31">
        <v>1000.0</v>
      </c>
      <c r="K1644" s="28" t="str">
        <f>IFERROR(__xludf.DUMMYFUNCTION("IFERROR(
INDEX(
FILTER(
MAP(
reglas!$B$2:$B$240,
reglas!$C$2:$C$240,
reglas!$D$2:$D$240,
reglas!$E$2:$E$240,
LAMBDA(rEmisor,rPatron,rConcepto,rTipo,
IF(
AND(
OR(
UPPER(TRIM(rEmisor))=UPPER(TRIM(C1644)),
UPPER(TRIM(rEmisor))=""CUALQUIERA""
),
OR(
UPPER(TRI"&amp;"M(rTipo))=""SOLO EMISOR"",
AND(
UPPER(TRIM(rTipo))=""EXACTA"",
UPPER(TRIM(AG1644))=UPPER(TRIM(rPatron))
),
AND(
OR(
UPPER(TRIM(rTipo))=""CONTIENE"",
UPPER(TRIM(rTipo))=""COINCIDENCIA""
),
ISNUMBER(SEARCH(UPPER(TRIM(rPatron)),UPPER(TRIM(D1644))))
)
)
),
rC"&amp;"oncepto,
""""
)
)
),
MAP(
reglas!$B$2:$B$240,
reglas!$C$2:$C$240,
reglas!$D$2:$D$240,
reglas!$E$2:$E$240,
LAMBDA(rEmisor,rPatron,rConcepto,rTipo,
IF(
AND(
OR(
UPPER(TRIM(rEmisor))=UPPER(TRIM(C1644)),
UPPER(TRIM(rEmisor))=""CUALQUIERA""
),
OR(
UPPER(TRIM(r"&amp;"Tipo))=""SOLO EMISOR"",
AND(
UPPER(TRIM(rTipo))=""EXACTA"",
UPPER(TRIM(D1644))=UPPER(TRIM(rPatron))
),
AND(
OR(
UPPER(TRIM(rTipo))=""CONTIENE"",
UPPER(TRIM(rTipo))=""COINCIDENCIA""
),
ISNUMBER(SEARCH(UPPER(TRIM(rPatron)),UPPER(TRIM(D1644))))
)
)
),
rConce"&amp;"pto,
""""
)
)
)&lt;&gt;""""
),
1
),
""""
)"),"MANIOBRAS")</f>
        <v>MANIOBRAS</v>
      </c>
      <c r="L1644" s="27"/>
      <c r="M1644" s="27"/>
      <c r="N1644" s="27"/>
      <c r="O1644" s="27"/>
      <c r="P1644" s="27"/>
      <c r="Q1644" s="27"/>
      <c r="R1644" s="27"/>
      <c r="S1644" s="27"/>
      <c r="T1644" s="27"/>
      <c r="U1644" s="27"/>
      <c r="V1644" s="27"/>
      <c r="W1644" s="27"/>
      <c r="X1644" s="27"/>
      <c r="Y1644" s="27"/>
    </row>
    <row r="1645">
      <c r="A1645" s="32"/>
      <c r="B1645" s="28" t="s">
        <v>29</v>
      </c>
      <c r="C1645" s="29" t="s">
        <v>217</v>
      </c>
      <c r="D1645" s="29" t="s">
        <v>1948</v>
      </c>
      <c r="E1645" s="30">
        <v>6000.0</v>
      </c>
      <c r="F1645" s="28">
        <v>0.0</v>
      </c>
      <c r="G1645" s="99" t="s">
        <v>581</v>
      </c>
      <c r="H1645" s="28">
        <f t="array" ref="H1645">INDEX(CC!C:C,MATCH(1,(CC!A:A=G1645)*(CC!B:B=I1645),0))</f>
        <v>202</v>
      </c>
      <c r="I1645" s="99" t="s">
        <v>25</v>
      </c>
      <c r="J1645" s="31">
        <v>6000.0</v>
      </c>
      <c r="K1645" s="28" t="str">
        <f>IFERROR(__xludf.DUMMYFUNCTION("IFERROR(
INDEX(
FILTER(
MAP(
reglas!$B$2:$B$240,
reglas!$C$2:$C$240,
reglas!$D$2:$D$240,
reglas!$E$2:$E$240,
LAMBDA(rEmisor,rPatron,rConcepto,rTipo,
IF(
AND(
OR(
UPPER(TRIM(rEmisor))=UPPER(TRIM(C1645)),
UPPER(TRIM(rEmisor))=""CUALQUIERA""
),
OR(
UPPER(TRI"&amp;"M(rTipo))=""SOLO EMISOR"",
AND(
UPPER(TRIM(rTipo))=""EXACTA"",
UPPER(TRIM(AG1645))=UPPER(TRIM(rPatron))
),
AND(
OR(
UPPER(TRIM(rTipo))=""CONTIENE"",
UPPER(TRIM(rTipo))=""COINCIDENCIA""
),
ISNUMBER(SEARCH(UPPER(TRIM(rPatron)),UPPER(TRIM(D1645))))
)
)
),
rC"&amp;"oncepto,
""""
)
)
),
MAP(
reglas!$B$2:$B$240,
reglas!$C$2:$C$240,
reglas!$D$2:$D$240,
reglas!$E$2:$E$240,
LAMBDA(rEmisor,rPatron,rConcepto,rTipo,
IF(
AND(
OR(
UPPER(TRIM(rEmisor))=UPPER(TRIM(C1645)),
UPPER(TRIM(rEmisor))=""CUALQUIERA""
),
OR(
UPPER(TRIM(r"&amp;"Tipo))=""SOLO EMISOR"",
AND(
UPPER(TRIM(rTipo))=""EXACTA"",
UPPER(TRIM(D1645))=UPPER(TRIM(rPatron))
),
AND(
OR(
UPPER(TRIM(rTipo))=""CONTIENE"",
UPPER(TRIM(rTipo))=""COINCIDENCIA""
),
ISNUMBER(SEARCH(UPPER(TRIM(rPatron)),UPPER(TRIM(D1645))))
)
)
),
rConce"&amp;"pto,
""""
)
)
)&lt;&gt;""""
),
1
),
""""
)"),"ARRENDAMIENTO EQUIPO DE TRANSPORTE")</f>
        <v>ARRENDAMIENTO EQUIPO DE TRANSPORTE</v>
      </c>
      <c r="L1645" s="27"/>
      <c r="M1645" s="27"/>
      <c r="N1645" s="27"/>
      <c r="O1645" s="27"/>
      <c r="P1645" s="27"/>
      <c r="Q1645" s="27"/>
      <c r="R1645" s="27"/>
      <c r="S1645" s="27"/>
      <c r="T1645" s="27"/>
      <c r="U1645" s="27"/>
      <c r="V1645" s="27"/>
      <c r="W1645" s="27"/>
      <c r="X1645" s="27"/>
      <c r="Y1645" s="27"/>
    </row>
    <row r="1646">
      <c r="A1646" s="32"/>
      <c r="B1646" s="32"/>
      <c r="C1646" s="29" t="s">
        <v>217</v>
      </c>
      <c r="D1646" s="29" t="s">
        <v>1949</v>
      </c>
      <c r="E1646" s="30">
        <v>5300.0</v>
      </c>
      <c r="F1646" s="28">
        <v>0.0</v>
      </c>
      <c r="G1646" s="99" t="s">
        <v>581</v>
      </c>
      <c r="H1646" s="28">
        <f t="array" ref="H1646">INDEX(CC!C:C,MATCH(1,(CC!A:A=G1646)*(CC!B:B=I1646),0))</f>
        <v>202</v>
      </c>
      <c r="I1646" s="99" t="s">
        <v>25</v>
      </c>
      <c r="J1646" s="31">
        <v>5300.0</v>
      </c>
      <c r="K1646" s="28" t="str">
        <f>IFERROR(__xludf.DUMMYFUNCTION("IFERROR(
INDEX(
FILTER(
MAP(
reglas!$B$2:$B$240,
reglas!$C$2:$C$240,
reglas!$D$2:$D$240,
reglas!$E$2:$E$240,
LAMBDA(rEmisor,rPatron,rConcepto,rTipo,
IF(
AND(
OR(
UPPER(TRIM(rEmisor))=UPPER(TRIM(C1646)),
UPPER(TRIM(rEmisor))=""CUALQUIERA""
),
OR(
UPPER(TRI"&amp;"M(rTipo))=""SOLO EMISOR"",
AND(
UPPER(TRIM(rTipo))=""EXACTA"",
UPPER(TRIM(AG1646))=UPPER(TRIM(rPatron))
),
AND(
OR(
UPPER(TRIM(rTipo))=""CONTIENE"",
UPPER(TRIM(rTipo))=""COINCIDENCIA""
),
ISNUMBER(SEARCH(UPPER(TRIM(rPatron)),UPPER(TRIM(D1646))))
)
)
),
rC"&amp;"oncepto,
""""
)
)
),
MAP(
reglas!$B$2:$B$240,
reglas!$C$2:$C$240,
reglas!$D$2:$D$240,
reglas!$E$2:$E$240,
LAMBDA(rEmisor,rPatron,rConcepto,rTipo,
IF(
AND(
OR(
UPPER(TRIM(rEmisor))=UPPER(TRIM(C1646)),
UPPER(TRIM(rEmisor))=""CUALQUIERA""
),
OR(
UPPER(TRIM(r"&amp;"Tipo))=""SOLO EMISOR"",
AND(
UPPER(TRIM(rTipo))=""EXACTA"",
UPPER(TRIM(D1646))=UPPER(TRIM(rPatron))
),
AND(
OR(
UPPER(TRIM(rTipo))=""CONTIENE"",
UPPER(TRIM(rTipo))=""COINCIDENCIA""
),
ISNUMBER(SEARCH(UPPER(TRIM(rPatron)),UPPER(TRIM(D1646))))
)
)
),
rConce"&amp;"pto,
""""
)
)
)&lt;&gt;""""
),
1
),
""""
)"),"ARRENDAMIENTO EQUIPO DE TRANSPORTE")</f>
        <v>ARRENDAMIENTO EQUIPO DE TRANSPORTE</v>
      </c>
      <c r="L1646" s="27"/>
      <c r="M1646" s="27"/>
      <c r="N1646" s="27"/>
      <c r="O1646" s="27"/>
      <c r="P1646" s="27"/>
      <c r="Q1646" s="27"/>
      <c r="R1646" s="27"/>
      <c r="S1646" s="27"/>
      <c r="T1646" s="27"/>
      <c r="U1646" s="27"/>
      <c r="V1646" s="27"/>
      <c r="W1646" s="27"/>
      <c r="X1646" s="27"/>
      <c r="Y1646" s="27"/>
    </row>
    <row r="1647">
      <c r="A1647" s="32"/>
      <c r="B1647" s="32"/>
      <c r="C1647" s="29" t="s">
        <v>217</v>
      </c>
      <c r="D1647" s="29" t="s">
        <v>1950</v>
      </c>
      <c r="E1647" s="30">
        <v>3200.0</v>
      </c>
      <c r="F1647" s="28">
        <v>0.0</v>
      </c>
      <c r="G1647" s="99" t="s">
        <v>581</v>
      </c>
      <c r="H1647" s="28">
        <f t="array" ref="H1647">INDEX(CC!C:C,MATCH(1,(CC!A:A=G1647)*(CC!B:B=I1647),0))</f>
        <v>202</v>
      </c>
      <c r="I1647" s="99" t="s">
        <v>25</v>
      </c>
      <c r="J1647" s="31">
        <v>3200.0</v>
      </c>
      <c r="K1647" s="28" t="str">
        <f>IFERROR(__xludf.DUMMYFUNCTION("IFERROR(
INDEX(
FILTER(
MAP(
reglas!$B$2:$B$240,
reglas!$C$2:$C$240,
reglas!$D$2:$D$240,
reglas!$E$2:$E$240,
LAMBDA(rEmisor,rPatron,rConcepto,rTipo,
IF(
AND(
OR(
UPPER(TRIM(rEmisor))=UPPER(TRIM(C1647)),
UPPER(TRIM(rEmisor))=""CUALQUIERA""
),
OR(
UPPER(TRI"&amp;"M(rTipo))=""SOLO EMISOR"",
AND(
UPPER(TRIM(rTipo))=""EXACTA"",
UPPER(TRIM(AG1647))=UPPER(TRIM(rPatron))
),
AND(
OR(
UPPER(TRIM(rTipo))=""CONTIENE"",
UPPER(TRIM(rTipo))=""COINCIDENCIA""
),
ISNUMBER(SEARCH(UPPER(TRIM(rPatron)),UPPER(TRIM(D1647))))
)
)
),
rC"&amp;"oncepto,
""""
)
)
),
MAP(
reglas!$B$2:$B$240,
reglas!$C$2:$C$240,
reglas!$D$2:$D$240,
reglas!$E$2:$E$240,
LAMBDA(rEmisor,rPatron,rConcepto,rTipo,
IF(
AND(
OR(
UPPER(TRIM(rEmisor))=UPPER(TRIM(C1647)),
UPPER(TRIM(rEmisor))=""CUALQUIERA""
),
OR(
UPPER(TRIM(r"&amp;"Tipo))=""SOLO EMISOR"",
AND(
UPPER(TRIM(rTipo))=""EXACTA"",
UPPER(TRIM(D1647))=UPPER(TRIM(rPatron))
),
AND(
OR(
UPPER(TRIM(rTipo))=""CONTIENE"",
UPPER(TRIM(rTipo))=""COINCIDENCIA""
),
ISNUMBER(SEARCH(UPPER(TRIM(rPatron)),UPPER(TRIM(D1647))))
)
)
),
rConce"&amp;"pto,
""""
)
)
)&lt;&gt;""""
),
1
),
""""
)"),"ARRENDAMIENTO EQUIPO DE TRANSPORTE")</f>
        <v>ARRENDAMIENTO EQUIPO DE TRANSPORTE</v>
      </c>
      <c r="L1647" s="27"/>
      <c r="M1647" s="27"/>
      <c r="N1647" s="27"/>
      <c r="O1647" s="27"/>
      <c r="P1647" s="27"/>
      <c r="Q1647" s="27"/>
      <c r="R1647" s="27"/>
      <c r="S1647" s="27"/>
      <c r="T1647" s="27"/>
      <c r="U1647" s="27"/>
      <c r="V1647" s="27"/>
      <c r="W1647" s="27"/>
      <c r="X1647" s="27"/>
      <c r="Y1647" s="27"/>
    </row>
    <row r="1648">
      <c r="A1648" s="32"/>
      <c r="B1648" s="32"/>
      <c r="C1648" s="29" t="s">
        <v>217</v>
      </c>
      <c r="D1648" s="29" t="s">
        <v>1951</v>
      </c>
      <c r="E1648" s="30">
        <v>3763.15</v>
      </c>
      <c r="F1648" s="28">
        <v>0.0</v>
      </c>
      <c r="G1648" s="99" t="s">
        <v>581</v>
      </c>
      <c r="H1648" s="28">
        <f t="array" ref="H1648">INDEX(CC!C:C,MATCH(1,(CC!A:A=G1648)*(CC!B:B=I1648),0))</f>
        <v>202</v>
      </c>
      <c r="I1648" s="99" t="s">
        <v>25</v>
      </c>
      <c r="J1648" s="31">
        <v>3763.15</v>
      </c>
      <c r="K1648" s="28" t="str">
        <f>IFERROR(__xludf.DUMMYFUNCTION("IFERROR(
INDEX(
FILTER(
MAP(
reglas!$B$2:$B$240,
reglas!$C$2:$C$240,
reglas!$D$2:$D$240,
reglas!$E$2:$E$240,
LAMBDA(rEmisor,rPatron,rConcepto,rTipo,
IF(
AND(
OR(
UPPER(TRIM(rEmisor))=UPPER(TRIM(C1648)),
UPPER(TRIM(rEmisor))=""CUALQUIERA""
),
OR(
UPPER(TRI"&amp;"M(rTipo))=""SOLO EMISOR"",
AND(
UPPER(TRIM(rTipo))=""EXACTA"",
UPPER(TRIM(AG1648))=UPPER(TRIM(rPatron))
),
AND(
OR(
UPPER(TRIM(rTipo))=""CONTIENE"",
UPPER(TRIM(rTipo))=""COINCIDENCIA""
),
ISNUMBER(SEARCH(UPPER(TRIM(rPatron)),UPPER(TRIM(D1648))))
)
)
),
rC"&amp;"oncepto,
""""
)
)
),
MAP(
reglas!$B$2:$B$240,
reglas!$C$2:$C$240,
reglas!$D$2:$D$240,
reglas!$E$2:$E$240,
LAMBDA(rEmisor,rPatron,rConcepto,rTipo,
IF(
AND(
OR(
UPPER(TRIM(rEmisor))=UPPER(TRIM(C1648)),
UPPER(TRIM(rEmisor))=""CUALQUIERA""
),
OR(
UPPER(TRIM(r"&amp;"Tipo))=""SOLO EMISOR"",
AND(
UPPER(TRIM(rTipo))=""EXACTA"",
UPPER(TRIM(D1648))=UPPER(TRIM(rPatron))
),
AND(
OR(
UPPER(TRIM(rTipo))=""CONTIENE"",
UPPER(TRIM(rTipo))=""COINCIDENCIA""
),
ISNUMBER(SEARCH(UPPER(TRIM(rPatron)),UPPER(TRIM(D1648))))
)
)
),
rConce"&amp;"pto,
""""
)
)
)&lt;&gt;""""
),
1
),
""""
)"),"ARRENDAMIENTO EQUIPO DE TRANSPORTE")</f>
        <v>ARRENDAMIENTO EQUIPO DE TRANSPORTE</v>
      </c>
      <c r="L1648" s="27"/>
      <c r="M1648" s="27"/>
      <c r="N1648" s="27"/>
      <c r="O1648" s="27"/>
      <c r="P1648" s="27"/>
      <c r="Q1648" s="27"/>
      <c r="R1648" s="27"/>
      <c r="S1648" s="27"/>
      <c r="T1648" s="27"/>
      <c r="U1648" s="27"/>
      <c r="V1648" s="27"/>
      <c r="W1648" s="27"/>
      <c r="X1648" s="27"/>
      <c r="Y1648" s="27"/>
    </row>
    <row r="1649">
      <c r="A1649" s="32"/>
      <c r="B1649" s="28" t="s">
        <v>29</v>
      </c>
      <c r="C1649" s="29" t="s">
        <v>278</v>
      </c>
      <c r="D1649" s="29" t="s">
        <v>560</v>
      </c>
      <c r="E1649" s="30">
        <v>3500.0</v>
      </c>
      <c r="F1649" s="28">
        <v>0.0</v>
      </c>
      <c r="G1649" s="99" t="s">
        <v>250</v>
      </c>
      <c r="H1649" s="28">
        <f t="array" ref="H1649">INDEX(CC!C:C,MATCH(1,(CC!A:A=G1649)*(CC!B:B=I1649),0))</f>
        <v>1402</v>
      </c>
      <c r="I1649" s="99" t="s">
        <v>25</v>
      </c>
      <c r="J1649" s="31">
        <v>3500.0</v>
      </c>
      <c r="K1649" s="28" t="str">
        <f>IFERROR(__xludf.DUMMYFUNCTION("IFERROR(
INDEX(
FILTER(
MAP(
reglas!$B$2:$B$240,
reglas!$C$2:$C$240,
reglas!$D$2:$D$240,
reglas!$E$2:$E$240,
LAMBDA(rEmisor,rPatron,rConcepto,rTipo,
IF(
AND(
OR(
UPPER(TRIM(rEmisor))=UPPER(TRIM(C1649)),
UPPER(TRIM(rEmisor))=""CUALQUIERA""
),
OR(
UPPER(TRI"&amp;"M(rTipo))=""SOLO EMISOR"",
AND(
UPPER(TRIM(rTipo))=""EXACTA"",
UPPER(TRIM(AG1649))=UPPER(TRIM(rPatron))
),
AND(
OR(
UPPER(TRIM(rTipo))=""CONTIENE"",
UPPER(TRIM(rTipo))=""COINCIDENCIA""
),
ISNUMBER(SEARCH(UPPER(TRIM(rPatron)),UPPER(TRIM(D1649))))
)
)
),
rC"&amp;"oncepto,
""""
)
)
),
MAP(
reglas!$B$2:$B$240,
reglas!$C$2:$C$240,
reglas!$D$2:$D$240,
reglas!$E$2:$E$240,
LAMBDA(rEmisor,rPatron,rConcepto,rTipo,
IF(
AND(
OR(
UPPER(TRIM(rEmisor))=UPPER(TRIM(C1649)),
UPPER(TRIM(rEmisor))=""CUALQUIERA""
),
OR(
UPPER(TRIM(r"&amp;"Tipo))=""SOLO EMISOR"",
AND(
UPPER(TRIM(rTipo))=""EXACTA"",
UPPER(TRIM(D1649))=UPPER(TRIM(rPatron))
),
AND(
OR(
UPPER(TRIM(rTipo))=""CONTIENE"",
UPPER(TRIM(rTipo))=""COINCIDENCIA""
),
ISNUMBER(SEARCH(UPPER(TRIM(rPatron)),UPPER(TRIM(D1649))))
)
)
),
rConce"&amp;"pto,
""""
)
)
)&lt;&gt;""""
),
1
),
""""
)"),"MANIOBRAS")</f>
        <v>MANIOBRAS</v>
      </c>
      <c r="L1649" s="27"/>
      <c r="M1649" s="27"/>
      <c r="N1649" s="27"/>
      <c r="O1649" s="27"/>
      <c r="P1649" s="27"/>
      <c r="Q1649" s="27"/>
      <c r="R1649" s="27"/>
      <c r="S1649" s="27"/>
      <c r="T1649" s="27"/>
      <c r="U1649" s="27"/>
      <c r="V1649" s="27"/>
      <c r="W1649" s="27"/>
      <c r="X1649" s="27"/>
      <c r="Y1649" s="27"/>
    </row>
    <row r="1650">
      <c r="A1650" s="28">
        <v>1.0</v>
      </c>
      <c r="B1650" s="28" t="s">
        <v>29</v>
      </c>
      <c r="C1650" s="29" t="s">
        <v>89</v>
      </c>
      <c r="D1650" s="29" t="s">
        <v>91</v>
      </c>
      <c r="E1650" s="30">
        <v>1283.04</v>
      </c>
      <c r="F1650" s="28">
        <v>0.0</v>
      </c>
      <c r="G1650" s="99" t="s">
        <v>601</v>
      </c>
      <c r="H1650" s="28">
        <f t="array" ref="H1650">INDEX(CC!C:C,MATCH(1,(CC!A:A=G1650)*(CC!B:B=I1650),0))</f>
        <v>402</v>
      </c>
      <c r="I1650" s="99" t="s">
        <v>25</v>
      </c>
      <c r="J1650" s="31">
        <v>1283.04</v>
      </c>
      <c r="K1650" s="28" t="str">
        <f>IFERROR(__xludf.DUMMYFUNCTION("IFERROR(
INDEX(
FILTER(
MAP(
reglas!$B$2:$B$240,
reglas!$C$2:$C$240,
reglas!$D$2:$D$240,
reglas!$E$2:$E$240,
LAMBDA(rEmisor,rPatron,rConcepto,rTipo,
IF(
AND(
OR(
UPPER(TRIM(rEmisor))=UPPER(TRIM(C1650)),
UPPER(TRIM(rEmisor))=""CUALQUIERA""
),
OR(
UPPER(TRI"&amp;"M(rTipo))=""SOLO EMISOR"",
AND(
UPPER(TRIM(rTipo))=""EXACTA"",
UPPER(TRIM(AG1650))=UPPER(TRIM(rPatron))
),
AND(
OR(
UPPER(TRIM(rTipo))=""CONTIENE"",
UPPER(TRIM(rTipo))=""COINCIDENCIA""
),
ISNUMBER(SEARCH(UPPER(TRIM(rPatron)),UPPER(TRIM(D1650))))
)
)
),
rC"&amp;"oncepto,
""""
)
)
),
MAP(
reglas!$B$2:$B$240,
reglas!$C$2:$C$240,
reglas!$D$2:$D$240,
reglas!$E$2:$E$240,
LAMBDA(rEmisor,rPatron,rConcepto,rTipo,
IF(
AND(
OR(
UPPER(TRIM(rEmisor))=UPPER(TRIM(C1650)),
UPPER(TRIM(rEmisor))=""CUALQUIERA""
),
OR(
UPPER(TRIM(r"&amp;"Tipo))=""SOLO EMISOR"",
AND(
UPPER(TRIM(rTipo))=""EXACTA"",
UPPER(TRIM(D1650))=UPPER(TRIM(rPatron))
),
AND(
OR(
UPPER(TRIM(rTipo))=""CONTIENE"",
UPPER(TRIM(rTipo))=""COINCIDENCIA""
),
ISNUMBER(SEARCH(UPPER(TRIM(rPatron)),UPPER(TRIM(D1650))))
)
)
),
rConce"&amp;"pto,
""""
)
)
)&lt;&gt;""""
),
1
),
""""
)"),"MANIOBRAS")</f>
        <v>MANIOBRAS</v>
      </c>
      <c r="L1650" s="27"/>
      <c r="M1650" s="27"/>
      <c r="N1650" s="27"/>
      <c r="O1650" s="27"/>
      <c r="P1650" s="27"/>
      <c r="Q1650" s="27"/>
      <c r="R1650" s="27"/>
      <c r="S1650" s="27"/>
      <c r="T1650" s="27"/>
      <c r="U1650" s="27"/>
      <c r="V1650" s="27"/>
      <c r="W1650" s="27"/>
      <c r="X1650" s="27"/>
      <c r="Y1650" s="27"/>
    </row>
    <row r="1651">
      <c r="A1651" s="32"/>
      <c r="B1651" s="28" t="s">
        <v>29</v>
      </c>
      <c r="C1651" s="29" t="s">
        <v>217</v>
      </c>
      <c r="D1651" s="29" t="s">
        <v>1952</v>
      </c>
      <c r="E1651" s="30">
        <v>6000.0</v>
      </c>
      <c r="F1651" s="28">
        <v>0.0</v>
      </c>
      <c r="G1651" s="99" t="s">
        <v>581</v>
      </c>
      <c r="H1651" s="28">
        <f t="array" ref="H1651">INDEX(CC!C:C,MATCH(1,(CC!A:A=G1651)*(CC!B:B=I1651),0))</f>
        <v>202</v>
      </c>
      <c r="I1651" s="99" t="s">
        <v>25</v>
      </c>
      <c r="J1651" s="31">
        <v>6000.0</v>
      </c>
      <c r="K1651" s="28" t="str">
        <f>IFERROR(__xludf.DUMMYFUNCTION("IFERROR(
INDEX(
FILTER(
MAP(
reglas!$B$2:$B$240,
reglas!$C$2:$C$240,
reglas!$D$2:$D$240,
reglas!$E$2:$E$240,
LAMBDA(rEmisor,rPatron,rConcepto,rTipo,
IF(
AND(
OR(
UPPER(TRIM(rEmisor))=UPPER(TRIM(C1651)),
UPPER(TRIM(rEmisor))=""CUALQUIERA""
),
OR(
UPPER(TRI"&amp;"M(rTipo))=""SOLO EMISOR"",
AND(
UPPER(TRIM(rTipo))=""EXACTA"",
UPPER(TRIM(AG1651))=UPPER(TRIM(rPatron))
),
AND(
OR(
UPPER(TRIM(rTipo))=""CONTIENE"",
UPPER(TRIM(rTipo))=""COINCIDENCIA""
),
ISNUMBER(SEARCH(UPPER(TRIM(rPatron)),UPPER(TRIM(D1651))))
)
)
),
rC"&amp;"oncepto,
""""
)
)
),
MAP(
reglas!$B$2:$B$240,
reglas!$C$2:$C$240,
reglas!$D$2:$D$240,
reglas!$E$2:$E$240,
LAMBDA(rEmisor,rPatron,rConcepto,rTipo,
IF(
AND(
OR(
UPPER(TRIM(rEmisor))=UPPER(TRIM(C1651)),
UPPER(TRIM(rEmisor))=""CUALQUIERA""
),
OR(
UPPER(TRIM(r"&amp;"Tipo))=""SOLO EMISOR"",
AND(
UPPER(TRIM(rTipo))=""EXACTA"",
UPPER(TRIM(D1651))=UPPER(TRIM(rPatron))
),
AND(
OR(
UPPER(TRIM(rTipo))=""CONTIENE"",
UPPER(TRIM(rTipo))=""COINCIDENCIA""
),
ISNUMBER(SEARCH(UPPER(TRIM(rPatron)),UPPER(TRIM(D1651))))
)
)
),
rConce"&amp;"pto,
""""
)
)
)&lt;&gt;""""
),
1
),
""""
)"),"ARRENDAMIENTO EQUIPO DE TRANSPORTE")</f>
        <v>ARRENDAMIENTO EQUIPO DE TRANSPORTE</v>
      </c>
      <c r="L1651" s="27"/>
      <c r="M1651" s="27"/>
      <c r="N1651" s="27"/>
      <c r="O1651" s="27"/>
      <c r="P1651" s="27"/>
      <c r="Q1651" s="27"/>
      <c r="R1651" s="27"/>
      <c r="S1651" s="27"/>
      <c r="T1651" s="27"/>
      <c r="U1651" s="27"/>
      <c r="V1651" s="27"/>
      <c r="W1651" s="27"/>
      <c r="X1651" s="27"/>
      <c r="Y1651" s="27"/>
    </row>
    <row r="1652">
      <c r="A1652" s="32"/>
      <c r="B1652" s="32"/>
      <c r="C1652" s="29" t="s">
        <v>217</v>
      </c>
      <c r="D1652" s="29" t="s">
        <v>1949</v>
      </c>
      <c r="E1652" s="30">
        <v>5300.0</v>
      </c>
      <c r="F1652" s="28">
        <v>0.0</v>
      </c>
      <c r="G1652" s="99" t="s">
        <v>581</v>
      </c>
      <c r="H1652" s="28">
        <f t="array" ref="H1652">INDEX(CC!C:C,MATCH(1,(CC!A:A=G1652)*(CC!B:B=I1652),0))</f>
        <v>202</v>
      </c>
      <c r="I1652" s="99" t="s">
        <v>25</v>
      </c>
      <c r="J1652" s="31">
        <v>5300.0</v>
      </c>
      <c r="K1652" s="28" t="str">
        <f>IFERROR(__xludf.DUMMYFUNCTION("IFERROR(
INDEX(
FILTER(
MAP(
reglas!$B$2:$B$240,
reglas!$C$2:$C$240,
reglas!$D$2:$D$240,
reglas!$E$2:$E$240,
LAMBDA(rEmisor,rPatron,rConcepto,rTipo,
IF(
AND(
OR(
UPPER(TRIM(rEmisor))=UPPER(TRIM(C1652)),
UPPER(TRIM(rEmisor))=""CUALQUIERA""
),
OR(
UPPER(TRI"&amp;"M(rTipo))=""SOLO EMISOR"",
AND(
UPPER(TRIM(rTipo))=""EXACTA"",
UPPER(TRIM(AG1652))=UPPER(TRIM(rPatron))
),
AND(
OR(
UPPER(TRIM(rTipo))=""CONTIENE"",
UPPER(TRIM(rTipo))=""COINCIDENCIA""
),
ISNUMBER(SEARCH(UPPER(TRIM(rPatron)),UPPER(TRIM(D1652))))
)
)
),
rC"&amp;"oncepto,
""""
)
)
),
MAP(
reglas!$B$2:$B$240,
reglas!$C$2:$C$240,
reglas!$D$2:$D$240,
reglas!$E$2:$E$240,
LAMBDA(rEmisor,rPatron,rConcepto,rTipo,
IF(
AND(
OR(
UPPER(TRIM(rEmisor))=UPPER(TRIM(C1652)),
UPPER(TRIM(rEmisor))=""CUALQUIERA""
),
OR(
UPPER(TRIM(r"&amp;"Tipo))=""SOLO EMISOR"",
AND(
UPPER(TRIM(rTipo))=""EXACTA"",
UPPER(TRIM(D1652))=UPPER(TRIM(rPatron))
),
AND(
OR(
UPPER(TRIM(rTipo))=""CONTIENE"",
UPPER(TRIM(rTipo))=""COINCIDENCIA""
),
ISNUMBER(SEARCH(UPPER(TRIM(rPatron)),UPPER(TRIM(D1652))))
)
)
),
rConce"&amp;"pto,
""""
)
)
)&lt;&gt;""""
),
1
),
""""
)"),"ARRENDAMIENTO EQUIPO DE TRANSPORTE")</f>
        <v>ARRENDAMIENTO EQUIPO DE TRANSPORTE</v>
      </c>
      <c r="L1652" s="27"/>
      <c r="M1652" s="27"/>
      <c r="N1652" s="27"/>
      <c r="O1652" s="27"/>
      <c r="P1652" s="27"/>
      <c r="Q1652" s="27"/>
      <c r="R1652" s="27"/>
      <c r="S1652" s="27"/>
      <c r="T1652" s="27"/>
      <c r="U1652" s="27"/>
      <c r="V1652" s="27"/>
      <c r="W1652" s="27"/>
      <c r="X1652" s="27"/>
      <c r="Y1652" s="27"/>
    </row>
    <row r="1653">
      <c r="A1653" s="32"/>
      <c r="B1653" s="32"/>
      <c r="C1653" s="29" t="s">
        <v>217</v>
      </c>
      <c r="D1653" s="29" t="s">
        <v>1950</v>
      </c>
      <c r="E1653" s="30">
        <v>3200.0</v>
      </c>
      <c r="F1653" s="28">
        <v>0.0</v>
      </c>
      <c r="G1653" s="99" t="s">
        <v>581</v>
      </c>
      <c r="H1653" s="28">
        <f t="array" ref="H1653">INDEX(CC!C:C,MATCH(1,(CC!A:A=G1653)*(CC!B:B=I1653),0))</f>
        <v>202</v>
      </c>
      <c r="I1653" s="99" t="s">
        <v>25</v>
      </c>
      <c r="J1653" s="31">
        <v>3200.0</v>
      </c>
      <c r="K1653" s="28" t="str">
        <f>IFERROR(__xludf.DUMMYFUNCTION("IFERROR(
INDEX(
FILTER(
MAP(
reglas!$B$2:$B$240,
reglas!$C$2:$C$240,
reglas!$D$2:$D$240,
reglas!$E$2:$E$240,
LAMBDA(rEmisor,rPatron,rConcepto,rTipo,
IF(
AND(
OR(
UPPER(TRIM(rEmisor))=UPPER(TRIM(C1653)),
UPPER(TRIM(rEmisor))=""CUALQUIERA""
),
OR(
UPPER(TRI"&amp;"M(rTipo))=""SOLO EMISOR"",
AND(
UPPER(TRIM(rTipo))=""EXACTA"",
UPPER(TRIM(AG1653))=UPPER(TRIM(rPatron))
),
AND(
OR(
UPPER(TRIM(rTipo))=""CONTIENE"",
UPPER(TRIM(rTipo))=""COINCIDENCIA""
),
ISNUMBER(SEARCH(UPPER(TRIM(rPatron)),UPPER(TRIM(D1653))))
)
)
),
rC"&amp;"oncepto,
""""
)
)
),
MAP(
reglas!$B$2:$B$240,
reglas!$C$2:$C$240,
reglas!$D$2:$D$240,
reglas!$E$2:$E$240,
LAMBDA(rEmisor,rPatron,rConcepto,rTipo,
IF(
AND(
OR(
UPPER(TRIM(rEmisor))=UPPER(TRIM(C1653)),
UPPER(TRIM(rEmisor))=""CUALQUIERA""
),
OR(
UPPER(TRIM(r"&amp;"Tipo))=""SOLO EMISOR"",
AND(
UPPER(TRIM(rTipo))=""EXACTA"",
UPPER(TRIM(D1653))=UPPER(TRIM(rPatron))
),
AND(
OR(
UPPER(TRIM(rTipo))=""CONTIENE"",
UPPER(TRIM(rTipo))=""COINCIDENCIA""
),
ISNUMBER(SEARCH(UPPER(TRIM(rPatron)),UPPER(TRIM(D1653))))
)
)
),
rConce"&amp;"pto,
""""
)
)
)&lt;&gt;""""
),
1
),
""""
)"),"ARRENDAMIENTO EQUIPO DE TRANSPORTE")</f>
        <v>ARRENDAMIENTO EQUIPO DE TRANSPORTE</v>
      </c>
      <c r="L1653" s="27"/>
      <c r="M1653" s="27"/>
      <c r="N1653" s="27"/>
      <c r="O1653" s="27"/>
      <c r="P1653" s="27"/>
      <c r="Q1653" s="27"/>
      <c r="R1653" s="27"/>
      <c r="S1653" s="27"/>
      <c r="T1653" s="27"/>
      <c r="U1653" s="27"/>
      <c r="V1653" s="27"/>
      <c r="W1653" s="27"/>
      <c r="X1653" s="27"/>
      <c r="Y1653" s="27"/>
    </row>
    <row r="1654">
      <c r="A1654" s="32"/>
      <c r="B1654" s="32"/>
      <c r="C1654" s="29" t="s">
        <v>217</v>
      </c>
      <c r="D1654" s="29" t="s">
        <v>1951</v>
      </c>
      <c r="E1654" s="30">
        <v>3763.15</v>
      </c>
      <c r="F1654" s="28">
        <v>0.0</v>
      </c>
      <c r="G1654" s="99" t="s">
        <v>581</v>
      </c>
      <c r="H1654" s="28">
        <f t="array" ref="H1654">INDEX(CC!C:C,MATCH(1,(CC!A:A=G1654)*(CC!B:B=I1654),0))</f>
        <v>202</v>
      </c>
      <c r="I1654" s="99" t="s">
        <v>25</v>
      </c>
      <c r="J1654" s="31">
        <v>3763.15</v>
      </c>
      <c r="K1654" s="28" t="str">
        <f>IFERROR(__xludf.DUMMYFUNCTION("IFERROR(
INDEX(
FILTER(
MAP(
reglas!$B$2:$B$240,
reglas!$C$2:$C$240,
reglas!$D$2:$D$240,
reglas!$E$2:$E$240,
LAMBDA(rEmisor,rPatron,rConcepto,rTipo,
IF(
AND(
OR(
UPPER(TRIM(rEmisor))=UPPER(TRIM(C1654)),
UPPER(TRIM(rEmisor))=""CUALQUIERA""
),
OR(
UPPER(TRI"&amp;"M(rTipo))=""SOLO EMISOR"",
AND(
UPPER(TRIM(rTipo))=""EXACTA"",
UPPER(TRIM(AG1654))=UPPER(TRIM(rPatron))
),
AND(
OR(
UPPER(TRIM(rTipo))=""CONTIENE"",
UPPER(TRIM(rTipo))=""COINCIDENCIA""
),
ISNUMBER(SEARCH(UPPER(TRIM(rPatron)),UPPER(TRIM(D1654))))
)
)
),
rC"&amp;"oncepto,
""""
)
)
),
MAP(
reglas!$B$2:$B$240,
reglas!$C$2:$C$240,
reglas!$D$2:$D$240,
reglas!$E$2:$E$240,
LAMBDA(rEmisor,rPatron,rConcepto,rTipo,
IF(
AND(
OR(
UPPER(TRIM(rEmisor))=UPPER(TRIM(C1654)),
UPPER(TRIM(rEmisor))=""CUALQUIERA""
),
OR(
UPPER(TRIM(r"&amp;"Tipo))=""SOLO EMISOR"",
AND(
UPPER(TRIM(rTipo))=""EXACTA"",
UPPER(TRIM(D1654))=UPPER(TRIM(rPatron))
),
AND(
OR(
UPPER(TRIM(rTipo))=""CONTIENE"",
UPPER(TRIM(rTipo))=""COINCIDENCIA""
),
ISNUMBER(SEARCH(UPPER(TRIM(rPatron)),UPPER(TRIM(D1654))))
)
)
),
rConce"&amp;"pto,
""""
)
)
)&lt;&gt;""""
),
1
),
""""
)"),"ARRENDAMIENTO EQUIPO DE TRANSPORTE")</f>
        <v>ARRENDAMIENTO EQUIPO DE TRANSPORTE</v>
      </c>
      <c r="L1654" s="27"/>
      <c r="M1654" s="27"/>
      <c r="N1654" s="27"/>
      <c r="O1654" s="27"/>
      <c r="P1654" s="27"/>
      <c r="Q1654" s="27"/>
      <c r="R1654" s="27"/>
      <c r="S1654" s="27"/>
      <c r="T1654" s="27"/>
      <c r="U1654" s="27"/>
      <c r="V1654" s="27"/>
      <c r="W1654" s="27"/>
      <c r="X1654" s="27"/>
      <c r="Y1654" s="27"/>
    </row>
    <row r="1655">
      <c r="A1655" s="28">
        <v>1.0</v>
      </c>
      <c r="B1655" s="28" t="s">
        <v>29</v>
      </c>
      <c r="C1655" s="29" t="s">
        <v>271</v>
      </c>
      <c r="D1655" s="29" t="s">
        <v>585</v>
      </c>
      <c r="E1655" s="28">
        <v>619.55</v>
      </c>
      <c r="F1655" s="28">
        <v>0.0</v>
      </c>
      <c r="G1655" s="28" t="s">
        <v>84</v>
      </c>
      <c r="H1655" s="28">
        <f t="array" ref="H1655">INDEX(CC!C:C,MATCH(1,(CC!A:A=G1655)*(CC!B:B=I1655),0))</f>
        <v>1002</v>
      </c>
      <c r="I1655" s="28" t="s">
        <v>25</v>
      </c>
      <c r="J1655" s="31">
        <v>619.55</v>
      </c>
      <c r="K1655" s="28" t="str">
        <f>IFERROR(__xludf.DUMMYFUNCTION("IFERROR(
INDEX(
FILTER(
MAP(
reglas!$B$2:$B$240,
reglas!$C$2:$C$240,
reglas!$D$2:$D$240,
reglas!$E$2:$E$240,
LAMBDA(rEmisor,rPatron,rConcepto,rTipo,
IF(
AND(
OR(
UPPER(TRIM(rEmisor))=UPPER(TRIM(C1655)),
UPPER(TRIM(rEmisor))=""CUALQUIERA""
),
OR(
UPPER(TRI"&amp;"M(rTipo))=""SOLO EMISOR"",
AND(
UPPER(TRIM(rTipo))=""EXACTA"",
UPPER(TRIM(AG1655))=UPPER(TRIM(rPatron))
),
AND(
OR(
UPPER(TRIM(rTipo))=""CONTIENE"",
UPPER(TRIM(rTipo))=""COINCIDENCIA""
),
ISNUMBER(SEARCH(UPPER(TRIM(rPatron)),UPPER(TRIM(D1655))))
)
)
),
rC"&amp;"oncepto,
""""
)
)
),
MAP(
reglas!$B$2:$B$240,
reglas!$C$2:$C$240,
reglas!$D$2:$D$240,
reglas!$E$2:$E$240,
LAMBDA(rEmisor,rPatron,rConcepto,rTipo,
IF(
AND(
OR(
UPPER(TRIM(rEmisor))=UPPER(TRIM(C1655)),
UPPER(TRIM(rEmisor))=""CUALQUIERA""
),
OR(
UPPER(TRIM(r"&amp;"Tipo))=""SOLO EMISOR"",
AND(
UPPER(TRIM(rTipo))=""EXACTA"",
UPPER(TRIM(D1655))=UPPER(TRIM(rPatron))
),
AND(
OR(
UPPER(TRIM(rTipo))=""CONTIENE"",
UPPER(TRIM(rTipo))=""COINCIDENCIA""
),
ISNUMBER(SEARCH(UPPER(TRIM(rPatron)),UPPER(TRIM(D1655))))
)
)
),
rConce"&amp;"pto,
""""
)
)
)&lt;&gt;""""
),
1
),
""""
)"),"MANIOBRAS")</f>
        <v>MANIOBRAS</v>
      </c>
      <c r="L1655" s="27"/>
      <c r="M1655" s="27"/>
      <c r="N1655" s="27"/>
      <c r="O1655" s="27"/>
      <c r="P1655" s="27"/>
      <c r="Q1655" s="27"/>
      <c r="R1655" s="27"/>
      <c r="S1655" s="27"/>
      <c r="T1655" s="27"/>
      <c r="U1655" s="27"/>
      <c r="V1655" s="27"/>
      <c r="W1655" s="27"/>
      <c r="X1655" s="27"/>
      <c r="Y1655" s="27"/>
    </row>
    <row r="1656">
      <c r="A1656" s="32"/>
      <c r="B1656" s="32"/>
      <c r="C1656" s="29" t="s">
        <v>271</v>
      </c>
      <c r="D1656" s="29" t="s">
        <v>587</v>
      </c>
      <c r="E1656" s="28">
        <v>566.84</v>
      </c>
      <c r="F1656" s="28">
        <v>0.0</v>
      </c>
      <c r="G1656" s="28" t="s">
        <v>84</v>
      </c>
      <c r="H1656" s="28">
        <f t="array" ref="H1656">INDEX(CC!C:C,MATCH(1,(CC!A:A=G1656)*(CC!B:B=I1656),0))</f>
        <v>1002</v>
      </c>
      <c r="I1656" s="28" t="s">
        <v>25</v>
      </c>
      <c r="J1656" s="31">
        <v>566.84</v>
      </c>
      <c r="K1656" s="28" t="str">
        <f>IFERROR(__xludf.DUMMYFUNCTION("IFERROR(
INDEX(
FILTER(
MAP(
reglas!$B$2:$B$240,
reglas!$C$2:$C$240,
reglas!$D$2:$D$240,
reglas!$E$2:$E$240,
LAMBDA(rEmisor,rPatron,rConcepto,rTipo,
IF(
AND(
OR(
UPPER(TRIM(rEmisor))=UPPER(TRIM(C1656)),
UPPER(TRIM(rEmisor))=""CUALQUIERA""
),
OR(
UPPER(TRI"&amp;"M(rTipo))=""SOLO EMISOR"",
AND(
UPPER(TRIM(rTipo))=""EXACTA"",
UPPER(TRIM(AG1656))=UPPER(TRIM(rPatron))
),
AND(
OR(
UPPER(TRIM(rTipo))=""CONTIENE"",
UPPER(TRIM(rTipo))=""COINCIDENCIA""
),
ISNUMBER(SEARCH(UPPER(TRIM(rPatron)),UPPER(TRIM(D1656))))
)
)
),
rC"&amp;"oncepto,
""""
)
)
),
MAP(
reglas!$B$2:$B$240,
reglas!$C$2:$C$240,
reglas!$D$2:$D$240,
reglas!$E$2:$E$240,
LAMBDA(rEmisor,rPatron,rConcepto,rTipo,
IF(
AND(
OR(
UPPER(TRIM(rEmisor))=UPPER(TRIM(C1656)),
UPPER(TRIM(rEmisor))=""CUALQUIERA""
),
OR(
UPPER(TRIM(r"&amp;"Tipo))=""SOLO EMISOR"",
AND(
UPPER(TRIM(rTipo))=""EXACTA"",
UPPER(TRIM(D1656))=UPPER(TRIM(rPatron))
),
AND(
OR(
UPPER(TRIM(rTipo))=""CONTIENE"",
UPPER(TRIM(rTipo))=""COINCIDENCIA""
),
ISNUMBER(SEARCH(UPPER(TRIM(rPatron)),UPPER(TRIM(D1656))))
)
)
),
rConce"&amp;"pto,
""""
)
)
)&lt;&gt;""""
),
1
),
""""
)"),"MANIOBRAS")</f>
        <v>MANIOBRAS</v>
      </c>
      <c r="L1656" s="27"/>
      <c r="M1656" s="27"/>
      <c r="N1656" s="27"/>
      <c r="O1656" s="27"/>
      <c r="P1656" s="27"/>
      <c r="Q1656" s="27"/>
      <c r="R1656" s="27"/>
      <c r="S1656" s="27"/>
      <c r="T1656" s="27"/>
      <c r="U1656" s="27"/>
      <c r="V1656" s="27"/>
      <c r="W1656" s="27"/>
      <c r="X1656" s="27"/>
      <c r="Y1656" s="27"/>
    </row>
    <row r="1657">
      <c r="A1657" s="32"/>
      <c r="B1657" s="32"/>
      <c r="C1657" s="29" t="s">
        <v>271</v>
      </c>
      <c r="D1657" s="29" t="s">
        <v>589</v>
      </c>
      <c r="E1657" s="28">
        <v>619.88</v>
      </c>
      <c r="F1657" s="28">
        <v>0.0</v>
      </c>
      <c r="G1657" s="28" t="s">
        <v>84</v>
      </c>
      <c r="H1657" s="28">
        <f t="array" ref="H1657">INDEX(CC!C:C,MATCH(1,(CC!A:A=G1657)*(CC!B:B=I1657),0))</f>
        <v>1002</v>
      </c>
      <c r="I1657" s="28" t="s">
        <v>25</v>
      </c>
      <c r="J1657" s="31">
        <v>619.88</v>
      </c>
      <c r="K1657" s="28" t="str">
        <f>IFERROR(__xludf.DUMMYFUNCTION("IFERROR(
INDEX(
FILTER(
MAP(
reglas!$B$2:$B$240,
reglas!$C$2:$C$240,
reglas!$D$2:$D$240,
reglas!$E$2:$E$240,
LAMBDA(rEmisor,rPatron,rConcepto,rTipo,
IF(
AND(
OR(
UPPER(TRIM(rEmisor))=UPPER(TRIM(C1657)),
UPPER(TRIM(rEmisor))=""CUALQUIERA""
),
OR(
UPPER(TRI"&amp;"M(rTipo))=""SOLO EMISOR"",
AND(
UPPER(TRIM(rTipo))=""EXACTA"",
UPPER(TRIM(AG1657))=UPPER(TRIM(rPatron))
),
AND(
OR(
UPPER(TRIM(rTipo))=""CONTIENE"",
UPPER(TRIM(rTipo))=""COINCIDENCIA""
),
ISNUMBER(SEARCH(UPPER(TRIM(rPatron)),UPPER(TRIM(D1657))))
)
)
),
rC"&amp;"oncepto,
""""
)
)
),
MAP(
reglas!$B$2:$B$240,
reglas!$C$2:$C$240,
reglas!$D$2:$D$240,
reglas!$E$2:$E$240,
LAMBDA(rEmisor,rPatron,rConcepto,rTipo,
IF(
AND(
OR(
UPPER(TRIM(rEmisor))=UPPER(TRIM(C1657)),
UPPER(TRIM(rEmisor))=""CUALQUIERA""
),
OR(
UPPER(TRIM(r"&amp;"Tipo))=""SOLO EMISOR"",
AND(
UPPER(TRIM(rTipo))=""EXACTA"",
UPPER(TRIM(D1657))=UPPER(TRIM(rPatron))
),
AND(
OR(
UPPER(TRIM(rTipo))=""CONTIENE"",
UPPER(TRIM(rTipo))=""COINCIDENCIA""
),
ISNUMBER(SEARCH(UPPER(TRIM(rPatron)),UPPER(TRIM(D1657))))
)
)
),
rConce"&amp;"pto,
""""
)
)
)&lt;&gt;""""
),
1
),
""""
)"),"MANIOBRAS")</f>
        <v>MANIOBRAS</v>
      </c>
      <c r="L1657" s="27"/>
      <c r="M1657" s="27"/>
      <c r="N1657" s="27"/>
      <c r="O1657" s="27"/>
      <c r="P1657" s="27"/>
      <c r="Q1657" s="27"/>
      <c r="R1657" s="27"/>
      <c r="S1657" s="27"/>
      <c r="T1657" s="27"/>
      <c r="U1657" s="27"/>
      <c r="V1657" s="27"/>
      <c r="W1657" s="27"/>
      <c r="X1657" s="27"/>
      <c r="Y1657" s="27"/>
    </row>
    <row r="1658">
      <c r="A1658" s="32"/>
      <c r="B1658" s="32"/>
      <c r="C1658" s="29" t="s">
        <v>271</v>
      </c>
      <c r="D1658" s="29" t="s">
        <v>596</v>
      </c>
      <c r="E1658" s="28">
        <v>650.39</v>
      </c>
      <c r="F1658" s="28">
        <v>0.0</v>
      </c>
      <c r="G1658" s="28" t="s">
        <v>84</v>
      </c>
      <c r="H1658" s="28">
        <f t="array" ref="H1658">INDEX(CC!C:C,MATCH(1,(CC!A:A=G1658)*(CC!B:B=I1658),0))</f>
        <v>1002</v>
      </c>
      <c r="I1658" s="28" t="s">
        <v>25</v>
      </c>
      <c r="J1658" s="31">
        <v>650.39</v>
      </c>
      <c r="K1658" s="28" t="str">
        <f>IFERROR(__xludf.DUMMYFUNCTION("IFERROR(
INDEX(
FILTER(
MAP(
reglas!$B$2:$B$240,
reglas!$C$2:$C$240,
reglas!$D$2:$D$240,
reglas!$E$2:$E$240,
LAMBDA(rEmisor,rPatron,rConcepto,rTipo,
IF(
AND(
OR(
UPPER(TRIM(rEmisor))=UPPER(TRIM(C1658)),
UPPER(TRIM(rEmisor))=""CUALQUIERA""
),
OR(
UPPER(TRI"&amp;"M(rTipo))=""SOLO EMISOR"",
AND(
UPPER(TRIM(rTipo))=""EXACTA"",
UPPER(TRIM(AG1658))=UPPER(TRIM(rPatron))
),
AND(
OR(
UPPER(TRIM(rTipo))=""CONTIENE"",
UPPER(TRIM(rTipo))=""COINCIDENCIA""
),
ISNUMBER(SEARCH(UPPER(TRIM(rPatron)),UPPER(TRIM(D1658))))
)
)
),
rC"&amp;"oncepto,
""""
)
)
),
MAP(
reglas!$B$2:$B$240,
reglas!$C$2:$C$240,
reglas!$D$2:$D$240,
reglas!$E$2:$E$240,
LAMBDA(rEmisor,rPatron,rConcepto,rTipo,
IF(
AND(
OR(
UPPER(TRIM(rEmisor))=UPPER(TRIM(C1658)),
UPPER(TRIM(rEmisor))=""CUALQUIERA""
),
OR(
UPPER(TRIM(r"&amp;"Tipo))=""SOLO EMISOR"",
AND(
UPPER(TRIM(rTipo))=""EXACTA"",
UPPER(TRIM(D1658))=UPPER(TRIM(rPatron))
),
AND(
OR(
UPPER(TRIM(rTipo))=""CONTIENE"",
UPPER(TRIM(rTipo))=""COINCIDENCIA""
),
ISNUMBER(SEARCH(UPPER(TRIM(rPatron)),UPPER(TRIM(D1658))))
)
)
),
rConce"&amp;"pto,
""""
)
)
)&lt;&gt;""""
),
1
),
""""
)"),"MANIOBRAS")</f>
        <v>MANIOBRAS</v>
      </c>
      <c r="L1658" s="27"/>
      <c r="M1658" s="27"/>
      <c r="N1658" s="27"/>
      <c r="O1658" s="27"/>
      <c r="P1658" s="27"/>
      <c r="Q1658" s="27"/>
      <c r="R1658" s="27"/>
      <c r="S1658" s="27"/>
      <c r="T1658" s="27"/>
      <c r="U1658" s="27"/>
      <c r="V1658" s="27"/>
      <c r="W1658" s="27"/>
      <c r="X1658" s="27"/>
      <c r="Y1658" s="27"/>
    </row>
    <row r="1659">
      <c r="A1659" s="32"/>
      <c r="B1659" s="28" t="s">
        <v>29</v>
      </c>
      <c r="C1659" s="29" t="s">
        <v>276</v>
      </c>
      <c r="D1659" s="29" t="s">
        <v>1619</v>
      </c>
      <c r="E1659" s="28">
        <v>757.0</v>
      </c>
      <c r="F1659" s="28">
        <v>0.0</v>
      </c>
      <c r="G1659" s="99" t="s">
        <v>74</v>
      </c>
      <c r="H1659" s="28">
        <f t="array" ref="H1659">INDEX(CC!C:C,MATCH(1,(CC!A:A=G1659)*(CC!B:B=I1659),0))</f>
        <v>1503</v>
      </c>
      <c r="I1659" s="99" t="s">
        <v>44</v>
      </c>
      <c r="J1659" s="31">
        <v>757.0</v>
      </c>
      <c r="K1659" s="28" t="str">
        <f>IFERROR(__xludf.DUMMYFUNCTION("IFERROR(
INDEX(
FILTER(
MAP(
reglas!$B$2:$B$240,
reglas!$C$2:$C$240,
reglas!$D$2:$D$240,
reglas!$E$2:$E$240,
LAMBDA(rEmisor,rPatron,rConcepto,rTipo,
IF(
AND(
OR(
UPPER(TRIM(rEmisor))=UPPER(TRIM(C1659)),
UPPER(TRIM(rEmisor))=""CUALQUIERA""
),
OR(
UPPER(TRI"&amp;"M(rTipo))=""SOLO EMISOR"",
AND(
UPPER(TRIM(rTipo))=""EXACTA"",
UPPER(TRIM(AG1659))=UPPER(TRIM(rPatron))
),
AND(
OR(
UPPER(TRIM(rTipo))=""CONTIENE"",
UPPER(TRIM(rTipo))=""COINCIDENCIA""
),
ISNUMBER(SEARCH(UPPER(TRIM(rPatron)),UPPER(TRIM(D1659))))
)
)
),
rC"&amp;"oncepto,
""""
)
)
),
MAP(
reglas!$B$2:$B$240,
reglas!$C$2:$C$240,
reglas!$D$2:$D$240,
reglas!$E$2:$E$240,
LAMBDA(rEmisor,rPatron,rConcepto,rTipo,
IF(
AND(
OR(
UPPER(TRIM(rEmisor))=UPPER(TRIM(C1659)),
UPPER(TRIM(rEmisor))=""CUALQUIERA""
),
OR(
UPPER(TRIM(r"&amp;"Tipo))=""SOLO EMISOR"",
AND(
UPPER(TRIM(rTipo))=""EXACTA"",
UPPER(TRIM(D1659))=UPPER(TRIM(rPatron))
),
AND(
OR(
UPPER(TRIM(rTipo))=""CONTIENE"",
UPPER(TRIM(rTipo))=""COINCIDENCIA""
),
ISNUMBER(SEARCH(UPPER(TRIM(rPatron)),UPPER(TRIM(D1659))))
)
)
),
rConce"&amp;"pto,
""""
)
)
)&lt;&gt;""""
),
1
),
""""
)"),"MANIOBRAS")</f>
        <v>MANIOBRAS</v>
      </c>
      <c r="L1659" s="27"/>
      <c r="M1659" s="27"/>
      <c r="N1659" s="27"/>
      <c r="O1659" s="27"/>
      <c r="P1659" s="27"/>
      <c r="Q1659" s="27"/>
      <c r="R1659" s="27"/>
      <c r="S1659" s="27"/>
      <c r="T1659" s="27"/>
      <c r="U1659" s="27"/>
      <c r="V1659" s="27"/>
      <c r="W1659" s="27"/>
      <c r="X1659" s="27"/>
      <c r="Y1659" s="27"/>
    </row>
    <row r="1660">
      <c r="A1660" s="32"/>
      <c r="B1660" s="28" t="s">
        <v>29</v>
      </c>
      <c r="C1660" s="29" t="s">
        <v>331</v>
      </c>
      <c r="D1660" s="29" t="s">
        <v>33</v>
      </c>
      <c r="E1660" s="28">
        <v>0.01</v>
      </c>
      <c r="F1660" s="28">
        <v>0.0</v>
      </c>
      <c r="G1660" s="99" t="s">
        <v>385</v>
      </c>
      <c r="H1660" s="28">
        <f t="array" ref="H1660">INDEX(CC!C:C,MATCH(1,(CC!A:A=G1660)*(CC!B:B=I1660),0))</f>
        <v>502</v>
      </c>
      <c r="I1660" s="28" t="s">
        <v>25</v>
      </c>
      <c r="J1660" s="31">
        <v>0.01</v>
      </c>
      <c r="K1660" s="28" t="str">
        <f>IFERROR(__xludf.DUMMYFUNCTION("IFERROR(
INDEX(
FILTER(
MAP(
reglas!$B$2:$B$240,
reglas!$C$2:$C$240,
reglas!$D$2:$D$240,
reglas!$E$2:$E$240,
LAMBDA(rEmisor,rPatron,rConcepto,rTipo,
IF(
AND(
OR(
UPPER(TRIM(rEmisor))=UPPER(TRIM(C1660)),
UPPER(TRIM(rEmisor))=""CUALQUIERA""
),
OR(
UPPER(TRI"&amp;"M(rTipo))=""SOLO EMISOR"",
AND(
UPPER(TRIM(rTipo))=""EXACTA"",
UPPER(TRIM(AG1660))=UPPER(TRIM(rPatron))
),
AND(
OR(
UPPER(TRIM(rTipo))=""CONTIENE"",
UPPER(TRIM(rTipo))=""COINCIDENCIA""
),
ISNUMBER(SEARCH(UPPER(TRIM(rPatron)),UPPER(TRIM(D1660))))
)
)
),
rC"&amp;"oncepto,
""""
)
)
),
MAP(
reglas!$B$2:$B$240,
reglas!$C$2:$C$240,
reglas!$D$2:$D$240,
reglas!$E$2:$E$240,
LAMBDA(rEmisor,rPatron,rConcepto,rTipo,
IF(
AND(
OR(
UPPER(TRIM(rEmisor))=UPPER(TRIM(C1660)),
UPPER(TRIM(rEmisor))=""CUALQUIERA""
),
OR(
UPPER(TRIM(r"&amp;"Tipo))=""SOLO EMISOR"",
AND(
UPPER(TRIM(rTipo))=""EXACTA"",
UPPER(TRIM(D1660))=UPPER(TRIM(rPatron))
),
AND(
OR(
UPPER(TRIM(rTipo))=""CONTIENE"",
UPPER(TRIM(rTipo))=""COINCIDENCIA""
),
ISNUMBER(SEARCH(UPPER(TRIM(rPatron)),UPPER(TRIM(D1660))))
)
)
),
rConce"&amp;"pto,
""""
)
)
)&lt;&gt;""""
),
1
),
""""
)"),"N/A")</f>
        <v>N/A</v>
      </c>
      <c r="L1660" s="27"/>
      <c r="M1660" s="27"/>
      <c r="N1660" s="27"/>
      <c r="O1660" s="27"/>
      <c r="P1660" s="27"/>
      <c r="Q1660" s="27"/>
      <c r="R1660" s="27"/>
      <c r="S1660" s="27"/>
      <c r="T1660" s="27"/>
      <c r="U1660" s="27"/>
      <c r="V1660" s="27"/>
      <c r="W1660" s="27"/>
      <c r="X1660" s="27"/>
      <c r="Y1660" s="27"/>
    </row>
    <row r="1661">
      <c r="A1661" s="28">
        <v>1.0</v>
      </c>
      <c r="B1661" s="28" t="s">
        <v>29</v>
      </c>
      <c r="C1661" s="29" t="s">
        <v>271</v>
      </c>
      <c r="D1661" s="29" t="s">
        <v>589</v>
      </c>
      <c r="E1661" s="28">
        <v>620.62</v>
      </c>
      <c r="F1661" s="28">
        <v>0.0</v>
      </c>
      <c r="G1661" s="28" t="s">
        <v>84</v>
      </c>
      <c r="H1661" s="28">
        <f t="array" ref="H1661">INDEX(CC!C:C,MATCH(1,(CC!A:A=G1661)*(CC!B:B=I1661),0))</f>
        <v>1002</v>
      </c>
      <c r="I1661" s="28" t="s">
        <v>25</v>
      </c>
      <c r="J1661" s="31">
        <v>620.62</v>
      </c>
      <c r="K1661" s="28" t="str">
        <f>IFERROR(__xludf.DUMMYFUNCTION("IFERROR(
INDEX(
FILTER(
MAP(
reglas!$B$2:$B$240,
reglas!$C$2:$C$240,
reglas!$D$2:$D$240,
reglas!$E$2:$E$240,
LAMBDA(rEmisor,rPatron,rConcepto,rTipo,
IF(
AND(
OR(
UPPER(TRIM(rEmisor))=UPPER(TRIM(C1661)),
UPPER(TRIM(rEmisor))=""CUALQUIERA""
),
OR(
UPPER(TRI"&amp;"M(rTipo))=""SOLO EMISOR"",
AND(
UPPER(TRIM(rTipo))=""EXACTA"",
UPPER(TRIM(AG1661))=UPPER(TRIM(rPatron))
),
AND(
OR(
UPPER(TRIM(rTipo))=""CONTIENE"",
UPPER(TRIM(rTipo))=""COINCIDENCIA""
),
ISNUMBER(SEARCH(UPPER(TRIM(rPatron)),UPPER(TRIM(D1661))))
)
)
),
rC"&amp;"oncepto,
""""
)
)
),
MAP(
reglas!$B$2:$B$240,
reglas!$C$2:$C$240,
reglas!$D$2:$D$240,
reglas!$E$2:$E$240,
LAMBDA(rEmisor,rPatron,rConcepto,rTipo,
IF(
AND(
OR(
UPPER(TRIM(rEmisor))=UPPER(TRIM(C1661)),
UPPER(TRIM(rEmisor))=""CUALQUIERA""
),
OR(
UPPER(TRIM(r"&amp;"Tipo))=""SOLO EMISOR"",
AND(
UPPER(TRIM(rTipo))=""EXACTA"",
UPPER(TRIM(D1661))=UPPER(TRIM(rPatron))
),
AND(
OR(
UPPER(TRIM(rTipo))=""CONTIENE"",
UPPER(TRIM(rTipo))=""COINCIDENCIA""
),
ISNUMBER(SEARCH(UPPER(TRIM(rPatron)),UPPER(TRIM(D1661))))
)
)
),
rConce"&amp;"pto,
""""
)
)
)&lt;&gt;""""
),
1
),
""""
)"),"MANIOBRAS")</f>
        <v>MANIOBRAS</v>
      </c>
      <c r="L1661" s="27"/>
      <c r="M1661" s="27"/>
      <c r="N1661" s="27"/>
      <c r="O1661" s="27"/>
      <c r="P1661" s="27"/>
      <c r="Q1661" s="27"/>
      <c r="R1661" s="27"/>
      <c r="S1661" s="27"/>
      <c r="T1661" s="27"/>
      <c r="U1661" s="27"/>
      <c r="V1661" s="27"/>
      <c r="W1661" s="27"/>
      <c r="X1661" s="27"/>
      <c r="Y1661" s="27"/>
    </row>
    <row r="1662">
      <c r="A1662" s="32"/>
      <c r="B1662" s="28" t="s">
        <v>29</v>
      </c>
      <c r="C1662" s="29" t="s">
        <v>174</v>
      </c>
      <c r="D1662" s="29" t="s">
        <v>1953</v>
      </c>
      <c r="E1662" s="30">
        <v>2600.0</v>
      </c>
      <c r="F1662" s="28">
        <v>0.0</v>
      </c>
      <c r="G1662" s="28" t="s">
        <v>40</v>
      </c>
      <c r="H1662" s="28">
        <f t="array" ref="H1662">INDEX(CC!C:C,MATCH(1,(CC!A:A=G1662)*(CC!B:B=I1662),0))</f>
        <v>602</v>
      </c>
      <c r="I1662" s="99" t="s">
        <v>25</v>
      </c>
      <c r="J1662" s="31">
        <v>2600.0</v>
      </c>
      <c r="K1662" s="28" t="str">
        <f>IFERROR(__xludf.DUMMYFUNCTION("IFERROR(
INDEX(
FILTER(
MAP(
reglas!$B$2:$B$240,
reglas!$C$2:$C$240,
reglas!$D$2:$D$240,
reglas!$E$2:$E$240,
LAMBDA(rEmisor,rPatron,rConcepto,rTipo,
IF(
AND(
OR(
UPPER(TRIM(rEmisor))=UPPER(TRIM(C1662)),
UPPER(TRIM(rEmisor))=""CUALQUIERA""
),
OR(
UPPER(TRI"&amp;"M(rTipo))=""SOLO EMISOR"",
AND(
UPPER(TRIM(rTipo))=""EXACTA"",
UPPER(TRIM(AG1662))=UPPER(TRIM(rPatron))
),
AND(
OR(
UPPER(TRIM(rTipo))=""CONTIENE"",
UPPER(TRIM(rTipo))=""COINCIDENCIA""
),
ISNUMBER(SEARCH(UPPER(TRIM(rPatron)),UPPER(TRIM(D1662))))
)
)
),
rC"&amp;"oncepto,
""""
)
)
),
MAP(
reglas!$B$2:$B$240,
reglas!$C$2:$C$240,
reglas!$D$2:$D$240,
reglas!$E$2:$E$240,
LAMBDA(rEmisor,rPatron,rConcepto,rTipo,
IF(
AND(
OR(
UPPER(TRIM(rEmisor))=UPPER(TRIM(C1662)),
UPPER(TRIM(rEmisor))=""CUALQUIERA""
),
OR(
UPPER(TRIM(r"&amp;"Tipo))=""SOLO EMISOR"",
AND(
UPPER(TRIM(rTipo))=""EXACTA"",
UPPER(TRIM(D1662))=UPPER(TRIM(rPatron))
),
AND(
OR(
UPPER(TRIM(rTipo))=""CONTIENE"",
UPPER(TRIM(rTipo))=""COINCIDENCIA""
),
ISNUMBER(SEARCH(UPPER(TRIM(rPatron)),UPPER(TRIM(D1662))))
)
)
),
rConce"&amp;"pto,
""""
)
)
)&lt;&gt;""""
),
1
),
""""
)"),"TRANSPORTE")</f>
        <v>TRANSPORTE</v>
      </c>
      <c r="L1662" s="27"/>
      <c r="M1662" s="27"/>
      <c r="N1662" s="27"/>
      <c r="O1662" s="27"/>
      <c r="P1662" s="27"/>
      <c r="Q1662" s="27"/>
      <c r="R1662" s="27"/>
      <c r="S1662" s="27"/>
      <c r="T1662" s="27"/>
      <c r="U1662" s="27"/>
      <c r="V1662" s="27"/>
      <c r="W1662" s="27"/>
      <c r="X1662" s="27"/>
      <c r="Y1662" s="27"/>
    </row>
    <row r="1663">
      <c r="A1663" s="32"/>
      <c r="B1663" s="32"/>
      <c r="C1663" s="29" t="s">
        <v>174</v>
      </c>
      <c r="D1663" s="29" t="s">
        <v>1954</v>
      </c>
      <c r="E1663" s="28">
        <v>425.0</v>
      </c>
      <c r="F1663" s="28">
        <v>0.0</v>
      </c>
      <c r="G1663" s="28" t="s">
        <v>40</v>
      </c>
      <c r="H1663" s="28">
        <f t="array" ref="H1663">INDEX(CC!C:C,MATCH(1,(CC!A:A=G1663)*(CC!B:B=I1663),0))</f>
        <v>602</v>
      </c>
      <c r="I1663" s="99" t="s">
        <v>25</v>
      </c>
      <c r="J1663" s="31">
        <v>425.0</v>
      </c>
      <c r="K1663" s="28" t="str">
        <f>IFERROR(__xludf.DUMMYFUNCTION("IFERROR(
INDEX(
FILTER(
MAP(
reglas!$B$2:$B$240,
reglas!$C$2:$C$240,
reglas!$D$2:$D$240,
reglas!$E$2:$E$240,
LAMBDA(rEmisor,rPatron,rConcepto,rTipo,
IF(
AND(
OR(
UPPER(TRIM(rEmisor))=UPPER(TRIM(C1663)),
UPPER(TRIM(rEmisor))=""CUALQUIERA""
),
OR(
UPPER(TRI"&amp;"M(rTipo))=""SOLO EMISOR"",
AND(
UPPER(TRIM(rTipo))=""EXACTA"",
UPPER(TRIM(AG1663))=UPPER(TRIM(rPatron))
),
AND(
OR(
UPPER(TRIM(rTipo))=""CONTIENE"",
UPPER(TRIM(rTipo))=""COINCIDENCIA""
),
ISNUMBER(SEARCH(UPPER(TRIM(rPatron)),UPPER(TRIM(D1663))))
)
)
),
rC"&amp;"oncepto,
""""
)
)
),
MAP(
reglas!$B$2:$B$240,
reglas!$C$2:$C$240,
reglas!$D$2:$D$240,
reglas!$E$2:$E$240,
LAMBDA(rEmisor,rPatron,rConcepto,rTipo,
IF(
AND(
OR(
UPPER(TRIM(rEmisor))=UPPER(TRIM(C1663)),
UPPER(TRIM(rEmisor))=""CUALQUIERA""
),
OR(
UPPER(TRIM(r"&amp;"Tipo))=""SOLO EMISOR"",
AND(
UPPER(TRIM(rTipo))=""EXACTA"",
UPPER(TRIM(D1663))=UPPER(TRIM(rPatron))
),
AND(
OR(
UPPER(TRIM(rTipo))=""CONTIENE"",
UPPER(TRIM(rTipo))=""COINCIDENCIA""
),
ISNUMBER(SEARCH(UPPER(TRIM(rPatron)),UPPER(TRIM(D1663))))
)
)
),
rConce"&amp;"pto,
""""
)
)
)&lt;&gt;""""
),
1
),
""""
)"),"PATIO REGULADOR")</f>
        <v>PATIO REGULADOR</v>
      </c>
      <c r="L1663" s="27"/>
      <c r="M1663" s="27"/>
      <c r="N1663" s="27"/>
      <c r="O1663" s="27"/>
      <c r="P1663" s="27"/>
      <c r="Q1663" s="27"/>
      <c r="R1663" s="27"/>
      <c r="S1663" s="27"/>
      <c r="T1663" s="27"/>
      <c r="U1663" s="27"/>
      <c r="V1663" s="27"/>
      <c r="W1663" s="27"/>
      <c r="X1663" s="27"/>
      <c r="Y1663" s="27"/>
    </row>
    <row r="1664">
      <c r="A1664" s="28">
        <v>1.0</v>
      </c>
      <c r="B1664" s="28" t="s">
        <v>29</v>
      </c>
      <c r="C1664" s="29" t="s">
        <v>462</v>
      </c>
      <c r="D1664" s="29" t="s">
        <v>1955</v>
      </c>
      <c r="E1664" s="30">
        <v>2149.0</v>
      </c>
      <c r="F1664" s="28">
        <v>0.0</v>
      </c>
      <c r="G1664" s="28" t="s">
        <v>395</v>
      </c>
      <c r="H1664" s="28">
        <f t="array" ref="H1664">INDEX(CC!C:C,MATCH(1,(CC!A:A=G1664)*(CC!B:B=I1664),0))</f>
        <v>1103</v>
      </c>
      <c r="I1664" s="99" t="s">
        <v>44</v>
      </c>
      <c r="J1664" s="31">
        <v>2149.0</v>
      </c>
      <c r="K1664" s="28" t="str">
        <f>IFERROR(__xludf.DUMMYFUNCTION("IFERROR(
INDEX(
FILTER(
MAP(
reglas!$B$2:$B$240,
reglas!$C$2:$C$240,
reglas!$D$2:$D$240,
reglas!$E$2:$E$240,
LAMBDA(rEmisor,rPatron,rConcepto,rTipo,
IF(
AND(
OR(
UPPER(TRIM(rEmisor))=UPPER(TRIM(C1664)),
UPPER(TRIM(rEmisor))=""CUALQUIERA""
),
OR(
UPPER(TRI"&amp;"M(rTipo))=""SOLO EMISOR"",
AND(
UPPER(TRIM(rTipo))=""EXACTA"",
UPPER(TRIM(AG1664))=UPPER(TRIM(rPatron))
),
AND(
OR(
UPPER(TRIM(rTipo))=""CONTIENE"",
UPPER(TRIM(rTipo))=""COINCIDENCIA""
),
ISNUMBER(SEARCH(UPPER(TRIM(rPatron)),UPPER(TRIM(D1664))))
)
)
),
rC"&amp;"oncepto,
""""
)
)
),
MAP(
reglas!$B$2:$B$240,
reglas!$C$2:$C$240,
reglas!$D$2:$D$240,
reglas!$E$2:$E$240,
LAMBDA(rEmisor,rPatron,rConcepto,rTipo,
IF(
AND(
OR(
UPPER(TRIM(rEmisor))=UPPER(TRIM(C1664)),
UPPER(TRIM(rEmisor))=""CUALQUIERA""
),
OR(
UPPER(TRIM(r"&amp;"Tipo))=""SOLO EMISOR"",
AND(
UPPER(TRIM(rTipo))=""EXACTA"",
UPPER(TRIM(D1664))=UPPER(TRIM(rPatron))
),
AND(
OR(
UPPER(TRIM(rTipo))=""CONTIENE"",
UPPER(TRIM(rTipo))=""COINCIDENCIA""
),
ISNUMBER(SEARCH(UPPER(TRIM(rPatron)),UPPER(TRIM(D1664))))
)
)
),
rConce"&amp;"pto,
""""
)
)
)&lt;&gt;""""
),
1
),
""""
)"),"MANIOBRAS")</f>
        <v>MANIOBRAS</v>
      </c>
      <c r="L1664" s="27"/>
      <c r="M1664" s="27"/>
      <c r="N1664" s="27"/>
      <c r="O1664" s="27"/>
      <c r="P1664" s="27"/>
      <c r="Q1664" s="27"/>
      <c r="R1664" s="27"/>
      <c r="S1664" s="27"/>
      <c r="T1664" s="27"/>
      <c r="U1664" s="27"/>
      <c r="V1664" s="27"/>
      <c r="W1664" s="27"/>
      <c r="X1664" s="27"/>
      <c r="Y1664" s="27"/>
    </row>
    <row r="1665">
      <c r="A1665" s="32"/>
      <c r="B1665" s="28" t="s">
        <v>29</v>
      </c>
      <c r="C1665" s="29" t="s">
        <v>278</v>
      </c>
      <c r="D1665" s="29" t="s">
        <v>560</v>
      </c>
      <c r="E1665" s="30">
        <v>3500.0</v>
      </c>
      <c r="F1665" s="28">
        <v>0.0</v>
      </c>
      <c r="G1665" s="28" t="s">
        <v>250</v>
      </c>
      <c r="H1665" s="28">
        <f t="array" ref="H1665">INDEX(CC!C:C,MATCH(1,(CC!A:A=G1665)*(CC!B:B=I1665),0))</f>
        <v>1402</v>
      </c>
      <c r="I1665" s="99" t="s">
        <v>25</v>
      </c>
      <c r="J1665" s="31">
        <v>3500.0</v>
      </c>
      <c r="K1665" s="28" t="str">
        <f>IFERROR(__xludf.DUMMYFUNCTION("IFERROR(
INDEX(
FILTER(
MAP(
reglas!$B$2:$B$240,
reglas!$C$2:$C$240,
reglas!$D$2:$D$240,
reglas!$E$2:$E$240,
LAMBDA(rEmisor,rPatron,rConcepto,rTipo,
IF(
AND(
OR(
UPPER(TRIM(rEmisor))=UPPER(TRIM(C1665)),
UPPER(TRIM(rEmisor))=""CUALQUIERA""
),
OR(
UPPER(TRI"&amp;"M(rTipo))=""SOLO EMISOR"",
AND(
UPPER(TRIM(rTipo))=""EXACTA"",
UPPER(TRIM(AG1665))=UPPER(TRIM(rPatron))
),
AND(
OR(
UPPER(TRIM(rTipo))=""CONTIENE"",
UPPER(TRIM(rTipo))=""COINCIDENCIA""
),
ISNUMBER(SEARCH(UPPER(TRIM(rPatron)),UPPER(TRIM(D1665))))
)
)
),
rC"&amp;"oncepto,
""""
)
)
),
MAP(
reglas!$B$2:$B$240,
reglas!$C$2:$C$240,
reglas!$D$2:$D$240,
reglas!$E$2:$E$240,
LAMBDA(rEmisor,rPatron,rConcepto,rTipo,
IF(
AND(
OR(
UPPER(TRIM(rEmisor))=UPPER(TRIM(C1665)),
UPPER(TRIM(rEmisor))=""CUALQUIERA""
),
OR(
UPPER(TRIM(r"&amp;"Tipo))=""SOLO EMISOR"",
AND(
UPPER(TRIM(rTipo))=""EXACTA"",
UPPER(TRIM(D1665))=UPPER(TRIM(rPatron))
),
AND(
OR(
UPPER(TRIM(rTipo))=""CONTIENE"",
UPPER(TRIM(rTipo))=""COINCIDENCIA""
),
ISNUMBER(SEARCH(UPPER(TRIM(rPatron)),UPPER(TRIM(D1665))))
)
)
),
rConce"&amp;"pto,
""""
)
)
)&lt;&gt;""""
),
1
),
""""
)"),"MANIOBRAS")</f>
        <v>MANIOBRAS</v>
      </c>
      <c r="L1665" s="27"/>
      <c r="M1665" s="27"/>
      <c r="N1665" s="27"/>
      <c r="O1665" s="27"/>
      <c r="P1665" s="27"/>
      <c r="Q1665" s="27"/>
      <c r="R1665" s="27"/>
      <c r="S1665" s="27"/>
      <c r="T1665" s="27"/>
      <c r="U1665" s="27"/>
      <c r="V1665" s="27"/>
      <c r="W1665" s="27"/>
      <c r="X1665" s="27"/>
      <c r="Y1665" s="27"/>
    </row>
    <row r="1666">
      <c r="A1666" s="100"/>
      <c r="B1666" s="28" t="s">
        <v>29</v>
      </c>
      <c r="C1666" s="29" t="s">
        <v>224</v>
      </c>
      <c r="D1666" s="29" t="s">
        <v>1725</v>
      </c>
      <c r="E1666" s="28">
        <v>405.0</v>
      </c>
      <c r="F1666" s="28">
        <v>0.0</v>
      </c>
      <c r="G1666" s="28" t="s">
        <v>40</v>
      </c>
      <c r="H1666" s="28">
        <f t="array" ref="H1666">INDEX(CC!C:C,MATCH(1,(CC!A:A=G1666)*(CC!B:B=I1666),0))</f>
        <v>602</v>
      </c>
      <c r="I1666" s="99" t="s">
        <v>25</v>
      </c>
      <c r="J1666" s="31">
        <v>405.0</v>
      </c>
      <c r="K1666" s="28" t="str">
        <f>IFERROR(__xludf.DUMMYFUNCTION("IFERROR(
INDEX(
FILTER(
MAP(
reglas!$B$2:$B$240,
reglas!$C$2:$C$240,
reglas!$D$2:$D$240,
reglas!$E$2:$E$240,
LAMBDA(rEmisor,rPatron,rConcepto,rTipo,
IF(
AND(
OR(
UPPER(TRIM(rEmisor))=UPPER(TRIM(C1666)),
UPPER(TRIM(rEmisor))=""CUALQUIERA""
),
OR(
UPPER(TRI"&amp;"M(rTipo))=""SOLO EMISOR"",
AND(
UPPER(TRIM(rTipo))=""EXACTA"",
UPPER(TRIM(AG1666))=UPPER(TRIM(rPatron))
),
AND(
OR(
UPPER(TRIM(rTipo))=""CONTIENE"",
UPPER(TRIM(rTipo))=""COINCIDENCIA""
),
ISNUMBER(SEARCH(UPPER(TRIM(rPatron)),UPPER(TRIM(D1666))))
)
)
),
rC"&amp;"oncepto,
""""
)
)
),
MAP(
reglas!$B$2:$B$240,
reglas!$C$2:$C$240,
reglas!$D$2:$D$240,
reglas!$E$2:$E$240,
LAMBDA(rEmisor,rPatron,rConcepto,rTipo,
IF(
AND(
OR(
UPPER(TRIM(rEmisor))=UPPER(TRIM(C1666)),
UPPER(TRIM(rEmisor))=""CUALQUIERA""
),
OR(
UPPER(TRIM(r"&amp;"Tipo))=""SOLO EMISOR"",
AND(
UPPER(TRIM(rTipo))=""EXACTA"",
UPPER(TRIM(D1666))=UPPER(TRIM(rPatron))
),
AND(
OR(
UPPER(TRIM(rTipo))=""CONTIENE"",
UPPER(TRIM(rTipo))=""COINCIDENCIA""
),
ISNUMBER(SEARCH(UPPER(TRIM(rPatron)),UPPER(TRIM(D1666))))
)
)
),
rConce"&amp;"pto,
""""
)
)
)&lt;&gt;""""
),
1
),
""""
)"),"COMISIONES")</f>
        <v>COMISIONES</v>
      </c>
      <c r="L1666" s="27"/>
      <c r="M1666" s="27"/>
      <c r="N1666" s="27"/>
      <c r="O1666" s="27"/>
      <c r="P1666" s="27"/>
      <c r="Q1666" s="27"/>
      <c r="R1666" s="27"/>
      <c r="S1666" s="27"/>
      <c r="T1666" s="27"/>
      <c r="U1666" s="27"/>
      <c r="V1666" s="27"/>
      <c r="W1666" s="27"/>
      <c r="X1666" s="27"/>
      <c r="Y1666" s="27"/>
    </row>
    <row r="1667">
      <c r="A1667" s="100"/>
      <c r="B1667" s="28" t="s">
        <v>29</v>
      </c>
      <c r="C1667" s="29" t="s">
        <v>172</v>
      </c>
      <c r="D1667" s="29" t="s">
        <v>1956</v>
      </c>
      <c r="E1667" s="30">
        <v>11500.0</v>
      </c>
      <c r="F1667" s="28">
        <v>0.0</v>
      </c>
      <c r="G1667" s="28" t="s">
        <v>250</v>
      </c>
      <c r="H1667" s="28">
        <f t="array" ref="H1667">INDEX(CC!C:C,MATCH(1,(CC!A:A=G1667)*(CC!B:B=I1667),0))</f>
        <v>1402</v>
      </c>
      <c r="I1667" s="99" t="s">
        <v>25</v>
      </c>
      <c r="J1667" s="31">
        <v>11500.0</v>
      </c>
      <c r="K1667" s="28" t="str">
        <f>IFERROR(__xludf.DUMMYFUNCTION("IFERROR(
INDEX(
FILTER(
MAP(
reglas!$B$2:$B$240,
reglas!$C$2:$C$240,
reglas!$D$2:$D$240,
reglas!$E$2:$E$240,
LAMBDA(rEmisor,rPatron,rConcepto,rTipo,
IF(
AND(
OR(
UPPER(TRIM(rEmisor))=UPPER(TRIM(C1667)),
UPPER(TRIM(rEmisor))=""CUALQUIERA""
),
OR(
UPPER(TRI"&amp;"M(rTipo))=""SOLO EMISOR"",
AND(
UPPER(TRIM(rTipo))=""EXACTA"",
UPPER(TRIM(AG1667))=UPPER(TRIM(rPatron))
),
AND(
OR(
UPPER(TRIM(rTipo))=""CONTIENE"",
UPPER(TRIM(rTipo))=""COINCIDENCIA""
),
ISNUMBER(SEARCH(UPPER(TRIM(rPatron)),UPPER(TRIM(D1667))))
)
)
),
rC"&amp;"oncepto,
""""
)
)
),
MAP(
reglas!$B$2:$B$240,
reglas!$C$2:$C$240,
reglas!$D$2:$D$240,
reglas!$E$2:$E$240,
LAMBDA(rEmisor,rPatron,rConcepto,rTipo,
IF(
AND(
OR(
UPPER(TRIM(rEmisor))=UPPER(TRIM(C1667)),
UPPER(TRIM(rEmisor))=""CUALQUIERA""
),
OR(
UPPER(TRIM(r"&amp;"Tipo))=""SOLO EMISOR"",
AND(
UPPER(TRIM(rTipo))=""EXACTA"",
UPPER(TRIM(D1667))=UPPER(TRIM(rPatron))
),
AND(
OR(
UPPER(TRIM(rTipo))=""CONTIENE"",
UPPER(TRIM(rTipo))=""COINCIDENCIA""
),
ISNUMBER(SEARCH(UPPER(TRIM(rPatron)),UPPER(TRIM(D1667))))
)
)
),
rConce"&amp;"pto,
""""
)
)
)&lt;&gt;""""
),
1
),
""""
)"),"TRANSPORTE")</f>
        <v>TRANSPORTE</v>
      </c>
      <c r="L1667" s="27"/>
      <c r="M1667" s="27"/>
      <c r="N1667" s="27"/>
      <c r="O1667" s="27"/>
      <c r="P1667" s="27"/>
      <c r="Q1667" s="27"/>
      <c r="R1667" s="27"/>
      <c r="S1667" s="27"/>
      <c r="T1667" s="27"/>
      <c r="U1667" s="27"/>
      <c r="V1667" s="27"/>
      <c r="W1667" s="27"/>
      <c r="X1667" s="27"/>
      <c r="Y1667" s="27"/>
    </row>
    <row r="1668">
      <c r="A1668" s="32"/>
      <c r="B1668" s="28" t="s">
        <v>29</v>
      </c>
      <c r="C1668" s="29" t="s">
        <v>172</v>
      </c>
      <c r="D1668" s="29" t="s">
        <v>1773</v>
      </c>
      <c r="E1668" s="30">
        <v>14000.0</v>
      </c>
      <c r="F1668" s="28">
        <v>0.0</v>
      </c>
      <c r="G1668" s="28" t="s">
        <v>250</v>
      </c>
      <c r="H1668" s="28">
        <f t="array" ref="H1668">INDEX(CC!C:C,MATCH(1,(CC!A:A=G1668)*(CC!B:B=I1668),0))</f>
        <v>1402</v>
      </c>
      <c r="I1668" s="99" t="s">
        <v>25</v>
      </c>
      <c r="J1668" s="31">
        <v>14000.0</v>
      </c>
      <c r="K1668" s="28" t="str">
        <f>IFERROR(__xludf.DUMMYFUNCTION("IFERROR(
INDEX(
FILTER(
MAP(
reglas!$B$2:$B$240,
reglas!$C$2:$C$240,
reglas!$D$2:$D$240,
reglas!$E$2:$E$240,
LAMBDA(rEmisor,rPatron,rConcepto,rTipo,
IF(
AND(
OR(
UPPER(TRIM(rEmisor))=UPPER(TRIM(C1668)),
UPPER(TRIM(rEmisor))=""CUALQUIERA""
),
OR(
UPPER(TRI"&amp;"M(rTipo))=""SOLO EMISOR"",
AND(
UPPER(TRIM(rTipo))=""EXACTA"",
UPPER(TRIM(AG1668))=UPPER(TRIM(rPatron))
),
AND(
OR(
UPPER(TRIM(rTipo))=""CONTIENE"",
UPPER(TRIM(rTipo))=""COINCIDENCIA""
),
ISNUMBER(SEARCH(UPPER(TRIM(rPatron)),UPPER(TRIM(D1668))))
)
)
),
rC"&amp;"oncepto,
""""
)
)
),
MAP(
reglas!$B$2:$B$240,
reglas!$C$2:$C$240,
reglas!$D$2:$D$240,
reglas!$E$2:$E$240,
LAMBDA(rEmisor,rPatron,rConcepto,rTipo,
IF(
AND(
OR(
UPPER(TRIM(rEmisor))=UPPER(TRIM(C1668)),
UPPER(TRIM(rEmisor))=""CUALQUIERA""
),
OR(
UPPER(TRIM(r"&amp;"Tipo))=""SOLO EMISOR"",
AND(
UPPER(TRIM(rTipo))=""EXACTA"",
UPPER(TRIM(D1668))=UPPER(TRIM(rPatron))
),
AND(
OR(
UPPER(TRIM(rTipo))=""CONTIENE"",
UPPER(TRIM(rTipo))=""COINCIDENCIA""
),
ISNUMBER(SEARCH(UPPER(TRIM(rPatron)),UPPER(TRIM(D1668))))
)
)
),
rConce"&amp;"pto,
""""
)
)
)&lt;&gt;""""
),
1
),
""""
)"),"TRANSPORTE")</f>
        <v>TRANSPORTE</v>
      </c>
      <c r="L1668" s="27"/>
      <c r="M1668" s="27"/>
      <c r="N1668" s="27"/>
      <c r="O1668" s="27"/>
      <c r="P1668" s="27"/>
      <c r="Q1668" s="27"/>
      <c r="R1668" s="27"/>
      <c r="S1668" s="27"/>
      <c r="T1668" s="27"/>
      <c r="U1668" s="27"/>
      <c r="V1668" s="27"/>
      <c r="W1668" s="27"/>
      <c r="X1668" s="27"/>
      <c r="Y1668" s="27"/>
    </row>
    <row r="1669">
      <c r="A1669" s="32"/>
      <c r="B1669" s="28" t="s">
        <v>29</v>
      </c>
      <c r="C1669" s="29" t="s">
        <v>510</v>
      </c>
      <c r="D1669" s="29" t="s">
        <v>511</v>
      </c>
      <c r="E1669" s="28">
        <v>969.15</v>
      </c>
      <c r="F1669" s="28">
        <v>0.0</v>
      </c>
      <c r="G1669" s="28" t="s">
        <v>250</v>
      </c>
      <c r="H1669" s="28">
        <f t="array" ref="H1669">INDEX(CC!C:C,MATCH(1,(CC!A:A=G1669)*(CC!B:B=I1669),0))</f>
        <v>1402</v>
      </c>
      <c r="I1669" s="99" t="s">
        <v>25</v>
      </c>
      <c r="J1669" s="31">
        <v>969.15</v>
      </c>
      <c r="K1669" s="28" t="str">
        <f>IFERROR(__xludf.DUMMYFUNCTION("IFERROR(
INDEX(
FILTER(
MAP(
reglas!$B$2:$B$240,
reglas!$C$2:$C$240,
reglas!$D$2:$D$240,
reglas!$E$2:$E$240,
LAMBDA(rEmisor,rPatron,rConcepto,rTipo,
IF(
AND(
OR(
UPPER(TRIM(rEmisor))=UPPER(TRIM(C1669)),
UPPER(TRIM(rEmisor))=""CUALQUIERA""
),
OR(
UPPER(TRI"&amp;"M(rTipo))=""SOLO EMISOR"",
AND(
UPPER(TRIM(rTipo))=""EXACTA"",
UPPER(TRIM(AG1669))=UPPER(TRIM(rPatron))
),
AND(
OR(
UPPER(TRIM(rTipo))=""CONTIENE"",
UPPER(TRIM(rTipo))=""COINCIDENCIA""
),
ISNUMBER(SEARCH(UPPER(TRIM(rPatron)),UPPER(TRIM(D1669))))
)
)
),
rC"&amp;"oncepto,
""""
)
)
),
MAP(
reglas!$B$2:$B$240,
reglas!$C$2:$C$240,
reglas!$D$2:$D$240,
reglas!$E$2:$E$240,
LAMBDA(rEmisor,rPatron,rConcepto,rTipo,
IF(
AND(
OR(
UPPER(TRIM(rEmisor))=UPPER(TRIM(C1669)),
UPPER(TRIM(rEmisor))=""CUALQUIERA""
),
OR(
UPPER(TRIM(r"&amp;"Tipo))=""SOLO EMISOR"",
AND(
UPPER(TRIM(rTipo))=""EXACTA"",
UPPER(TRIM(D1669))=UPPER(TRIM(rPatron))
),
AND(
OR(
UPPER(TRIM(rTipo))=""CONTIENE"",
UPPER(TRIM(rTipo))=""COINCIDENCIA""
),
ISNUMBER(SEARCH(UPPER(TRIM(rPatron)),UPPER(TRIM(D1669))))
)
)
),
rConce"&amp;"pto,
""""
)
)
)&lt;&gt;""""
),
1
),
""""
)"),"ARRENDAMIENTO")</f>
        <v>ARRENDAMIENTO</v>
      </c>
      <c r="L1669" s="27"/>
      <c r="M1669" s="27"/>
      <c r="N1669" s="27"/>
      <c r="O1669" s="27"/>
      <c r="P1669" s="27"/>
      <c r="Q1669" s="27"/>
      <c r="R1669" s="27"/>
      <c r="S1669" s="27"/>
      <c r="T1669" s="27"/>
      <c r="U1669" s="27"/>
      <c r="V1669" s="27"/>
      <c r="W1669" s="27"/>
      <c r="X1669" s="27"/>
      <c r="Y1669" s="27"/>
    </row>
    <row r="1670">
      <c r="A1670" s="32"/>
      <c r="B1670" s="28" t="s">
        <v>29</v>
      </c>
      <c r="C1670" s="29" t="s">
        <v>208</v>
      </c>
      <c r="D1670" s="29" t="s">
        <v>1727</v>
      </c>
      <c r="E1670" s="30">
        <v>41464.24</v>
      </c>
      <c r="F1670" s="28">
        <v>0.0</v>
      </c>
      <c r="G1670" s="28" t="s">
        <v>601</v>
      </c>
      <c r="H1670" s="28">
        <f t="array" ref="H1670">INDEX(CC!C:C,MATCH(1,(CC!A:A=G1670)*(CC!B:B=I1670),0))</f>
        <v>402</v>
      </c>
      <c r="I1670" s="28" t="s">
        <v>25</v>
      </c>
      <c r="J1670" s="31">
        <v>7289.02</v>
      </c>
      <c r="K1670" s="28" t="str">
        <f>IFERROR(__xludf.DUMMYFUNCTION("IFERROR(
INDEX(
FILTER(
MAP(
reglas!$B$2:$B$240,
reglas!$C$2:$C$240,
reglas!$D$2:$D$240,
reglas!$E$2:$E$240,
LAMBDA(rEmisor,rPatron,rConcepto,rTipo,
IF(
AND(
OR(
UPPER(TRIM(rEmisor))=UPPER(TRIM(C1670)),
UPPER(TRIM(rEmisor))=""CUALQUIERA""
),
OR(
UPPER(TRI"&amp;"M(rTipo))=""SOLO EMISOR"",
AND(
UPPER(TRIM(rTipo))=""EXACTA"",
UPPER(TRIM(AG1670))=UPPER(TRIM(rPatron))
),
AND(
OR(
UPPER(TRIM(rTipo))=""CONTIENE"",
UPPER(TRIM(rTipo))=""COINCIDENCIA""
),
ISNUMBER(SEARCH(UPPER(TRIM(rPatron)),UPPER(TRIM(D1670))))
)
)
),
rC"&amp;"oncepto,
""""
)
)
),
MAP(
reglas!$B$2:$B$240,
reglas!$C$2:$C$240,
reglas!$D$2:$D$240,
reglas!$E$2:$E$240,
LAMBDA(rEmisor,rPatron,rConcepto,rTipo,
IF(
AND(
OR(
UPPER(TRIM(rEmisor))=UPPER(TRIM(C1670)),
UPPER(TRIM(rEmisor))=""CUALQUIERA""
),
OR(
UPPER(TRIM(r"&amp;"Tipo))=""SOLO EMISOR"",
AND(
UPPER(TRIM(rTipo))=""EXACTA"",
UPPER(TRIM(D1670))=UPPER(TRIM(rPatron))
),
AND(
OR(
UPPER(TRIM(rTipo))=""CONTIENE"",
UPPER(TRIM(rTipo))=""COINCIDENCIA""
),
ISNUMBER(SEARCH(UPPER(TRIM(rPatron)),UPPER(TRIM(D1670))))
)
)
),
rConce"&amp;"pto,
""""
)
)
)&lt;&gt;""""
),
1
),
""""
)"),"HONORARIOS ADICIONALES")</f>
        <v>HONORARIOS ADICIONALES</v>
      </c>
      <c r="L1670" s="27"/>
      <c r="M1670" s="27"/>
      <c r="N1670" s="27"/>
      <c r="O1670" s="27"/>
      <c r="P1670" s="27"/>
      <c r="Q1670" s="27"/>
      <c r="R1670" s="27"/>
      <c r="S1670" s="27"/>
      <c r="T1670" s="27"/>
      <c r="U1670" s="27"/>
      <c r="V1670" s="27"/>
      <c r="W1670" s="27"/>
      <c r="X1670" s="27"/>
      <c r="Y1670" s="27"/>
    </row>
    <row r="1671">
      <c r="A1671" s="32"/>
      <c r="B1671" s="32"/>
      <c r="C1671" s="29" t="s">
        <v>208</v>
      </c>
      <c r="D1671" s="29" t="s">
        <v>1727</v>
      </c>
      <c r="E1671" s="100"/>
      <c r="F1671" s="32"/>
      <c r="G1671" s="28" t="s">
        <v>250</v>
      </c>
      <c r="H1671" s="28">
        <f t="array" ref="H1671">INDEX(CC!C:C,MATCH(1,(CC!A:A=G1671)*(CC!B:B=I1671),0))</f>
        <v>1402</v>
      </c>
      <c r="I1671" s="28" t="s">
        <v>25</v>
      </c>
      <c r="J1671" s="31">
        <v>7289.02</v>
      </c>
      <c r="K1671" s="28" t="str">
        <f>IFERROR(__xludf.DUMMYFUNCTION("IFERROR(
INDEX(
FILTER(
MAP(
reglas!$B$2:$B$240,
reglas!$C$2:$C$240,
reglas!$D$2:$D$240,
reglas!$E$2:$E$240,
LAMBDA(rEmisor,rPatron,rConcepto,rTipo,
IF(
AND(
OR(
UPPER(TRIM(rEmisor))=UPPER(TRIM(C1671)),
UPPER(TRIM(rEmisor))=""CUALQUIERA""
),
OR(
UPPER(TRI"&amp;"M(rTipo))=""SOLO EMISOR"",
AND(
UPPER(TRIM(rTipo))=""EXACTA"",
UPPER(TRIM(AG1671))=UPPER(TRIM(rPatron))
),
AND(
OR(
UPPER(TRIM(rTipo))=""CONTIENE"",
UPPER(TRIM(rTipo))=""COINCIDENCIA""
),
ISNUMBER(SEARCH(UPPER(TRIM(rPatron)),UPPER(TRIM(D1671))))
)
)
),
rC"&amp;"oncepto,
""""
)
)
),
MAP(
reglas!$B$2:$B$240,
reglas!$C$2:$C$240,
reglas!$D$2:$D$240,
reglas!$E$2:$E$240,
LAMBDA(rEmisor,rPatron,rConcepto,rTipo,
IF(
AND(
OR(
UPPER(TRIM(rEmisor))=UPPER(TRIM(C1671)),
UPPER(TRIM(rEmisor))=""CUALQUIERA""
),
OR(
UPPER(TRIM(r"&amp;"Tipo))=""SOLO EMISOR"",
AND(
UPPER(TRIM(rTipo))=""EXACTA"",
UPPER(TRIM(D1671))=UPPER(TRIM(rPatron))
),
AND(
OR(
UPPER(TRIM(rTipo))=""CONTIENE"",
UPPER(TRIM(rTipo))=""COINCIDENCIA""
),
ISNUMBER(SEARCH(UPPER(TRIM(rPatron)),UPPER(TRIM(D1671))))
)
)
),
rConce"&amp;"pto,
""""
)
)
)&lt;&gt;""""
),
1
),
""""
)"),"HONORARIOS ADICIONALES")</f>
        <v>HONORARIOS ADICIONALES</v>
      </c>
      <c r="L1671" s="27"/>
      <c r="M1671" s="27"/>
      <c r="N1671" s="27"/>
      <c r="O1671" s="27"/>
      <c r="P1671" s="27"/>
      <c r="Q1671" s="27"/>
      <c r="R1671" s="27"/>
      <c r="S1671" s="27"/>
      <c r="T1671" s="27"/>
      <c r="U1671" s="27"/>
      <c r="V1671" s="27"/>
      <c r="W1671" s="27"/>
      <c r="X1671" s="27"/>
      <c r="Y1671" s="27"/>
    </row>
    <row r="1672">
      <c r="A1672" s="32"/>
      <c r="B1672" s="32"/>
      <c r="C1672" s="29" t="s">
        <v>208</v>
      </c>
      <c r="D1672" s="29" t="s">
        <v>1727</v>
      </c>
      <c r="E1672" s="100"/>
      <c r="F1672" s="32"/>
      <c r="G1672" s="28" t="s">
        <v>225</v>
      </c>
      <c r="H1672" s="28">
        <f t="array" ref="H1672">INDEX(CC!C:C,MATCH(1,(CC!A:A=G1672)*(CC!B:B=I1672),0))</f>
        <v>102</v>
      </c>
      <c r="I1672" s="28" t="s">
        <v>25</v>
      </c>
      <c r="J1672" s="31">
        <v>26886.21</v>
      </c>
      <c r="K1672" s="28" t="str">
        <f>IFERROR(__xludf.DUMMYFUNCTION("IFERROR(
INDEX(
FILTER(
MAP(
reglas!$B$2:$B$240,
reglas!$C$2:$C$240,
reglas!$D$2:$D$240,
reglas!$E$2:$E$240,
LAMBDA(rEmisor,rPatron,rConcepto,rTipo,
IF(
AND(
OR(
UPPER(TRIM(rEmisor))=UPPER(TRIM(C1672)),
UPPER(TRIM(rEmisor))=""CUALQUIERA""
),
OR(
UPPER(TRI"&amp;"M(rTipo))=""SOLO EMISOR"",
AND(
UPPER(TRIM(rTipo))=""EXACTA"",
UPPER(TRIM(AG1672))=UPPER(TRIM(rPatron))
),
AND(
OR(
UPPER(TRIM(rTipo))=""CONTIENE"",
UPPER(TRIM(rTipo))=""COINCIDENCIA""
),
ISNUMBER(SEARCH(UPPER(TRIM(rPatron)),UPPER(TRIM(D1672))))
)
)
),
rC"&amp;"oncepto,
""""
)
)
),
MAP(
reglas!$B$2:$B$240,
reglas!$C$2:$C$240,
reglas!$D$2:$D$240,
reglas!$E$2:$E$240,
LAMBDA(rEmisor,rPatron,rConcepto,rTipo,
IF(
AND(
OR(
UPPER(TRIM(rEmisor))=UPPER(TRIM(C1672)),
UPPER(TRIM(rEmisor))=""CUALQUIERA""
),
OR(
UPPER(TRIM(r"&amp;"Tipo))=""SOLO EMISOR"",
AND(
UPPER(TRIM(rTipo))=""EXACTA"",
UPPER(TRIM(D1672))=UPPER(TRIM(rPatron))
),
AND(
OR(
UPPER(TRIM(rTipo))=""CONTIENE"",
UPPER(TRIM(rTipo))=""COINCIDENCIA""
),
ISNUMBER(SEARCH(UPPER(TRIM(rPatron)),UPPER(TRIM(D1672))))
)
)
),
rConce"&amp;"pto,
""""
)
)
)&lt;&gt;""""
),
1
),
""""
)"),"HONORARIOS ADICIONALES")</f>
        <v>HONORARIOS ADICIONALES</v>
      </c>
      <c r="L1672" s="27"/>
      <c r="M1672" s="27"/>
      <c r="N1672" s="27"/>
      <c r="O1672" s="27"/>
      <c r="P1672" s="27"/>
      <c r="Q1672" s="27"/>
      <c r="R1672" s="27"/>
      <c r="S1672" s="27"/>
      <c r="T1672" s="27"/>
      <c r="U1672" s="27"/>
      <c r="V1672" s="27"/>
      <c r="W1672" s="27"/>
      <c r="X1672" s="27"/>
      <c r="Y1672" s="27"/>
    </row>
    <row r="1673">
      <c r="A1673" s="28">
        <v>1.0</v>
      </c>
      <c r="B1673" s="28" t="s">
        <v>29</v>
      </c>
      <c r="C1673" s="29" t="s">
        <v>271</v>
      </c>
      <c r="D1673" s="29" t="s">
        <v>585</v>
      </c>
      <c r="E1673" s="28">
        <v>620.28</v>
      </c>
      <c r="F1673" s="28">
        <v>0.0</v>
      </c>
      <c r="G1673" s="28" t="s">
        <v>84</v>
      </c>
      <c r="H1673" s="28">
        <f t="array" ref="H1673">INDEX(CC!C:C,MATCH(1,(CC!A:A=G1673)*(CC!B:B=I1673),0))</f>
        <v>1002</v>
      </c>
      <c r="I1673" s="28" t="s">
        <v>25</v>
      </c>
      <c r="J1673" s="31">
        <v>620.28</v>
      </c>
      <c r="K1673" s="28" t="str">
        <f>IFERROR(__xludf.DUMMYFUNCTION("IFERROR(
INDEX(
FILTER(
MAP(
reglas!$B$2:$B$240,
reglas!$C$2:$C$240,
reglas!$D$2:$D$240,
reglas!$E$2:$E$240,
LAMBDA(rEmisor,rPatron,rConcepto,rTipo,
IF(
AND(
OR(
UPPER(TRIM(rEmisor))=UPPER(TRIM(C1673)),
UPPER(TRIM(rEmisor))=""CUALQUIERA""
),
OR(
UPPER(TRI"&amp;"M(rTipo))=""SOLO EMISOR"",
AND(
UPPER(TRIM(rTipo))=""EXACTA"",
UPPER(TRIM(AG1673))=UPPER(TRIM(rPatron))
),
AND(
OR(
UPPER(TRIM(rTipo))=""CONTIENE"",
UPPER(TRIM(rTipo))=""COINCIDENCIA""
),
ISNUMBER(SEARCH(UPPER(TRIM(rPatron)),UPPER(TRIM(D1673))))
)
)
),
rC"&amp;"oncepto,
""""
)
)
),
MAP(
reglas!$B$2:$B$240,
reglas!$C$2:$C$240,
reglas!$D$2:$D$240,
reglas!$E$2:$E$240,
LAMBDA(rEmisor,rPatron,rConcepto,rTipo,
IF(
AND(
OR(
UPPER(TRIM(rEmisor))=UPPER(TRIM(C1673)),
UPPER(TRIM(rEmisor))=""CUALQUIERA""
),
OR(
UPPER(TRIM(r"&amp;"Tipo))=""SOLO EMISOR"",
AND(
UPPER(TRIM(rTipo))=""EXACTA"",
UPPER(TRIM(D1673))=UPPER(TRIM(rPatron))
),
AND(
OR(
UPPER(TRIM(rTipo))=""CONTIENE"",
UPPER(TRIM(rTipo))=""COINCIDENCIA""
),
ISNUMBER(SEARCH(UPPER(TRIM(rPatron)),UPPER(TRIM(D1673))))
)
)
),
rConce"&amp;"pto,
""""
)
)
)&lt;&gt;""""
),
1
),
""""
)"),"MANIOBRAS")</f>
        <v>MANIOBRAS</v>
      </c>
      <c r="L1673" s="27"/>
      <c r="M1673" s="27"/>
      <c r="N1673" s="27"/>
      <c r="O1673" s="27"/>
      <c r="P1673" s="27"/>
      <c r="Q1673" s="27"/>
      <c r="R1673" s="27"/>
      <c r="S1673" s="27"/>
      <c r="T1673" s="27"/>
      <c r="U1673" s="27"/>
      <c r="V1673" s="27"/>
      <c r="W1673" s="27"/>
      <c r="X1673" s="27"/>
      <c r="Y1673" s="27"/>
    </row>
    <row r="1674">
      <c r="A1674" s="32"/>
      <c r="B1674" s="32"/>
      <c r="C1674" s="29" t="s">
        <v>271</v>
      </c>
      <c r="D1674" s="29" t="s">
        <v>587</v>
      </c>
      <c r="E1674" s="28">
        <v>567.51</v>
      </c>
      <c r="F1674" s="28">
        <v>0.0</v>
      </c>
      <c r="G1674" s="28" t="s">
        <v>84</v>
      </c>
      <c r="H1674" s="28">
        <f t="array" ref="H1674">INDEX(CC!C:C,MATCH(1,(CC!A:A=G1674)*(CC!B:B=I1674),0))</f>
        <v>1002</v>
      </c>
      <c r="I1674" s="28" t="s">
        <v>25</v>
      </c>
      <c r="J1674" s="31">
        <v>567.51</v>
      </c>
      <c r="K1674" s="28" t="str">
        <f>IFERROR(__xludf.DUMMYFUNCTION("IFERROR(
INDEX(
FILTER(
MAP(
reglas!$B$2:$B$240,
reglas!$C$2:$C$240,
reglas!$D$2:$D$240,
reglas!$E$2:$E$240,
LAMBDA(rEmisor,rPatron,rConcepto,rTipo,
IF(
AND(
OR(
UPPER(TRIM(rEmisor))=UPPER(TRIM(C1674)),
UPPER(TRIM(rEmisor))=""CUALQUIERA""
),
OR(
UPPER(TRI"&amp;"M(rTipo))=""SOLO EMISOR"",
AND(
UPPER(TRIM(rTipo))=""EXACTA"",
UPPER(TRIM(AG1674))=UPPER(TRIM(rPatron))
),
AND(
OR(
UPPER(TRIM(rTipo))=""CONTIENE"",
UPPER(TRIM(rTipo))=""COINCIDENCIA""
),
ISNUMBER(SEARCH(UPPER(TRIM(rPatron)),UPPER(TRIM(D1674))))
)
)
),
rC"&amp;"oncepto,
""""
)
)
),
MAP(
reglas!$B$2:$B$240,
reglas!$C$2:$C$240,
reglas!$D$2:$D$240,
reglas!$E$2:$E$240,
LAMBDA(rEmisor,rPatron,rConcepto,rTipo,
IF(
AND(
OR(
UPPER(TRIM(rEmisor))=UPPER(TRIM(C1674)),
UPPER(TRIM(rEmisor))=""CUALQUIERA""
),
OR(
UPPER(TRIM(r"&amp;"Tipo))=""SOLO EMISOR"",
AND(
UPPER(TRIM(rTipo))=""EXACTA"",
UPPER(TRIM(D1674))=UPPER(TRIM(rPatron))
),
AND(
OR(
UPPER(TRIM(rTipo))=""CONTIENE"",
UPPER(TRIM(rTipo))=""COINCIDENCIA""
),
ISNUMBER(SEARCH(UPPER(TRIM(rPatron)),UPPER(TRIM(D1674))))
)
)
),
rConce"&amp;"pto,
""""
)
)
)&lt;&gt;""""
),
1
),
""""
)"),"MANIOBRAS")</f>
        <v>MANIOBRAS</v>
      </c>
      <c r="L1674" s="27"/>
      <c r="M1674" s="27"/>
      <c r="N1674" s="27"/>
      <c r="O1674" s="27"/>
      <c r="P1674" s="27"/>
      <c r="Q1674" s="27"/>
      <c r="R1674" s="27"/>
      <c r="S1674" s="27"/>
      <c r="T1674" s="27"/>
      <c r="U1674" s="27"/>
      <c r="V1674" s="27"/>
      <c r="W1674" s="27"/>
      <c r="X1674" s="27"/>
      <c r="Y1674" s="27"/>
    </row>
    <row r="1675">
      <c r="A1675" s="32"/>
      <c r="B1675" s="32"/>
      <c r="C1675" s="29" t="s">
        <v>271</v>
      </c>
      <c r="D1675" s="29" t="s">
        <v>589</v>
      </c>
      <c r="E1675" s="28">
        <v>620.62</v>
      </c>
      <c r="F1675" s="28">
        <v>0.0</v>
      </c>
      <c r="G1675" s="28" t="s">
        <v>84</v>
      </c>
      <c r="H1675" s="28">
        <f t="array" ref="H1675">INDEX(CC!C:C,MATCH(1,(CC!A:A=G1675)*(CC!B:B=I1675),0))</f>
        <v>1002</v>
      </c>
      <c r="I1675" s="28" t="s">
        <v>25</v>
      </c>
      <c r="J1675" s="31">
        <v>620.62</v>
      </c>
      <c r="K1675" s="28" t="str">
        <f>IFERROR(__xludf.DUMMYFUNCTION("IFERROR(
INDEX(
FILTER(
MAP(
reglas!$B$2:$B$240,
reglas!$C$2:$C$240,
reglas!$D$2:$D$240,
reglas!$E$2:$E$240,
LAMBDA(rEmisor,rPatron,rConcepto,rTipo,
IF(
AND(
OR(
UPPER(TRIM(rEmisor))=UPPER(TRIM(C1675)),
UPPER(TRIM(rEmisor))=""CUALQUIERA""
),
OR(
UPPER(TRI"&amp;"M(rTipo))=""SOLO EMISOR"",
AND(
UPPER(TRIM(rTipo))=""EXACTA"",
UPPER(TRIM(AG1675))=UPPER(TRIM(rPatron))
),
AND(
OR(
UPPER(TRIM(rTipo))=""CONTIENE"",
UPPER(TRIM(rTipo))=""COINCIDENCIA""
),
ISNUMBER(SEARCH(UPPER(TRIM(rPatron)),UPPER(TRIM(D1675))))
)
)
),
rC"&amp;"oncepto,
""""
)
)
),
MAP(
reglas!$B$2:$B$240,
reglas!$C$2:$C$240,
reglas!$D$2:$D$240,
reglas!$E$2:$E$240,
LAMBDA(rEmisor,rPatron,rConcepto,rTipo,
IF(
AND(
OR(
UPPER(TRIM(rEmisor))=UPPER(TRIM(C1675)),
UPPER(TRIM(rEmisor))=""CUALQUIERA""
),
OR(
UPPER(TRIM(r"&amp;"Tipo))=""SOLO EMISOR"",
AND(
UPPER(TRIM(rTipo))=""EXACTA"",
UPPER(TRIM(D1675))=UPPER(TRIM(rPatron))
),
AND(
OR(
UPPER(TRIM(rTipo))=""CONTIENE"",
UPPER(TRIM(rTipo))=""COINCIDENCIA""
),
ISNUMBER(SEARCH(UPPER(TRIM(rPatron)),UPPER(TRIM(D1675))))
)
)
),
rConce"&amp;"pto,
""""
)
)
)&lt;&gt;""""
),
1
),
""""
)"),"MANIOBRAS")</f>
        <v>MANIOBRAS</v>
      </c>
      <c r="L1675" s="27"/>
      <c r="M1675" s="27"/>
      <c r="N1675" s="27"/>
      <c r="O1675" s="27"/>
      <c r="P1675" s="27"/>
      <c r="Q1675" s="27"/>
      <c r="R1675" s="27"/>
      <c r="S1675" s="27"/>
      <c r="T1675" s="27"/>
      <c r="U1675" s="27"/>
      <c r="V1675" s="27"/>
      <c r="W1675" s="27"/>
      <c r="X1675" s="27"/>
      <c r="Y1675" s="27"/>
    </row>
    <row r="1676">
      <c r="A1676" s="32"/>
      <c r="B1676" s="32"/>
      <c r="C1676" s="29" t="s">
        <v>271</v>
      </c>
      <c r="D1676" s="29" t="s">
        <v>596</v>
      </c>
      <c r="E1676" s="28">
        <v>651.16</v>
      </c>
      <c r="F1676" s="28">
        <v>0.0</v>
      </c>
      <c r="G1676" s="28" t="s">
        <v>84</v>
      </c>
      <c r="H1676" s="28">
        <f t="array" ref="H1676">INDEX(CC!C:C,MATCH(1,(CC!A:A=G1676)*(CC!B:B=I1676),0))</f>
        <v>1002</v>
      </c>
      <c r="I1676" s="28" t="s">
        <v>25</v>
      </c>
      <c r="J1676" s="31">
        <v>651.16</v>
      </c>
      <c r="K1676" s="28" t="str">
        <f>IFERROR(__xludf.DUMMYFUNCTION("IFERROR(
INDEX(
FILTER(
MAP(
reglas!$B$2:$B$240,
reglas!$C$2:$C$240,
reglas!$D$2:$D$240,
reglas!$E$2:$E$240,
LAMBDA(rEmisor,rPatron,rConcepto,rTipo,
IF(
AND(
OR(
UPPER(TRIM(rEmisor))=UPPER(TRIM(C1676)),
UPPER(TRIM(rEmisor))=""CUALQUIERA""
),
OR(
UPPER(TRI"&amp;"M(rTipo))=""SOLO EMISOR"",
AND(
UPPER(TRIM(rTipo))=""EXACTA"",
UPPER(TRIM(AG1676))=UPPER(TRIM(rPatron))
),
AND(
OR(
UPPER(TRIM(rTipo))=""CONTIENE"",
UPPER(TRIM(rTipo))=""COINCIDENCIA""
),
ISNUMBER(SEARCH(UPPER(TRIM(rPatron)),UPPER(TRIM(D1676))))
)
)
),
rC"&amp;"oncepto,
""""
)
)
),
MAP(
reglas!$B$2:$B$240,
reglas!$C$2:$C$240,
reglas!$D$2:$D$240,
reglas!$E$2:$E$240,
LAMBDA(rEmisor,rPatron,rConcepto,rTipo,
IF(
AND(
OR(
UPPER(TRIM(rEmisor))=UPPER(TRIM(C1676)),
UPPER(TRIM(rEmisor))=""CUALQUIERA""
),
OR(
UPPER(TRIM(r"&amp;"Tipo))=""SOLO EMISOR"",
AND(
UPPER(TRIM(rTipo))=""EXACTA"",
UPPER(TRIM(D1676))=UPPER(TRIM(rPatron))
),
AND(
OR(
UPPER(TRIM(rTipo))=""CONTIENE"",
UPPER(TRIM(rTipo))=""COINCIDENCIA""
),
ISNUMBER(SEARCH(UPPER(TRIM(rPatron)),UPPER(TRIM(D1676))))
)
)
),
rConce"&amp;"pto,
""""
)
)
)&lt;&gt;""""
),
1
),
""""
)"),"MANIOBRAS")</f>
        <v>MANIOBRAS</v>
      </c>
      <c r="L1676" s="27"/>
      <c r="M1676" s="27"/>
      <c r="N1676" s="27"/>
      <c r="O1676" s="27"/>
      <c r="P1676" s="27"/>
      <c r="Q1676" s="27"/>
      <c r="R1676" s="27"/>
      <c r="S1676" s="27"/>
      <c r="T1676" s="27"/>
      <c r="U1676" s="27"/>
      <c r="V1676" s="27"/>
      <c r="W1676" s="27"/>
      <c r="X1676" s="27"/>
      <c r="Y1676" s="27"/>
    </row>
    <row r="1677">
      <c r="A1677" s="28">
        <v>1.0</v>
      </c>
      <c r="B1677" s="28" t="s">
        <v>29</v>
      </c>
      <c r="C1677" s="29" t="s">
        <v>180</v>
      </c>
      <c r="D1677" s="29" t="s">
        <v>1957</v>
      </c>
      <c r="E1677" s="28">
        <v>197.41</v>
      </c>
      <c r="F1677" s="28">
        <v>197.41</v>
      </c>
      <c r="G1677" s="28" t="s">
        <v>55</v>
      </c>
      <c r="H1677" s="28">
        <f t="array" ref="H1677">INDEX(CC!C:C,MATCH(1,(CC!A:A=G1677)*(CC!B:B=I1677),0))</f>
        <v>902</v>
      </c>
      <c r="I1677" s="28" t="s">
        <v>25</v>
      </c>
      <c r="J1677" s="31">
        <v>1849.14</v>
      </c>
      <c r="K1677" s="28" t="str">
        <f>IFERROR(__xludf.DUMMYFUNCTION("IFERROR(
INDEX(
FILTER(
MAP(
reglas!$B$2:$B$240,
reglas!$C$2:$C$240,
reglas!$D$2:$D$240,
reglas!$E$2:$E$240,
LAMBDA(rEmisor,rPatron,rConcepto,rTipo,
IF(
AND(
OR(
UPPER(TRIM(rEmisor))=UPPER(TRIM(C1677)),
UPPER(TRIM(rEmisor))=""CUALQUIERA""
),
OR(
UPPER(TRI"&amp;"M(rTipo))=""SOLO EMISOR"",
AND(
UPPER(TRIM(rTipo))=""EXACTA"",
UPPER(TRIM(AG1677))=UPPER(TRIM(rPatron))
),
AND(
OR(
UPPER(TRIM(rTipo))=""CONTIENE"",
UPPER(TRIM(rTipo))=""COINCIDENCIA""
),
ISNUMBER(SEARCH(UPPER(TRIM(rPatron)),UPPER(TRIM(D1677))))
)
)
),
rC"&amp;"oncepto,
""""
)
)
),
MAP(
reglas!$B$2:$B$240,
reglas!$C$2:$C$240,
reglas!$D$2:$D$240,
reglas!$E$2:$E$240,
LAMBDA(rEmisor,rPatron,rConcepto,rTipo,
IF(
AND(
OR(
UPPER(TRIM(rEmisor))=UPPER(TRIM(C1677)),
UPPER(TRIM(rEmisor))=""CUALQUIERA""
),
OR(
UPPER(TRIM(r"&amp;"Tipo))=""SOLO EMISOR"",
AND(
UPPER(TRIM(rTipo))=""EXACTA"",
UPPER(TRIM(D1677))=UPPER(TRIM(rPatron))
),
AND(
OR(
UPPER(TRIM(rTipo))=""CONTIENE"",
UPPER(TRIM(rTipo))=""COINCIDENCIA""
),
ISNUMBER(SEARCH(UPPER(TRIM(rPatron)),UPPER(TRIM(D1677))))
)
)
),
rConce"&amp;"pto,
""""
)
)
)&lt;&gt;""""
),
1
),
""""
)"),"TELEFONIA MOVIL")</f>
        <v>TELEFONIA MOVIL</v>
      </c>
      <c r="L1677" s="27"/>
      <c r="M1677" s="27"/>
      <c r="N1677" s="27"/>
      <c r="O1677" s="27"/>
      <c r="P1677" s="27"/>
      <c r="Q1677" s="27"/>
      <c r="R1677" s="27"/>
      <c r="S1677" s="27"/>
      <c r="T1677" s="27"/>
      <c r="U1677" s="27"/>
      <c r="V1677" s="27"/>
      <c r="W1677" s="27"/>
      <c r="X1677" s="27"/>
      <c r="Y1677" s="27"/>
    </row>
    <row r="1678">
      <c r="A1678" s="32"/>
      <c r="B1678" s="32"/>
      <c r="C1678" s="29" t="s">
        <v>180</v>
      </c>
      <c r="D1678" s="29" t="s">
        <v>1958</v>
      </c>
      <c r="E1678" s="28">
        <v>171.55</v>
      </c>
      <c r="F1678" s="28">
        <v>171.55</v>
      </c>
      <c r="G1678" s="28" t="s">
        <v>74</v>
      </c>
      <c r="H1678" s="28">
        <f t="array" ref="H1678">INDEX(CC!C:C,MATCH(1,(CC!A:A=G1678)*(CC!B:B=I1678),0))</f>
        <v>1502</v>
      </c>
      <c r="I1678" s="28" t="s">
        <v>25</v>
      </c>
      <c r="J1678" s="31">
        <v>739.66</v>
      </c>
      <c r="K1678" s="28" t="str">
        <f>IFERROR(__xludf.DUMMYFUNCTION("IFERROR(
INDEX(
FILTER(
MAP(
reglas!$B$2:$B$240,
reglas!$C$2:$C$240,
reglas!$D$2:$D$240,
reglas!$E$2:$E$240,
LAMBDA(rEmisor,rPatron,rConcepto,rTipo,
IF(
AND(
OR(
UPPER(TRIM(rEmisor))=UPPER(TRIM(C1678)),
UPPER(TRIM(rEmisor))=""CUALQUIERA""
),
OR(
UPPER(TRI"&amp;"M(rTipo))=""SOLO EMISOR"",
AND(
UPPER(TRIM(rTipo))=""EXACTA"",
UPPER(TRIM(AG1678))=UPPER(TRIM(rPatron))
),
AND(
OR(
UPPER(TRIM(rTipo))=""CONTIENE"",
UPPER(TRIM(rTipo))=""COINCIDENCIA""
),
ISNUMBER(SEARCH(UPPER(TRIM(rPatron)),UPPER(TRIM(D1678))))
)
)
),
rC"&amp;"oncepto,
""""
)
)
),
MAP(
reglas!$B$2:$B$240,
reglas!$C$2:$C$240,
reglas!$D$2:$D$240,
reglas!$E$2:$E$240,
LAMBDA(rEmisor,rPatron,rConcepto,rTipo,
IF(
AND(
OR(
UPPER(TRIM(rEmisor))=UPPER(TRIM(C1678)),
UPPER(TRIM(rEmisor))=""CUALQUIERA""
),
OR(
UPPER(TRIM(r"&amp;"Tipo))=""SOLO EMISOR"",
AND(
UPPER(TRIM(rTipo))=""EXACTA"",
UPPER(TRIM(D1678))=UPPER(TRIM(rPatron))
),
AND(
OR(
UPPER(TRIM(rTipo))=""CONTIENE"",
UPPER(TRIM(rTipo))=""COINCIDENCIA""
),
ISNUMBER(SEARCH(UPPER(TRIM(rPatron)),UPPER(TRIM(D1678))))
)
)
),
rConce"&amp;"pto,
""""
)
)
)&lt;&gt;""""
),
1
),
""""
)"),"TELEFONIA MOVIL")</f>
        <v>TELEFONIA MOVIL</v>
      </c>
      <c r="L1678" s="27"/>
      <c r="M1678" s="27"/>
      <c r="N1678" s="27"/>
      <c r="O1678" s="27"/>
      <c r="P1678" s="27"/>
      <c r="Q1678" s="27"/>
      <c r="R1678" s="27"/>
      <c r="S1678" s="27"/>
      <c r="T1678" s="27"/>
      <c r="U1678" s="27"/>
      <c r="V1678" s="27"/>
      <c r="W1678" s="27"/>
      <c r="X1678" s="27"/>
      <c r="Y1678" s="27"/>
    </row>
    <row r="1679">
      <c r="A1679" s="32"/>
      <c r="B1679" s="32"/>
      <c r="C1679" s="29" t="s">
        <v>180</v>
      </c>
      <c r="D1679" s="29" t="s">
        <v>1959</v>
      </c>
      <c r="E1679" s="30">
        <v>9873.9</v>
      </c>
      <c r="F1679" s="30">
        <v>9873.9</v>
      </c>
      <c r="G1679" s="28" t="s">
        <v>601</v>
      </c>
      <c r="H1679" s="28">
        <f t="array" ref="H1679">INDEX(CC!C:C,MATCH(1,(CC!A:A=G1679)*(CC!B:B=I1679),0))</f>
        <v>402</v>
      </c>
      <c r="I1679" s="28" t="s">
        <v>25</v>
      </c>
      <c r="J1679" s="31">
        <v>1578.02</v>
      </c>
      <c r="K1679" s="28" t="str">
        <f>IFERROR(__xludf.DUMMYFUNCTION("IFERROR(
INDEX(
FILTER(
MAP(
reglas!$B$2:$B$240,
reglas!$C$2:$C$240,
reglas!$D$2:$D$240,
reglas!$E$2:$E$240,
LAMBDA(rEmisor,rPatron,rConcepto,rTipo,
IF(
AND(
OR(
UPPER(TRIM(rEmisor))=UPPER(TRIM(C1679)),
UPPER(TRIM(rEmisor))=""CUALQUIERA""
),
OR(
UPPER(TRI"&amp;"M(rTipo))=""SOLO EMISOR"",
AND(
UPPER(TRIM(rTipo))=""EXACTA"",
UPPER(TRIM(AG1679))=UPPER(TRIM(rPatron))
),
AND(
OR(
UPPER(TRIM(rTipo))=""CONTIENE"",
UPPER(TRIM(rTipo))=""COINCIDENCIA""
),
ISNUMBER(SEARCH(UPPER(TRIM(rPatron)),UPPER(TRIM(D1679))))
)
)
),
rC"&amp;"oncepto,
""""
)
)
),
MAP(
reglas!$B$2:$B$240,
reglas!$C$2:$C$240,
reglas!$D$2:$D$240,
reglas!$E$2:$E$240,
LAMBDA(rEmisor,rPatron,rConcepto,rTipo,
IF(
AND(
OR(
UPPER(TRIM(rEmisor))=UPPER(TRIM(C1679)),
UPPER(TRIM(rEmisor))=""CUALQUIERA""
),
OR(
UPPER(TRIM(r"&amp;"Tipo))=""SOLO EMISOR"",
AND(
UPPER(TRIM(rTipo))=""EXACTA"",
UPPER(TRIM(D1679))=UPPER(TRIM(rPatron))
),
AND(
OR(
UPPER(TRIM(rTipo))=""CONTIENE"",
UPPER(TRIM(rTipo))=""COINCIDENCIA""
),
ISNUMBER(SEARCH(UPPER(TRIM(rPatron)),UPPER(TRIM(D1679))))
)
)
),
rConce"&amp;"pto,
""""
)
)
)&lt;&gt;""""
),
1
),
""""
)"),"TELEFONIA MOVIL")</f>
        <v>TELEFONIA MOVIL</v>
      </c>
      <c r="L1679" s="27"/>
      <c r="M1679" s="27"/>
      <c r="N1679" s="27"/>
      <c r="O1679" s="27"/>
      <c r="P1679" s="27"/>
      <c r="Q1679" s="27"/>
      <c r="R1679" s="27"/>
      <c r="S1679" s="27"/>
      <c r="T1679" s="27"/>
      <c r="U1679" s="27"/>
      <c r="V1679" s="27"/>
      <c r="W1679" s="27"/>
      <c r="X1679" s="27"/>
      <c r="Y1679" s="27"/>
    </row>
    <row r="1680">
      <c r="A1680" s="32"/>
      <c r="B1680" s="32"/>
      <c r="C1680" s="29" t="s">
        <v>180</v>
      </c>
      <c r="D1680" s="29" t="s">
        <v>1960</v>
      </c>
      <c r="E1680" s="30">
        <v>10493.94</v>
      </c>
      <c r="F1680" s="30">
        <v>10493.94</v>
      </c>
      <c r="G1680" s="28" t="s">
        <v>250</v>
      </c>
      <c r="H1680" s="28">
        <f t="array" ref="H1680">INDEX(CC!C:C,MATCH(1,(CC!A:A=G1680)*(CC!B:B=I1680),0))</f>
        <v>1402</v>
      </c>
      <c r="I1680" s="28" t="s">
        <v>25</v>
      </c>
      <c r="J1680" s="31">
        <v>2403.88</v>
      </c>
      <c r="K1680" s="28" t="str">
        <f>IFERROR(__xludf.DUMMYFUNCTION("IFERROR(
INDEX(
FILTER(
MAP(
reglas!$B$2:$B$240,
reglas!$C$2:$C$240,
reglas!$D$2:$D$240,
reglas!$E$2:$E$240,
LAMBDA(rEmisor,rPatron,rConcepto,rTipo,
IF(
AND(
OR(
UPPER(TRIM(rEmisor))=UPPER(TRIM(C1680)),
UPPER(TRIM(rEmisor))=""CUALQUIERA""
),
OR(
UPPER(TRI"&amp;"M(rTipo))=""SOLO EMISOR"",
AND(
UPPER(TRIM(rTipo))=""EXACTA"",
UPPER(TRIM(AG1680))=UPPER(TRIM(rPatron))
),
AND(
OR(
UPPER(TRIM(rTipo))=""CONTIENE"",
UPPER(TRIM(rTipo))=""COINCIDENCIA""
),
ISNUMBER(SEARCH(UPPER(TRIM(rPatron)),UPPER(TRIM(D1680))))
)
)
),
rC"&amp;"oncepto,
""""
)
)
),
MAP(
reglas!$B$2:$B$240,
reglas!$C$2:$C$240,
reglas!$D$2:$D$240,
reglas!$E$2:$E$240,
LAMBDA(rEmisor,rPatron,rConcepto,rTipo,
IF(
AND(
OR(
UPPER(TRIM(rEmisor))=UPPER(TRIM(C1680)),
UPPER(TRIM(rEmisor))=""CUALQUIERA""
),
OR(
UPPER(TRIM(r"&amp;"Tipo))=""SOLO EMISOR"",
AND(
UPPER(TRIM(rTipo))=""EXACTA"",
UPPER(TRIM(D1680))=UPPER(TRIM(rPatron))
),
AND(
OR(
UPPER(TRIM(rTipo))=""CONTIENE"",
UPPER(TRIM(rTipo))=""COINCIDENCIA""
),
ISNUMBER(SEARCH(UPPER(TRIM(rPatron)),UPPER(TRIM(D1680))))
)
)
),
rConce"&amp;"pto,
""""
)
)
)&lt;&gt;""""
),
1
),
""""
)"),"TELEFONIA MOVIL")</f>
        <v>TELEFONIA MOVIL</v>
      </c>
      <c r="L1680" s="27"/>
      <c r="M1680" s="27"/>
      <c r="N1680" s="27"/>
      <c r="O1680" s="27"/>
      <c r="P1680" s="27"/>
      <c r="Q1680" s="27"/>
      <c r="R1680" s="27"/>
      <c r="S1680" s="27"/>
      <c r="T1680" s="27"/>
      <c r="U1680" s="27"/>
      <c r="V1680" s="27"/>
      <c r="W1680" s="27"/>
      <c r="X1680" s="27"/>
      <c r="Y1680" s="27"/>
    </row>
    <row r="1681">
      <c r="A1681" s="32"/>
      <c r="B1681" s="32"/>
      <c r="C1681" s="29" t="s">
        <v>180</v>
      </c>
      <c r="D1681" s="29" t="s">
        <v>1961</v>
      </c>
      <c r="E1681" s="28">
        <v>343.96</v>
      </c>
      <c r="F1681" s="28">
        <v>343.96</v>
      </c>
      <c r="G1681" s="28" t="s">
        <v>539</v>
      </c>
      <c r="H1681" s="28">
        <f t="array" ref="H1681">INDEX(CC!C:C,MATCH(1,(CC!A:A=G1681)*(CC!B:B=I1681),0))</f>
        <v>1302</v>
      </c>
      <c r="I1681" s="28" t="s">
        <v>25</v>
      </c>
      <c r="J1681" s="31">
        <v>739.66</v>
      </c>
      <c r="K1681" s="28" t="str">
        <f>IFERROR(__xludf.DUMMYFUNCTION("IFERROR(
INDEX(
FILTER(
MAP(
reglas!$B$2:$B$240,
reglas!$C$2:$C$240,
reglas!$D$2:$D$240,
reglas!$E$2:$E$240,
LAMBDA(rEmisor,rPatron,rConcepto,rTipo,
IF(
AND(
OR(
UPPER(TRIM(rEmisor))=UPPER(TRIM(C1681)),
UPPER(TRIM(rEmisor))=""CUALQUIERA""
),
OR(
UPPER(TRI"&amp;"M(rTipo))=""SOLO EMISOR"",
AND(
UPPER(TRIM(rTipo))=""EXACTA"",
UPPER(TRIM(AG1681))=UPPER(TRIM(rPatron))
),
AND(
OR(
UPPER(TRIM(rTipo))=""CONTIENE"",
UPPER(TRIM(rTipo))=""COINCIDENCIA""
),
ISNUMBER(SEARCH(UPPER(TRIM(rPatron)),UPPER(TRIM(D1681))))
)
)
),
rC"&amp;"oncepto,
""""
)
)
),
MAP(
reglas!$B$2:$B$240,
reglas!$C$2:$C$240,
reglas!$D$2:$D$240,
reglas!$E$2:$E$240,
LAMBDA(rEmisor,rPatron,rConcepto,rTipo,
IF(
AND(
OR(
UPPER(TRIM(rEmisor))=UPPER(TRIM(C1681)),
UPPER(TRIM(rEmisor))=""CUALQUIERA""
),
OR(
UPPER(TRIM(r"&amp;"Tipo))=""SOLO EMISOR"",
AND(
UPPER(TRIM(rTipo))=""EXACTA"",
UPPER(TRIM(D1681))=UPPER(TRIM(rPatron))
),
AND(
OR(
UPPER(TRIM(rTipo))=""CONTIENE"",
UPPER(TRIM(rTipo))=""COINCIDENCIA""
),
ISNUMBER(SEARCH(UPPER(TRIM(rPatron)),UPPER(TRIM(D1681))))
)
)
),
rConce"&amp;"pto,
""""
)
)
)&lt;&gt;""""
),
1
),
""""
)"),"TELEFONIA MOVIL")</f>
        <v>TELEFONIA MOVIL</v>
      </c>
      <c r="L1681" s="27"/>
      <c r="M1681" s="27"/>
      <c r="N1681" s="27"/>
      <c r="O1681" s="27"/>
      <c r="P1681" s="27"/>
      <c r="Q1681" s="27"/>
      <c r="R1681" s="27"/>
      <c r="S1681" s="27"/>
      <c r="T1681" s="27"/>
      <c r="U1681" s="27"/>
      <c r="V1681" s="27"/>
      <c r="W1681" s="27"/>
      <c r="X1681" s="27"/>
      <c r="Y1681" s="27"/>
    </row>
    <row r="1682">
      <c r="A1682" s="32"/>
      <c r="B1682" s="32"/>
      <c r="C1682" s="29" t="s">
        <v>180</v>
      </c>
      <c r="D1682" s="29" t="s">
        <v>1962</v>
      </c>
      <c r="E1682" s="30">
        <v>10835.1</v>
      </c>
      <c r="F1682" s="28">
        <v>0.0</v>
      </c>
      <c r="G1682" s="28" t="s">
        <v>225</v>
      </c>
      <c r="H1682" s="28">
        <f t="array" ref="H1682">INDEX(CC!C:C,MATCH(1,(CC!A:A=G1682)*(CC!B:B=I1682),0))</f>
        <v>102</v>
      </c>
      <c r="I1682" s="28" t="s">
        <v>25</v>
      </c>
      <c r="J1682" s="31">
        <v>5831.03</v>
      </c>
      <c r="K1682" s="28" t="str">
        <f>IFERROR(__xludf.DUMMYFUNCTION("IFERROR(
INDEX(
FILTER(
MAP(
reglas!$B$2:$B$240,
reglas!$C$2:$C$240,
reglas!$D$2:$D$240,
reglas!$E$2:$E$240,
LAMBDA(rEmisor,rPatron,rConcepto,rTipo,
IF(
AND(
OR(
UPPER(TRIM(rEmisor))=UPPER(TRIM(C1682)),
UPPER(TRIM(rEmisor))=""CUALQUIERA""
),
OR(
UPPER(TRI"&amp;"M(rTipo))=""SOLO EMISOR"",
AND(
UPPER(TRIM(rTipo))=""EXACTA"",
UPPER(TRIM(AG1682))=UPPER(TRIM(rPatron))
),
AND(
OR(
UPPER(TRIM(rTipo))=""CONTIENE"",
UPPER(TRIM(rTipo))=""COINCIDENCIA""
),
ISNUMBER(SEARCH(UPPER(TRIM(rPatron)),UPPER(TRIM(D1682))))
)
)
),
rC"&amp;"oncepto,
""""
)
)
),
MAP(
reglas!$B$2:$B$240,
reglas!$C$2:$C$240,
reglas!$D$2:$D$240,
reglas!$E$2:$E$240,
LAMBDA(rEmisor,rPatron,rConcepto,rTipo,
IF(
AND(
OR(
UPPER(TRIM(rEmisor))=UPPER(TRIM(C1682)),
UPPER(TRIM(rEmisor))=""CUALQUIERA""
),
OR(
UPPER(TRIM(r"&amp;"Tipo))=""SOLO EMISOR"",
AND(
UPPER(TRIM(rTipo))=""EXACTA"",
UPPER(TRIM(D1682))=UPPER(TRIM(rPatron))
),
AND(
OR(
UPPER(TRIM(rTipo))=""CONTIENE"",
UPPER(TRIM(rTipo))=""COINCIDENCIA""
),
ISNUMBER(SEARCH(UPPER(TRIM(rPatron)),UPPER(TRIM(D1682))))
)
)
),
rConce"&amp;"pto,
""""
)
)
)&lt;&gt;""""
),
1
),
""""
)"),"TELEFONIA MOVIL")</f>
        <v>TELEFONIA MOVIL</v>
      </c>
      <c r="L1682" s="27"/>
      <c r="M1682" s="27"/>
      <c r="N1682" s="27"/>
      <c r="O1682" s="27"/>
      <c r="P1682" s="27"/>
      <c r="Q1682" s="27"/>
      <c r="R1682" s="27"/>
      <c r="S1682" s="27"/>
      <c r="T1682" s="27"/>
      <c r="U1682" s="27"/>
      <c r="V1682" s="27"/>
      <c r="W1682" s="27"/>
      <c r="X1682" s="27"/>
      <c r="Y1682" s="27"/>
    </row>
    <row r="1683">
      <c r="A1683" s="32"/>
      <c r="B1683" s="32"/>
      <c r="C1683" s="29" t="s">
        <v>180</v>
      </c>
      <c r="D1683" s="29" t="s">
        <v>1963</v>
      </c>
      <c r="E1683" s="28">
        <v>361.47</v>
      </c>
      <c r="F1683" s="28">
        <v>0.0</v>
      </c>
      <c r="G1683" s="28" t="s">
        <v>84</v>
      </c>
      <c r="H1683" s="28">
        <f t="array" ref="H1683">INDEX(CC!C:C,MATCH(1,(CC!A:A=G1683)*(CC!B:B=I1683),0))</f>
        <v>1002</v>
      </c>
      <c r="I1683" s="28" t="s">
        <v>25</v>
      </c>
      <c r="J1683" s="31">
        <v>4171.55</v>
      </c>
      <c r="K1683" s="28" t="str">
        <f>IFERROR(__xludf.DUMMYFUNCTION("IFERROR(
INDEX(
FILTER(
MAP(
reglas!$B$2:$B$240,
reglas!$C$2:$C$240,
reglas!$D$2:$D$240,
reglas!$E$2:$E$240,
LAMBDA(rEmisor,rPatron,rConcepto,rTipo,
IF(
AND(
OR(
UPPER(TRIM(rEmisor))=UPPER(TRIM(C1683)),
UPPER(TRIM(rEmisor))=""CUALQUIERA""
),
OR(
UPPER(TRI"&amp;"M(rTipo))=""SOLO EMISOR"",
AND(
UPPER(TRIM(rTipo))=""EXACTA"",
UPPER(TRIM(AG1683))=UPPER(TRIM(rPatron))
),
AND(
OR(
UPPER(TRIM(rTipo))=""CONTIENE"",
UPPER(TRIM(rTipo))=""COINCIDENCIA""
),
ISNUMBER(SEARCH(UPPER(TRIM(rPatron)),UPPER(TRIM(D1683))))
)
)
),
rC"&amp;"oncepto,
""""
)
)
),
MAP(
reglas!$B$2:$B$240,
reglas!$C$2:$C$240,
reglas!$D$2:$D$240,
reglas!$E$2:$E$240,
LAMBDA(rEmisor,rPatron,rConcepto,rTipo,
IF(
AND(
OR(
UPPER(TRIM(rEmisor))=UPPER(TRIM(C1683)),
UPPER(TRIM(rEmisor))=""CUALQUIERA""
),
OR(
UPPER(TRIM(r"&amp;"Tipo))=""SOLO EMISOR"",
AND(
UPPER(TRIM(rTipo))=""EXACTA"",
UPPER(TRIM(D1683))=UPPER(TRIM(rPatron))
),
AND(
OR(
UPPER(TRIM(rTipo))=""CONTIENE"",
UPPER(TRIM(rTipo))=""COINCIDENCIA""
),
ISNUMBER(SEARCH(UPPER(TRIM(rPatron)),UPPER(TRIM(D1683))))
)
)
),
rConce"&amp;"pto,
""""
)
)
)&lt;&gt;""""
),
1
),
""""
)"),"TELEFONIA MOVIL")</f>
        <v>TELEFONIA MOVIL</v>
      </c>
      <c r="L1683" s="27"/>
      <c r="M1683" s="27"/>
      <c r="N1683" s="27"/>
      <c r="O1683" s="27"/>
      <c r="P1683" s="27"/>
      <c r="Q1683" s="27"/>
      <c r="R1683" s="27"/>
      <c r="S1683" s="27"/>
      <c r="T1683" s="27"/>
      <c r="U1683" s="27"/>
      <c r="V1683" s="27"/>
      <c r="W1683" s="27"/>
      <c r="X1683" s="27"/>
      <c r="Y1683" s="27"/>
    </row>
    <row r="1684">
      <c r="A1684" s="32"/>
      <c r="B1684" s="32"/>
      <c r="C1684" s="29" t="s">
        <v>180</v>
      </c>
      <c r="D1684" s="29" t="s">
        <v>1962</v>
      </c>
      <c r="E1684" s="28">
        <v>774.0</v>
      </c>
      <c r="F1684" s="28">
        <v>0.0</v>
      </c>
      <c r="G1684" s="28" t="s">
        <v>554</v>
      </c>
      <c r="H1684" s="28">
        <f t="array" ref="H1684">INDEX(CC!C:C,MATCH(1,(CC!A:A=G1684)*(CC!B:B=I1684),0))</f>
        <v>1702</v>
      </c>
      <c r="I1684" s="28" t="s">
        <v>25</v>
      </c>
      <c r="J1684" s="31">
        <v>739.66</v>
      </c>
      <c r="K1684" s="28" t="str">
        <f>IFERROR(__xludf.DUMMYFUNCTION("IFERROR(
INDEX(
FILTER(
MAP(
reglas!$B$2:$B$240,
reglas!$C$2:$C$240,
reglas!$D$2:$D$240,
reglas!$E$2:$E$240,
LAMBDA(rEmisor,rPatron,rConcepto,rTipo,
IF(
AND(
OR(
UPPER(TRIM(rEmisor))=UPPER(TRIM(C1684)),
UPPER(TRIM(rEmisor))=""CUALQUIERA""
),
OR(
UPPER(TRI"&amp;"M(rTipo))=""SOLO EMISOR"",
AND(
UPPER(TRIM(rTipo))=""EXACTA"",
UPPER(TRIM(AG1684))=UPPER(TRIM(rPatron))
),
AND(
OR(
UPPER(TRIM(rTipo))=""CONTIENE"",
UPPER(TRIM(rTipo))=""COINCIDENCIA""
),
ISNUMBER(SEARCH(UPPER(TRIM(rPatron)),UPPER(TRIM(D1684))))
)
)
),
rC"&amp;"oncepto,
""""
)
)
),
MAP(
reglas!$B$2:$B$240,
reglas!$C$2:$C$240,
reglas!$D$2:$D$240,
reglas!$E$2:$E$240,
LAMBDA(rEmisor,rPatron,rConcepto,rTipo,
IF(
AND(
OR(
UPPER(TRIM(rEmisor))=UPPER(TRIM(C1684)),
UPPER(TRIM(rEmisor))=""CUALQUIERA""
),
OR(
UPPER(TRIM(r"&amp;"Tipo))=""SOLO EMISOR"",
AND(
UPPER(TRIM(rTipo))=""EXACTA"",
UPPER(TRIM(D1684))=UPPER(TRIM(rPatron))
),
AND(
OR(
UPPER(TRIM(rTipo))=""CONTIENE"",
UPPER(TRIM(rTipo))=""COINCIDENCIA""
),
ISNUMBER(SEARCH(UPPER(TRIM(rPatron)),UPPER(TRIM(D1684))))
)
)
),
rConce"&amp;"pto,
""""
)
)
)&lt;&gt;""""
),
1
),
""""
)"),"TELEFONIA MOVIL")</f>
        <v>TELEFONIA MOVIL</v>
      </c>
      <c r="L1684" s="27"/>
      <c r="M1684" s="27"/>
      <c r="N1684" s="27"/>
      <c r="O1684" s="27"/>
      <c r="P1684" s="27"/>
      <c r="Q1684" s="27"/>
      <c r="R1684" s="27"/>
      <c r="S1684" s="27"/>
      <c r="T1684" s="27"/>
      <c r="U1684" s="27"/>
      <c r="V1684" s="27"/>
      <c r="W1684" s="27"/>
      <c r="X1684" s="27"/>
      <c r="Y1684" s="27"/>
    </row>
    <row r="1685">
      <c r="A1685" s="32"/>
      <c r="B1685" s="32"/>
      <c r="C1685" s="29" t="s">
        <v>180</v>
      </c>
      <c r="D1685" s="29" t="s">
        <v>1963</v>
      </c>
      <c r="E1685" s="28">
        <v>25.82</v>
      </c>
      <c r="F1685" s="28">
        <v>0.0</v>
      </c>
      <c r="G1685" s="32"/>
      <c r="H1685" s="28" t="str">
        <f t="array" ref="H1685">INDEX(CC!C:C,MATCH(1,(CC!A:A=G1685)*(CC!B:B=I1685),0))</f>
        <v/>
      </c>
      <c r="I1685" s="32"/>
      <c r="J1685" s="33"/>
      <c r="K1685" s="28" t="str">
        <f>IFERROR(__xludf.DUMMYFUNCTION("IFERROR(
INDEX(
FILTER(
MAP(
reglas!$B$2:$B$240,
reglas!$C$2:$C$240,
reglas!$D$2:$D$240,
reglas!$E$2:$E$240,
LAMBDA(rEmisor,rPatron,rConcepto,rTipo,
IF(
AND(
OR(
UPPER(TRIM(rEmisor))=UPPER(TRIM(C1685)),
UPPER(TRIM(rEmisor))=""CUALQUIERA""
),
OR(
UPPER(TRI"&amp;"M(rTipo))=""SOLO EMISOR"",
AND(
UPPER(TRIM(rTipo))=""EXACTA"",
UPPER(TRIM(AG1685))=UPPER(TRIM(rPatron))
),
AND(
OR(
UPPER(TRIM(rTipo))=""CONTIENE"",
UPPER(TRIM(rTipo))=""COINCIDENCIA""
),
ISNUMBER(SEARCH(UPPER(TRIM(rPatron)),UPPER(TRIM(D1685))))
)
)
),
rC"&amp;"oncepto,
""""
)
)
),
MAP(
reglas!$B$2:$B$240,
reglas!$C$2:$C$240,
reglas!$D$2:$D$240,
reglas!$E$2:$E$240,
LAMBDA(rEmisor,rPatron,rConcepto,rTipo,
IF(
AND(
OR(
UPPER(TRIM(rEmisor))=UPPER(TRIM(C1685)),
UPPER(TRIM(rEmisor))=""CUALQUIERA""
),
OR(
UPPER(TRIM(r"&amp;"Tipo))=""SOLO EMISOR"",
AND(
UPPER(TRIM(rTipo))=""EXACTA"",
UPPER(TRIM(D1685))=UPPER(TRIM(rPatron))
),
AND(
OR(
UPPER(TRIM(rTipo))=""CONTIENE"",
UPPER(TRIM(rTipo))=""COINCIDENCIA""
),
ISNUMBER(SEARCH(UPPER(TRIM(rPatron)),UPPER(TRIM(D1685))))
)
)
),
rConce"&amp;"pto,
""""
)
)
)&lt;&gt;""""
),
1
),
""""
)"),"TELEFONIA MOVIL")</f>
        <v>TELEFONIA MOVIL</v>
      </c>
      <c r="L1685" s="27"/>
      <c r="M1685" s="27"/>
      <c r="N1685" s="27"/>
      <c r="O1685" s="27"/>
      <c r="P1685" s="27"/>
      <c r="Q1685" s="27"/>
      <c r="R1685" s="27"/>
      <c r="S1685" s="27"/>
      <c r="T1685" s="27"/>
      <c r="U1685" s="27"/>
      <c r="V1685" s="27"/>
      <c r="W1685" s="27"/>
      <c r="X1685" s="27"/>
      <c r="Y1685" s="27"/>
    </row>
    <row r="1686">
      <c r="A1686" s="32"/>
      <c r="B1686" s="32"/>
      <c r="C1686" s="29" t="s">
        <v>180</v>
      </c>
      <c r="D1686" s="29" t="s">
        <v>1962</v>
      </c>
      <c r="E1686" s="30">
        <v>3869.55</v>
      </c>
      <c r="F1686" s="28">
        <v>0.0</v>
      </c>
      <c r="G1686" s="32"/>
      <c r="H1686" s="28" t="str">
        <f t="array" ref="H1686">INDEX(CC!C:C,MATCH(1,(CC!A:A=G1686)*(CC!B:B=I1686),0))</f>
        <v/>
      </c>
      <c r="I1686" s="32"/>
      <c r="J1686" s="33"/>
      <c r="K1686" s="28" t="str">
        <f>IFERROR(__xludf.DUMMYFUNCTION("IFERROR(
INDEX(
FILTER(
MAP(
reglas!$B$2:$B$240,
reglas!$C$2:$C$240,
reglas!$D$2:$D$240,
reglas!$E$2:$E$240,
LAMBDA(rEmisor,rPatron,rConcepto,rTipo,
IF(
AND(
OR(
UPPER(TRIM(rEmisor))=UPPER(TRIM(C1686)),
UPPER(TRIM(rEmisor))=""CUALQUIERA""
),
OR(
UPPER(TRI"&amp;"M(rTipo))=""SOLO EMISOR"",
AND(
UPPER(TRIM(rTipo))=""EXACTA"",
UPPER(TRIM(AG1686))=UPPER(TRIM(rPatron))
),
AND(
OR(
UPPER(TRIM(rTipo))=""CONTIENE"",
UPPER(TRIM(rTipo))=""COINCIDENCIA""
),
ISNUMBER(SEARCH(UPPER(TRIM(rPatron)),UPPER(TRIM(D1686))))
)
)
),
rC"&amp;"oncepto,
""""
)
)
),
MAP(
reglas!$B$2:$B$240,
reglas!$C$2:$C$240,
reglas!$D$2:$D$240,
reglas!$E$2:$E$240,
LAMBDA(rEmisor,rPatron,rConcepto,rTipo,
IF(
AND(
OR(
UPPER(TRIM(rEmisor))=UPPER(TRIM(C1686)),
UPPER(TRIM(rEmisor))=""CUALQUIERA""
),
OR(
UPPER(TRIM(r"&amp;"Tipo))=""SOLO EMISOR"",
AND(
UPPER(TRIM(rTipo))=""EXACTA"",
UPPER(TRIM(D1686))=UPPER(TRIM(rPatron))
),
AND(
OR(
UPPER(TRIM(rTipo))=""CONTIENE"",
UPPER(TRIM(rTipo))=""COINCIDENCIA""
),
ISNUMBER(SEARCH(UPPER(TRIM(rPatron)),UPPER(TRIM(D1686))))
)
)
),
rConce"&amp;"pto,
""""
)
)
)&lt;&gt;""""
),
1
),
""""
)"),"TELEFONIA MOVIL")</f>
        <v>TELEFONIA MOVIL</v>
      </c>
      <c r="L1686" s="27"/>
      <c r="M1686" s="27"/>
      <c r="N1686" s="27"/>
      <c r="O1686" s="27"/>
      <c r="P1686" s="27"/>
      <c r="Q1686" s="27"/>
      <c r="R1686" s="27"/>
      <c r="S1686" s="27"/>
      <c r="T1686" s="27"/>
      <c r="U1686" s="27"/>
      <c r="V1686" s="27"/>
      <c r="W1686" s="27"/>
      <c r="X1686" s="27"/>
      <c r="Y1686" s="27"/>
    </row>
    <row r="1687">
      <c r="A1687" s="32"/>
      <c r="B1687" s="32"/>
      <c r="C1687" s="29" t="s">
        <v>180</v>
      </c>
      <c r="D1687" s="29" t="s">
        <v>1963</v>
      </c>
      <c r="E1687" s="28">
        <v>129.09</v>
      </c>
      <c r="F1687" s="28">
        <v>0.0</v>
      </c>
      <c r="G1687" s="32"/>
      <c r="H1687" s="28" t="str">
        <f t="array" ref="H1687">INDEX(CC!C:C,MATCH(1,(CC!A:A=G1687)*(CC!B:B=I1687),0))</f>
        <v/>
      </c>
      <c r="I1687" s="32"/>
      <c r="J1687" s="33"/>
      <c r="K1687" s="28" t="str">
        <f>IFERROR(__xludf.DUMMYFUNCTION("IFERROR(
INDEX(
FILTER(
MAP(
reglas!$B$2:$B$240,
reglas!$C$2:$C$240,
reglas!$D$2:$D$240,
reglas!$E$2:$E$240,
LAMBDA(rEmisor,rPatron,rConcepto,rTipo,
IF(
AND(
OR(
UPPER(TRIM(rEmisor))=UPPER(TRIM(C1687)),
UPPER(TRIM(rEmisor))=""CUALQUIERA""
),
OR(
UPPER(TRI"&amp;"M(rTipo))=""SOLO EMISOR"",
AND(
UPPER(TRIM(rTipo))=""EXACTA"",
UPPER(TRIM(AG1687))=UPPER(TRIM(rPatron))
),
AND(
OR(
UPPER(TRIM(rTipo))=""CONTIENE"",
UPPER(TRIM(rTipo))=""COINCIDENCIA""
),
ISNUMBER(SEARCH(UPPER(TRIM(rPatron)),UPPER(TRIM(D1687))))
)
)
),
rC"&amp;"oncepto,
""""
)
)
),
MAP(
reglas!$B$2:$B$240,
reglas!$C$2:$C$240,
reglas!$D$2:$D$240,
reglas!$E$2:$E$240,
LAMBDA(rEmisor,rPatron,rConcepto,rTipo,
IF(
AND(
OR(
UPPER(TRIM(rEmisor))=UPPER(TRIM(C1687)),
UPPER(TRIM(rEmisor))=""CUALQUIERA""
),
OR(
UPPER(TRIM(r"&amp;"Tipo))=""SOLO EMISOR"",
AND(
UPPER(TRIM(rTipo))=""EXACTA"",
UPPER(TRIM(D1687))=UPPER(TRIM(rPatron))
),
AND(
OR(
UPPER(TRIM(rTipo))=""CONTIENE"",
UPPER(TRIM(rTipo))=""COINCIDENCIA""
),
ISNUMBER(SEARCH(UPPER(TRIM(rPatron)),UPPER(TRIM(D1687))))
)
)
),
rConce"&amp;"pto,
""""
)
)
)&lt;&gt;""""
),
1
),
""""
)"),"TELEFONIA MOVIL")</f>
        <v>TELEFONIA MOVIL</v>
      </c>
      <c r="L1687" s="27"/>
      <c r="M1687" s="27"/>
      <c r="N1687" s="27"/>
      <c r="O1687" s="27"/>
      <c r="P1687" s="27"/>
      <c r="Q1687" s="27"/>
      <c r="R1687" s="27"/>
      <c r="S1687" s="27"/>
      <c r="T1687" s="27"/>
      <c r="U1687" s="27"/>
      <c r="V1687" s="27"/>
      <c r="W1687" s="27"/>
      <c r="X1687" s="27"/>
      <c r="Y1687" s="27"/>
    </row>
    <row r="1688">
      <c r="A1688" s="32"/>
      <c r="B1688" s="32"/>
      <c r="C1688" s="29" t="s">
        <v>180</v>
      </c>
      <c r="D1688" s="29" t="s">
        <v>1964</v>
      </c>
      <c r="E1688" s="28">
        <v>541.29</v>
      </c>
      <c r="F1688" s="28">
        <v>0.0</v>
      </c>
      <c r="G1688" s="32"/>
      <c r="H1688" s="28" t="str">
        <f t="array" ref="H1688">INDEX(CC!C:C,MATCH(1,(CC!A:A=G1688)*(CC!B:B=I1688),0))</f>
        <v/>
      </c>
      <c r="I1688" s="32"/>
      <c r="J1688" s="33"/>
      <c r="K1688" s="28" t="str">
        <f>IFERROR(__xludf.DUMMYFUNCTION("IFERROR(
INDEX(
FILTER(
MAP(
reglas!$B$2:$B$240,
reglas!$C$2:$C$240,
reglas!$D$2:$D$240,
reglas!$E$2:$E$240,
LAMBDA(rEmisor,rPatron,rConcepto,rTipo,
IF(
AND(
OR(
UPPER(TRIM(rEmisor))=UPPER(TRIM(C1688)),
UPPER(TRIM(rEmisor))=""CUALQUIERA""
),
OR(
UPPER(TRI"&amp;"M(rTipo))=""SOLO EMISOR"",
AND(
UPPER(TRIM(rTipo))=""EXACTA"",
UPPER(TRIM(AG1688))=UPPER(TRIM(rPatron))
),
AND(
OR(
UPPER(TRIM(rTipo))=""CONTIENE"",
UPPER(TRIM(rTipo))=""COINCIDENCIA""
),
ISNUMBER(SEARCH(UPPER(TRIM(rPatron)),UPPER(TRIM(D1688))))
)
)
),
rC"&amp;"oncepto,
""""
)
)
),
MAP(
reglas!$B$2:$B$240,
reglas!$C$2:$C$240,
reglas!$D$2:$D$240,
reglas!$E$2:$E$240,
LAMBDA(rEmisor,rPatron,rConcepto,rTipo,
IF(
AND(
OR(
UPPER(TRIM(rEmisor))=UPPER(TRIM(C1688)),
UPPER(TRIM(rEmisor))=""CUALQUIERA""
),
OR(
UPPER(TRIM(r"&amp;"Tipo))=""SOLO EMISOR"",
AND(
UPPER(TRIM(rTipo))=""EXACTA"",
UPPER(TRIM(D1688))=UPPER(TRIM(rPatron))
),
AND(
OR(
UPPER(TRIM(rTipo))=""CONTIENE"",
UPPER(TRIM(rTipo))=""COINCIDENCIA""
),
ISNUMBER(SEARCH(UPPER(TRIM(rPatron)),UPPER(TRIM(D1688))))
)
)
),
rConce"&amp;"pto,
""""
)
)
)&lt;&gt;""""
),
1
),
""""
)"),"TELEFONIA MOVIL")</f>
        <v>TELEFONIA MOVIL</v>
      </c>
      <c r="L1688" s="27"/>
      <c r="M1688" s="27"/>
      <c r="N1688" s="27"/>
      <c r="O1688" s="27"/>
      <c r="P1688" s="27"/>
      <c r="Q1688" s="27"/>
      <c r="R1688" s="27"/>
      <c r="S1688" s="27"/>
      <c r="T1688" s="27"/>
      <c r="U1688" s="27"/>
      <c r="V1688" s="27"/>
      <c r="W1688" s="27"/>
      <c r="X1688" s="27"/>
      <c r="Y1688" s="27"/>
    </row>
    <row r="1689">
      <c r="A1689" s="32"/>
      <c r="B1689" s="32"/>
      <c r="C1689" s="29" t="s">
        <v>180</v>
      </c>
      <c r="D1689" s="29" t="s">
        <v>1964</v>
      </c>
      <c r="E1689" s="28">
        <v>38.67</v>
      </c>
      <c r="F1689" s="28">
        <v>0.0</v>
      </c>
      <c r="G1689" s="32"/>
      <c r="H1689" s="28" t="str">
        <f t="array" ref="H1689">INDEX(CC!C:C,MATCH(1,(CC!A:A=G1689)*(CC!B:B=I1689),0))</f>
        <v/>
      </c>
      <c r="I1689" s="32"/>
      <c r="J1689" s="33"/>
      <c r="K1689" s="28" t="str">
        <f>IFERROR(__xludf.DUMMYFUNCTION("IFERROR(
INDEX(
FILTER(
MAP(
reglas!$B$2:$B$240,
reglas!$C$2:$C$240,
reglas!$D$2:$D$240,
reglas!$E$2:$E$240,
LAMBDA(rEmisor,rPatron,rConcepto,rTipo,
IF(
AND(
OR(
UPPER(TRIM(rEmisor))=UPPER(TRIM(C1689)),
UPPER(TRIM(rEmisor))=""CUALQUIERA""
),
OR(
UPPER(TRI"&amp;"M(rTipo))=""SOLO EMISOR"",
AND(
UPPER(TRIM(rTipo))=""EXACTA"",
UPPER(TRIM(AG1689))=UPPER(TRIM(rPatron))
),
AND(
OR(
UPPER(TRIM(rTipo))=""CONTIENE"",
UPPER(TRIM(rTipo))=""COINCIDENCIA""
),
ISNUMBER(SEARCH(UPPER(TRIM(rPatron)),UPPER(TRIM(D1689))))
)
)
),
rC"&amp;"oncepto,
""""
)
)
),
MAP(
reglas!$B$2:$B$240,
reglas!$C$2:$C$240,
reglas!$D$2:$D$240,
reglas!$E$2:$E$240,
LAMBDA(rEmisor,rPatron,rConcepto,rTipo,
IF(
AND(
OR(
UPPER(TRIM(rEmisor))=UPPER(TRIM(C1689)),
UPPER(TRIM(rEmisor))=""CUALQUIERA""
),
OR(
UPPER(TRIM(r"&amp;"Tipo))=""SOLO EMISOR"",
AND(
UPPER(TRIM(rTipo))=""EXACTA"",
UPPER(TRIM(D1689))=UPPER(TRIM(rPatron))
),
AND(
OR(
UPPER(TRIM(rTipo))=""CONTIENE"",
UPPER(TRIM(rTipo))=""COINCIDENCIA""
),
ISNUMBER(SEARCH(UPPER(TRIM(rPatron)),UPPER(TRIM(D1689))))
)
)
),
rConce"&amp;"pto,
""""
)
)
)&lt;&gt;""""
),
1
),
""""
)"),"TELEFONIA MOVIL")</f>
        <v>TELEFONIA MOVIL</v>
      </c>
      <c r="L1689" s="27"/>
      <c r="M1689" s="27"/>
      <c r="N1689" s="27"/>
      <c r="O1689" s="27"/>
      <c r="P1689" s="27"/>
      <c r="Q1689" s="27"/>
      <c r="R1689" s="27"/>
      <c r="S1689" s="27"/>
      <c r="T1689" s="27"/>
      <c r="U1689" s="27"/>
      <c r="V1689" s="27"/>
      <c r="W1689" s="27"/>
      <c r="X1689" s="27"/>
      <c r="Y1689" s="27"/>
    </row>
    <row r="1690">
      <c r="A1690" s="32"/>
      <c r="B1690" s="32"/>
      <c r="C1690" s="29" t="s">
        <v>180</v>
      </c>
      <c r="D1690" s="29" t="s">
        <v>1964</v>
      </c>
      <c r="E1690" s="28">
        <v>193.32</v>
      </c>
      <c r="F1690" s="28">
        <v>0.0</v>
      </c>
      <c r="G1690" s="32"/>
      <c r="H1690" s="28" t="str">
        <f t="array" ref="H1690">INDEX(CC!C:C,MATCH(1,(CC!A:A=G1690)*(CC!B:B=I1690),0))</f>
        <v/>
      </c>
      <c r="I1690" s="32"/>
      <c r="J1690" s="33"/>
      <c r="K1690" s="28" t="str">
        <f>IFERROR(__xludf.DUMMYFUNCTION("IFERROR(
INDEX(
FILTER(
MAP(
reglas!$B$2:$B$240,
reglas!$C$2:$C$240,
reglas!$D$2:$D$240,
reglas!$E$2:$E$240,
LAMBDA(rEmisor,rPatron,rConcepto,rTipo,
IF(
AND(
OR(
UPPER(TRIM(rEmisor))=UPPER(TRIM(C1690)),
UPPER(TRIM(rEmisor))=""CUALQUIERA""
),
OR(
UPPER(TRI"&amp;"M(rTipo))=""SOLO EMISOR"",
AND(
UPPER(TRIM(rTipo))=""EXACTA"",
UPPER(TRIM(AG1690))=UPPER(TRIM(rPatron))
),
AND(
OR(
UPPER(TRIM(rTipo))=""CONTIENE"",
UPPER(TRIM(rTipo))=""COINCIDENCIA""
),
ISNUMBER(SEARCH(UPPER(TRIM(rPatron)),UPPER(TRIM(D1690))))
)
)
),
rC"&amp;"oncepto,
""""
)
)
),
MAP(
reglas!$B$2:$B$240,
reglas!$C$2:$C$240,
reglas!$D$2:$D$240,
reglas!$E$2:$E$240,
LAMBDA(rEmisor,rPatron,rConcepto,rTipo,
IF(
AND(
OR(
UPPER(TRIM(rEmisor))=UPPER(TRIM(C1690)),
UPPER(TRIM(rEmisor))=""CUALQUIERA""
),
OR(
UPPER(TRIM(r"&amp;"Tipo))=""SOLO EMISOR"",
AND(
UPPER(TRIM(rTipo))=""EXACTA"",
UPPER(TRIM(D1690))=UPPER(TRIM(rPatron))
),
AND(
OR(
UPPER(TRIM(rTipo))=""CONTIENE"",
UPPER(TRIM(rTipo))=""COINCIDENCIA""
),
ISNUMBER(SEARCH(UPPER(TRIM(rPatron)),UPPER(TRIM(D1690))))
)
)
),
rConce"&amp;"pto,
""""
)
)
)&lt;&gt;""""
),
1
),
""""
)"),"TELEFONIA MOVIL")</f>
        <v>TELEFONIA MOVIL</v>
      </c>
      <c r="L1690" s="27"/>
      <c r="M1690" s="27"/>
      <c r="N1690" s="27"/>
      <c r="O1690" s="27"/>
      <c r="P1690" s="27"/>
      <c r="Q1690" s="27"/>
      <c r="R1690" s="27"/>
      <c r="S1690" s="27"/>
      <c r="T1690" s="27"/>
      <c r="U1690" s="27"/>
      <c r="V1690" s="27"/>
      <c r="W1690" s="27"/>
      <c r="X1690" s="27"/>
      <c r="Y1690" s="27"/>
    </row>
    <row r="1691">
      <c r="A1691" s="32"/>
      <c r="B1691" s="32"/>
      <c r="C1691" s="29" t="s">
        <v>180</v>
      </c>
      <c r="D1691" s="29" t="s">
        <v>1965</v>
      </c>
      <c r="E1691" s="30">
        <v>1241.28</v>
      </c>
      <c r="F1691" s="28">
        <v>0.0</v>
      </c>
      <c r="G1691" s="32"/>
      <c r="H1691" s="28" t="str">
        <f t="array" ref="H1691">INDEX(CC!C:C,MATCH(1,(CC!A:A=G1691)*(CC!B:B=I1691),0))</f>
        <v/>
      </c>
      <c r="I1691" s="32"/>
      <c r="J1691" s="33"/>
      <c r="K1691" s="28" t="str">
        <f>IFERROR(__xludf.DUMMYFUNCTION("IFERROR(
INDEX(
FILTER(
MAP(
reglas!$B$2:$B$240,
reglas!$C$2:$C$240,
reglas!$D$2:$D$240,
reglas!$E$2:$E$240,
LAMBDA(rEmisor,rPatron,rConcepto,rTipo,
IF(
AND(
OR(
UPPER(TRIM(rEmisor))=UPPER(TRIM(C1691)),
UPPER(TRIM(rEmisor))=""CUALQUIERA""
),
OR(
UPPER(TRI"&amp;"M(rTipo))=""SOLO EMISOR"",
AND(
UPPER(TRIM(rTipo))=""EXACTA"",
UPPER(TRIM(AG1691))=UPPER(TRIM(rPatron))
),
AND(
OR(
UPPER(TRIM(rTipo))=""CONTIENE"",
UPPER(TRIM(rTipo))=""COINCIDENCIA""
),
ISNUMBER(SEARCH(UPPER(TRIM(rPatron)),UPPER(TRIM(D1691))))
)
)
),
rC"&amp;"oncepto,
""""
)
)
),
MAP(
reglas!$B$2:$B$240,
reglas!$C$2:$C$240,
reglas!$D$2:$D$240,
reglas!$E$2:$E$240,
LAMBDA(rEmisor,rPatron,rConcepto,rTipo,
IF(
AND(
OR(
UPPER(TRIM(rEmisor))=UPPER(TRIM(C1691)),
UPPER(TRIM(rEmisor))=""CUALQUIERA""
),
OR(
UPPER(TRIM(r"&amp;"Tipo))=""SOLO EMISOR"",
AND(
UPPER(TRIM(rTipo))=""EXACTA"",
UPPER(TRIM(D1691))=UPPER(TRIM(rPatron))
),
AND(
OR(
UPPER(TRIM(rTipo))=""CONTIENE"",
UPPER(TRIM(rTipo))=""COINCIDENCIA""
),
ISNUMBER(SEARCH(UPPER(TRIM(rPatron)),UPPER(TRIM(D1691))))
)
)
),
rConce"&amp;"pto,
""""
)
)
)&lt;&gt;""""
),
1
),
""""
)"),"TELEFONIA MOVIL")</f>
        <v>TELEFONIA MOVIL</v>
      </c>
      <c r="L1691" s="27"/>
      <c r="M1691" s="27"/>
      <c r="N1691" s="27"/>
      <c r="O1691" s="27"/>
      <c r="P1691" s="27"/>
      <c r="Q1691" s="27"/>
      <c r="R1691" s="27"/>
      <c r="S1691" s="27"/>
      <c r="T1691" s="27"/>
      <c r="U1691" s="27"/>
      <c r="V1691" s="27"/>
      <c r="W1691" s="27"/>
      <c r="X1691" s="27"/>
      <c r="Y1691" s="27"/>
    </row>
    <row r="1692">
      <c r="A1692" s="32"/>
      <c r="B1692" s="32"/>
      <c r="C1692" s="29" t="s">
        <v>180</v>
      </c>
      <c r="D1692" s="29" t="s">
        <v>1965</v>
      </c>
      <c r="E1692" s="28">
        <v>43.1</v>
      </c>
      <c r="F1692" s="28">
        <v>0.0</v>
      </c>
      <c r="G1692" s="32"/>
      <c r="H1692" s="28" t="str">
        <f t="array" ref="H1692">INDEX(CC!C:C,MATCH(1,(CC!A:A=G1692)*(CC!B:B=I1692),0))</f>
        <v/>
      </c>
      <c r="I1692" s="32"/>
      <c r="J1692" s="33"/>
      <c r="K1692" s="28" t="str">
        <f>IFERROR(__xludf.DUMMYFUNCTION("IFERROR(
INDEX(
FILTER(
MAP(
reglas!$B$2:$B$240,
reglas!$C$2:$C$240,
reglas!$D$2:$D$240,
reglas!$E$2:$E$240,
LAMBDA(rEmisor,rPatron,rConcepto,rTipo,
IF(
AND(
OR(
UPPER(TRIM(rEmisor))=UPPER(TRIM(C1692)),
UPPER(TRIM(rEmisor))=""CUALQUIERA""
),
OR(
UPPER(TRI"&amp;"M(rTipo))=""SOLO EMISOR"",
AND(
UPPER(TRIM(rTipo))=""EXACTA"",
UPPER(TRIM(AG1692))=UPPER(TRIM(rPatron))
),
AND(
OR(
UPPER(TRIM(rTipo))=""CONTIENE"",
UPPER(TRIM(rTipo))=""COINCIDENCIA""
),
ISNUMBER(SEARCH(UPPER(TRIM(rPatron)),UPPER(TRIM(D1692))))
)
)
),
rC"&amp;"oncepto,
""""
)
)
),
MAP(
reglas!$B$2:$B$240,
reglas!$C$2:$C$240,
reglas!$D$2:$D$240,
reglas!$E$2:$E$240,
LAMBDA(rEmisor,rPatron,rConcepto,rTipo,
IF(
AND(
OR(
UPPER(TRIM(rEmisor))=UPPER(TRIM(C1692)),
UPPER(TRIM(rEmisor))=""CUALQUIERA""
),
OR(
UPPER(TRIM(r"&amp;"Tipo))=""SOLO EMISOR"",
AND(
UPPER(TRIM(rTipo))=""EXACTA"",
UPPER(TRIM(D1692))=UPPER(TRIM(rPatron))
),
AND(
OR(
UPPER(TRIM(rTipo))=""CONTIENE"",
UPPER(TRIM(rTipo))=""COINCIDENCIA""
),
ISNUMBER(SEARCH(UPPER(TRIM(rPatron)),UPPER(TRIM(D1692))))
)
)
),
rConce"&amp;"pto,
""""
)
)
)&lt;&gt;""""
),
1
),
""""
)"),"TELEFONIA MOVIL")</f>
        <v>TELEFONIA MOVIL</v>
      </c>
      <c r="L1692" s="27"/>
      <c r="M1692" s="27"/>
      <c r="N1692" s="27"/>
      <c r="O1692" s="27"/>
      <c r="P1692" s="27"/>
      <c r="Q1692" s="27"/>
      <c r="R1692" s="27"/>
      <c r="S1692" s="27"/>
      <c r="T1692" s="27"/>
      <c r="U1692" s="27"/>
      <c r="V1692" s="27"/>
      <c r="W1692" s="27"/>
      <c r="X1692" s="27"/>
      <c r="Y1692" s="27"/>
    </row>
    <row r="1693">
      <c r="A1693" s="32"/>
      <c r="B1693" s="28" t="s">
        <v>29</v>
      </c>
      <c r="C1693" s="29" t="s">
        <v>172</v>
      </c>
      <c r="D1693" s="29" t="s">
        <v>1966</v>
      </c>
      <c r="E1693" s="30">
        <v>14000.0</v>
      </c>
      <c r="F1693" s="28">
        <v>0.0</v>
      </c>
      <c r="G1693" s="99" t="s">
        <v>250</v>
      </c>
      <c r="H1693" s="28">
        <f t="array" ref="H1693">INDEX(CC!C:C,MATCH(1,(CC!A:A=G1693)*(CC!B:B=I1693),0))</f>
        <v>1402</v>
      </c>
      <c r="I1693" s="28" t="s">
        <v>25</v>
      </c>
      <c r="J1693" s="31">
        <v>14000.0</v>
      </c>
      <c r="K1693" s="28" t="str">
        <f>IFERROR(__xludf.DUMMYFUNCTION("IFERROR(
INDEX(
FILTER(
MAP(
reglas!$B$2:$B$240,
reglas!$C$2:$C$240,
reglas!$D$2:$D$240,
reglas!$E$2:$E$240,
LAMBDA(rEmisor,rPatron,rConcepto,rTipo,
IF(
AND(
OR(
UPPER(TRIM(rEmisor))=UPPER(TRIM(C1693)),
UPPER(TRIM(rEmisor))=""CUALQUIERA""
),
OR(
UPPER(TRI"&amp;"M(rTipo))=""SOLO EMISOR"",
AND(
UPPER(TRIM(rTipo))=""EXACTA"",
UPPER(TRIM(AG1693))=UPPER(TRIM(rPatron))
),
AND(
OR(
UPPER(TRIM(rTipo))=""CONTIENE"",
UPPER(TRIM(rTipo))=""COINCIDENCIA""
),
ISNUMBER(SEARCH(UPPER(TRIM(rPatron)),UPPER(TRIM(D1693))))
)
)
),
rC"&amp;"oncepto,
""""
)
)
),
MAP(
reglas!$B$2:$B$240,
reglas!$C$2:$C$240,
reglas!$D$2:$D$240,
reglas!$E$2:$E$240,
LAMBDA(rEmisor,rPatron,rConcepto,rTipo,
IF(
AND(
OR(
UPPER(TRIM(rEmisor))=UPPER(TRIM(C1693)),
UPPER(TRIM(rEmisor))=""CUALQUIERA""
),
OR(
UPPER(TRIM(r"&amp;"Tipo))=""SOLO EMISOR"",
AND(
UPPER(TRIM(rTipo))=""EXACTA"",
UPPER(TRIM(D1693))=UPPER(TRIM(rPatron))
),
AND(
OR(
UPPER(TRIM(rTipo))=""CONTIENE"",
UPPER(TRIM(rTipo))=""COINCIDENCIA""
),
ISNUMBER(SEARCH(UPPER(TRIM(rPatron)),UPPER(TRIM(D1693))))
)
)
),
rConce"&amp;"pto,
""""
)
)
)&lt;&gt;""""
),
1
),
""""
)"),"TRANSPORTE")</f>
        <v>TRANSPORTE</v>
      </c>
      <c r="L1693" s="27"/>
      <c r="M1693" s="27"/>
      <c r="N1693" s="27"/>
      <c r="O1693" s="27"/>
      <c r="P1693" s="27"/>
      <c r="Q1693" s="27"/>
      <c r="R1693" s="27"/>
      <c r="S1693" s="27"/>
      <c r="T1693" s="27"/>
      <c r="U1693" s="27"/>
      <c r="V1693" s="27"/>
      <c r="W1693" s="27"/>
      <c r="X1693" s="27"/>
      <c r="Y1693" s="27"/>
    </row>
    <row r="1694">
      <c r="A1694" s="32"/>
      <c r="B1694" s="28" t="s">
        <v>29</v>
      </c>
      <c r="C1694" s="29" t="s">
        <v>278</v>
      </c>
      <c r="D1694" s="29" t="s">
        <v>560</v>
      </c>
      <c r="E1694" s="30">
        <v>3500.0</v>
      </c>
      <c r="F1694" s="28">
        <v>0.0</v>
      </c>
      <c r="G1694" s="99" t="s">
        <v>250</v>
      </c>
      <c r="H1694" s="28">
        <f t="array" ref="H1694">INDEX(CC!C:C,MATCH(1,(CC!A:A=G1694)*(CC!B:B=I1694),0))</f>
        <v>1402</v>
      </c>
      <c r="I1694" s="28" t="s">
        <v>25</v>
      </c>
      <c r="J1694" s="31">
        <v>3500.0</v>
      </c>
      <c r="K1694" s="28" t="str">
        <f>IFERROR(__xludf.DUMMYFUNCTION("IFERROR(
INDEX(
FILTER(
MAP(
reglas!$B$2:$B$240,
reglas!$C$2:$C$240,
reglas!$D$2:$D$240,
reglas!$E$2:$E$240,
LAMBDA(rEmisor,rPatron,rConcepto,rTipo,
IF(
AND(
OR(
UPPER(TRIM(rEmisor))=UPPER(TRIM(C1694)),
UPPER(TRIM(rEmisor))=""CUALQUIERA""
),
OR(
UPPER(TRI"&amp;"M(rTipo))=""SOLO EMISOR"",
AND(
UPPER(TRIM(rTipo))=""EXACTA"",
UPPER(TRIM(AG1694))=UPPER(TRIM(rPatron))
),
AND(
OR(
UPPER(TRIM(rTipo))=""CONTIENE"",
UPPER(TRIM(rTipo))=""COINCIDENCIA""
),
ISNUMBER(SEARCH(UPPER(TRIM(rPatron)),UPPER(TRIM(D1694))))
)
)
),
rC"&amp;"oncepto,
""""
)
)
),
MAP(
reglas!$B$2:$B$240,
reglas!$C$2:$C$240,
reglas!$D$2:$D$240,
reglas!$E$2:$E$240,
LAMBDA(rEmisor,rPatron,rConcepto,rTipo,
IF(
AND(
OR(
UPPER(TRIM(rEmisor))=UPPER(TRIM(C1694)),
UPPER(TRIM(rEmisor))=""CUALQUIERA""
),
OR(
UPPER(TRIM(r"&amp;"Tipo))=""SOLO EMISOR"",
AND(
UPPER(TRIM(rTipo))=""EXACTA"",
UPPER(TRIM(D1694))=UPPER(TRIM(rPatron))
),
AND(
OR(
UPPER(TRIM(rTipo))=""CONTIENE"",
UPPER(TRIM(rTipo))=""COINCIDENCIA""
),
ISNUMBER(SEARCH(UPPER(TRIM(rPatron)),UPPER(TRIM(D1694))))
)
)
),
rConce"&amp;"pto,
""""
)
)
)&lt;&gt;""""
),
1
),
""""
)"),"MANIOBRAS")</f>
        <v>MANIOBRAS</v>
      </c>
      <c r="L1694" s="27"/>
      <c r="M1694" s="27"/>
      <c r="N1694" s="27"/>
      <c r="O1694" s="27"/>
      <c r="P1694" s="27"/>
      <c r="Q1694" s="27"/>
      <c r="R1694" s="27"/>
      <c r="S1694" s="27"/>
      <c r="T1694" s="27"/>
      <c r="U1694" s="27"/>
      <c r="V1694" s="27"/>
      <c r="W1694" s="27"/>
      <c r="X1694" s="27"/>
      <c r="Y1694" s="27"/>
    </row>
    <row r="1695">
      <c r="A1695" s="32"/>
      <c r="B1695" s="28" t="s">
        <v>29</v>
      </c>
      <c r="C1695" s="29" t="s">
        <v>172</v>
      </c>
      <c r="D1695" s="29" t="s">
        <v>1967</v>
      </c>
      <c r="E1695" s="30">
        <v>11500.0</v>
      </c>
      <c r="F1695" s="28">
        <v>0.0</v>
      </c>
      <c r="G1695" s="99" t="s">
        <v>250</v>
      </c>
      <c r="H1695" s="28">
        <f t="array" ref="H1695">INDEX(CC!C:C,MATCH(1,(CC!A:A=G1695)*(CC!B:B=I1695),0))</f>
        <v>1402</v>
      </c>
      <c r="I1695" s="28" t="s">
        <v>25</v>
      </c>
      <c r="J1695" s="31">
        <v>11500.0</v>
      </c>
      <c r="K1695" s="28" t="str">
        <f>IFERROR(__xludf.DUMMYFUNCTION("IFERROR(
INDEX(
FILTER(
MAP(
reglas!$B$2:$B$240,
reglas!$C$2:$C$240,
reglas!$D$2:$D$240,
reglas!$E$2:$E$240,
LAMBDA(rEmisor,rPatron,rConcepto,rTipo,
IF(
AND(
OR(
UPPER(TRIM(rEmisor))=UPPER(TRIM(C1695)),
UPPER(TRIM(rEmisor))=""CUALQUIERA""
),
OR(
UPPER(TRI"&amp;"M(rTipo))=""SOLO EMISOR"",
AND(
UPPER(TRIM(rTipo))=""EXACTA"",
UPPER(TRIM(AG1695))=UPPER(TRIM(rPatron))
),
AND(
OR(
UPPER(TRIM(rTipo))=""CONTIENE"",
UPPER(TRIM(rTipo))=""COINCIDENCIA""
),
ISNUMBER(SEARCH(UPPER(TRIM(rPatron)),UPPER(TRIM(D1695))))
)
)
),
rC"&amp;"oncepto,
""""
)
)
),
MAP(
reglas!$B$2:$B$240,
reglas!$C$2:$C$240,
reglas!$D$2:$D$240,
reglas!$E$2:$E$240,
LAMBDA(rEmisor,rPatron,rConcepto,rTipo,
IF(
AND(
OR(
UPPER(TRIM(rEmisor))=UPPER(TRIM(C1695)),
UPPER(TRIM(rEmisor))=""CUALQUIERA""
),
OR(
UPPER(TRIM(r"&amp;"Tipo))=""SOLO EMISOR"",
AND(
UPPER(TRIM(rTipo))=""EXACTA"",
UPPER(TRIM(D1695))=UPPER(TRIM(rPatron))
),
AND(
OR(
UPPER(TRIM(rTipo))=""CONTIENE"",
UPPER(TRIM(rTipo))=""COINCIDENCIA""
),
ISNUMBER(SEARCH(UPPER(TRIM(rPatron)),UPPER(TRIM(D1695))))
)
)
),
rConce"&amp;"pto,
""""
)
)
)&lt;&gt;""""
),
1
),
""""
)"),"TRANSPORTE")</f>
        <v>TRANSPORTE</v>
      </c>
      <c r="L1695" s="27"/>
      <c r="M1695" s="27"/>
      <c r="N1695" s="27"/>
      <c r="O1695" s="27"/>
      <c r="P1695" s="27"/>
      <c r="Q1695" s="27"/>
      <c r="R1695" s="27"/>
      <c r="S1695" s="27"/>
      <c r="T1695" s="27"/>
      <c r="U1695" s="27"/>
      <c r="V1695" s="27"/>
      <c r="W1695" s="27"/>
      <c r="X1695" s="27"/>
      <c r="Y1695" s="27"/>
    </row>
    <row r="1696">
      <c r="A1696" s="28">
        <v>1.0</v>
      </c>
      <c r="B1696" s="28" t="s">
        <v>29</v>
      </c>
      <c r="C1696" s="29" t="s">
        <v>271</v>
      </c>
      <c r="D1696" s="29" t="s">
        <v>585</v>
      </c>
      <c r="E1696" s="28">
        <v>620.28</v>
      </c>
      <c r="F1696" s="28">
        <v>0.0</v>
      </c>
      <c r="G1696" s="28" t="s">
        <v>84</v>
      </c>
      <c r="H1696" s="28">
        <f t="array" ref="H1696">INDEX(CC!C:C,MATCH(1,(CC!A:A=G1696)*(CC!B:B=I1696),0))</f>
        <v>1002</v>
      </c>
      <c r="I1696" s="28" t="s">
        <v>25</v>
      </c>
      <c r="J1696" s="31">
        <v>620.28</v>
      </c>
      <c r="K1696" s="28" t="str">
        <f>IFERROR(__xludf.DUMMYFUNCTION("IFERROR(
INDEX(
FILTER(
MAP(
reglas!$B$2:$B$240,
reglas!$C$2:$C$240,
reglas!$D$2:$D$240,
reglas!$E$2:$E$240,
LAMBDA(rEmisor,rPatron,rConcepto,rTipo,
IF(
AND(
OR(
UPPER(TRIM(rEmisor))=UPPER(TRIM(C1696)),
UPPER(TRIM(rEmisor))=""CUALQUIERA""
),
OR(
UPPER(TRI"&amp;"M(rTipo))=""SOLO EMISOR"",
AND(
UPPER(TRIM(rTipo))=""EXACTA"",
UPPER(TRIM(AG1696))=UPPER(TRIM(rPatron))
),
AND(
OR(
UPPER(TRIM(rTipo))=""CONTIENE"",
UPPER(TRIM(rTipo))=""COINCIDENCIA""
),
ISNUMBER(SEARCH(UPPER(TRIM(rPatron)),UPPER(TRIM(D1696))))
)
)
),
rC"&amp;"oncepto,
""""
)
)
),
MAP(
reglas!$B$2:$B$240,
reglas!$C$2:$C$240,
reglas!$D$2:$D$240,
reglas!$E$2:$E$240,
LAMBDA(rEmisor,rPatron,rConcepto,rTipo,
IF(
AND(
OR(
UPPER(TRIM(rEmisor))=UPPER(TRIM(C1696)),
UPPER(TRIM(rEmisor))=""CUALQUIERA""
),
OR(
UPPER(TRIM(r"&amp;"Tipo))=""SOLO EMISOR"",
AND(
UPPER(TRIM(rTipo))=""EXACTA"",
UPPER(TRIM(D1696))=UPPER(TRIM(rPatron))
),
AND(
OR(
UPPER(TRIM(rTipo))=""CONTIENE"",
UPPER(TRIM(rTipo))=""COINCIDENCIA""
),
ISNUMBER(SEARCH(UPPER(TRIM(rPatron)),UPPER(TRIM(D1696))))
)
)
),
rConce"&amp;"pto,
""""
)
)
)&lt;&gt;""""
),
1
),
""""
)"),"MANIOBRAS")</f>
        <v>MANIOBRAS</v>
      </c>
      <c r="L1696" s="27"/>
      <c r="M1696" s="27"/>
      <c r="N1696" s="27"/>
      <c r="O1696" s="27"/>
      <c r="P1696" s="27"/>
      <c r="Q1696" s="27"/>
      <c r="R1696" s="27"/>
      <c r="S1696" s="27"/>
      <c r="T1696" s="27"/>
      <c r="U1696" s="27"/>
      <c r="V1696" s="27"/>
      <c r="W1696" s="27"/>
      <c r="X1696" s="27"/>
      <c r="Y1696" s="27"/>
    </row>
    <row r="1697">
      <c r="A1697" s="32"/>
      <c r="B1697" s="32"/>
      <c r="C1697" s="29" t="s">
        <v>271</v>
      </c>
      <c r="D1697" s="29" t="s">
        <v>587</v>
      </c>
      <c r="E1697" s="28">
        <v>567.51</v>
      </c>
      <c r="F1697" s="28">
        <v>0.0</v>
      </c>
      <c r="G1697" s="28" t="s">
        <v>84</v>
      </c>
      <c r="H1697" s="28">
        <f t="array" ref="H1697">INDEX(CC!C:C,MATCH(1,(CC!A:A=G1697)*(CC!B:B=I1697),0))</f>
        <v>1002</v>
      </c>
      <c r="I1697" s="28" t="s">
        <v>25</v>
      </c>
      <c r="J1697" s="31">
        <v>567.51</v>
      </c>
      <c r="K1697" s="28" t="str">
        <f>IFERROR(__xludf.DUMMYFUNCTION("IFERROR(
INDEX(
FILTER(
MAP(
reglas!$B$2:$B$240,
reglas!$C$2:$C$240,
reglas!$D$2:$D$240,
reglas!$E$2:$E$240,
LAMBDA(rEmisor,rPatron,rConcepto,rTipo,
IF(
AND(
OR(
UPPER(TRIM(rEmisor))=UPPER(TRIM(C1697)),
UPPER(TRIM(rEmisor))=""CUALQUIERA""
),
OR(
UPPER(TRI"&amp;"M(rTipo))=""SOLO EMISOR"",
AND(
UPPER(TRIM(rTipo))=""EXACTA"",
UPPER(TRIM(AG1697))=UPPER(TRIM(rPatron))
),
AND(
OR(
UPPER(TRIM(rTipo))=""CONTIENE"",
UPPER(TRIM(rTipo))=""COINCIDENCIA""
),
ISNUMBER(SEARCH(UPPER(TRIM(rPatron)),UPPER(TRIM(D1697))))
)
)
),
rC"&amp;"oncepto,
""""
)
)
),
MAP(
reglas!$B$2:$B$240,
reglas!$C$2:$C$240,
reglas!$D$2:$D$240,
reglas!$E$2:$E$240,
LAMBDA(rEmisor,rPatron,rConcepto,rTipo,
IF(
AND(
OR(
UPPER(TRIM(rEmisor))=UPPER(TRIM(C1697)),
UPPER(TRIM(rEmisor))=""CUALQUIERA""
),
OR(
UPPER(TRIM(r"&amp;"Tipo))=""SOLO EMISOR"",
AND(
UPPER(TRIM(rTipo))=""EXACTA"",
UPPER(TRIM(D1697))=UPPER(TRIM(rPatron))
),
AND(
OR(
UPPER(TRIM(rTipo))=""CONTIENE"",
UPPER(TRIM(rTipo))=""COINCIDENCIA""
),
ISNUMBER(SEARCH(UPPER(TRIM(rPatron)),UPPER(TRIM(D1697))))
)
)
),
rConce"&amp;"pto,
""""
)
)
)&lt;&gt;""""
),
1
),
""""
)"),"MANIOBRAS")</f>
        <v>MANIOBRAS</v>
      </c>
      <c r="L1697" s="27"/>
      <c r="M1697" s="27"/>
      <c r="N1697" s="27"/>
      <c r="O1697" s="27"/>
      <c r="P1697" s="27"/>
      <c r="Q1697" s="27"/>
      <c r="R1697" s="27"/>
      <c r="S1697" s="27"/>
      <c r="T1697" s="27"/>
      <c r="U1697" s="27"/>
      <c r="V1697" s="27"/>
      <c r="W1697" s="27"/>
      <c r="X1697" s="27"/>
      <c r="Y1697" s="27"/>
    </row>
    <row r="1698">
      <c r="A1698" s="32"/>
      <c r="B1698" s="32"/>
      <c r="C1698" s="29" t="s">
        <v>271</v>
      </c>
      <c r="D1698" s="29" t="s">
        <v>589</v>
      </c>
      <c r="E1698" s="28">
        <v>620.62</v>
      </c>
      <c r="F1698" s="28">
        <v>0.0</v>
      </c>
      <c r="G1698" s="28" t="s">
        <v>84</v>
      </c>
      <c r="H1698" s="28">
        <f t="array" ref="H1698">INDEX(CC!C:C,MATCH(1,(CC!A:A=G1698)*(CC!B:B=I1698),0))</f>
        <v>1002</v>
      </c>
      <c r="I1698" s="28" t="s">
        <v>25</v>
      </c>
      <c r="J1698" s="31">
        <v>620.62</v>
      </c>
      <c r="K1698" s="28" t="str">
        <f>IFERROR(__xludf.DUMMYFUNCTION("IFERROR(
INDEX(
FILTER(
MAP(
reglas!$B$2:$B$240,
reglas!$C$2:$C$240,
reglas!$D$2:$D$240,
reglas!$E$2:$E$240,
LAMBDA(rEmisor,rPatron,rConcepto,rTipo,
IF(
AND(
OR(
UPPER(TRIM(rEmisor))=UPPER(TRIM(C1698)),
UPPER(TRIM(rEmisor))=""CUALQUIERA""
),
OR(
UPPER(TRI"&amp;"M(rTipo))=""SOLO EMISOR"",
AND(
UPPER(TRIM(rTipo))=""EXACTA"",
UPPER(TRIM(AG1698))=UPPER(TRIM(rPatron))
),
AND(
OR(
UPPER(TRIM(rTipo))=""CONTIENE"",
UPPER(TRIM(rTipo))=""COINCIDENCIA""
),
ISNUMBER(SEARCH(UPPER(TRIM(rPatron)),UPPER(TRIM(D1698))))
)
)
),
rC"&amp;"oncepto,
""""
)
)
),
MAP(
reglas!$B$2:$B$240,
reglas!$C$2:$C$240,
reglas!$D$2:$D$240,
reglas!$E$2:$E$240,
LAMBDA(rEmisor,rPatron,rConcepto,rTipo,
IF(
AND(
OR(
UPPER(TRIM(rEmisor))=UPPER(TRIM(C1698)),
UPPER(TRIM(rEmisor))=""CUALQUIERA""
),
OR(
UPPER(TRIM(r"&amp;"Tipo))=""SOLO EMISOR"",
AND(
UPPER(TRIM(rTipo))=""EXACTA"",
UPPER(TRIM(D1698))=UPPER(TRIM(rPatron))
),
AND(
OR(
UPPER(TRIM(rTipo))=""CONTIENE"",
UPPER(TRIM(rTipo))=""COINCIDENCIA""
),
ISNUMBER(SEARCH(UPPER(TRIM(rPatron)),UPPER(TRIM(D1698))))
)
)
),
rConce"&amp;"pto,
""""
)
)
)&lt;&gt;""""
),
1
),
""""
)"),"MANIOBRAS")</f>
        <v>MANIOBRAS</v>
      </c>
      <c r="L1698" s="27"/>
      <c r="M1698" s="27"/>
      <c r="N1698" s="27"/>
      <c r="O1698" s="27"/>
      <c r="P1698" s="27"/>
      <c r="Q1698" s="27"/>
      <c r="R1698" s="27"/>
      <c r="S1698" s="27"/>
      <c r="T1698" s="27"/>
      <c r="U1698" s="27"/>
      <c r="V1698" s="27"/>
      <c r="W1698" s="27"/>
      <c r="X1698" s="27"/>
      <c r="Y1698" s="27"/>
    </row>
    <row r="1699">
      <c r="A1699" s="32"/>
      <c r="B1699" s="32"/>
      <c r="C1699" s="29" t="s">
        <v>271</v>
      </c>
      <c r="D1699" s="29" t="s">
        <v>596</v>
      </c>
      <c r="E1699" s="28">
        <v>651.16</v>
      </c>
      <c r="F1699" s="28">
        <v>0.0</v>
      </c>
      <c r="G1699" s="28" t="s">
        <v>84</v>
      </c>
      <c r="H1699" s="28">
        <f t="array" ref="H1699">INDEX(CC!C:C,MATCH(1,(CC!A:A=G1699)*(CC!B:B=I1699),0))</f>
        <v>1002</v>
      </c>
      <c r="I1699" s="28" t="s">
        <v>25</v>
      </c>
      <c r="J1699" s="31">
        <v>651.16</v>
      </c>
      <c r="K1699" s="28" t="str">
        <f>IFERROR(__xludf.DUMMYFUNCTION("IFERROR(
INDEX(
FILTER(
MAP(
reglas!$B$2:$B$240,
reglas!$C$2:$C$240,
reglas!$D$2:$D$240,
reglas!$E$2:$E$240,
LAMBDA(rEmisor,rPatron,rConcepto,rTipo,
IF(
AND(
OR(
UPPER(TRIM(rEmisor))=UPPER(TRIM(C1699)),
UPPER(TRIM(rEmisor))=""CUALQUIERA""
),
OR(
UPPER(TRI"&amp;"M(rTipo))=""SOLO EMISOR"",
AND(
UPPER(TRIM(rTipo))=""EXACTA"",
UPPER(TRIM(AG1699))=UPPER(TRIM(rPatron))
),
AND(
OR(
UPPER(TRIM(rTipo))=""CONTIENE"",
UPPER(TRIM(rTipo))=""COINCIDENCIA""
),
ISNUMBER(SEARCH(UPPER(TRIM(rPatron)),UPPER(TRIM(D1699))))
)
)
),
rC"&amp;"oncepto,
""""
)
)
),
MAP(
reglas!$B$2:$B$240,
reglas!$C$2:$C$240,
reglas!$D$2:$D$240,
reglas!$E$2:$E$240,
LAMBDA(rEmisor,rPatron,rConcepto,rTipo,
IF(
AND(
OR(
UPPER(TRIM(rEmisor))=UPPER(TRIM(C1699)),
UPPER(TRIM(rEmisor))=""CUALQUIERA""
),
OR(
UPPER(TRIM(r"&amp;"Tipo))=""SOLO EMISOR"",
AND(
UPPER(TRIM(rTipo))=""EXACTA"",
UPPER(TRIM(D1699))=UPPER(TRIM(rPatron))
),
AND(
OR(
UPPER(TRIM(rTipo))=""CONTIENE"",
UPPER(TRIM(rTipo))=""COINCIDENCIA""
),
ISNUMBER(SEARCH(UPPER(TRIM(rPatron)),UPPER(TRIM(D1699))))
)
)
),
rConce"&amp;"pto,
""""
)
)
)&lt;&gt;""""
),
1
),
""""
)"),"MANIOBRAS")</f>
        <v>MANIOBRAS</v>
      </c>
      <c r="L1699" s="27"/>
      <c r="M1699" s="27"/>
      <c r="N1699" s="27"/>
      <c r="O1699" s="27"/>
      <c r="P1699" s="27"/>
      <c r="Q1699" s="27"/>
      <c r="R1699" s="27"/>
      <c r="S1699" s="27"/>
      <c r="T1699" s="27"/>
      <c r="U1699" s="27"/>
      <c r="V1699" s="27"/>
      <c r="W1699" s="27"/>
      <c r="X1699" s="27"/>
      <c r="Y1699" s="27"/>
    </row>
    <row r="1700">
      <c r="A1700" s="32"/>
      <c r="B1700" s="28" t="s">
        <v>29</v>
      </c>
      <c r="C1700" s="29" t="s">
        <v>1968</v>
      </c>
      <c r="D1700" s="29" t="s">
        <v>1969</v>
      </c>
      <c r="E1700" s="30">
        <v>26250.0</v>
      </c>
      <c r="F1700" s="28">
        <v>0.0</v>
      </c>
      <c r="G1700" s="28" t="s">
        <v>601</v>
      </c>
      <c r="H1700" s="28">
        <f t="array" ref="H1700">INDEX(CC!C:C,MATCH(1,(CC!A:A=G1700)*(CC!B:B=I1700),0))</f>
        <v>402</v>
      </c>
      <c r="I1700" s="28" t="s">
        <v>25</v>
      </c>
      <c r="J1700" s="5"/>
      <c r="K1700" s="28" t="str">
        <f>IFERROR(__xludf.DUMMYFUNCTION("IFERROR(
INDEX(
FILTER(
MAP(
reglas!$B$2:$B$240,
reglas!$C$2:$C$240,
reglas!$D$2:$D$240,
reglas!$E$2:$E$240,
LAMBDA(rEmisor,rPatron,rConcepto,rTipo,
IF(
AND(
OR(
UPPER(TRIM(rEmisor))=UPPER(TRIM(C1700)),
UPPER(TRIM(rEmisor))=""CUALQUIERA""
),
OR(
UPPER(TRI"&amp;"M(rTipo))=""SOLO EMISOR"",
AND(
UPPER(TRIM(rTipo))=""EXACTA"",
UPPER(TRIM(AG1700))=UPPER(TRIM(rPatron))
),
AND(
OR(
UPPER(TRIM(rTipo))=""CONTIENE"",
UPPER(TRIM(rTipo))=""COINCIDENCIA""
),
ISNUMBER(SEARCH(UPPER(TRIM(rPatron)),UPPER(TRIM(D1700))))
)
)
),
rC"&amp;"oncepto,
""""
)
)
),
MAP(
reglas!$B$2:$B$240,
reglas!$C$2:$C$240,
reglas!$D$2:$D$240,
reglas!$E$2:$E$240,
LAMBDA(rEmisor,rPatron,rConcepto,rTipo,
IF(
AND(
OR(
UPPER(TRIM(rEmisor))=UPPER(TRIM(C1700)),
UPPER(TRIM(rEmisor))=""CUALQUIERA""
),
OR(
UPPER(TRIM(r"&amp;"Tipo))=""SOLO EMISOR"",
AND(
UPPER(TRIM(rTipo))=""EXACTA"",
UPPER(TRIM(D1700))=UPPER(TRIM(rPatron))
),
AND(
OR(
UPPER(TRIM(rTipo))=""CONTIENE"",
UPPER(TRIM(rTipo))=""COINCIDENCIA""
),
ISNUMBER(SEARCH(UPPER(TRIM(rPatron)),UPPER(TRIM(D1700))))
)
)
),
rConce"&amp;"pto,
""""
)
)
)&lt;&gt;""""
),
1
),
""""
)"),"")</f>
        <v/>
      </c>
      <c r="L1700" s="27"/>
      <c r="M1700" s="27"/>
      <c r="N1700" s="27"/>
      <c r="O1700" s="27"/>
      <c r="P1700" s="27"/>
      <c r="Q1700" s="27"/>
      <c r="R1700" s="27"/>
      <c r="S1700" s="27"/>
      <c r="T1700" s="27"/>
      <c r="U1700" s="27"/>
      <c r="V1700" s="27"/>
      <c r="W1700" s="27"/>
      <c r="X1700" s="27"/>
      <c r="Y1700" s="27"/>
    </row>
    <row r="1701">
      <c r="A1701" s="32"/>
      <c r="B1701" s="32"/>
      <c r="C1701" s="29" t="s">
        <v>1968</v>
      </c>
      <c r="D1701" s="29" t="s">
        <v>1969</v>
      </c>
      <c r="E1701" s="100"/>
      <c r="F1701" s="32"/>
      <c r="G1701" s="28" t="s">
        <v>225</v>
      </c>
      <c r="H1701" s="28">
        <f t="array" ref="H1701">INDEX(CC!C:C,MATCH(1,(CC!A:A=G1701)*(CC!B:B=I1701),0))</f>
        <v>102</v>
      </c>
      <c r="I1701" s="28" t="s">
        <v>25</v>
      </c>
      <c r="J1701" s="78"/>
      <c r="K1701" s="28" t="str">
        <f>IFERROR(__xludf.DUMMYFUNCTION("IFERROR(
INDEX(
FILTER(
MAP(
reglas!$B$2:$B$240,
reglas!$C$2:$C$240,
reglas!$D$2:$D$240,
reglas!$E$2:$E$240,
LAMBDA(rEmisor,rPatron,rConcepto,rTipo,
IF(
AND(
OR(
UPPER(TRIM(rEmisor))=UPPER(TRIM(C1701)),
UPPER(TRIM(rEmisor))=""CUALQUIERA""
),
OR(
UPPER(TRI"&amp;"M(rTipo))=""SOLO EMISOR"",
AND(
UPPER(TRIM(rTipo))=""EXACTA"",
UPPER(TRIM(AG1701))=UPPER(TRIM(rPatron))
),
AND(
OR(
UPPER(TRIM(rTipo))=""CONTIENE"",
UPPER(TRIM(rTipo))=""COINCIDENCIA""
),
ISNUMBER(SEARCH(UPPER(TRIM(rPatron)),UPPER(TRIM(D1701))))
)
)
),
rC"&amp;"oncepto,
""""
)
)
),
MAP(
reglas!$B$2:$B$240,
reglas!$C$2:$C$240,
reglas!$D$2:$D$240,
reglas!$E$2:$E$240,
LAMBDA(rEmisor,rPatron,rConcepto,rTipo,
IF(
AND(
OR(
UPPER(TRIM(rEmisor))=UPPER(TRIM(C1701)),
UPPER(TRIM(rEmisor))=""CUALQUIERA""
),
OR(
UPPER(TRIM(r"&amp;"Tipo))=""SOLO EMISOR"",
AND(
UPPER(TRIM(rTipo))=""EXACTA"",
UPPER(TRIM(D1701))=UPPER(TRIM(rPatron))
),
AND(
OR(
UPPER(TRIM(rTipo))=""CONTIENE"",
UPPER(TRIM(rTipo))=""COINCIDENCIA""
),
ISNUMBER(SEARCH(UPPER(TRIM(rPatron)),UPPER(TRIM(D1701))))
)
)
),
rConce"&amp;"pto,
""""
)
)
)&lt;&gt;""""
),
1
),
""""
)"),"")</f>
        <v/>
      </c>
      <c r="L1701" s="27"/>
      <c r="M1701" s="27"/>
      <c r="N1701" s="27"/>
      <c r="O1701" s="27"/>
      <c r="P1701" s="27"/>
      <c r="Q1701" s="27"/>
      <c r="R1701" s="27"/>
      <c r="S1701" s="27"/>
      <c r="T1701" s="27"/>
      <c r="U1701" s="27"/>
      <c r="V1701" s="27"/>
      <c r="W1701" s="27"/>
      <c r="X1701" s="27"/>
      <c r="Y1701" s="27"/>
    </row>
    <row r="1702">
      <c r="A1702" s="32"/>
      <c r="B1702" s="32"/>
      <c r="C1702" s="29" t="s">
        <v>1968</v>
      </c>
      <c r="D1702" s="29" t="s">
        <v>1969</v>
      </c>
      <c r="E1702" s="100"/>
      <c r="F1702" s="32"/>
      <c r="G1702" s="28" t="s">
        <v>554</v>
      </c>
      <c r="H1702" s="28">
        <f t="array" ref="H1702">INDEX(CC!C:C,MATCH(1,(CC!A:A=G1702)*(CC!B:B=I1702),0))</f>
        <v>1702</v>
      </c>
      <c r="I1702" s="28" t="s">
        <v>25</v>
      </c>
      <c r="J1702" s="78"/>
      <c r="K1702" s="28" t="str">
        <f>IFERROR(__xludf.DUMMYFUNCTION("IFERROR(
INDEX(
FILTER(
MAP(
reglas!$B$2:$B$240,
reglas!$C$2:$C$240,
reglas!$D$2:$D$240,
reglas!$E$2:$E$240,
LAMBDA(rEmisor,rPatron,rConcepto,rTipo,
IF(
AND(
OR(
UPPER(TRIM(rEmisor))=UPPER(TRIM(C1702)),
UPPER(TRIM(rEmisor))=""CUALQUIERA""
),
OR(
UPPER(TRI"&amp;"M(rTipo))=""SOLO EMISOR"",
AND(
UPPER(TRIM(rTipo))=""EXACTA"",
UPPER(TRIM(AG1702))=UPPER(TRIM(rPatron))
),
AND(
OR(
UPPER(TRIM(rTipo))=""CONTIENE"",
UPPER(TRIM(rTipo))=""COINCIDENCIA""
),
ISNUMBER(SEARCH(UPPER(TRIM(rPatron)),UPPER(TRIM(D1702))))
)
)
),
rC"&amp;"oncepto,
""""
)
)
),
MAP(
reglas!$B$2:$B$240,
reglas!$C$2:$C$240,
reglas!$D$2:$D$240,
reglas!$E$2:$E$240,
LAMBDA(rEmisor,rPatron,rConcepto,rTipo,
IF(
AND(
OR(
UPPER(TRIM(rEmisor))=UPPER(TRIM(C1702)),
UPPER(TRIM(rEmisor))=""CUALQUIERA""
),
OR(
UPPER(TRIM(r"&amp;"Tipo))=""SOLO EMISOR"",
AND(
UPPER(TRIM(rTipo))=""EXACTA"",
UPPER(TRIM(D1702))=UPPER(TRIM(rPatron))
),
AND(
OR(
UPPER(TRIM(rTipo))=""CONTIENE"",
UPPER(TRIM(rTipo))=""COINCIDENCIA""
),
ISNUMBER(SEARCH(UPPER(TRIM(rPatron)),UPPER(TRIM(D1702))))
)
)
),
rConce"&amp;"pto,
""""
)
)
)&lt;&gt;""""
),
1
),
""""
)"),"")</f>
        <v/>
      </c>
      <c r="L1702" s="27"/>
      <c r="M1702" s="27"/>
      <c r="N1702" s="27"/>
      <c r="O1702" s="27"/>
      <c r="P1702" s="27"/>
      <c r="Q1702" s="27"/>
      <c r="R1702" s="27"/>
      <c r="S1702" s="27"/>
      <c r="T1702" s="27"/>
      <c r="U1702" s="27"/>
      <c r="V1702" s="27"/>
      <c r="W1702" s="27"/>
      <c r="X1702" s="27"/>
      <c r="Y1702" s="27"/>
    </row>
    <row r="1703">
      <c r="A1703" s="32"/>
      <c r="B1703" s="32"/>
      <c r="C1703" s="29" t="s">
        <v>1968</v>
      </c>
      <c r="D1703" s="29" t="s">
        <v>1969</v>
      </c>
      <c r="E1703" s="100"/>
      <c r="F1703" s="32"/>
      <c r="G1703" s="28" t="s">
        <v>1032</v>
      </c>
      <c r="H1703" s="28">
        <f t="array" ref="H1703">INDEX(CC!C:C,MATCH(1,(CC!A:A=G1703)*(CC!B:B=I1703),0))</f>
        <v>302</v>
      </c>
      <c r="I1703" s="28" t="s">
        <v>25</v>
      </c>
      <c r="J1703" s="78"/>
      <c r="K1703" s="28" t="str">
        <f>IFERROR(__xludf.DUMMYFUNCTION("IFERROR(
INDEX(
FILTER(
MAP(
reglas!$B$2:$B$240,
reglas!$C$2:$C$240,
reglas!$D$2:$D$240,
reglas!$E$2:$E$240,
LAMBDA(rEmisor,rPatron,rConcepto,rTipo,
IF(
AND(
OR(
UPPER(TRIM(rEmisor))=UPPER(TRIM(C1703)),
UPPER(TRIM(rEmisor))=""CUALQUIERA""
),
OR(
UPPER(TRI"&amp;"M(rTipo))=""SOLO EMISOR"",
AND(
UPPER(TRIM(rTipo))=""EXACTA"",
UPPER(TRIM(AG1703))=UPPER(TRIM(rPatron))
),
AND(
OR(
UPPER(TRIM(rTipo))=""CONTIENE"",
UPPER(TRIM(rTipo))=""COINCIDENCIA""
),
ISNUMBER(SEARCH(UPPER(TRIM(rPatron)),UPPER(TRIM(D1703))))
)
)
),
rC"&amp;"oncepto,
""""
)
)
),
MAP(
reglas!$B$2:$B$240,
reglas!$C$2:$C$240,
reglas!$D$2:$D$240,
reglas!$E$2:$E$240,
LAMBDA(rEmisor,rPatron,rConcepto,rTipo,
IF(
AND(
OR(
UPPER(TRIM(rEmisor))=UPPER(TRIM(C1703)),
UPPER(TRIM(rEmisor))=""CUALQUIERA""
),
OR(
UPPER(TRIM(r"&amp;"Tipo))=""SOLO EMISOR"",
AND(
UPPER(TRIM(rTipo))=""EXACTA"",
UPPER(TRIM(D1703))=UPPER(TRIM(rPatron))
),
AND(
OR(
UPPER(TRIM(rTipo))=""CONTIENE"",
UPPER(TRIM(rTipo))=""COINCIDENCIA""
),
ISNUMBER(SEARCH(UPPER(TRIM(rPatron)),UPPER(TRIM(D1703))))
)
)
),
rConce"&amp;"pto,
""""
)
)
)&lt;&gt;""""
),
1
),
""""
)"),"")</f>
        <v/>
      </c>
      <c r="L1703" s="27"/>
      <c r="M1703" s="27"/>
      <c r="N1703" s="27"/>
      <c r="O1703" s="27"/>
      <c r="P1703" s="27"/>
      <c r="Q1703" s="27"/>
      <c r="R1703" s="27"/>
      <c r="S1703" s="27"/>
      <c r="T1703" s="27"/>
      <c r="U1703" s="27"/>
      <c r="V1703" s="27"/>
      <c r="W1703" s="27"/>
      <c r="X1703" s="27"/>
      <c r="Y1703" s="27"/>
    </row>
    <row r="1704">
      <c r="A1704" s="32"/>
      <c r="B1704" s="32"/>
      <c r="C1704" s="29" t="s">
        <v>1968</v>
      </c>
      <c r="D1704" s="29" t="s">
        <v>1969</v>
      </c>
      <c r="E1704" s="100"/>
      <c r="F1704" s="32"/>
      <c r="G1704" s="28" t="s">
        <v>84</v>
      </c>
      <c r="H1704" s="28">
        <f t="array" ref="H1704">INDEX(CC!C:C,MATCH(1,(CC!A:A=G1704)*(CC!B:B=I1704),0))</f>
        <v>1002</v>
      </c>
      <c r="I1704" s="28" t="s">
        <v>25</v>
      </c>
      <c r="J1704" s="78"/>
      <c r="K1704" s="28" t="str">
        <f>IFERROR(__xludf.DUMMYFUNCTION("IFERROR(
INDEX(
FILTER(
MAP(
reglas!$B$2:$B$240,
reglas!$C$2:$C$240,
reglas!$D$2:$D$240,
reglas!$E$2:$E$240,
LAMBDA(rEmisor,rPatron,rConcepto,rTipo,
IF(
AND(
OR(
UPPER(TRIM(rEmisor))=UPPER(TRIM(C1704)),
UPPER(TRIM(rEmisor))=""CUALQUIERA""
),
OR(
UPPER(TRI"&amp;"M(rTipo))=""SOLO EMISOR"",
AND(
UPPER(TRIM(rTipo))=""EXACTA"",
UPPER(TRIM(AG1704))=UPPER(TRIM(rPatron))
),
AND(
OR(
UPPER(TRIM(rTipo))=""CONTIENE"",
UPPER(TRIM(rTipo))=""COINCIDENCIA""
),
ISNUMBER(SEARCH(UPPER(TRIM(rPatron)),UPPER(TRIM(D1704))))
)
)
),
rC"&amp;"oncepto,
""""
)
)
),
MAP(
reglas!$B$2:$B$240,
reglas!$C$2:$C$240,
reglas!$D$2:$D$240,
reglas!$E$2:$E$240,
LAMBDA(rEmisor,rPatron,rConcepto,rTipo,
IF(
AND(
OR(
UPPER(TRIM(rEmisor))=UPPER(TRIM(C1704)),
UPPER(TRIM(rEmisor))=""CUALQUIERA""
),
OR(
UPPER(TRIM(r"&amp;"Tipo))=""SOLO EMISOR"",
AND(
UPPER(TRIM(rTipo))=""EXACTA"",
UPPER(TRIM(D1704))=UPPER(TRIM(rPatron))
),
AND(
OR(
UPPER(TRIM(rTipo))=""CONTIENE"",
UPPER(TRIM(rTipo))=""COINCIDENCIA""
),
ISNUMBER(SEARCH(UPPER(TRIM(rPatron)),UPPER(TRIM(D1704))))
)
)
),
rConce"&amp;"pto,
""""
)
)
)&lt;&gt;""""
),
1
),
""""
)"),"")</f>
        <v/>
      </c>
      <c r="L1704" s="27"/>
      <c r="M1704" s="27"/>
      <c r="N1704" s="27"/>
      <c r="O1704" s="27"/>
      <c r="P1704" s="27"/>
      <c r="Q1704" s="27"/>
      <c r="R1704" s="27"/>
      <c r="S1704" s="27"/>
      <c r="T1704" s="27"/>
      <c r="U1704" s="27"/>
      <c r="V1704" s="27"/>
      <c r="W1704" s="27"/>
      <c r="X1704" s="27"/>
      <c r="Y1704" s="27"/>
    </row>
    <row r="1705">
      <c r="A1705" s="32"/>
      <c r="B1705" s="32"/>
      <c r="C1705" s="29" t="s">
        <v>1968</v>
      </c>
      <c r="D1705" s="29" t="s">
        <v>1969</v>
      </c>
      <c r="E1705" s="100"/>
      <c r="F1705" s="32"/>
      <c r="G1705" s="28" t="s">
        <v>539</v>
      </c>
      <c r="H1705" s="28">
        <f t="array" ref="H1705">INDEX(CC!C:C,MATCH(1,(CC!A:A=G1705)*(CC!B:B=I1705),0))</f>
        <v>1302</v>
      </c>
      <c r="I1705" s="28" t="s">
        <v>25</v>
      </c>
      <c r="J1705" s="78"/>
      <c r="K1705" s="28" t="str">
        <f>IFERROR(__xludf.DUMMYFUNCTION("IFERROR(
INDEX(
FILTER(
MAP(
reglas!$B$2:$B$240,
reglas!$C$2:$C$240,
reglas!$D$2:$D$240,
reglas!$E$2:$E$240,
LAMBDA(rEmisor,rPatron,rConcepto,rTipo,
IF(
AND(
OR(
UPPER(TRIM(rEmisor))=UPPER(TRIM(C1705)),
UPPER(TRIM(rEmisor))=""CUALQUIERA""
),
OR(
UPPER(TRI"&amp;"M(rTipo))=""SOLO EMISOR"",
AND(
UPPER(TRIM(rTipo))=""EXACTA"",
UPPER(TRIM(AG1705))=UPPER(TRIM(rPatron))
),
AND(
OR(
UPPER(TRIM(rTipo))=""CONTIENE"",
UPPER(TRIM(rTipo))=""COINCIDENCIA""
),
ISNUMBER(SEARCH(UPPER(TRIM(rPatron)),UPPER(TRIM(D1705))))
)
)
),
rC"&amp;"oncepto,
""""
)
)
),
MAP(
reglas!$B$2:$B$240,
reglas!$C$2:$C$240,
reglas!$D$2:$D$240,
reglas!$E$2:$E$240,
LAMBDA(rEmisor,rPatron,rConcepto,rTipo,
IF(
AND(
OR(
UPPER(TRIM(rEmisor))=UPPER(TRIM(C1705)),
UPPER(TRIM(rEmisor))=""CUALQUIERA""
),
OR(
UPPER(TRIM(r"&amp;"Tipo))=""SOLO EMISOR"",
AND(
UPPER(TRIM(rTipo))=""EXACTA"",
UPPER(TRIM(D1705))=UPPER(TRIM(rPatron))
),
AND(
OR(
UPPER(TRIM(rTipo))=""CONTIENE"",
UPPER(TRIM(rTipo))=""COINCIDENCIA""
),
ISNUMBER(SEARCH(UPPER(TRIM(rPatron)),UPPER(TRIM(D1705))))
)
)
),
rConce"&amp;"pto,
""""
)
)
)&lt;&gt;""""
),
1
),
""""
)"),"")</f>
        <v/>
      </c>
      <c r="L1705" s="27"/>
      <c r="M1705" s="27"/>
      <c r="N1705" s="27"/>
      <c r="O1705" s="27"/>
      <c r="P1705" s="27"/>
      <c r="Q1705" s="27"/>
      <c r="R1705" s="27"/>
      <c r="S1705" s="27"/>
      <c r="T1705" s="27"/>
      <c r="U1705" s="27"/>
      <c r="V1705" s="27"/>
      <c r="W1705" s="27"/>
      <c r="X1705" s="27"/>
      <c r="Y1705" s="27"/>
    </row>
    <row r="1706">
      <c r="A1706" s="32"/>
      <c r="B1706" s="32"/>
      <c r="C1706" s="29" t="s">
        <v>1968</v>
      </c>
      <c r="D1706" s="29" t="s">
        <v>1969</v>
      </c>
      <c r="E1706" s="100"/>
      <c r="F1706" s="32"/>
      <c r="G1706" s="28" t="s">
        <v>250</v>
      </c>
      <c r="H1706" s="28">
        <f t="array" ref="H1706">INDEX(CC!C:C,MATCH(1,(CC!A:A=G1706)*(CC!B:B=I1706),0))</f>
        <v>1402</v>
      </c>
      <c r="I1706" s="28" t="s">
        <v>25</v>
      </c>
      <c r="J1706" s="78"/>
      <c r="K1706" s="28" t="str">
        <f>IFERROR(__xludf.DUMMYFUNCTION("IFERROR(
INDEX(
FILTER(
MAP(
reglas!$B$2:$B$240,
reglas!$C$2:$C$240,
reglas!$D$2:$D$240,
reglas!$E$2:$E$240,
LAMBDA(rEmisor,rPatron,rConcepto,rTipo,
IF(
AND(
OR(
UPPER(TRIM(rEmisor))=UPPER(TRIM(C1706)),
UPPER(TRIM(rEmisor))=""CUALQUIERA""
),
OR(
UPPER(TRI"&amp;"M(rTipo))=""SOLO EMISOR"",
AND(
UPPER(TRIM(rTipo))=""EXACTA"",
UPPER(TRIM(AG1706))=UPPER(TRIM(rPatron))
),
AND(
OR(
UPPER(TRIM(rTipo))=""CONTIENE"",
UPPER(TRIM(rTipo))=""COINCIDENCIA""
),
ISNUMBER(SEARCH(UPPER(TRIM(rPatron)),UPPER(TRIM(D1706))))
)
)
),
rC"&amp;"oncepto,
""""
)
)
),
MAP(
reglas!$B$2:$B$240,
reglas!$C$2:$C$240,
reglas!$D$2:$D$240,
reglas!$E$2:$E$240,
LAMBDA(rEmisor,rPatron,rConcepto,rTipo,
IF(
AND(
OR(
UPPER(TRIM(rEmisor))=UPPER(TRIM(C1706)),
UPPER(TRIM(rEmisor))=""CUALQUIERA""
),
OR(
UPPER(TRIM(r"&amp;"Tipo))=""SOLO EMISOR"",
AND(
UPPER(TRIM(rTipo))=""EXACTA"",
UPPER(TRIM(D1706))=UPPER(TRIM(rPatron))
),
AND(
OR(
UPPER(TRIM(rTipo))=""CONTIENE"",
UPPER(TRIM(rTipo))=""COINCIDENCIA""
),
ISNUMBER(SEARCH(UPPER(TRIM(rPatron)),UPPER(TRIM(D1706))))
)
)
),
rConce"&amp;"pto,
""""
)
)
)&lt;&gt;""""
),
1
),
""""
)"),"")</f>
        <v/>
      </c>
      <c r="L1706" s="27"/>
      <c r="M1706" s="27"/>
      <c r="N1706" s="27"/>
      <c r="O1706" s="27"/>
      <c r="P1706" s="27"/>
      <c r="Q1706" s="27"/>
      <c r="R1706" s="27"/>
      <c r="S1706" s="27"/>
      <c r="T1706" s="27"/>
      <c r="U1706" s="27"/>
      <c r="V1706" s="27"/>
      <c r="W1706" s="27"/>
      <c r="X1706" s="27"/>
      <c r="Y1706" s="27"/>
    </row>
    <row r="1707">
      <c r="A1707" s="32"/>
      <c r="B1707" s="32"/>
      <c r="C1707" s="29" t="s">
        <v>1968</v>
      </c>
      <c r="D1707" s="29" t="s">
        <v>1969</v>
      </c>
      <c r="E1707" s="100"/>
      <c r="F1707" s="32"/>
      <c r="G1707" s="28" t="s">
        <v>74</v>
      </c>
      <c r="H1707" s="28">
        <f t="array" ref="H1707">INDEX(CC!C:C,MATCH(1,(CC!A:A=G1707)*(CC!B:B=I1707),0))</f>
        <v>1502</v>
      </c>
      <c r="I1707" s="28" t="s">
        <v>25</v>
      </c>
      <c r="J1707" s="78"/>
      <c r="K1707" s="28" t="str">
        <f>IFERROR(__xludf.DUMMYFUNCTION("IFERROR(
INDEX(
FILTER(
MAP(
reglas!$B$2:$B$240,
reglas!$C$2:$C$240,
reglas!$D$2:$D$240,
reglas!$E$2:$E$240,
LAMBDA(rEmisor,rPatron,rConcepto,rTipo,
IF(
AND(
OR(
UPPER(TRIM(rEmisor))=UPPER(TRIM(C1707)),
UPPER(TRIM(rEmisor))=""CUALQUIERA""
),
OR(
UPPER(TRI"&amp;"M(rTipo))=""SOLO EMISOR"",
AND(
UPPER(TRIM(rTipo))=""EXACTA"",
UPPER(TRIM(AG1707))=UPPER(TRIM(rPatron))
),
AND(
OR(
UPPER(TRIM(rTipo))=""CONTIENE"",
UPPER(TRIM(rTipo))=""COINCIDENCIA""
),
ISNUMBER(SEARCH(UPPER(TRIM(rPatron)),UPPER(TRIM(D1707))))
)
)
),
rC"&amp;"oncepto,
""""
)
)
),
MAP(
reglas!$B$2:$B$240,
reglas!$C$2:$C$240,
reglas!$D$2:$D$240,
reglas!$E$2:$E$240,
LAMBDA(rEmisor,rPatron,rConcepto,rTipo,
IF(
AND(
OR(
UPPER(TRIM(rEmisor))=UPPER(TRIM(C1707)),
UPPER(TRIM(rEmisor))=""CUALQUIERA""
),
OR(
UPPER(TRIM(r"&amp;"Tipo))=""SOLO EMISOR"",
AND(
UPPER(TRIM(rTipo))=""EXACTA"",
UPPER(TRIM(D1707))=UPPER(TRIM(rPatron))
),
AND(
OR(
UPPER(TRIM(rTipo))=""CONTIENE"",
UPPER(TRIM(rTipo))=""COINCIDENCIA""
),
ISNUMBER(SEARCH(UPPER(TRIM(rPatron)),UPPER(TRIM(D1707))))
)
)
),
rConce"&amp;"pto,
""""
)
)
)&lt;&gt;""""
),
1
),
""""
)"),"")</f>
        <v/>
      </c>
      <c r="L1707" s="27"/>
      <c r="M1707" s="27"/>
      <c r="N1707" s="27"/>
      <c r="O1707" s="27"/>
      <c r="P1707" s="27"/>
      <c r="Q1707" s="27"/>
      <c r="R1707" s="27"/>
      <c r="S1707" s="27"/>
      <c r="T1707" s="27"/>
      <c r="U1707" s="27"/>
      <c r="V1707" s="27"/>
      <c r="W1707" s="27"/>
      <c r="X1707" s="27"/>
      <c r="Y1707" s="27"/>
    </row>
    <row r="1708">
      <c r="A1708" s="32"/>
      <c r="B1708" s="32"/>
      <c r="C1708" s="29" t="s">
        <v>1968</v>
      </c>
      <c r="D1708" s="29" t="s">
        <v>1969</v>
      </c>
      <c r="E1708" s="100"/>
      <c r="F1708" s="32"/>
      <c r="G1708" s="28" t="s">
        <v>55</v>
      </c>
      <c r="H1708" s="28">
        <f t="array" ref="H1708">INDEX(CC!C:C,MATCH(1,(CC!A:A=G1708)*(CC!B:B=I1708),0))</f>
        <v>902</v>
      </c>
      <c r="I1708" s="28" t="s">
        <v>25</v>
      </c>
      <c r="J1708" s="78"/>
      <c r="K1708" s="28" t="str">
        <f>IFERROR(__xludf.DUMMYFUNCTION("IFERROR(
INDEX(
FILTER(
MAP(
reglas!$B$2:$B$240,
reglas!$C$2:$C$240,
reglas!$D$2:$D$240,
reglas!$E$2:$E$240,
LAMBDA(rEmisor,rPatron,rConcepto,rTipo,
IF(
AND(
OR(
UPPER(TRIM(rEmisor))=UPPER(TRIM(C1708)),
UPPER(TRIM(rEmisor))=""CUALQUIERA""
),
OR(
UPPER(TRI"&amp;"M(rTipo))=""SOLO EMISOR"",
AND(
UPPER(TRIM(rTipo))=""EXACTA"",
UPPER(TRIM(AG1708))=UPPER(TRIM(rPatron))
),
AND(
OR(
UPPER(TRIM(rTipo))=""CONTIENE"",
UPPER(TRIM(rTipo))=""COINCIDENCIA""
),
ISNUMBER(SEARCH(UPPER(TRIM(rPatron)),UPPER(TRIM(D1708))))
)
)
),
rC"&amp;"oncepto,
""""
)
)
),
MAP(
reglas!$B$2:$B$240,
reglas!$C$2:$C$240,
reglas!$D$2:$D$240,
reglas!$E$2:$E$240,
LAMBDA(rEmisor,rPatron,rConcepto,rTipo,
IF(
AND(
OR(
UPPER(TRIM(rEmisor))=UPPER(TRIM(C1708)),
UPPER(TRIM(rEmisor))=""CUALQUIERA""
),
OR(
UPPER(TRIM(r"&amp;"Tipo))=""SOLO EMISOR"",
AND(
UPPER(TRIM(rTipo))=""EXACTA"",
UPPER(TRIM(D1708))=UPPER(TRIM(rPatron))
),
AND(
OR(
UPPER(TRIM(rTipo))=""CONTIENE"",
UPPER(TRIM(rTipo))=""COINCIDENCIA""
),
ISNUMBER(SEARCH(UPPER(TRIM(rPatron)),UPPER(TRIM(D1708))))
)
)
),
rConce"&amp;"pto,
""""
)
)
)&lt;&gt;""""
),
1
),
""""
)"),"")</f>
        <v/>
      </c>
      <c r="L1708" s="27"/>
      <c r="M1708" s="27"/>
      <c r="N1708" s="27"/>
      <c r="O1708" s="27"/>
      <c r="P1708" s="27"/>
      <c r="Q1708" s="27"/>
      <c r="R1708" s="27"/>
      <c r="S1708" s="27"/>
      <c r="T1708" s="27"/>
      <c r="U1708" s="27"/>
      <c r="V1708" s="27"/>
      <c r="W1708" s="27"/>
      <c r="X1708" s="27"/>
      <c r="Y1708" s="27"/>
    </row>
    <row r="1709">
      <c r="A1709" s="32"/>
      <c r="B1709" s="32"/>
      <c r="C1709" s="29" t="s">
        <v>1968</v>
      </c>
      <c r="D1709" s="29" t="s">
        <v>1969</v>
      </c>
      <c r="E1709" s="100"/>
      <c r="F1709" s="32"/>
      <c r="G1709" s="28" t="s">
        <v>40</v>
      </c>
      <c r="H1709" s="28">
        <f t="array" ref="H1709">INDEX(CC!C:C,MATCH(1,(CC!A:A=G1709)*(CC!B:B=I1709),0))</f>
        <v>602</v>
      </c>
      <c r="I1709" s="28" t="s">
        <v>25</v>
      </c>
      <c r="J1709" s="78"/>
      <c r="K1709" s="28" t="str">
        <f>IFERROR(__xludf.DUMMYFUNCTION("IFERROR(
INDEX(
FILTER(
MAP(
reglas!$B$2:$B$240,
reglas!$C$2:$C$240,
reglas!$D$2:$D$240,
reglas!$E$2:$E$240,
LAMBDA(rEmisor,rPatron,rConcepto,rTipo,
IF(
AND(
OR(
UPPER(TRIM(rEmisor))=UPPER(TRIM(C1709)),
UPPER(TRIM(rEmisor))=""CUALQUIERA""
),
OR(
UPPER(TRI"&amp;"M(rTipo))=""SOLO EMISOR"",
AND(
UPPER(TRIM(rTipo))=""EXACTA"",
UPPER(TRIM(AG1709))=UPPER(TRIM(rPatron))
),
AND(
OR(
UPPER(TRIM(rTipo))=""CONTIENE"",
UPPER(TRIM(rTipo))=""COINCIDENCIA""
),
ISNUMBER(SEARCH(UPPER(TRIM(rPatron)),UPPER(TRIM(D1709))))
)
)
),
rC"&amp;"oncepto,
""""
)
)
),
MAP(
reglas!$B$2:$B$240,
reglas!$C$2:$C$240,
reglas!$D$2:$D$240,
reglas!$E$2:$E$240,
LAMBDA(rEmisor,rPatron,rConcepto,rTipo,
IF(
AND(
OR(
UPPER(TRIM(rEmisor))=UPPER(TRIM(C1709)),
UPPER(TRIM(rEmisor))=""CUALQUIERA""
),
OR(
UPPER(TRIM(r"&amp;"Tipo))=""SOLO EMISOR"",
AND(
UPPER(TRIM(rTipo))=""EXACTA"",
UPPER(TRIM(D1709))=UPPER(TRIM(rPatron))
),
AND(
OR(
UPPER(TRIM(rTipo))=""CONTIENE"",
UPPER(TRIM(rTipo))=""COINCIDENCIA""
),
ISNUMBER(SEARCH(UPPER(TRIM(rPatron)),UPPER(TRIM(D1709))))
)
)
),
rConce"&amp;"pto,
""""
)
)
)&lt;&gt;""""
),
1
),
""""
)"),"")</f>
        <v/>
      </c>
      <c r="L1709" s="27"/>
      <c r="M1709" s="27"/>
      <c r="N1709" s="27"/>
      <c r="O1709" s="27"/>
      <c r="P1709" s="27"/>
      <c r="Q1709" s="27"/>
      <c r="R1709" s="27"/>
      <c r="S1709" s="27"/>
      <c r="T1709" s="27"/>
      <c r="U1709" s="27"/>
      <c r="V1709" s="27"/>
      <c r="W1709" s="27"/>
      <c r="X1709" s="27"/>
      <c r="Y1709" s="27"/>
    </row>
    <row r="1710">
      <c r="A1710" s="32"/>
      <c r="B1710" s="32"/>
      <c r="C1710" s="29" t="s">
        <v>1968</v>
      </c>
      <c r="D1710" s="29" t="s">
        <v>1969</v>
      </c>
      <c r="E1710" s="100"/>
      <c r="F1710" s="32"/>
      <c r="G1710" s="28" t="s">
        <v>385</v>
      </c>
      <c r="H1710" s="28">
        <f t="array" ref="H1710">INDEX(CC!C:C,MATCH(1,(CC!A:A=G1710)*(CC!B:B=I1710),0))</f>
        <v>502</v>
      </c>
      <c r="I1710" s="28" t="s">
        <v>25</v>
      </c>
      <c r="J1710" s="78"/>
      <c r="K1710" s="28" t="str">
        <f>IFERROR(__xludf.DUMMYFUNCTION("IFERROR(
INDEX(
FILTER(
MAP(
reglas!$B$2:$B$240,
reglas!$C$2:$C$240,
reglas!$D$2:$D$240,
reglas!$E$2:$E$240,
LAMBDA(rEmisor,rPatron,rConcepto,rTipo,
IF(
AND(
OR(
UPPER(TRIM(rEmisor))=UPPER(TRIM(C1710)),
UPPER(TRIM(rEmisor))=""CUALQUIERA""
),
OR(
UPPER(TRI"&amp;"M(rTipo))=""SOLO EMISOR"",
AND(
UPPER(TRIM(rTipo))=""EXACTA"",
UPPER(TRIM(AG1710))=UPPER(TRIM(rPatron))
),
AND(
OR(
UPPER(TRIM(rTipo))=""CONTIENE"",
UPPER(TRIM(rTipo))=""COINCIDENCIA""
),
ISNUMBER(SEARCH(UPPER(TRIM(rPatron)),UPPER(TRIM(D1710))))
)
)
),
rC"&amp;"oncepto,
""""
)
)
),
MAP(
reglas!$B$2:$B$240,
reglas!$C$2:$C$240,
reglas!$D$2:$D$240,
reglas!$E$2:$E$240,
LAMBDA(rEmisor,rPatron,rConcepto,rTipo,
IF(
AND(
OR(
UPPER(TRIM(rEmisor))=UPPER(TRIM(C1710)),
UPPER(TRIM(rEmisor))=""CUALQUIERA""
),
OR(
UPPER(TRIM(r"&amp;"Tipo))=""SOLO EMISOR"",
AND(
UPPER(TRIM(rTipo))=""EXACTA"",
UPPER(TRIM(D1710))=UPPER(TRIM(rPatron))
),
AND(
OR(
UPPER(TRIM(rTipo))=""CONTIENE"",
UPPER(TRIM(rTipo))=""COINCIDENCIA""
),
ISNUMBER(SEARCH(UPPER(TRIM(rPatron)),UPPER(TRIM(D1710))))
)
)
),
rConce"&amp;"pto,
""""
)
)
)&lt;&gt;""""
),
1
),
""""
)"),"")</f>
        <v/>
      </c>
      <c r="L1710" s="27"/>
      <c r="M1710" s="27"/>
      <c r="N1710" s="27"/>
      <c r="O1710" s="27"/>
      <c r="P1710" s="27"/>
      <c r="Q1710" s="27"/>
      <c r="R1710" s="27"/>
      <c r="S1710" s="27"/>
      <c r="T1710" s="27"/>
      <c r="U1710" s="27"/>
      <c r="V1710" s="27"/>
      <c r="W1710" s="27"/>
      <c r="X1710" s="27"/>
      <c r="Y1710" s="27"/>
    </row>
    <row r="1711">
      <c r="A1711" s="32"/>
      <c r="B1711" s="28" t="s">
        <v>29</v>
      </c>
      <c r="C1711" s="29" t="s">
        <v>172</v>
      </c>
      <c r="D1711" s="29" t="s">
        <v>1970</v>
      </c>
      <c r="E1711" s="30">
        <v>11500.0</v>
      </c>
      <c r="F1711" s="28">
        <v>0.0</v>
      </c>
      <c r="G1711" s="99" t="s">
        <v>250</v>
      </c>
      <c r="H1711" s="28">
        <f t="array" ref="H1711">INDEX(CC!C:C,MATCH(1,(CC!A:A=G1711)*(CC!B:B=I1711),0))</f>
        <v>1402</v>
      </c>
      <c r="I1711" s="28" t="s">
        <v>25</v>
      </c>
      <c r="J1711" s="31">
        <v>11500.0</v>
      </c>
      <c r="K1711" s="28" t="str">
        <f>IFERROR(__xludf.DUMMYFUNCTION("IFERROR(
INDEX(
FILTER(
MAP(
reglas!$B$2:$B$240,
reglas!$C$2:$C$240,
reglas!$D$2:$D$240,
reglas!$E$2:$E$240,
LAMBDA(rEmisor,rPatron,rConcepto,rTipo,
IF(
AND(
OR(
UPPER(TRIM(rEmisor))=UPPER(TRIM(C1711)),
UPPER(TRIM(rEmisor))=""CUALQUIERA""
),
OR(
UPPER(TRI"&amp;"M(rTipo))=""SOLO EMISOR"",
AND(
UPPER(TRIM(rTipo))=""EXACTA"",
UPPER(TRIM(AG1711))=UPPER(TRIM(rPatron))
),
AND(
OR(
UPPER(TRIM(rTipo))=""CONTIENE"",
UPPER(TRIM(rTipo))=""COINCIDENCIA""
),
ISNUMBER(SEARCH(UPPER(TRIM(rPatron)),UPPER(TRIM(D1711))))
)
)
),
rC"&amp;"oncepto,
""""
)
)
),
MAP(
reglas!$B$2:$B$240,
reglas!$C$2:$C$240,
reglas!$D$2:$D$240,
reglas!$E$2:$E$240,
LAMBDA(rEmisor,rPatron,rConcepto,rTipo,
IF(
AND(
OR(
UPPER(TRIM(rEmisor))=UPPER(TRIM(C1711)),
UPPER(TRIM(rEmisor))=""CUALQUIERA""
),
OR(
UPPER(TRIM(r"&amp;"Tipo))=""SOLO EMISOR"",
AND(
UPPER(TRIM(rTipo))=""EXACTA"",
UPPER(TRIM(D1711))=UPPER(TRIM(rPatron))
),
AND(
OR(
UPPER(TRIM(rTipo))=""CONTIENE"",
UPPER(TRIM(rTipo))=""COINCIDENCIA""
),
ISNUMBER(SEARCH(UPPER(TRIM(rPatron)),UPPER(TRIM(D1711))))
)
)
),
rConce"&amp;"pto,
""""
)
)
)&lt;&gt;""""
),
1
),
""""
)"),"TRANSPORTE")</f>
        <v>TRANSPORTE</v>
      </c>
      <c r="L1711" s="27"/>
      <c r="M1711" s="27"/>
      <c r="N1711" s="27"/>
      <c r="O1711" s="27"/>
      <c r="P1711" s="27"/>
      <c r="Q1711" s="27"/>
      <c r="R1711" s="27"/>
      <c r="S1711" s="27"/>
      <c r="T1711" s="27"/>
      <c r="U1711" s="27"/>
      <c r="V1711" s="27"/>
      <c r="W1711" s="27"/>
      <c r="X1711" s="27"/>
      <c r="Y1711" s="27"/>
    </row>
    <row r="1712">
      <c r="A1712" s="32"/>
      <c r="B1712" s="28" t="s">
        <v>29</v>
      </c>
      <c r="C1712" s="29" t="s">
        <v>354</v>
      </c>
      <c r="D1712" s="29" t="s">
        <v>1730</v>
      </c>
      <c r="E1712" s="30">
        <v>214159.9</v>
      </c>
      <c r="F1712" s="28">
        <v>0.0</v>
      </c>
      <c r="G1712" s="28" t="s">
        <v>601</v>
      </c>
      <c r="H1712" s="28">
        <f t="array" ref="H1712">INDEX(CC!C:C,MATCH(1,(CC!A:A=G1712)*(CC!B:B=I1712),0))</f>
        <v>402</v>
      </c>
      <c r="I1712" s="28" t="s">
        <v>25</v>
      </c>
      <c r="J1712" s="33"/>
      <c r="K1712" s="28" t="str">
        <f>IFERROR(__xludf.DUMMYFUNCTION("IFERROR(
INDEX(
FILTER(
MAP(
reglas!$B$2:$B$240,
reglas!$C$2:$C$240,
reglas!$D$2:$D$240,
reglas!$E$2:$E$240,
LAMBDA(rEmisor,rPatron,rConcepto,rTipo,
IF(
AND(
OR(
UPPER(TRIM(rEmisor))=UPPER(TRIM(C1712)),
UPPER(TRIM(rEmisor))=""CUALQUIERA""
),
OR(
UPPER(TRI"&amp;"M(rTipo))=""SOLO EMISOR"",
AND(
UPPER(TRIM(rTipo))=""EXACTA"",
UPPER(TRIM(AG1712))=UPPER(TRIM(rPatron))
),
AND(
OR(
UPPER(TRIM(rTipo))=""CONTIENE"",
UPPER(TRIM(rTipo))=""COINCIDENCIA""
),
ISNUMBER(SEARCH(UPPER(TRIM(rPatron)),UPPER(TRIM(D1712))))
)
)
),
rC"&amp;"oncepto,
""""
)
)
),
MAP(
reglas!$B$2:$B$240,
reglas!$C$2:$C$240,
reglas!$D$2:$D$240,
reglas!$E$2:$E$240,
LAMBDA(rEmisor,rPatron,rConcepto,rTipo,
IF(
AND(
OR(
UPPER(TRIM(rEmisor))=UPPER(TRIM(C1712)),
UPPER(TRIM(rEmisor))=""CUALQUIERA""
),
OR(
UPPER(TRIM(r"&amp;"Tipo))=""SOLO EMISOR"",
AND(
UPPER(TRIM(rTipo))=""EXACTA"",
UPPER(TRIM(D1712))=UPPER(TRIM(rPatron))
),
AND(
OR(
UPPER(TRIM(rTipo))=""CONTIENE"",
UPPER(TRIM(rTipo))=""COINCIDENCIA""
),
ISNUMBER(SEARCH(UPPER(TRIM(rPatron)),UPPER(TRIM(D1712))))
)
)
),
rConce"&amp;"pto,
""""
)
)
)&lt;&gt;""""
),
1
),
""""
)"),"N/A")</f>
        <v>N/A</v>
      </c>
      <c r="L1712" s="27"/>
      <c r="M1712" s="27"/>
      <c r="N1712" s="27"/>
      <c r="O1712" s="27"/>
      <c r="P1712" s="27"/>
      <c r="Q1712" s="27"/>
      <c r="R1712" s="27"/>
      <c r="S1712" s="27"/>
      <c r="T1712" s="27"/>
      <c r="U1712" s="27"/>
      <c r="V1712" s="27"/>
      <c r="W1712" s="27"/>
      <c r="X1712" s="27"/>
      <c r="Y1712" s="27"/>
    </row>
    <row r="1713">
      <c r="A1713" s="32"/>
      <c r="B1713" s="32"/>
      <c r="C1713" s="29" t="s">
        <v>354</v>
      </c>
      <c r="D1713" s="29" t="s">
        <v>1730</v>
      </c>
      <c r="E1713" s="100"/>
      <c r="F1713" s="32"/>
      <c r="G1713" s="28" t="s">
        <v>225</v>
      </c>
      <c r="H1713" s="28">
        <f t="array" ref="H1713">INDEX(CC!C:C,MATCH(1,(CC!A:A=G1713)*(CC!B:B=I1713),0))</f>
        <v>102</v>
      </c>
      <c r="I1713" s="28" t="s">
        <v>25</v>
      </c>
      <c r="J1713" s="33"/>
      <c r="K1713" s="28" t="str">
        <f>IFERROR(__xludf.DUMMYFUNCTION("IFERROR(
INDEX(
FILTER(
MAP(
reglas!$B$2:$B$240,
reglas!$C$2:$C$240,
reglas!$D$2:$D$240,
reglas!$E$2:$E$240,
LAMBDA(rEmisor,rPatron,rConcepto,rTipo,
IF(
AND(
OR(
UPPER(TRIM(rEmisor))=UPPER(TRIM(C1713)),
UPPER(TRIM(rEmisor))=""CUALQUIERA""
),
OR(
UPPER(TRI"&amp;"M(rTipo))=""SOLO EMISOR"",
AND(
UPPER(TRIM(rTipo))=""EXACTA"",
UPPER(TRIM(AG1713))=UPPER(TRIM(rPatron))
),
AND(
OR(
UPPER(TRIM(rTipo))=""CONTIENE"",
UPPER(TRIM(rTipo))=""COINCIDENCIA""
),
ISNUMBER(SEARCH(UPPER(TRIM(rPatron)),UPPER(TRIM(D1713))))
)
)
),
rC"&amp;"oncepto,
""""
)
)
),
MAP(
reglas!$B$2:$B$240,
reglas!$C$2:$C$240,
reglas!$D$2:$D$240,
reglas!$E$2:$E$240,
LAMBDA(rEmisor,rPatron,rConcepto,rTipo,
IF(
AND(
OR(
UPPER(TRIM(rEmisor))=UPPER(TRIM(C1713)),
UPPER(TRIM(rEmisor))=""CUALQUIERA""
),
OR(
UPPER(TRIM(r"&amp;"Tipo))=""SOLO EMISOR"",
AND(
UPPER(TRIM(rTipo))=""EXACTA"",
UPPER(TRIM(D1713))=UPPER(TRIM(rPatron))
),
AND(
OR(
UPPER(TRIM(rTipo))=""CONTIENE"",
UPPER(TRIM(rTipo))=""COINCIDENCIA""
),
ISNUMBER(SEARCH(UPPER(TRIM(rPatron)),UPPER(TRIM(D1713))))
)
)
),
rConce"&amp;"pto,
""""
)
)
)&lt;&gt;""""
),
1
),
""""
)"),"N/A")</f>
        <v>N/A</v>
      </c>
      <c r="L1713" s="27"/>
      <c r="M1713" s="27"/>
      <c r="N1713" s="27"/>
      <c r="O1713" s="27"/>
      <c r="P1713" s="27"/>
      <c r="Q1713" s="27"/>
      <c r="R1713" s="27"/>
      <c r="S1713" s="27"/>
      <c r="T1713" s="27"/>
      <c r="U1713" s="27"/>
      <c r="V1713" s="27"/>
      <c r="W1713" s="27"/>
      <c r="X1713" s="27"/>
      <c r="Y1713" s="27"/>
    </row>
    <row r="1714">
      <c r="A1714" s="32"/>
      <c r="B1714" s="32"/>
      <c r="C1714" s="29" t="s">
        <v>354</v>
      </c>
      <c r="D1714" s="29" t="s">
        <v>1730</v>
      </c>
      <c r="E1714" s="100"/>
      <c r="F1714" s="32"/>
      <c r="G1714" s="28" t="s">
        <v>554</v>
      </c>
      <c r="H1714" s="28">
        <f t="array" ref="H1714">INDEX(CC!C:C,MATCH(1,(CC!A:A=G1714)*(CC!B:B=I1714),0))</f>
        <v>1702</v>
      </c>
      <c r="I1714" s="28" t="s">
        <v>25</v>
      </c>
      <c r="J1714" s="33"/>
      <c r="K1714" s="28" t="str">
        <f>IFERROR(__xludf.DUMMYFUNCTION("IFERROR(
INDEX(
FILTER(
MAP(
reglas!$B$2:$B$240,
reglas!$C$2:$C$240,
reglas!$D$2:$D$240,
reglas!$E$2:$E$240,
LAMBDA(rEmisor,rPatron,rConcepto,rTipo,
IF(
AND(
OR(
UPPER(TRIM(rEmisor))=UPPER(TRIM(C1714)),
UPPER(TRIM(rEmisor))=""CUALQUIERA""
),
OR(
UPPER(TRI"&amp;"M(rTipo))=""SOLO EMISOR"",
AND(
UPPER(TRIM(rTipo))=""EXACTA"",
UPPER(TRIM(AG1714))=UPPER(TRIM(rPatron))
),
AND(
OR(
UPPER(TRIM(rTipo))=""CONTIENE"",
UPPER(TRIM(rTipo))=""COINCIDENCIA""
),
ISNUMBER(SEARCH(UPPER(TRIM(rPatron)),UPPER(TRIM(D1714))))
)
)
),
rC"&amp;"oncepto,
""""
)
)
),
MAP(
reglas!$B$2:$B$240,
reglas!$C$2:$C$240,
reglas!$D$2:$D$240,
reglas!$E$2:$E$240,
LAMBDA(rEmisor,rPatron,rConcepto,rTipo,
IF(
AND(
OR(
UPPER(TRIM(rEmisor))=UPPER(TRIM(C1714)),
UPPER(TRIM(rEmisor))=""CUALQUIERA""
),
OR(
UPPER(TRIM(r"&amp;"Tipo))=""SOLO EMISOR"",
AND(
UPPER(TRIM(rTipo))=""EXACTA"",
UPPER(TRIM(D1714))=UPPER(TRIM(rPatron))
),
AND(
OR(
UPPER(TRIM(rTipo))=""CONTIENE"",
UPPER(TRIM(rTipo))=""COINCIDENCIA""
),
ISNUMBER(SEARCH(UPPER(TRIM(rPatron)),UPPER(TRIM(D1714))))
)
)
),
rConce"&amp;"pto,
""""
)
)
)&lt;&gt;""""
),
1
),
""""
)"),"N/A")</f>
        <v>N/A</v>
      </c>
      <c r="L1714" s="27"/>
      <c r="M1714" s="27"/>
      <c r="N1714" s="27"/>
      <c r="O1714" s="27"/>
      <c r="P1714" s="27"/>
      <c r="Q1714" s="27"/>
      <c r="R1714" s="27"/>
      <c r="S1714" s="27"/>
      <c r="T1714" s="27"/>
      <c r="U1714" s="27"/>
      <c r="V1714" s="27"/>
      <c r="W1714" s="27"/>
      <c r="X1714" s="27"/>
      <c r="Y1714" s="27"/>
    </row>
    <row r="1715">
      <c r="A1715" s="32"/>
      <c r="B1715" s="32"/>
      <c r="C1715" s="29" t="s">
        <v>354</v>
      </c>
      <c r="D1715" s="29" t="s">
        <v>1730</v>
      </c>
      <c r="E1715" s="100"/>
      <c r="F1715" s="32"/>
      <c r="G1715" s="28" t="s">
        <v>84</v>
      </c>
      <c r="H1715" s="28">
        <f t="array" ref="H1715">INDEX(CC!C:C,MATCH(1,(CC!A:A=G1715)*(CC!B:B=I1715),0))</f>
        <v>1002</v>
      </c>
      <c r="I1715" s="28" t="s">
        <v>25</v>
      </c>
      <c r="J1715" s="33"/>
      <c r="K1715" s="28" t="str">
        <f>IFERROR(__xludf.DUMMYFUNCTION("IFERROR(
INDEX(
FILTER(
MAP(
reglas!$B$2:$B$240,
reglas!$C$2:$C$240,
reglas!$D$2:$D$240,
reglas!$E$2:$E$240,
LAMBDA(rEmisor,rPatron,rConcepto,rTipo,
IF(
AND(
OR(
UPPER(TRIM(rEmisor))=UPPER(TRIM(C1715)),
UPPER(TRIM(rEmisor))=""CUALQUIERA""
),
OR(
UPPER(TRI"&amp;"M(rTipo))=""SOLO EMISOR"",
AND(
UPPER(TRIM(rTipo))=""EXACTA"",
UPPER(TRIM(AG1715))=UPPER(TRIM(rPatron))
),
AND(
OR(
UPPER(TRIM(rTipo))=""CONTIENE"",
UPPER(TRIM(rTipo))=""COINCIDENCIA""
),
ISNUMBER(SEARCH(UPPER(TRIM(rPatron)),UPPER(TRIM(D1715))))
)
)
),
rC"&amp;"oncepto,
""""
)
)
),
MAP(
reglas!$B$2:$B$240,
reglas!$C$2:$C$240,
reglas!$D$2:$D$240,
reglas!$E$2:$E$240,
LAMBDA(rEmisor,rPatron,rConcepto,rTipo,
IF(
AND(
OR(
UPPER(TRIM(rEmisor))=UPPER(TRIM(C1715)),
UPPER(TRIM(rEmisor))=""CUALQUIERA""
),
OR(
UPPER(TRIM(r"&amp;"Tipo))=""SOLO EMISOR"",
AND(
UPPER(TRIM(rTipo))=""EXACTA"",
UPPER(TRIM(D1715))=UPPER(TRIM(rPatron))
),
AND(
OR(
UPPER(TRIM(rTipo))=""CONTIENE"",
UPPER(TRIM(rTipo))=""COINCIDENCIA""
),
ISNUMBER(SEARCH(UPPER(TRIM(rPatron)),UPPER(TRIM(D1715))))
)
)
),
rConce"&amp;"pto,
""""
)
)
)&lt;&gt;""""
),
1
),
""""
)"),"N/A")</f>
        <v>N/A</v>
      </c>
      <c r="L1715" s="27"/>
      <c r="M1715" s="27"/>
      <c r="N1715" s="27"/>
      <c r="O1715" s="27"/>
      <c r="P1715" s="27"/>
      <c r="Q1715" s="27"/>
      <c r="R1715" s="27"/>
      <c r="S1715" s="27"/>
      <c r="T1715" s="27"/>
      <c r="U1715" s="27"/>
      <c r="V1715" s="27"/>
      <c r="W1715" s="27"/>
      <c r="X1715" s="27"/>
      <c r="Y1715" s="27"/>
    </row>
    <row r="1716">
      <c r="A1716" s="32"/>
      <c r="B1716" s="32"/>
      <c r="C1716" s="29" t="s">
        <v>354</v>
      </c>
      <c r="D1716" s="29" t="s">
        <v>1730</v>
      </c>
      <c r="E1716" s="100"/>
      <c r="F1716" s="32"/>
      <c r="G1716" s="28" t="s">
        <v>539</v>
      </c>
      <c r="H1716" s="28">
        <f t="array" ref="H1716">INDEX(CC!C:C,MATCH(1,(CC!A:A=G1716)*(CC!B:B=I1716),0))</f>
        <v>1302</v>
      </c>
      <c r="I1716" s="28" t="s">
        <v>25</v>
      </c>
      <c r="J1716" s="33"/>
      <c r="K1716" s="28" t="str">
        <f>IFERROR(__xludf.DUMMYFUNCTION("IFERROR(
INDEX(
FILTER(
MAP(
reglas!$B$2:$B$240,
reglas!$C$2:$C$240,
reglas!$D$2:$D$240,
reglas!$E$2:$E$240,
LAMBDA(rEmisor,rPatron,rConcepto,rTipo,
IF(
AND(
OR(
UPPER(TRIM(rEmisor))=UPPER(TRIM(C1716)),
UPPER(TRIM(rEmisor))=""CUALQUIERA""
),
OR(
UPPER(TRI"&amp;"M(rTipo))=""SOLO EMISOR"",
AND(
UPPER(TRIM(rTipo))=""EXACTA"",
UPPER(TRIM(AG1716))=UPPER(TRIM(rPatron))
),
AND(
OR(
UPPER(TRIM(rTipo))=""CONTIENE"",
UPPER(TRIM(rTipo))=""COINCIDENCIA""
),
ISNUMBER(SEARCH(UPPER(TRIM(rPatron)),UPPER(TRIM(D1716))))
)
)
),
rC"&amp;"oncepto,
""""
)
)
),
MAP(
reglas!$B$2:$B$240,
reglas!$C$2:$C$240,
reglas!$D$2:$D$240,
reglas!$E$2:$E$240,
LAMBDA(rEmisor,rPatron,rConcepto,rTipo,
IF(
AND(
OR(
UPPER(TRIM(rEmisor))=UPPER(TRIM(C1716)),
UPPER(TRIM(rEmisor))=""CUALQUIERA""
),
OR(
UPPER(TRIM(r"&amp;"Tipo))=""SOLO EMISOR"",
AND(
UPPER(TRIM(rTipo))=""EXACTA"",
UPPER(TRIM(D1716))=UPPER(TRIM(rPatron))
),
AND(
OR(
UPPER(TRIM(rTipo))=""CONTIENE"",
UPPER(TRIM(rTipo))=""COINCIDENCIA""
),
ISNUMBER(SEARCH(UPPER(TRIM(rPatron)),UPPER(TRIM(D1716))))
)
)
),
rConce"&amp;"pto,
""""
)
)
)&lt;&gt;""""
),
1
),
""""
)"),"N/A")</f>
        <v>N/A</v>
      </c>
      <c r="L1716" s="27"/>
      <c r="M1716" s="27"/>
      <c r="N1716" s="27"/>
      <c r="O1716" s="27"/>
      <c r="P1716" s="27"/>
      <c r="Q1716" s="27"/>
      <c r="R1716" s="27"/>
      <c r="S1716" s="27"/>
      <c r="T1716" s="27"/>
      <c r="U1716" s="27"/>
      <c r="V1716" s="27"/>
      <c r="W1716" s="27"/>
      <c r="X1716" s="27"/>
      <c r="Y1716" s="27"/>
    </row>
    <row r="1717">
      <c r="A1717" s="32"/>
      <c r="B1717" s="32"/>
      <c r="C1717" s="29" t="s">
        <v>354</v>
      </c>
      <c r="D1717" s="29" t="s">
        <v>1730</v>
      </c>
      <c r="E1717" s="100"/>
      <c r="F1717" s="32"/>
      <c r="G1717" s="28" t="s">
        <v>1971</v>
      </c>
      <c r="H1717" s="28" t="str">
        <f t="array" ref="H1717">INDEX(CC!C:C,MATCH(1,(CC!A:A=G1717)*(CC!B:B=I1717),0))</f>
        <v>#N/A</v>
      </c>
      <c r="I1717" s="28" t="s">
        <v>25</v>
      </c>
      <c r="J1717" s="33"/>
      <c r="K1717" s="28" t="str">
        <f>IFERROR(__xludf.DUMMYFUNCTION("IFERROR(
INDEX(
FILTER(
MAP(
reglas!$B$2:$B$240,
reglas!$C$2:$C$240,
reglas!$D$2:$D$240,
reglas!$E$2:$E$240,
LAMBDA(rEmisor,rPatron,rConcepto,rTipo,
IF(
AND(
OR(
UPPER(TRIM(rEmisor))=UPPER(TRIM(C1717)),
UPPER(TRIM(rEmisor))=""CUALQUIERA""
),
OR(
UPPER(TRI"&amp;"M(rTipo))=""SOLO EMISOR"",
AND(
UPPER(TRIM(rTipo))=""EXACTA"",
UPPER(TRIM(AG1717))=UPPER(TRIM(rPatron))
),
AND(
OR(
UPPER(TRIM(rTipo))=""CONTIENE"",
UPPER(TRIM(rTipo))=""COINCIDENCIA""
),
ISNUMBER(SEARCH(UPPER(TRIM(rPatron)),UPPER(TRIM(D1717))))
)
)
),
rC"&amp;"oncepto,
""""
)
)
),
MAP(
reglas!$B$2:$B$240,
reglas!$C$2:$C$240,
reglas!$D$2:$D$240,
reglas!$E$2:$E$240,
LAMBDA(rEmisor,rPatron,rConcepto,rTipo,
IF(
AND(
OR(
UPPER(TRIM(rEmisor))=UPPER(TRIM(C1717)),
UPPER(TRIM(rEmisor))=""CUALQUIERA""
),
OR(
UPPER(TRIM(r"&amp;"Tipo))=""SOLO EMISOR"",
AND(
UPPER(TRIM(rTipo))=""EXACTA"",
UPPER(TRIM(D1717))=UPPER(TRIM(rPatron))
),
AND(
OR(
UPPER(TRIM(rTipo))=""CONTIENE"",
UPPER(TRIM(rTipo))=""COINCIDENCIA""
),
ISNUMBER(SEARCH(UPPER(TRIM(rPatron)),UPPER(TRIM(D1717))))
)
)
),
rConce"&amp;"pto,
""""
)
)
)&lt;&gt;""""
),
1
),
""""
)"),"N/A")</f>
        <v>N/A</v>
      </c>
      <c r="L1717" s="27"/>
      <c r="M1717" s="27"/>
      <c r="N1717" s="27"/>
      <c r="O1717" s="27"/>
      <c r="P1717" s="27"/>
      <c r="Q1717" s="27"/>
      <c r="R1717" s="27"/>
      <c r="S1717" s="27"/>
      <c r="T1717" s="27"/>
      <c r="U1717" s="27"/>
      <c r="V1717" s="27"/>
      <c r="W1717" s="27"/>
      <c r="X1717" s="27"/>
      <c r="Y1717" s="27"/>
    </row>
    <row r="1718">
      <c r="A1718" s="32"/>
      <c r="B1718" s="32"/>
      <c r="C1718" s="29" t="s">
        <v>354</v>
      </c>
      <c r="D1718" s="29" t="s">
        <v>1730</v>
      </c>
      <c r="E1718" s="100"/>
      <c r="F1718" s="32"/>
      <c r="G1718" s="28" t="s">
        <v>74</v>
      </c>
      <c r="H1718" s="28">
        <f t="array" ref="H1718">INDEX(CC!C:C,MATCH(1,(CC!A:A=G1718)*(CC!B:B=I1718),0))</f>
        <v>1502</v>
      </c>
      <c r="I1718" s="28" t="s">
        <v>25</v>
      </c>
      <c r="J1718" s="33"/>
      <c r="K1718" s="28" t="str">
        <f>IFERROR(__xludf.DUMMYFUNCTION("IFERROR(
INDEX(
FILTER(
MAP(
reglas!$B$2:$B$240,
reglas!$C$2:$C$240,
reglas!$D$2:$D$240,
reglas!$E$2:$E$240,
LAMBDA(rEmisor,rPatron,rConcepto,rTipo,
IF(
AND(
OR(
UPPER(TRIM(rEmisor))=UPPER(TRIM(C1718)),
UPPER(TRIM(rEmisor))=""CUALQUIERA""
),
OR(
UPPER(TRI"&amp;"M(rTipo))=""SOLO EMISOR"",
AND(
UPPER(TRIM(rTipo))=""EXACTA"",
UPPER(TRIM(AG1718))=UPPER(TRIM(rPatron))
),
AND(
OR(
UPPER(TRIM(rTipo))=""CONTIENE"",
UPPER(TRIM(rTipo))=""COINCIDENCIA""
),
ISNUMBER(SEARCH(UPPER(TRIM(rPatron)),UPPER(TRIM(D1718))))
)
)
),
rC"&amp;"oncepto,
""""
)
)
),
MAP(
reglas!$B$2:$B$240,
reglas!$C$2:$C$240,
reglas!$D$2:$D$240,
reglas!$E$2:$E$240,
LAMBDA(rEmisor,rPatron,rConcepto,rTipo,
IF(
AND(
OR(
UPPER(TRIM(rEmisor))=UPPER(TRIM(C1718)),
UPPER(TRIM(rEmisor))=""CUALQUIERA""
),
OR(
UPPER(TRIM(r"&amp;"Tipo))=""SOLO EMISOR"",
AND(
UPPER(TRIM(rTipo))=""EXACTA"",
UPPER(TRIM(D1718))=UPPER(TRIM(rPatron))
),
AND(
OR(
UPPER(TRIM(rTipo))=""CONTIENE"",
UPPER(TRIM(rTipo))=""COINCIDENCIA""
),
ISNUMBER(SEARCH(UPPER(TRIM(rPatron)),UPPER(TRIM(D1718))))
)
)
),
rConce"&amp;"pto,
""""
)
)
)&lt;&gt;""""
),
1
),
""""
)"),"N/A")</f>
        <v>N/A</v>
      </c>
      <c r="L1718" s="27"/>
      <c r="M1718" s="27"/>
      <c r="N1718" s="27"/>
      <c r="O1718" s="27"/>
      <c r="P1718" s="27"/>
      <c r="Q1718" s="27"/>
      <c r="R1718" s="27"/>
      <c r="S1718" s="27"/>
      <c r="T1718" s="27"/>
      <c r="U1718" s="27"/>
      <c r="V1718" s="27"/>
      <c r="W1718" s="27"/>
      <c r="X1718" s="27"/>
      <c r="Y1718" s="27"/>
    </row>
    <row r="1719">
      <c r="A1719" s="32"/>
      <c r="B1719" s="32"/>
      <c r="C1719" s="29" t="s">
        <v>354</v>
      </c>
      <c r="D1719" s="29" t="s">
        <v>1730</v>
      </c>
      <c r="E1719" s="100"/>
      <c r="F1719" s="32"/>
      <c r="G1719" s="28" t="s">
        <v>55</v>
      </c>
      <c r="H1719" s="28">
        <f t="array" ref="H1719">INDEX(CC!C:C,MATCH(1,(CC!A:A=G1719)*(CC!B:B=I1719),0))</f>
        <v>902</v>
      </c>
      <c r="I1719" s="28" t="s">
        <v>25</v>
      </c>
      <c r="J1719" s="33"/>
      <c r="K1719" s="28" t="str">
        <f>IFERROR(__xludf.DUMMYFUNCTION("IFERROR(
INDEX(
FILTER(
MAP(
reglas!$B$2:$B$240,
reglas!$C$2:$C$240,
reglas!$D$2:$D$240,
reglas!$E$2:$E$240,
LAMBDA(rEmisor,rPatron,rConcepto,rTipo,
IF(
AND(
OR(
UPPER(TRIM(rEmisor))=UPPER(TRIM(C1719)),
UPPER(TRIM(rEmisor))=""CUALQUIERA""
),
OR(
UPPER(TRI"&amp;"M(rTipo))=""SOLO EMISOR"",
AND(
UPPER(TRIM(rTipo))=""EXACTA"",
UPPER(TRIM(AG1719))=UPPER(TRIM(rPatron))
),
AND(
OR(
UPPER(TRIM(rTipo))=""CONTIENE"",
UPPER(TRIM(rTipo))=""COINCIDENCIA""
),
ISNUMBER(SEARCH(UPPER(TRIM(rPatron)),UPPER(TRIM(D1719))))
)
)
),
rC"&amp;"oncepto,
""""
)
)
),
MAP(
reglas!$B$2:$B$240,
reglas!$C$2:$C$240,
reglas!$D$2:$D$240,
reglas!$E$2:$E$240,
LAMBDA(rEmisor,rPatron,rConcepto,rTipo,
IF(
AND(
OR(
UPPER(TRIM(rEmisor))=UPPER(TRIM(C1719)),
UPPER(TRIM(rEmisor))=""CUALQUIERA""
),
OR(
UPPER(TRIM(r"&amp;"Tipo))=""SOLO EMISOR"",
AND(
UPPER(TRIM(rTipo))=""EXACTA"",
UPPER(TRIM(D1719))=UPPER(TRIM(rPatron))
),
AND(
OR(
UPPER(TRIM(rTipo))=""CONTIENE"",
UPPER(TRIM(rTipo))=""COINCIDENCIA""
),
ISNUMBER(SEARCH(UPPER(TRIM(rPatron)),UPPER(TRIM(D1719))))
)
)
),
rConce"&amp;"pto,
""""
)
)
)&lt;&gt;""""
),
1
),
""""
)"),"N/A")</f>
        <v>N/A</v>
      </c>
      <c r="L1719" s="27"/>
      <c r="M1719" s="27"/>
      <c r="N1719" s="27"/>
      <c r="O1719" s="27"/>
      <c r="P1719" s="27"/>
      <c r="Q1719" s="27"/>
      <c r="R1719" s="27"/>
      <c r="S1719" s="27"/>
      <c r="T1719" s="27"/>
      <c r="U1719" s="27"/>
      <c r="V1719" s="27"/>
      <c r="W1719" s="27"/>
      <c r="X1719" s="27"/>
      <c r="Y1719" s="27"/>
    </row>
    <row r="1720">
      <c r="A1720" s="32"/>
      <c r="B1720" s="32"/>
      <c r="C1720" s="29" t="s">
        <v>354</v>
      </c>
      <c r="D1720" s="29" t="s">
        <v>1730</v>
      </c>
      <c r="E1720" s="100"/>
      <c r="F1720" s="32"/>
      <c r="G1720" s="28" t="s">
        <v>40</v>
      </c>
      <c r="H1720" s="28">
        <f t="array" ref="H1720">INDEX(CC!C:C,MATCH(1,(CC!A:A=G1720)*(CC!B:B=I1720),0))</f>
        <v>602</v>
      </c>
      <c r="I1720" s="28" t="s">
        <v>25</v>
      </c>
      <c r="J1720" s="33"/>
      <c r="K1720" s="28" t="str">
        <f>IFERROR(__xludf.DUMMYFUNCTION("IFERROR(
INDEX(
FILTER(
MAP(
reglas!$B$2:$B$240,
reglas!$C$2:$C$240,
reglas!$D$2:$D$240,
reglas!$E$2:$E$240,
LAMBDA(rEmisor,rPatron,rConcepto,rTipo,
IF(
AND(
OR(
UPPER(TRIM(rEmisor))=UPPER(TRIM(C1720)),
UPPER(TRIM(rEmisor))=""CUALQUIERA""
),
OR(
UPPER(TRI"&amp;"M(rTipo))=""SOLO EMISOR"",
AND(
UPPER(TRIM(rTipo))=""EXACTA"",
UPPER(TRIM(AG1720))=UPPER(TRIM(rPatron))
),
AND(
OR(
UPPER(TRIM(rTipo))=""CONTIENE"",
UPPER(TRIM(rTipo))=""COINCIDENCIA""
),
ISNUMBER(SEARCH(UPPER(TRIM(rPatron)),UPPER(TRIM(D1720))))
)
)
),
rC"&amp;"oncepto,
""""
)
)
),
MAP(
reglas!$B$2:$B$240,
reglas!$C$2:$C$240,
reglas!$D$2:$D$240,
reglas!$E$2:$E$240,
LAMBDA(rEmisor,rPatron,rConcepto,rTipo,
IF(
AND(
OR(
UPPER(TRIM(rEmisor))=UPPER(TRIM(C1720)),
UPPER(TRIM(rEmisor))=""CUALQUIERA""
),
OR(
UPPER(TRIM(r"&amp;"Tipo))=""SOLO EMISOR"",
AND(
UPPER(TRIM(rTipo))=""EXACTA"",
UPPER(TRIM(D1720))=UPPER(TRIM(rPatron))
),
AND(
OR(
UPPER(TRIM(rTipo))=""CONTIENE"",
UPPER(TRIM(rTipo))=""COINCIDENCIA""
),
ISNUMBER(SEARCH(UPPER(TRIM(rPatron)),UPPER(TRIM(D1720))))
)
)
),
rConce"&amp;"pto,
""""
)
)
)&lt;&gt;""""
),
1
),
""""
)"),"N/A")</f>
        <v>N/A</v>
      </c>
      <c r="L1720" s="27"/>
      <c r="M1720" s="27"/>
      <c r="N1720" s="27"/>
      <c r="O1720" s="27"/>
      <c r="P1720" s="27"/>
      <c r="Q1720" s="27"/>
      <c r="R1720" s="27"/>
      <c r="S1720" s="27"/>
      <c r="T1720" s="27"/>
      <c r="U1720" s="27"/>
      <c r="V1720" s="27"/>
      <c r="W1720" s="27"/>
      <c r="X1720" s="27"/>
      <c r="Y1720" s="27"/>
    </row>
    <row r="1721">
      <c r="A1721" s="32"/>
      <c r="B1721" s="32"/>
      <c r="C1721" s="29" t="s">
        <v>354</v>
      </c>
      <c r="D1721" s="29" t="s">
        <v>1730</v>
      </c>
      <c r="E1721" s="100"/>
      <c r="F1721" s="32"/>
      <c r="G1721" s="28" t="s">
        <v>385</v>
      </c>
      <c r="H1721" s="28">
        <f t="array" ref="H1721">INDEX(CC!C:C,MATCH(1,(CC!A:A=G1721)*(CC!B:B=I1721),0))</f>
        <v>502</v>
      </c>
      <c r="I1721" s="28" t="s">
        <v>25</v>
      </c>
      <c r="J1721" s="33"/>
      <c r="K1721" s="28" t="str">
        <f>IFERROR(__xludf.DUMMYFUNCTION("IFERROR(
INDEX(
FILTER(
MAP(
reglas!$B$2:$B$240,
reglas!$C$2:$C$240,
reglas!$D$2:$D$240,
reglas!$E$2:$E$240,
LAMBDA(rEmisor,rPatron,rConcepto,rTipo,
IF(
AND(
OR(
UPPER(TRIM(rEmisor))=UPPER(TRIM(C1721)),
UPPER(TRIM(rEmisor))=""CUALQUIERA""
),
OR(
UPPER(TRI"&amp;"M(rTipo))=""SOLO EMISOR"",
AND(
UPPER(TRIM(rTipo))=""EXACTA"",
UPPER(TRIM(AG1721))=UPPER(TRIM(rPatron))
),
AND(
OR(
UPPER(TRIM(rTipo))=""CONTIENE"",
UPPER(TRIM(rTipo))=""COINCIDENCIA""
),
ISNUMBER(SEARCH(UPPER(TRIM(rPatron)),UPPER(TRIM(D1721))))
)
)
),
rC"&amp;"oncepto,
""""
)
)
),
MAP(
reglas!$B$2:$B$240,
reglas!$C$2:$C$240,
reglas!$D$2:$D$240,
reglas!$E$2:$E$240,
LAMBDA(rEmisor,rPatron,rConcepto,rTipo,
IF(
AND(
OR(
UPPER(TRIM(rEmisor))=UPPER(TRIM(C1721)),
UPPER(TRIM(rEmisor))=""CUALQUIERA""
),
OR(
UPPER(TRIM(r"&amp;"Tipo))=""SOLO EMISOR"",
AND(
UPPER(TRIM(rTipo))=""EXACTA"",
UPPER(TRIM(D1721))=UPPER(TRIM(rPatron))
),
AND(
OR(
UPPER(TRIM(rTipo))=""CONTIENE"",
UPPER(TRIM(rTipo))=""COINCIDENCIA""
),
ISNUMBER(SEARCH(UPPER(TRIM(rPatron)),UPPER(TRIM(D1721))))
)
)
),
rConce"&amp;"pto,
""""
)
)
)&lt;&gt;""""
),
1
),
""""
)"),"N/A")</f>
        <v>N/A</v>
      </c>
      <c r="L1721" s="27"/>
      <c r="M1721" s="27"/>
      <c r="N1721" s="27"/>
      <c r="O1721" s="27"/>
      <c r="P1721" s="27"/>
      <c r="Q1721" s="27"/>
      <c r="R1721" s="27"/>
      <c r="S1721" s="27"/>
      <c r="T1721" s="27"/>
      <c r="U1721" s="27"/>
      <c r="V1721" s="27"/>
      <c r="W1721" s="27"/>
      <c r="X1721" s="27"/>
      <c r="Y1721" s="27"/>
    </row>
    <row r="1722">
      <c r="A1722" s="28">
        <v>1.0</v>
      </c>
      <c r="B1722" s="28" t="s">
        <v>29</v>
      </c>
      <c r="C1722" s="29" t="s">
        <v>271</v>
      </c>
      <c r="D1722" s="29" t="s">
        <v>585</v>
      </c>
      <c r="E1722" s="28">
        <v>620.28</v>
      </c>
      <c r="F1722" s="28">
        <v>0.0</v>
      </c>
      <c r="G1722" s="28" t="s">
        <v>84</v>
      </c>
      <c r="H1722" s="28">
        <f t="array" ref="H1722">INDEX(CC!C:C,MATCH(1,(CC!A:A=G1722)*(CC!B:B=I1722),0))</f>
        <v>1002</v>
      </c>
      <c r="I1722" s="28" t="s">
        <v>25</v>
      </c>
      <c r="J1722" s="31">
        <v>620.28</v>
      </c>
      <c r="K1722" s="28" t="str">
        <f>IFERROR(__xludf.DUMMYFUNCTION("IFERROR(
INDEX(
FILTER(
MAP(
reglas!$B$2:$B$240,
reglas!$C$2:$C$240,
reglas!$D$2:$D$240,
reglas!$E$2:$E$240,
LAMBDA(rEmisor,rPatron,rConcepto,rTipo,
IF(
AND(
OR(
UPPER(TRIM(rEmisor))=UPPER(TRIM(C1722)),
UPPER(TRIM(rEmisor))=""CUALQUIERA""
),
OR(
UPPER(TRI"&amp;"M(rTipo))=""SOLO EMISOR"",
AND(
UPPER(TRIM(rTipo))=""EXACTA"",
UPPER(TRIM(AG1722))=UPPER(TRIM(rPatron))
),
AND(
OR(
UPPER(TRIM(rTipo))=""CONTIENE"",
UPPER(TRIM(rTipo))=""COINCIDENCIA""
),
ISNUMBER(SEARCH(UPPER(TRIM(rPatron)),UPPER(TRIM(D1722))))
)
)
),
rC"&amp;"oncepto,
""""
)
)
),
MAP(
reglas!$B$2:$B$240,
reglas!$C$2:$C$240,
reglas!$D$2:$D$240,
reglas!$E$2:$E$240,
LAMBDA(rEmisor,rPatron,rConcepto,rTipo,
IF(
AND(
OR(
UPPER(TRIM(rEmisor))=UPPER(TRIM(C1722)),
UPPER(TRIM(rEmisor))=""CUALQUIERA""
),
OR(
UPPER(TRIM(r"&amp;"Tipo))=""SOLO EMISOR"",
AND(
UPPER(TRIM(rTipo))=""EXACTA"",
UPPER(TRIM(D1722))=UPPER(TRIM(rPatron))
),
AND(
OR(
UPPER(TRIM(rTipo))=""CONTIENE"",
UPPER(TRIM(rTipo))=""COINCIDENCIA""
),
ISNUMBER(SEARCH(UPPER(TRIM(rPatron)),UPPER(TRIM(D1722))))
)
)
),
rConce"&amp;"pto,
""""
)
)
)&lt;&gt;""""
),
1
),
""""
)"),"MANIOBRAS")</f>
        <v>MANIOBRAS</v>
      </c>
      <c r="L1722" s="27"/>
      <c r="M1722" s="27"/>
      <c r="N1722" s="27"/>
      <c r="O1722" s="27"/>
      <c r="P1722" s="27"/>
      <c r="Q1722" s="27"/>
      <c r="R1722" s="27"/>
      <c r="S1722" s="27"/>
      <c r="T1722" s="27"/>
      <c r="U1722" s="27"/>
      <c r="V1722" s="27"/>
      <c r="W1722" s="27"/>
      <c r="X1722" s="27"/>
      <c r="Y1722" s="27"/>
    </row>
    <row r="1723">
      <c r="A1723" s="32"/>
      <c r="B1723" s="32"/>
      <c r="C1723" s="29" t="s">
        <v>271</v>
      </c>
      <c r="D1723" s="29" t="s">
        <v>587</v>
      </c>
      <c r="E1723" s="28">
        <v>567.51</v>
      </c>
      <c r="F1723" s="28">
        <v>0.0</v>
      </c>
      <c r="G1723" s="28" t="s">
        <v>84</v>
      </c>
      <c r="H1723" s="28">
        <f t="array" ref="H1723">INDEX(CC!C:C,MATCH(1,(CC!A:A=G1723)*(CC!B:B=I1723),0))</f>
        <v>1002</v>
      </c>
      <c r="I1723" s="28" t="s">
        <v>25</v>
      </c>
      <c r="J1723" s="31">
        <v>567.51</v>
      </c>
      <c r="K1723" s="28" t="str">
        <f>IFERROR(__xludf.DUMMYFUNCTION("IFERROR(
INDEX(
FILTER(
MAP(
reglas!$B$2:$B$240,
reglas!$C$2:$C$240,
reglas!$D$2:$D$240,
reglas!$E$2:$E$240,
LAMBDA(rEmisor,rPatron,rConcepto,rTipo,
IF(
AND(
OR(
UPPER(TRIM(rEmisor))=UPPER(TRIM(C1723)),
UPPER(TRIM(rEmisor))=""CUALQUIERA""
),
OR(
UPPER(TRI"&amp;"M(rTipo))=""SOLO EMISOR"",
AND(
UPPER(TRIM(rTipo))=""EXACTA"",
UPPER(TRIM(AG1723))=UPPER(TRIM(rPatron))
),
AND(
OR(
UPPER(TRIM(rTipo))=""CONTIENE"",
UPPER(TRIM(rTipo))=""COINCIDENCIA""
),
ISNUMBER(SEARCH(UPPER(TRIM(rPatron)),UPPER(TRIM(D1723))))
)
)
),
rC"&amp;"oncepto,
""""
)
)
),
MAP(
reglas!$B$2:$B$240,
reglas!$C$2:$C$240,
reglas!$D$2:$D$240,
reglas!$E$2:$E$240,
LAMBDA(rEmisor,rPatron,rConcepto,rTipo,
IF(
AND(
OR(
UPPER(TRIM(rEmisor))=UPPER(TRIM(C1723)),
UPPER(TRIM(rEmisor))=""CUALQUIERA""
),
OR(
UPPER(TRIM(r"&amp;"Tipo))=""SOLO EMISOR"",
AND(
UPPER(TRIM(rTipo))=""EXACTA"",
UPPER(TRIM(D1723))=UPPER(TRIM(rPatron))
),
AND(
OR(
UPPER(TRIM(rTipo))=""CONTIENE"",
UPPER(TRIM(rTipo))=""COINCIDENCIA""
),
ISNUMBER(SEARCH(UPPER(TRIM(rPatron)),UPPER(TRIM(D1723))))
)
)
),
rConce"&amp;"pto,
""""
)
)
)&lt;&gt;""""
),
1
),
""""
)"),"MANIOBRAS")</f>
        <v>MANIOBRAS</v>
      </c>
      <c r="L1723" s="27"/>
      <c r="M1723" s="27"/>
      <c r="N1723" s="27"/>
      <c r="O1723" s="27"/>
      <c r="P1723" s="27"/>
      <c r="Q1723" s="27"/>
      <c r="R1723" s="27"/>
      <c r="S1723" s="27"/>
      <c r="T1723" s="27"/>
      <c r="U1723" s="27"/>
      <c r="V1723" s="27"/>
      <c r="W1723" s="27"/>
      <c r="X1723" s="27"/>
      <c r="Y1723" s="27"/>
    </row>
    <row r="1724">
      <c r="A1724" s="32"/>
      <c r="B1724" s="32"/>
      <c r="C1724" s="29" t="s">
        <v>271</v>
      </c>
      <c r="D1724" s="29" t="s">
        <v>589</v>
      </c>
      <c r="E1724" s="28">
        <v>620.62</v>
      </c>
      <c r="F1724" s="28">
        <v>0.0</v>
      </c>
      <c r="G1724" s="28" t="s">
        <v>84</v>
      </c>
      <c r="H1724" s="28">
        <f t="array" ref="H1724">INDEX(CC!C:C,MATCH(1,(CC!A:A=G1724)*(CC!B:B=I1724),0))</f>
        <v>1002</v>
      </c>
      <c r="I1724" s="28" t="s">
        <v>25</v>
      </c>
      <c r="J1724" s="31">
        <v>620.62</v>
      </c>
      <c r="K1724" s="28" t="str">
        <f>IFERROR(__xludf.DUMMYFUNCTION("IFERROR(
INDEX(
FILTER(
MAP(
reglas!$B$2:$B$240,
reglas!$C$2:$C$240,
reglas!$D$2:$D$240,
reglas!$E$2:$E$240,
LAMBDA(rEmisor,rPatron,rConcepto,rTipo,
IF(
AND(
OR(
UPPER(TRIM(rEmisor))=UPPER(TRIM(C1724)),
UPPER(TRIM(rEmisor))=""CUALQUIERA""
),
OR(
UPPER(TRI"&amp;"M(rTipo))=""SOLO EMISOR"",
AND(
UPPER(TRIM(rTipo))=""EXACTA"",
UPPER(TRIM(AG1724))=UPPER(TRIM(rPatron))
),
AND(
OR(
UPPER(TRIM(rTipo))=""CONTIENE"",
UPPER(TRIM(rTipo))=""COINCIDENCIA""
),
ISNUMBER(SEARCH(UPPER(TRIM(rPatron)),UPPER(TRIM(D1724))))
)
)
),
rC"&amp;"oncepto,
""""
)
)
),
MAP(
reglas!$B$2:$B$240,
reglas!$C$2:$C$240,
reglas!$D$2:$D$240,
reglas!$E$2:$E$240,
LAMBDA(rEmisor,rPatron,rConcepto,rTipo,
IF(
AND(
OR(
UPPER(TRIM(rEmisor))=UPPER(TRIM(C1724)),
UPPER(TRIM(rEmisor))=""CUALQUIERA""
),
OR(
UPPER(TRIM(r"&amp;"Tipo))=""SOLO EMISOR"",
AND(
UPPER(TRIM(rTipo))=""EXACTA"",
UPPER(TRIM(D1724))=UPPER(TRIM(rPatron))
),
AND(
OR(
UPPER(TRIM(rTipo))=""CONTIENE"",
UPPER(TRIM(rTipo))=""COINCIDENCIA""
),
ISNUMBER(SEARCH(UPPER(TRIM(rPatron)),UPPER(TRIM(D1724))))
)
)
),
rConce"&amp;"pto,
""""
)
)
)&lt;&gt;""""
),
1
),
""""
)"),"MANIOBRAS")</f>
        <v>MANIOBRAS</v>
      </c>
      <c r="L1724" s="27"/>
      <c r="M1724" s="27"/>
      <c r="N1724" s="27"/>
      <c r="O1724" s="27"/>
      <c r="P1724" s="27"/>
      <c r="Q1724" s="27"/>
      <c r="R1724" s="27"/>
      <c r="S1724" s="27"/>
      <c r="T1724" s="27"/>
      <c r="U1724" s="27"/>
      <c r="V1724" s="27"/>
      <c r="W1724" s="27"/>
      <c r="X1724" s="27"/>
      <c r="Y1724" s="27"/>
    </row>
    <row r="1725">
      <c r="A1725" s="32"/>
      <c r="B1725" s="32"/>
      <c r="C1725" s="29" t="s">
        <v>271</v>
      </c>
      <c r="D1725" s="29" t="s">
        <v>596</v>
      </c>
      <c r="E1725" s="28">
        <v>651.16</v>
      </c>
      <c r="F1725" s="28">
        <v>0.0</v>
      </c>
      <c r="G1725" s="28" t="s">
        <v>84</v>
      </c>
      <c r="H1725" s="28">
        <f t="array" ref="H1725">INDEX(CC!C:C,MATCH(1,(CC!A:A=G1725)*(CC!B:B=I1725),0))</f>
        <v>1002</v>
      </c>
      <c r="I1725" s="28" t="s">
        <v>25</v>
      </c>
      <c r="J1725" s="31">
        <v>651.16</v>
      </c>
      <c r="K1725" s="28" t="str">
        <f>IFERROR(__xludf.DUMMYFUNCTION("IFERROR(
INDEX(
FILTER(
MAP(
reglas!$B$2:$B$240,
reglas!$C$2:$C$240,
reglas!$D$2:$D$240,
reglas!$E$2:$E$240,
LAMBDA(rEmisor,rPatron,rConcepto,rTipo,
IF(
AND(
OR(
UPPER(TRIM(rEmisor))=UPPER(TRIM(C1725)),
UPPER(TRIM(rEmisor))=""CUALQUIERA""
),
OR(
UPPER(TRI"&amp;"M(rTipo))=""SOLO EMISOR"",
AND(
UPPER(TRIM(rTipo))=""EXACTA"",
UPPER(TRIM(AG1725))=UPPER(TRIM(rPatron))
),
AND(
OR(
UPPER(TRIM(rTipo))=""CONTIENE"",
UPPER(TRIM(rTipo))=""COINCIDENCIA""
),
ISNUMBER(SEARCH(UPPER(TRIM(rPatron)),UPPER(TRIM(D1725))))
)
)
),
rC"&amp;"oncepto,
""""
)
)
),
MAP(
reglas!$B$2:$B$240,
reglas!$C$2:$C$240,
reglas!$D$2:$D$240,
reglas!$E$2:$E$240,
LAMBDA(rEmisor,rPatron,rConcepto,rTipo,
IF(
AND(
OR(
UPPER(TRIM(rEmisor))=UPPER(TRIM(C1725)),
UPPER(TRIM(rEmisor))=""CUALQUIERA""
),
OR(
UPPER(TRIM(r"&amp;"Tipo))=""SOLO EMISOR"",
AND(
UPPER(TRIM(rTipo))=""EXACTA"",
UPPER(TRIM(D1725))=UPPER(TRIM(rPatron))
),
AND(
OR(
UPPER(TRIM(rTipo))=""CONTIENE"",
UPPER(TRIM(rTipo))=""COINCIDENCIA""
),
ISNUMBER(SEARCH(UPPER(TRIM(rPatron)),UPPER(TRIM(D1725))))
)
)
),
rConce"&amp;"pto,
""""
)
)
)&lt;&gt;""""
),
1
),
""""
)"),"MANIOBRAS")</f>
        <v>MANIOBRAS</v>
      </c>
      <c r="L1725" s="27"/>
      <c r="M1725" s="27"/>
      <c r="N1725" s="27"/>
      <c r="O1725" s="27"/>
      <c r="P1725" s="27"/>
      <c r="Q1725" s="27"/>
      <c r="R1725" s="27"/>
      <c r="S1725" s="27"/>
      <c r="T1725" s="27"/>
      <c r="U1725" s="27"/>
      <c r="V1725" s="27"/>
      <c r="W1725" s="27"/>
      <c r="X1725" s="27"/>
      <c r="Y1725" s="27"/>
    </row>
    <row r="1726">
      <c r="A1726" s="32"/>
      <c r="B1726" s="28" t="s">
        <v>29</v>
      </c>
      <c r="C1726" s="29" t="s">
        <v>172</v>
      </c>
      <c r="D1726" s="29" t="s">
        <v>1853</v>
      </c>
      <c r="E1726" s="30">
        <v>14000.0</v>
      </c>
      <c r="F1726" s="28">
        <v>0.0</v>
      </c>
      <c r="G1726" s="99" t="s">
        <v>250</v>
      </c>
      <c r="H1726" s="28">
        <f t="array" ref="H1726">INDEX(CC!C:C,MATCH(1,(CC!A:A=G1726)*(CC!B:B=I1726),0))</f>
        <v>1402</v>
      </c>
      <c r="I1726" s="99" t="s">
        <v>25</v>
      </c>
      <c r="J1726" s="31">
        <v>14000.0</v>
      </c>
      <c r="K1726" s="28" t="str">
        <f>IFERROR(__xludf.DUMMYFUNCTION("IFERROR(
INDEX(
FILTER(
MAP(
reglas!$B$2:$B$240,
reglas!$C$2:$C$240,
reglas!$D$2:$D$240,
reglas!$E$2:$E$240,
LAMBDA(rEmisor,rPatron,rConcepto,rTipo,
IF(
AND(
OR(
UPPER(TRIM(rEmisor))=UPPER(TRIM(C1726)),
UPPER(TRIM(rEmisor))=""CUALQUIERA""
),
OR(
UPPER(TRI"&amp;"M(rTipo))=""SOLO EMISOR"",
AND(
UPPER(TRIM(rTipo))=""EXACTA"",
UPPER(TRIM(AG1726))=UPPER(TRIM(rPatron))
),
AND(
OR(
UPPER(TRIM(rTipo))=""CONTIENE"",
UPPER(TRIM(rTipo))=""COINCIDENCIA""
),
ISNUMBER(SEARCH(UPPER(TRIM(rPatron)),UPPER(TRIM(D1726))))
)
)
),
rC"&amp;"oncepto,
""""
)
)
),
MAP(
reglas!$B$2:$B$240,
reglas!$C$2:$C$240,
reglas!$D$2:$D$240,
reglas!$E$2:$E$240,
LAMBDA(rEmisor,rPatron,rConcepto,rTipo,
IF(
AND(
OR(
UPPER(TRIM(rEmisor))=UPPER(TRIM(C1726)),
UPPER(TRIM(rEmisor))=""CUALQUIERA""
),
OR(
UPPER(TRIM(r"&amp;"Tipo))=""SOLO EMISOR"",
AND(
UPPER(TRIM(rTipo))=""EXACTA"",
UPPER(TRIM(D1726))=UPPER(TRIM(rPatron))
),
AND(
OR(
UPPER(TRIM(rTipo))=""CONTIENE"",
UPPER(TRIM(rTipo))=""COINCIDENCIA""
),
ISNUMBER(SEARCH(UPPER(TRIM(rPatron)),UPPER(TRIM(D1726))))
)
)
),
rConce"&amp;"pto,
""""
)
)
)&lt;&gt;""""
),
1
),
""""
)"),"TRANSPORTE")</f>
        <v>TRANSPORTE</v>
      </c>
      <c r="L1726" s="27"/>
      <c r="M1726" s="27"/>
      <c r="N1726" s="27"/>
      <c r="O1726" s="27"/>
      <c r="P1726" s="27"/>
      <c r="Q1726" s="27"/>
      <c r="R1726" s="27"/>
      <c r="S1726" s="27"/>
      <c r="T1726" s="27"/>
      <c r="U1726" s="27"/>
      <c r="V1726" s="27"/>
      <c r="W1726" s="27"/>
      <c r="X1726" s="27"/>
      <c r="Y1726" s="27"/>
    </row>
    <row r="1727">
      <c r="A1727" s="32"/>
      <c r="B1727" s="28" t="s">
        <v>29</v>
      </c>
      <c r="C1727" s="29" t="s">
        <v>331</v>
      </c>
      <c r="D1727" s="29" t="s">
        <v>33</v>
      </c>
      <c r="E1727" s="28">
        <v>0.01</v>
      </c>
      <c r="F1727" s="28">
        <v>0.0</v>
      </c>
      <c r="G1727" s="99" t="s">
        <v>385</v>
      </c>
      <c r="H1727" s="28">
        <f t="array" ref="H1727">INDEX(CC!C:C,MATCH(1,(CC!A:A=G1727)*(CC!B:B=I1727),0))</f>
        <v>502</v>
      </c>
      <c r="I1727" s="99" t="s">
        <v>25</v>
      </c>
      <c r="J1727" s="31">
        <v>0.01</v>
      </c>
      <c r="K1727" s="28" t="str">
        <f>IFERROR(__xludf.DUMMYFUNCTION("IFERROR(
INDEX(
FILTER(
MAP(
reglas!$B$2:$B$240,
reglas!$C$2:$C$240,
reglas!$D$2:$D$240,
reglas!$E$2:$E$240,
LAMBDA(rEmisor,rPatron,rConcepto,rTipo,
IF(
AND(
OR(
UPPER(TRIM(rEmisor))=UPPER(TRIM(C1727)),
UPPER(TRIM(rEmisor))=""CUALQUIERA""
),
OR(
UPPER(TRI"&amp;"M(rTipo))=""SOLO EMISOR"",
AND(
UPPER(TRIM(rTipo))=""EXACTA"",
UPPER(TRIM(AG1727))=UPPER(TRIM(rPatron))
),
AND(
OR(
UPPER(TRIM(rTipo))=""CONTIENE"",
UPPER(TRIM(rTipo))=""COINCIDENCIA""
),
ISNUMBER(SEARCH(UPPER(TRIM(rPatron)),UPPER(TRIM(D1727))))
)
)
),
rC"&amp;"oncepto,
""""
)
)
),
MAP(
reglas!$B$2:$B$240,
reglas!$C$2:$C$240,
reglas!$D$2:$D$240,
reglas!$E$2:$E$240,
LAMBDA(rEmisor,rPatron,rConcepto,rTipo,
IF(
AND(
OR(
UPPER(TRIM(rEmisor))=UPPER(TRIM(C1727)),
UPPER(TRIM(rEmisor))=""CUALQUIERA""
),
OR(
UPPER(TRIM(r"&amp;"Tipo))=""SOLO EMISOR"",
AND(
UPPER(TRIM(rTipo))=""EXACTA"",
UPPER(TRIM(D1727))=UPPER(TRIM(rPatron))
),
AND(
OR(
UPPER(TRIM(rTipo))=""CONTIENE"",
UPPER(TRIM(rTipo))=""COINCIDENCIA""
),
ISNUMBER(SEARCH(UPPER(TRIM(rPatron)),UPPER(TRIM(D1727))))
)
)
),
rConce"&amp;"pto,
""""
)
)
)&lt;&gt;""""
),
1
),
""""
)"),"N/A")</f>
        <v>N/A</v>
      </c>
      <c r="L1727" s="27"/>
      <c r="M1727" s="27"/>
      <c r="N1727" s="27"/>
      <c r="O1727" s="27"/>
      <c r="P1727" s="27"/>
      <c r="Q1727" s="27"/>
      <c r="R1727" s="27"/>
      <c r="S1727" s="27"/>
      <c r="T1727" s="27"/>
      <c r="U1727" s="27"/>
      <c r="V1727" s="27"/>
      <c r="W1727" s="27"/>
      <c r="X1727" s="27"/>
      <c r="Y1727" s="27"/>
    </row>
    <row r="1728">
      <c r="A1728" s="28">
        <v>1.0</v>
      </c>
      <c r="B1728" s="28" t="s">
        <v>29</v>
      </c>
      <c r="C1728" s="29" t="s">
        <v>499</v>
      </c>
      <c r="D1728" s="29" t="s">
        <v>1972</v>
      </c>
      <c r="E1728" s="28">
        <v>352.96</v>
      </c>
      <c r="F1728" s="28">
        <v>0.0</v>
      </c>
      <c r="G1728" s="99" t="s">
        <v>225</v>
      </c>
      <c r="H1728" s="28">
        <f t="array" ref="H1728">INDEX(CC!C:C,MATCH(1,(CC!A:A=G1728)*(CC!B:B=I1728),0))</f>
        <v>102</v>
      </c>
      <c r="I1728" s="99" t="s">
        <v>25</v>
      </c>
      <c r="J1728" s="31">
        <v>352.96</v>
      </c>
      <c r="K1728" s="28" t="str">
        <f>IFERROR(__xludf.DUMMYFUNCTION("IFERROR(
INDEX(
FILTER(
MAP(
reglas!$B$2:$B$240,
reglas!$C$2:$C$240,
reglas!$D$2:$D$240,
reglas!$E$2:$E$240,
LAMBDA(rEmisor,rPatron,rConcepto,rTipo,
IF(
AND(
OR(
UPPER(TRIM(rEmisor))=UPPER(TRIM(C1728)),
UPPER(TRIM(rEmisor))=""CUALQUIERA""
),
OR(
UPPER(TRI"&amp;"M(rTipo))=""SOLO EMISOR"",
AND(
UPPER(TRIM(rTipo))=""EXACTA"",
UPPER(TRIM(AG1728))=UPPER(TRIM(rPatron))
),
AND(
OR(
UPPER(TRIM(rTipo))=""CONTIENE"",
UPPER(TRIM(rTipo))=""COINCIDENCIA""
),
ISNUMBER(SEARCH(UPPER(TRIM(rPatron)),UPPER(TRIM(D1728))))
)
)
),
rC"&amp;"oncepto,
""""
)
)
),
MAP(
reglas!$B$2:$B$240,
reglas!$C$2:$C$240,
reglas!$D$2:$D$240,
reglas!$E$2:$E$240,
LAMBDA(rEmisor,rPatron,rConcepto,rTipo,
IF(
AND(
OR(
UPPER(TRIM(rEmisor))=UPPER(TRIM(C1728)),
UPPER(TRIM(rEmisor))=""CUALQUIERA""
),
OR(
UPPER(TRIM(r"&amp;"Tipo))=""SOLO EMISOR"",
AND(
UPPER(TRIM(rTipo))=""EXACTA"",
UPPER(TRIM(D1728))=UPPER(TRIM(rPatron))
),
AND(
OR(
UPPER(TRIM(rTipo))=""CONTIENE"",
UPPER(TRIM(rTipo))=""COINCIDENCIA""
),
ISNUMBER(SEARCH(UPPER(TRIM(rPatron)),UPPER(TRIM(D1728))))
)
)
),
rConce"&amp;"pto,
""""
)
)
)&lt;&gt;""""
),
1
),
""""
)"),"COMBUSTIBLES Y LUBRICANTES")</f>
        <v>COMBUSTIBLES Y LUBRICANTES</v>
      </c>
      <c r="L1728" s="27"/>
      <c r="M1728" s="27"/>
      <c r="N1728" s="27"/>
      <c r="O1728" s="27"/>
      <c r="P1728" s="27"/>
      <c r="Q1728" s="27"/>
      <c r="R1728" s="27"/>
      <c r="S1728" s="27"/>
      <c r="T1728" s="27"/>
      <c r="U1728" s="27"/>
      <c r="V1728" s="27"/>
      <c r="W1728" s="27"/>
      <c r="X1728" s="27"/>
      <c r="Y1728" s="27"/>
    </row>
    <row r="1729">
      <c r="A1729" s="32"/>
      <c r="B1729" s="28" t="s">
        <v>29</v>
      </c>
      <c r="C1729" s="29" t="s">
        <v>278</v>
      </c>
      <c r="D1729" s="29" t="s">
        <v>560</v>
      </c>
      <c r="E1729" s="30">
        <v>3500.0</v>
      </c>
      <c r="F1729" s="28">
        <v>0.0</v>
      </c>
      <c r="G1729" s="99" t="s">
        <v>250</v>
      </c>
      <c r="H1729" s="28">
        <f t="array" ref="H1729">INDEX(CC!C:C,MATCH(1,(CC!A:A=G1729)*(CC!B:B=I1729),0))</f>
        <v>1402</v>
      </c>
      <c r="I1729" s="99" t="s">
        <v>25</v>
      </c>
      <c r="J1729" s="31">
        <v>3500.0</v>
      </c>
      <c r="K1729" s="28" t="str">
        <f>IFERROR(__xludf.DUMMYFUNCTION("IFERROR(
INDEX(
FILTER(
MAP(
reglas!$B$2:$B$240,
reglas!$C$2:$C$240,
reglas!$D$2:$D$240,
reglas!$E$2:$E$240,
LAMBDA(rEmisor,rPatron,rConcepto,rTipo,
IF(
AND(
OR(
UPPER(TRIM(rEmisor))=UPPER(TRIM(C1729)),
UPPER(TRIM(rEmisor))=""CUALQUIERA""
),
OR(
UPPER(TRI"&amp;"M(rTipo))=""SOLO EMISOR"",
AND(
UPPER(TRIM(rTipo))=""EXACTA"",
UPPER(TRIM(AG1729))=UPPER(TRIM(rPatron))
),
AND(
OR(
UPPER(TRIM(rTipo))=""CONTIENE"",
UPPER(TRIM(rTipo))=""COINCIDENCIA""
),
ISNUMBER(SEARCH(UPPER(TRIM(rPatron)),UPPER(TRIM(D1729))))
)
)
),
rC"&amp;"oncepto,
""""
)
)
),
MAP(
reglas!$B$2:$B$240,
reglas!$C$2:$C$240,
reglas!$D$2:$D$240,
reglas!$E$2:$E$240,
LAMBDA(rEmisor,rPatron,rConcepto,rTipo,
IF(
AND(
OR(
UPPER(TRIM(rEmisor))=UPPER(TRIM(C1729)),
UPPER(TRIM(rEmisor))=""CUALQUIERA""
),
OR(
UPPER(TRIM(r"&amp;"Tipo))=""SOLO EMISOR"",
AND(
UPPER(TRIM(rTipo))=""EXACTA"",
UPPER(TRIM(D1729))=UPPER(TRIM(rPatron))
),
AND(
OR(
UPPER(TRIM(rTipo))=""CONTIENE"",
UPPER(TRIM(rTipo))=""COINCIDENCIA""
),
ISNUMBER(SEARCH(UPPER(TRIM(rPatron)),UPPER(TRIM(D1729))))
)
)
),
rConce"&amp;"pto,
""""
)
)
)&lt;&gt;""""
),
1
),
""""
)"),"MANIOBRAS")</f>
        <v>MANIOBRAS</v>
      </c>
      <c r="L1729" s="27"/>
      <c r="M1729" s="27"/>
      <c r="N1729" s="27"/>
      <c r="O1729" s="27"/>
      <c r="P1729" s="27"/>
      <c r="Q1729" s="27"/>
      <c r="R1729" s="27"/>
      <c r="S1729" s="27"/>
      <c r="T1729" s="27"/>
      <c r="U1729" s="27"/>
      <c r="V1729" s="27"/>
      <c r="W1729" s="27"/>
      <c r="X1729" s="27"/>
      <c r="Y1729" s="27"/>
    </row>
    <row r="1730">
      <c r="A1730" s="32"/>
      <c r="B1730" s="28" t="s">
        <v>29</v>
      </c>
      <c r="C1730" s="29" t="s">
        <v>172</v>
      </c>
      <c r="D1730" s="29" t="s">
        <v>1973</v>
      </c>
      <c r="E1730" s="30">
        <v>11500.0</v>
      </c>
      <c r="F1730" s="28">
        <v>0.0</v>
      </c>
      <c r="G1730" s="99" t="s">
        <v>250</v>
      </c>
      <c r="H1730" s="28">
        <f t="array" ref="H1730">INDEX(CC!C:C,MATCH(1,(CC!A:A=G1730)*(CC!B:B=I1730),0))</f>
        <v>1402</v>
      </c>
      <c r="I1730" s="99" t="s">
        <v>25</v>
      </c>
      <c r="J1730" s="31">
        <v>11500.0</v>
      </c>
      <c r="K1730" s="28" t="str">
        <f>IFERROR(__xludf.DUMMYFUNCTION("IFERROR(
INDEX(
FILTER(
MAP(
reglas!$B$2:$B$240,
reglas!$C$2:$C$240,
reglas!$D$2:$D$240,
reglas!$E$2:$E$240,
LAMBDA(rEmisor,rPatron,rConcepto,rTipo,
IF(
AND(
OR(
UPPER(TRIM(rEmisor))=UPPER(TRIM(C1730)),
UPPER(TRIM(rEmisor))=""CUALQUIERA""
),
OR(
UPPER(TRI"&amp;"M(rTipo))=""SOLO EMISOR"",
AND(
UPPER(TRIM(rTipo))=""EXACTA"",
UPPER(TRIM(AG1730))=UPPER(TRIM(rPatron))
),
AND(
OR(
UPPER(TRIM(rTipo))=""CONTIENE"",
UPPER(TRIM(rTipo))=""COINCIDENCIA""
),
ISNUMBER(SEARCH(UPPER(TRIM(rPatron)),UPPER(TRIM(D1730))))
)
)
),
rC"&amp;"oncepto,
""""
)
)
),
MAP(
reglas!$B$2:$B$240,
reglas!$C$2:$C$240,
reglas!$D$2:$D$240,
reglas!$E$2:$E$240,
LAMBDA(rEmisor,rPatron,rConcepto,rTipo,
IF(
AND(
OR(
UPPER(TRIM(rEmisor))=UPPER(TRIM(C1730)),
UPPER(TRIM(rEmisor))=""CUALQUIERA""
),
OR(
UPPER(TRIM(r"&amp;"Tipo))=""SOLO EMISOR"",
AND(
UPPER(TRIM(rTipo))=""EXACTA"",
UPPER(TRIM(D1730))=UPPER(TRIM(rPatron))
),
AND(
OR(
UPPER(TRIM(rTipo))=""CONTIENE"",
UPPER(TRIM(rTipo))=""COINCIDENCIA""
),
ISNUMBER(SEARCH(UPPER(TRIM(rPatron)),UPPER(TRIM(D1730))))
)
)
),
rConce"&amp;"pto,
""""
)
)
)&lt;&gt;""""
),
1
),
""""
)"),"TRANSPORTE")</f>
        <v>TRANSPORTE</v>
      </c>
      <c r="L1730" s="27"/>
      <c r="M1730" s="27"/>
      <c r="N1730" s="27"/>
      <c r="O1730" s="27"/>
      <c r="P1730" s="27"/>
      <c r="Q1730" s="27"/>
      <c r="R1730" s="27"/>
      <c r="S1730" s="27"/>
      <c r="T1730" s="27"/>
      <c r="U1730" s="27"/>
      <c r="V1730" s="27"/>
      <c r="W1730" s="27"/>
      <c r="X1730" s="27"/>
      <c r="Y1730" s="27"/>
    </row>
    <row r="1731">
      <c r="A1731" s="28">
        <v>1.0</v>
      </c>
      <c r="B1731" s="28" t="s">
        <v>29</v>
      </c>
      <c r="C1731" s="29" t="s">
        <v>271</v>
      </c>
      <c r="D1731" s="29" t="s">
        <v>585</v>
      </c>
      <c r="E1731" s="28">
        <v>620.28</v>
      </c>
      <c r="F1731" s="28">
        <v>0.0</v>
      </c>
      <c r="G1731" s="99" t="s">
        <v>84</v>
      </c>
      <c r="H1731" s="28">
        <f t="array" ref="H1731">INDEX(CC!C:C,MATCH(1,(CC!A:A=G1731)*(CC!B:B=I1731),0))</f>
        <v>1002</v>
      </c>
      <c r="I1731" s="99" t="s">
        <v>25</v>
      </c>
      <c r="J1731" s="31">
        <v>620.28</v>
      </c>
      <c r="K1731" s="28" t="str">
        <f>IFERROR(__xludf.DUMMYFUNCTION("IFERROR(
INDEX(
FILTER(
MAP(
reglas!$B$2:$B$240,
reglas!$C$2:$C$240,
reglas!$D$2:$D$240,
reglas!$E$2:$E$240,
LAMBDA(rEmisor,rPatron,rConcepto,rTipo,
IF(
AND(
OR(
UPPER(TRIM(rEmisor))=UPPER(TRIM(C1731)),
UPPER(TRIM(rEmisor))=""CUALQUIERA""
),
OR(
UPPER(TRI"&amp;"M(rTipo))=""SOLO EMISOR"",
AND(
UPPER(TRIM(rTipo))=""EXACTA"",
UPPER(TRIM(AG1731))=UPPER(TRIM(rPatron))
),
AND(
OR(
UPPER(TRIM(rTipo))=""CONTIENE"",
UPPER(TRIM(rTipo))=""COINCIDENCIA""
),
ISNUMBER(SEARCH(UPPER(TRIM(rPatron)),UPPER(TRIM(D1731))))
)
)
),
rC"&amp;"oncepto,
""""
)
)
),
MAP(
reglas!$B$2:$B$240,
reglas!$C$2:$C$240,
reglas!$D$2:$D$240,
reglas!$E$2:$E$240,
LAMBDA(rEmisor,rPatron,rConcepto,rTipo,
IF(
AND(
OR(
UPPER(TRIM(rEmisor))=UPPER(TRIM(C1731)),
UPPER(TRIM(rEmisor))=""CUALQUIERA""
),
OR(
UPPER(TRIM(r"&amp;"Tipo))=""SOLO EMISOR"",
AND(
UPPER(TRIM(rTipo))=""EXACTA"",
UPPER(TRIM(D1731))=UPPER(TRIM(rPatron))
),
AND(
OR(
UPPER(TRIM(rTipo))=""CONTIENE"",
UPPER(TRIM(rTipo))=""COINCIDENCIA""
),
ISNUMBER(SEARCH(UPPER(TRIM(rPatron)),UPPER(TRIM(D1731))))
)
)
),
rConce"&amp;"pto,
""""
)
)
)&lt;&gt;""""
),
1
),
""""
)"),"MANIOBRAS")</f>
        <v>MANIOBRAS</v>
      </c>
      <c r="L1731" s="27"/>
      <c r="M1731" s="27"/>
      <c r="N1731" s="27"/>
      <c r="O1731" s="27"/>
      <c r="P1731" s="27"/>
      <c r="Q1731" s="27"/>
      <c r="R1731" s="27"/>
      <c r="S1731" s="27"/>
      <c r="T1731" s="27"/>
      <c r="U1731" s="27"/>
      <c r="V1731" s="27"/>
      <c r="W1731" s="27"/>
      <c r="X1731" s="27"/>
      <c r="Y1731" s="27"/>
    </row>
    <row r="1732">
      <c r="A1732" s="32"/>
      <c r="B1732" s="32"/>
      <c r="C1732" s="29" t="s">
        <v>271</v>
      </c>
      <c r="D1732" s="29" t="s">
        <v>587</v>
      </c>
      <c r="E1732" s="28">
        <v>567.51</v>
      </c>
      <c r="F1732" s="28">
        <v>0.0</v>
      </c>
      <c r="G1732" s="99" t="s">
        <v>84</v>
      </c>
      <c r="H1732" s="28">
        <f t="array" ref="H1732">INDEX(CC!C:C,MATCH(1,(CC!A:A=G1732)*(CC!B:B=I1732),0))</f>
        <v>1002</v>
      </c>
      <c r="I1732" s="99" t="s">
        <v>25</v>
      </c>
      <c r="J1732" s="31">
        <v>567.51</v>
      </c>
      <c r="K1732" s="28" t="str">
        <f>IFERROR(__xludf.DUMMYFUNCTION("IFERROR(
INDEX(
FILTER(
MAP(
reglas!$B$2:$B$240,
reglas!$C$2:$C$240,
reglas!$D$2:$D$240,
reglas!$E$2:$E$240,
LAMBDA(rEmisor,rPatron,rConcepto,rTipo,
IF(
AND(
OR(
UPPER(TRIM(rEmisor))=UPPER(TRIM(C1732)),
UPPER(TRIM(rEmisor))=""CUALQUIERA""
),
OR(
UPPER(TRI"&amp;"M(rTipo))=""SOLO EMISOR"",
AND(
UPPER(TRIM(rTipo))=""EXACTA"",
UPPER(TRIM(AG1732))=UPPER(TRIM(rPatron))
),
AND(
OR(
UPPER(TRIM(rTipo))=""CONTIENE"",
UPPER(TRIM(rTipo))=""COINCIDENCIA""
),
ISNUMBER(SEARCH(UPPER(TRIM(rPatron)),UPPER(TRIM(D1732))))
)
)
),
rC"&amp;"oncepto,
""""
)
)
),
MAP(
reglas!$B$2:$B$240,
reglas!$C$2:$C$240,
reglas!$D$2:$D$240,
reglas!$E$2:$E$240,
LAMBDA(rEmisor,rPatron,rConcepto,rTipo,
IF(
AND(
OR(
UPPER(TRIM(rEmisor))=UPPER(TRIM(C1732)),
UPPER(TRIM(rEmisor))=""CUALQUIERA""
),
OR(
UPPER(TRIM(r"&amp;"Tipo))=""SOLO EMISOR"",
AND(
UPPER(TRIM(rTipo))=""EXACTA"",
UPPER(TRIM(D1732))=UPPER(TRIM(rPatron))
),
AND(
OR(
UPPER(TRIM(rTipo))=""CONTIENE"",
UPPER(TRIM(rTipo))=""COINCIDENCIA""
),
ISNUMBER(SEARCH(UPPER(TRIM(rPatron)),UPPER(TRIM(D1732))))
)
)
),
rConce"&amp;"pto,
""""
)
)
)&lt;&gt;""""
),
1
),
""""
)"),"MANIOBRAS")</f>
        <v>MANIOBRAS</v>
      </c>
      <c r="L1732" s="27"/>
      <c r="M1732" s="27"/>
      <c r="N1732" s="27"/>
      <c r="O1732" s="27"/>
      <c r="P1732" s="27"/>
      <c r="Q1732" s="27"/>
      <c r="R1732" s="27"/>
      <c r="S1732" s="27"/>
      <c r="T1732" s="27"/>
      <c r="U1732" s="27"/>
      <c r="V1732" s="27"/>
      <c r="W1732" s="27"/>
      <c r="X1732" s="27"/>
      <c r="Y1732" s="27"/>
    </row>
    <row r="1733">
      <c r="A1733" s="32"/>
      <c r="B1733" s="32"/>
      <c r="C1733" s="29" t="s">
        <v>271</v>
      </c>
      <c r="D1733" s="29" t="s">
        <v>589</v>
      </c>
      <c r="E1733" s="28">
        <v>620.62</v>
      </c>
      <c r="F1733" s="28">
        <v>0.0</v>
      </c>
      <c r="G1733" s="99" t="s">
        <v>84</v>
      </c>
      <c r="H1733" s="28">
        <f t="array" ref="H1733">INDEX(CC!C:C,MATCH(1,(CC!A:A=G1733)*(CC!B:B=I1733),0))</f>
        <v>1002</v>
      </c>
      <c r="I1733" s="99" t="s">
        <v>25</v>
      </c>
      <c r="J1733" s="31">
        <v>620.62</v>
      </c>
      <c r="K1733" s="28" t="str">
        <f>IFERROR(__xludf.DUMMYFUNCTION("IFERROR(
INDEX(
FILTER(
MAP(
reglas!$B$2:$B$240,
reglas!$C$2:$C$240,
reglas!$D$2:$D$240,
reglas!$E$2:$E$240,
LAMBDA(rEmisor,rPatron,rConcepto,rTipo,
IF(
AND(
OR(
UPPER(TRIM(rEmisor))=UPPER(TRIM(C1733)),
UPPER(TRIM(rEmisor))=""CUALQUIERA""
),
OR(
UPPER(TRI"&amp;"M(rTipo))=""SOLO EMISOR"",
AND(
UPPER(TRIM(rTipo))=""EXACTA"",
UPPER(TRIM(AG1733))=UPPER(TRIM(rPatron))
),
AND(
OR(
UPPER(TRIM(rTipo))=""CONTIENE"",
UPPER(TRIM(rTipo))=""COINCIDENCIA""
),
ISNUMBER(SEARCH(UPPER(TRIM(rPatron)),UPPER(TRIM(D1733))))
)
)
),
rC"&amp;"oncepto,
""""
)
)
),
MAP(
reglas!$B$2:$B$240,
reglas!$C$2:$C$240,
reglas!$D$2:$D$240,
reglas!$E$2:$E$240,
LAMBDA(rEmisor,rPatron,rConcepto,rTipo,
IF(
AND(
OR(
UPPER(TRIM(rEmisor))=UPPER(TRIM(C1733)),
UPPER(TRIM(rEmisor))=""CUALQUIERA""
),
OR(
UPPER(TRIM(r"&amp;"Tipo))=""SOLO EMISOR"",
AND(
UPPER(TRIM(rTipo))=""EXACTA"",
UPPER(TRIM(D1733))=UPPER(TRIM(rPatron))
),
AND(
OR(
UPPER(TRIM(rTipo))=""CONTIENE"",
UPPER(TRIM(rTipo))=""COINCIDENCIA""
),
ISNUMBER(SEARCH(UPPER(TRIM(rPatron)),UPPER(TRIM(D1733))))
)
)
),
rConce"&amp;"pto,
""""
)
)
)&lt;&gt;""""
),
1
),
""""
)"),"MANIOBRAS")</f>
        <v>MANIOBRAS</v>
      </c>
      <c r="L1733" s="27"/>
      <c r="M1733" s="27"/>
      <c r="N1733" s="27"/>
      <c r="O1733" s="27"/>
      <c r="P1733" s="27"/>
      <c r="Q1733" s="27"/>
      <c r="R1733" s="27"/>
      <c r="S1733" s="27"/>
      <c r="T1733" s="27"/>
      <c r="U1733" s="27"/>
      <c r="V1733" s="27"/>
      <c r="W1733" s="27"/>
      <c r="X1733" s="27"/>
      <c r="Y1733" s="27"/>
    </row>
    <row r="1734">
      <c r="A1734" s="32"/>
      <c r="B1734" s="32"/>
      <c r="C1734" s="29" t="s">
        <v>271</v>
      </c>
      <c r="D1734" s="29" t="s">
        <v>596</v>
      </c>
      <c r="E1734" s="28">
        <v>651.16</v>
      </c>
      <c r="F1734" s="28">
        <v>0.0</v>
      </c>
      <c r="G1734" s="99" t="s">
        <v>84</v>
      </c>
      <c r="H1734" s="28">
        <f t="array" ref="H1734">INDEX(CC!C:C,MATCH(1,(CC!A:A=G1734)*(CC!B:B=I1734),0))</f>
        <v>1002</v>
      </c>
      <c r="I1734" s="99" t="s">
        <v>25</v>
      </c>
      <c r="J1734" s="31">
        <v>651.16</v>
      </c>
      <c r="K1734" s="28" t="str">
        <f>IFERROR(__xludf.DUMMYFUNCTION("IFERROR(
INDEX(
FILTER(
MAP(
reglas!$B$2:$B$240,
reglas!$C$2:$C$240,
reglas!$D$2:$D$240,
reglas!$E$2:$E$240,
LAMBDA(rEmisor,rPatron,rConcepto,rTipo,
IF(
AND(
OR(
UPPER(TRIM(rEmisor))=UPPER(TRIM(C1734)),
UPPER(TRIM(rEmisor))=""CUALQUIERA""
),
OR(
UPPER(TRI"&amp;"M(rTipo))=""SOLO EMISOR"",
AND(
UPPER(TRIM(rTipo))=""EXACTA"",
UPPER(TRIM(AG1734))=UPPER(TRIM(rPatron))
),
AND(
OR(
UPPER(TRIM(rTipo))=""CONTIENE"",
UPPER(TRIM(rTipo))=""COINCIDENCIA""
),
ISNUMBER(SEARCH(UPPER(TRIM(rPatron)),UPPER(TRIM(D1734))))
)
)
),
rC"&amp;"oncepto,
""""
)
)
),
MAP(
reglas!$B$2:$B$240,
reglas!$C$2:$C$240,
reglas!$D$2:$D$240,
reglas!$E$2:$E$240,
LAMBDA(rEmisor,rPatron,rConcepto,rTipo,
IF(
AND(
OR(
UPPER(TRIM(rEmisor))=UPPER(TRIM(C1734)),
UPPER(TRIM(rEmisor))=""CUALQUIERA""
),
OR(
UPPER(TRIM(r"&amp;"Tipo))=""SOLO EMISOR"",
AND(
UPPER(TRIM(rTipo))=""EXACTA"",
UPPER(TRIM(D1734))=UPPER(TRIM(rPatron))
),
AND(
OR(
UPPER(TRIM(rTipo))=""CONTIENE"",
UPPER(TRIM(rTipo))=""COINCIDENCIA""
),
ISNUMBER(SEARCH(UPPER(TRIM(rPatron)),UPPER(TRIM(D1734))))
)
)
),
rConce"&amp;"pto,
""""
)
)
)&lt;&gt;""""
),
1
),
""""
)"),"MANIOBRAS")</f>
        <v>MANIOBRAS</v>
      </c>
      <c r="L1734" s="27"/>
      <c r="M1734" s="27"/>
      <c r="N1734" s="27"/>
      <c r="O1734" s="27"/>
      <c r="P1734" s="27"/>
      <c r="Q1734" s="27"/>
      <c r="R1734" s="27"/>
      <c r="S1734" s="27"/>
      <c r="T1734" s="27"/>
      <c r="U1734" s="27"/>
      <c r="V1734" s="27"/>
      <c r="W1734" s="27"/>
      <c r="X1734" s="27"/>
      <c r="Y1734" s="27"/>
    </row>
    <row r="1735">
      <c r="A1735" s="32"/>
      <c r="B1735" s="28" t="s">
        <v>29</v>
      </c>
      <c r="C1735" s="29" t="s">
        <v>172</v>
      </c>
      <c r="D1735" s="29" t="s">
        <v>1970</v>
      </c>
      <c r="E1735" s="30">
        <v>11500.0</v>
      </c>
      <c r="F1735" s="28">
        <v>0.0</v>
      </c>
      <c r="G1735" s="99" t="s">
        <v>250</v>
      </c>
      <c r="H1735" s="28">
        <f t="array" ref="H1735">INDEX(CC!C:C,MATCH(1,(CC!A:A=G1735)*(CC!B:B=I1735),0))</f>
        <v>1402</v>
      </c>
      <c r="I1735" s="99" t="s">
        <v>25</v>
      </c>
      <c r="J1735" s="31">
        <v>11500.0</v>
      </c>
      <c r="K1735" s="28" t="str">
        <f>IFERROR(__xludf.DUMMYFUNCTION("IFERROR(
INDEX(
FILTER(
MAP(
reglas!$B$2:$B$240,
reglas!$C$2:$C$240,
reglas!$D$2:$D$240,
reglas!$E$2:$E$240,
LAMBDA(rEmisor,rPatron,rConcepto,rTipo,
IF(
AND(
OR(
UPPER(TRIM(rEmisor))=UPPER(TRIM(C1735)),
UPPER(TRIM(rEmisor))=""CUALQUIERA""
),
OR(
UPPER(TRI"&amp;"M(rTipo))=""SOLO EMISOR"",
AND(
UPPER(TRIM(rTipo))=""EXACTA"",
UPPER(TRIM(AG1735))=UPPER(TRIM(rPatron))
),
AND(
OR(
UPPER(TRIM(rTipo))=""CONTIENE"",
UPPER(TRIM(rTipo))=""COINCIDENCIA""
),
ISNUMBER(SEARCH(UPPER(TRIM(rPatron)),UPPER(TRIM(D1735))))
)
)
),
rC"&amp;"oncepto,
""""
)
)
),
MAP(
reglas!$B$2:$B$240,
reglas!$C$2:$C$240,
reglas!$D$2:$D$240,
reglas!$E$2:$E$240,
LAMBDA(rEmisor,rPatron,rConcepto,rTipo,
IF(
AND(
OR(
UPPER(TRIM(rEmisor))=UPPER(TRIM(C1735)),
UPPER(TRIM(rEmisor))=""CUALQUIERA""
),
OR(
UPPER(TRIM(r"&amp;"Tipo))=""SOLO EMISOR"",
AND(
UPPER(TRIM(rTipo))=""EXACTA"",
UPPER(TRIM(D1735))=UPPER(TRIM(rPatron))
),
AND(
OR(
UPPER(TRIM(rTipo))=""CONTIENE"",
UPPER(TRIM(rTipo))=""COINCIDENCIA""
),
ISNUMBER(SEARCH(UPPER(TRIM(rPatron)),UPPER(TRIM(D1735))))
)
)
),
rConce"&amp;"pto,
""""
)
)
)&lt;&gt;""""
),
1
),
""""
)"),"TRANSPORTE")</f>
        <v>TRANSPORTE</v>
      </c>
      <c r="L1735" s="27"/>
      <c r="M1735" s="27"/>
      <c r="N1735" s="27"/>
      <c r="O1735" s="27"/>
      <c r="P1735" s="27"/>
      <c r="Q1735" s="27"/>
      <c r="R1735" s="27"/>
      <c r="S1735" s="27"/>
      <c r="T1735" s="27"/>
      <c r="U1735" s="27"/>
      <c r="V1735" s="27"/>
      <c r="W1735" s="27"/>
      <c r="X1735" s="27"/>
      <c r="Y1735" s="27"/>
    </row>
    <row r="1736">
      <c r="A1736" s="32"/>
      <c r="B1736" s="28" t="s">
        <v>29</v>
      </c>
      <c r="C1736" s="29" t="s">
        <v>323</v>
      </c>
      <c r="D1736" s="29" t="s">
        <v>1974</v>
      </c>
      <c r="E1736" s="28">
        <v>20.0</v>
      </c>
      <c r="F1736" s="28">
        <v>0.0</v>
      </c>
      <c r="G1736" s="99" t="s">
        <v>554</v>
      </c>
      <c r="H1736" s="28">
        <f t="array" ref="H1736">INDEX(CC!C:C,MATCH(1,(CC!A:A=G1736)*(CC!B:B=I1736),0))</f>
        <v>1702</v>
      </c>
      <c r="I1736" s="99" t="s">
        <v>25</v>
      </c>
      <c r="J1736" s="31">
        <v>20.0</v>
      </c>
      <c r="K1736" s="28" t="str">
        <f>IFERROR(__xludf.DUMMYFUNCTION("IFERROR(
INDEX(
FILTER(
MAP(
reglas!$B$2:$B$240,
reglas!$C$2:$C$240,
reglas!$D$2:$D$240,
reglas!$E$2:$E$240,
LAMBDA(rEmisor,rPatron,rConcepto,rTipo,
IF(
AND(
OR(
UPPER(TRIM(rEmisor))=UPPER(TRIM(C1736)),
UPPER(TRIM(rEmisor))=""CUALQUIERA""
),
OR(
UPPER(TRI"&amp;"M(rTipo))=""SOLO EMISOR"",
AND(
UPPER(TRIM(rTipo))=""EXACTA"",
UPPER(TRIM(AG1736))=UPPER(TRIM(rPatron))
),
AND(
OR(
UPPER(TRIM(rTipo))=""CONTIENE"",
UPPER(TRIM(rTipo))=""COINCIDENCIA""
),
ISNUMBER(SEARCH(UPPER(TRIM(rPatron)),UPPER(TRIM(D1736))))
)
)
),
rC"&amp;"oncepto,
""""
)
)
),
MAP(
reglas!$B$2:$B$240,
reglas!$C$2:$C$240,
reglas!$D$2:$D$240,
reglas!$E$2:$E$240,
LAMBDA(rEmisor,rPatron,rConcepto,rTipo,
IF(
AND(
OR(
UPPER(TRIM(rEmisor))=UPPER(TRIM(C1736)),
UPPER(TRIM(rEmisor))=""CUALQUIERA""
),
OR(
UPPER(TRIM(r"&amp;"Tipo))=""SOLO EMISOR"",
AND(
UPPER(TRIM(rTipo))=""EXACTA"",
UPPER(TRIM(D1736))=UPPER(TRIM(rPatron))
),
AND(
OR(
UPPER(TRIM(rTipo))=""CONTIENE"",
UPPER(TRIM(rTipo))=""COINCIDENCIA""
),
ISNUMBER(SEARCH(UPPER(TRIM(rPatron)),UPPER(TRIM(D1736))))
)
)
),
rConce"&amp;"pto,
""""
)
)
)&lt;&gt;""""
),
1
),
""""
)"),"TRANSPORTE")</f>
        <v>TRANSPORTE</v>
      </c>
      <c r="L1736" s="27"/>
      <c r="M1736" s="27"/>
      <c r="N1736" s="27"/>
      <c r="O1736" s="27"/>
      <c r="P1736" s="27"/>
      <c r="Q1736" s="27"/>
      <c r="R1736" s="27"/>
      <c r="S1736" s="27"/>
      <c r="T1736" s="27"/>
      <c r="U1736" s="27"/>
      <c r="V1736" s="27"/>
      <c r="W1736" s="27"/>
      <c r="X1736" s="27"/>
      <c r="Y1736" s="27"/>
    </row>
    <row r="1737">
      <c r="A1737" s="32"/>
      <c r="B1737" s="32"/>
      <c r="C1737" s="29" t="s">
        <v>323</v>
      </c>
      <c r="D1737" s="29" t="s">
        <v>324</v>
      </c>
      <c r="E1737" s="28">
        <v>70.0</v>
      </c>
      <c r="F1737" s="28">
        <v>0.0</v>
      </c>
      <c r="G1737" s="99" t="s">
        <v>554</v>
      </c>
      <c r="H1737" s="28">
        <f t="array" ref="H1737">INDEX(CC!C:C,MATCH(1,(CC!A:A=G1737)*(CC!B:B=I1737),0))</f>
        <v>1702</v>
      </c>
      <c r="I1737" s="99" t="s">
        <v>25</v>
      </c>
      <c r="J1737" s="31">
        <v>70.0</v>
      </c>
      <c r="K1737" s="28" t="str">
        <f>IFERROR(__xludf.DUMMYFUNCTION("IFERROR(
INDEX(
FILTER(
MAP(
reglas!$B$2:$B$240,
reglas!$C$2:$C$240,
reglas!$D$2:$D$240,
reglas!$E$2:$E$240,
LAMBDA(rEmisor,rPatron,rConcepto,rTipo,
IF(
AND(
OR(
UPPER(TRIM(rEmisor))=UPPER(TRIM(C1737)),
UPPER(TRIM(rEmisor))=""CUALQUIERA""
),
OR(
UPPER(TRI"&amp;"M(rTipo))=""SOLO EMISOR"",
AND(
UPPER(TRIM(rTipo))=""EXACTA"",
UPPER(TRIM(AG1737))=UPPER(TRIM(rPatron))
),
AND(
OR(
UPPER(TRIM(rTipo))=""CONTIENE"",
UPPER(TRIM(rTipo))=""COINCIDENCIA""
),
ISNUMBER(SEARCH(UPPER(TRIM(rPatron)),UPPER(TRIM(D1737))))
)
)
),
rC"&amp;"oncepto,
""""
)
)
),
MAP(
reglas!$B$2:$B$240,
reglas!$C$2:$C$240,
reglas!$D$2:$D$240,
reglas!$E$2:$E$240,
LAMBDA(rEmisor,rPatron,rConcepto,rTipo,
IF(
AND(
OR(
UPPER(TRIM(rEmisor))=UPPER(TRIM(C1737)),
UPPER(TRIM(rEmisor))=""CUALQUIERA""
),
OR(
UPPER(TRIM(r"&amp;"Tipo))=""SOLO EMISOR"",
AND(
UPPER(TRIM(rTipo))=""EXACTA"",
UPPER(TRIM(D1737))=UPPER(TRIM(rPatron))
),
AND(
OR(
UPPER(TRIM(rTipo))=""CONTIENE"",
UPPER(TRIM(rTipo))=""COINCIDENCIA""
),
ISNUMBER(SEARCH(UPPER(TRIM(rPatron)),UPPER(TRIM(D1737))))
)
)
),
rConce"&amp;"pto,
""""
)
)
)&lt;&gt;""""
),
1
),
""""
)"),"VALIDACION")</f>
        <v>VALIDACION</v>
      </c>
      <c r="L1737" s="27"/>
      <c r="M1737" s="27"/>
      <c r="N1737" s="27"/>
      <c r="O1737" s="27"/>
      <c r="P1737" s="27"/>
      <c r="Q1737" s="27"/>
      <c r="R1737" s="27"/>
      <c r="S1737" s="27"/>
      <c r="T1737" s="27"/>
      <c r="U1737" s="27"/>
      <c r="V1737" s="27"/>
      <c r="W1737" s="27"/>
      <c r="X1737" s="27"/>
      <c r="Y1737" s="27"/>
    </row>
    <row r="1738">
      <c r="A1738" s="32"/>
      <c r="B1738" s="32"/>
      <c r="C1738" s="29" t="s">
        <v>323</v>
      </c>
      <c r="D1738" s="29" t="s">
        <v>1975</v>
      </c>
      <c r="E1738" s="30">
        <v>1000.0</v>
      </c>
      <c r="F1738" s="28">
        <v>0.0</v>
      </c>
      <c r="G1738" s="99" t="s">
        <v>554</v>
      </c>
      <c r="H1738" s="28">
        <f t="array" ref="H1738">INDEX(CC!C:C,MATCH(1,(CC!A:A=G1738)*(CC!B:B=I1738),0))</f>
        <v>1702</v>
      </c>
      <c r="I1738" s="99" t="s">
        <v>25</v>
      </c>
      <c r="J1738" s="31">
        <v>1000.0</v>
      </c>
      <c r="K1738" s="28" t="str">
        <f>IFERROR(__xludf.DUMMYFUNCTION("IFERROR(
INDEX(
FILTER(
MAP(
reglas!$B$2:$B$240,
reglas!$C$2:$C$240,
reglas!$D$2:$D$240,
reglas!$E$2:$E$240,
LAMBDA(rEmisor,rPatron,rConcepto,rTipo,
IF(
AND(
OR(
UPPER(TRIM(rEmisor))=UPPER(TRIM(C1738)),
UPPER(TRIM(rEmisor))=""CUALQUIERA""
),
OR(
UPPER(TRI"&amp;"M(rTipo))=""SOLO EMISOR"",
AND(
UPPER(TRIM(rTipo))=""EXACTA"",
UPPER(TRIM(AG1738))=UPPER(TRIM(rPatron))
),
AND(
OR(
UPPER(TRIM(rTipo))=""CONTIENE"",
UPPER(TRIM(rTipo))=""COINCIDENCIA""
),
ISNUMBER(SEARCH(UPPER(TRIM(rPatron)),UPPER(TRIM(D1738))))
)
)
),
rC"&amp;"oncepto,
""""
)
)
),
MAP(
reglas!$B$2:$B$240,
reglas!$C$2:$C$240,
reglas!$D$2:$D$240,
reglas!$E$2:$E$240,
LAMBDA(rEmisor,rPatron,rConcepto,rTipo,
IF(
AND(
OR(
UPPER(TRIM(rEmisor))=UPPER(TRIM(C1738)),
UPPER(TRIM(rEmisor))=""CUALQUIERA""
),
OR(
UPPER(TRIM(r"&amp;"Tipo))=""SOLO EMISOR"",
AND(
UPPER(TRIM(rTipo))=""EXACTA"",
UPPER(TRIM(D1738))=UPPER(TRIM(rPatron))
),
AND(
OR(
UPPER(TRIM(rTipo))=""CONTIENE"",
UPPER(TRIM(rTipo))=""COINCIDENCIA""
),
ISNUMBER(SEARCH(UPPER(TRIM(rPatron)),UPPER(TRIM(D1738))))
)
)
),
rConce"&amp;"pto,
""""
)
)
)&lt;&gt;""""
),
1
),
""""
)"),"TRANSPORTE")</f>
        <v>TRANSPORTE</v>
      </c>
      <c r="L1738" s="27"/>
      <c r="M1738" s="27"/>
      <c r="N1738" s="27"/>
      <c r="O1738" s="27"/>
      <c r="P1738" s="27"/>
      <c r="Q1738" s="27"/>
      <c r="R1738" s="27"/>
      <c r="S1738" s="27"/>
      <c r="T1738" s="27"/>
      <c r="U1738" s="27"/>
      <c r="V1738" s="27"/>
      <c r="W1738" s="27"/>
      <c r="X1738" s="27"/>
      <c r="Y1738" s="27"/>
    </row>
    <row r="1739">
      <c r="A1739" s="32"/>
      <c r="B1739" s="32"/>
      <c r="C1739" s="29" t="s">
        <v>323</v>
      </c>
      <c r="D1739" s="29" t="s">
        <v>497</v>
      </c>
      <c r="E1739" s="28">
        <v>100.0</v>
      </c>
      <c r="F1739" s="28">
        <v>0.0</v>
      </c>
      <c r="G1739" s="99" t="s">
        <v>554</v>
      </c>
      <c r="H1739" s="28">
        <f t="array" ref="H1739">INDEX(CC!C:C,MATCH(1,(CC!A:A=G1739)*(CC!B:B=I1739),0))</f>
        <v>1702</v>
      </c>
      <c r="I1739" s="99" t="s">
        <v>25</v>
      </c>
      <c r="J1739" s="31">
        <v>100.0</v>
      </c>
      <c r="K1739" s="28" t="str">
        <f>IFERROR(__xludf.DUMMYFUNCTION("IFERROR(
INDEX(
FILTER(
MAP(
reglas!$B$2:$B$240,
reglas!$C$2:$C$240,
reglas!$D$2:$D$240,
reglas!$E$2:$E$240,
LAMBDA(rEmisor,rPatron,rConcepto,rTipo,
IF(
AND(
OR(
UPPER(TRIM(rEmisor))=UPPER(TRIM(C1739)),
UPPER(TRIM(rEmisor))=""CUALQUIERA""
),
OR(
UPPER(TRI"&amp;"M(rTipo))=""SOLO EMISOR"",
AND(
UPPER(TRIM(rTipo))=""EXACTA"",
UPPER(TRIM(AG1739))=UPPER(TRIM(rPatron))
),
AND(
OR(
UPPER(TRIM(rTipo))=""CONTIENE"",
UPPER(TRIM(rTipo))=""COINCIDENCIA""
),
ISNUMBER(SEARCH(UPPER(TRIM(rPatron)),UPPER(TRIM(D1739))))
)
)
),
rC"&amp;"oncepto,
""""
)
)
),
MAP(
reglas!$B$2:$B$240,
reglas!$C$2:$C$240,
reglas!$D$2:$D$240,
reglas!$E$2:$E$240,
LAMBDA(rEmisor,rPatron,rConcepto,rTipo,
IF(
AND(
OR(
UPPER(TRIM(rEmisor))=UPPER(TRIM(C1739)),
UPPER(TRIM(rEmisor))=""CUALQUIERA""
),
OR(
UPPER(TRIM(r"&amp;"Tipo))=""SOLO EMISOR"",
AND(
UPPER(TRIM(rTipo))=""EXACTA"",
UPPER(TRIM(D1739))=UPPER(TRIM(rPatron))
),
AND(
OR(
UPPER(TRIM(rTipo))=""CONTIENE"",
UPPER(TRIM(rTipo))=""COINCIDENCIA""
),
ISNUMBER(SEARCH(UPPER(TRIM(rPatron)),UPPER(TRIM(D1739))))
)
)
),
rConce"&amp;"pto,
""""
)
)
)&lt;&gt;""""
),
1
),
""""
)"),"SELLOS FISCALES")</f>
        <v>SELLOS FISCALES</v>
      </c>
      <c r="L1739" s="27"/>
      <c r="M1739" s="27"/>
      <c r="N1739" s="27"/>
      <c r="O1739" s="27"/>
      <c r="P1739" s="27"/>
      <c r="Q1739" s="27"/>
      <c r="R1739" s="27"/>
      <c r="S1739" s="27"/>
      <c r="T1739" s="27"/>
      <c r="U1739" s="27"/>
      <c r="V1739" s="27"/>
      <c r="W1739" s="27"/>
      <c r="X1739" s="27"/>
      <c r="Y1739" s="27"/>
    </row>
    <row r="1740">
      <c r="A1740" s="32"/>
      <c r="B1740" s="32"/>
      <c r="C1740" s="29" t="s">
        <v>323</v>
      </c>
      <c r="D1740" s="29" t="s">
        <v>325</v>
      </c>
      <c r="E1740" s="30">
        <v>4500.0</v>
      </c>
      <c r="F1740" s="28">
        <v>0.0</v>
      </c>
      <c r="G1740" s="99" t="s">
        <v>554</v>
      </c>
      <c r="H1740" s="28">
        <f t="array" ref="H1740">INDEX(CC!C:C,MATCH(1,(CC!A:A=G1740)*(CC!B:B=I1740),0))</f>
        <v>1702</v>
      </c>
      <c r="I1740" s="99" t="s">
        <v>25</v>
      </c>
      <c r="J1740" s="31">
        <v>4500.0</v>
      </c>
      <c r="K1740" s="28" t="str">
        <f>IFERROR(__xludf.DUMMYFUNCTION("IFERROR(
INDEX(
FILTER(
MAP(
reglas!$B$2:$B$240,
reglas!$C$2:$C$240,
reglas!$D$2:$D$240,
reglas!$E$2:$E$240,
LAMBDA(rEmisor,rPatron,rConcepto,rTipo,
IF(
AND(
OR(
UPPER(TRIM(rEmisor))=UPPER(TRIM(C1740)),
UPPER(TRIM(rEmisor))=""CUALQUIERA""
),
OR(
UPPER(TRI"&amp;"M(rTipo))=""SOLO EMISOR"",
AND(
UPPER(TRIM(rTipo))=""EXACTA"",
UPPER(TRIM(AG1740))=UPPER(TRIM(rPatron))
),
AND(
OR(
UPPER(TRIM(rTipo))=""CONTIENE"",
UPPER(TRIM(rTipo))=""COINCIDENCIA""
),
ISNUMBER(SEARCH(UPPER(TRIM(rPatron)),UPPER(TRIM(D1740))))
)
)
),
rC"&amp;"oncepto,
""""
)
)
),
MAP(
reglas!$B$2:$B$240,
reglas!$C$2:$C$240,
reglas!$D$2:$D$240,
reglas!$E$2:$E$240,
LAMBDA(rEmisor,rPatron,rConcepto,rTipo,
IF(
AND(
OR(
UPPER(TRIM(rEmisor))=UPPER(TRIM(C1740)),
UPPER(TRIM(rEmisor))=""CUALQUIERA""
),
OR(
UPPER(TRIM(r"&amp;"Tipo))=""SOLO EMISOR"",
AND(
UPPER(TRIM(rTipo))=""EXACTA"",
UPPER(TRIM(D1740))=UPPER(TRIM(rPatron))
),
AND(
OR(
UPPER(TRIM(rTipo))=""CONTIENE"",
UPPER(TRIM(rTipo))=""COINCIDENCIA""
),
ISNUMBER(SEARCH(UPPER(TRIM(rPatron)),UPPER(TRIM(D1740))))
)
)
),
rConce"&amp;"pto,
""""
)
)
)&lt;&gt;""""
),
1
),
""""
)"),"VALIDACION")</f>
        <v>VALIDACION</v>
      </c>
      <c r="L1740" s="27"/>
      <c r="M1740" s="27"/>
      <c r="N1740" s="27"/>
      <c r="O1740" s="27"/>
      <c r="P1740" s="27"/>
      <c r="Q1740" s="27"/>
      <c r="R1740" s="27"/>
      <c r="S1740" s="27"/>
      <c r="T1740" s="27"/>
      <c r="U1740" s="27"/>
      <c r="V1740" s="27"/>
      <c r="W1740" s="27"/>
      <c r="X1740" s="27"/>
      <c r="Y1740" s="27"/>
    </row>
    <row r="1741">
      <c r="A1741" s="32"/>
      <c r="B1741" s="28" t="s">
        <v>29</v>
      </c>
      <c r="C1741" s="29" t="s">
        <v>172</v>
      </c>
      <c r="D1741" s="29" t="s">
        <v>1966</v>
      </c>
      <c r="E1741" s="30">
        <v>14000.0</v>
      </c>
      <c r="F1741" s="28">
        <v>0.0</v>
      </c>
      <c r="G1741" s="99" t="s">
        <v>250</v>
      </c>
      <c r="H1741" s="28">
        <f t="array" ref="H1741">INDEX(CC!C:C,MATCH(1,(CC!A:A=G1741)*(CC!B:B=I1741),0))</f>
        <v>1402</v>
      </c>
      <c r="I1741" s="99" t="s">
        <v>25</v>
      </c>
      <c r="J1741" s="31">
        <v>14000.0</v>
      </c>
      <c r="K1741" s="28" t="str">
        <f>IFERROR(__xludf.DUMMYFUNCTION("IFERROR(
INDEX(
FILTER(
MAP(
reglas!$B$2:$B$240,
reglas!$C$2:$C$240,
reglas!$D$2:$D$240,
reglas!$E$2:$E$240,
LAMBDA(rEmisor,rPatron,rConcepto,rTipo,
IF(
AND(
OR(
UPPER(TRIM(rEmisor))=UPPER(TRIM(C1741)),
UPPER(TRIM(rEmisor))=""CUALQUIERA""
),
OR(
UPPER(TRI"&amp;"M(rTipo))=""SOLO EMISOR"",
AND(
UPPER(TRIM(rTipo))=""EXACTA"",
UPPER(TRIM(AG1741))=UPPER(TRIM(rPatron))
),
AND(
OR(
UPPER(TRIM(rTipo))=""CONTIENE"",
UPPER(TRIM(rTipo))=""COINCIDENCIA""
),
ISNUMBER(SEARCH(UPPER(TRIM(rPatron)),UPPER(TRIM(D1741))))
)
)
),
rC"&amp;"oncepto,
""""
)
)
),
MAP(
reglas!$B$2:$B$240,
reglas!$C$2:$C$240,
reglas!$D$2:$D$240,
reglas!$E$2:$E$240,
LAMBDA(rEmisor,rPatron,rConcepto,rTipo,
IF(
AND(
OR(
UPPER(TRIM(rEmisor))=UPPER(TRIM(C1741)),
UPPER(TRIM(rEmisor))=""CUALQUIERA""
),
OR(
UPPER(TRIM(r"&amp;"Tipo))=""SOLO EMISOR"",
AND(
UPPER(TRIM(rTipo))=""EXACTA"",
UPPER(TRIM(D1741))=UPPER(TRIM(rPatron))
),
AND(
OR(
UPPER(TRIM(rTipo))=""CONTIENE"",
UPPER(TRIM(rTipo))=""COINCIDENCIA""
),
ISNUMBER(SEARCH(UPPER(TRIM(rPatron)),UPPER(TRIM(D1741))))
)
)
),
rConce"&amp;"pto,
""""
)
)
)&lt;&gt;""""
),
1
),
""""
)"),"TRANSPORTE")</f>
        <v>TRANSPORTE</v>
      </c>
      <c r="L1741" s="27"/>
      <c r="M1741" s="27"/>
      <c r="N1741" s="27"/>
      <c r="O1741" s="27"/>
      <c r="P1741" s="27"/>
      <c r="Q1741" s="27"/>
      <c r="R1741" s="27"/>
      <c r="S1741" s="27"/>
      <c r="T1741" s="27"/>
      <c r="U1741" s="27"/>
      <c r="V1741" s="27"/>
      <c r="W1741" s="27"/>
      <c r="X1741" s="27"/>
      <c r="Y1741" s="27"/>
    </row>
    <row r="1742">
      <c r="A1742" s="32"/>
      <c r="B1742" s="28" t="s">
        <v>29</v>
      </c>
      <c r="C1742" s="29" t="s">
        <v>278</v>
      </c>
      <c r="D1742" s="29" t="s">
        <v>560</v>
      </c>
      <c r="E1742" s="30">
        <v>3500.0</v>
      </c>
      <c r="F1742" s="28">
        <v>0.0</v>
      </c>
      <c r="G1742" s="99" t="s">
        <v>250</v>
      </c>
      <c r="H1742" s="28">
        <f t="array" ref="H1742">INDEX(CC!C:C,MATCH(1,(CC!A:A=G1742)*(CC!B:B=I1742),0))</f>
        <v>1402</v>
      </c>
      <c r="I1742" s="99" t="s">
        <v>25</v>
      </c>
      <c r="J1742" s="31">
        <v>3500.0</v>
      </c>
      <c r="K1742" s="28" t="str">
        <f>IFERROR(__xludf.DUMMYFUNCTION("IFERROR(
INDEX(
FILTER(
MAP(
reglas!$B$2:$B$240,
reglas!$C$2:$C$240,
reglas!$D$2:$D$240,
reglas!$E$2:$E$240,
LAMBDA(rEmisor,rPatron,rConcepto,rTipo,
IF(
AND(
OR(
UPPER(TRIM(rEmisor))=UPPER(TRIM(C1742)),
UPPER(TRIM(rEmisor))=""CUALQUIERA""
),
OR(
UPPER(TRI"&amp;"M(rTipo))=""SOLO EMISOR"",
AND(
UPPER(TRIM(rTipo))=""EXACTA"",
UPPER(TRIM(AG1742))=UPPER(TRIM(rPatron))
),
AND(
OR(
UPPER(TRIM(rTipo))=""CONTIENE"",
UPPER(TRIM(rTipo))=""COINCIDENCIA""
),
ISNUMBER(SEARCH(UPPER(TRIM(rPatron)),UPPER(TRIM(D1742))))
)
)
),
rC"&amp;"oncepto,
""""
)
)
),
MAP(
reglas!$B$2:$B$240,
reglas!$C$2:$C$240,
reglas!$D$2:$D$240,
reglas!$E$2:$E$240,
LAMBDA(rEmisor,rPatron,rConcepto,rTipo,
IF(
AND(
OR(
UPPER(TRIM(rEmisor))=UPPER(TRIM(C1742)),
UPPER(TRIM(rEmisor))=""CUALQUIERA""
),
OR(
UPPER(TRIM(r"&amp;"Tipo))=""SOLO EMISOR"",
AND(
UPPER(TRIM(rTipo))=""EXACTA"",
UPPER(TRIM(D1742))=UPPER(TRIM(rPatron))
),
AND(
OR(
UPPER(TRIM(rTipo))=""CONTIENE"",
UPPER(TRIM(rTipo))=""COINCIDENCIA""
),
ISNUMBER(SEARCH(UPPER(TRIM(rPatron)),UPPER(TRIM(D1742))))
)
)
),
rConce"&amp;"pto,
""""
)
)
)&lt;&gt;""""
),
1
),
""""
)"),"MANIOBRAS")</f>
        <v>MANIOBRAS</v>
      </c>
      <c r="L1742" s="27"/>
      <c r="M1742" s="27"/>
      <c r="N1742" s="27"/>
      <c r="O1742" s="27"/>
      <c r="P1742" s="27"/>
      <c r="Q1742" s="27"/>
      <c r="R1742" s="27"/>
      <c r="S1742" s="27"/>
      <c r="T1742" s="27"/>
      <c r="U1742" s="27"/>
      <c r="V1742" s="27"/>
      <c r="W1742" s="27"/>
      <c r="X1742" s="27"/>
      <c r="Y1742" s="27"/>
    </row>
    <row r="1743">
      <c r="A1743" s="28">
        <v>1.0</v>
      </c>
      <c r="B1743" s="28" t="s">
        <v>29</v>
      </c>
      <c r="C1743" s="29" t="s">
        <v>271</v>
      </c>
      <c r="D1743" s="29" t="s">
        <v>585</v>
      </c>
      <c r="E1743" s="28">
        <v>620.28</v>
      </c>
      <c r="F1743" s="28">
        <v>0.0</v>
      </c>
      <c r="G1743" s="99" t="s">
        <v>84</v>
      </c>
      <c r="H1743" s="28">
        <f t="array" ref="H1743">INDEX(CC!C:C,MATCH(1,(CC!A:A=G1743)*(CC!B:B=I1743),0))</f>
        <v>1002</v>
      </c>
      <c r="I1743" s="99" t="s">
        <v>25</v>
      </c>
      <c r="J1743" s="31">
        <v>620.28</v>
      </c>
      <c r="K1743" s="28" t="str">
        <f>IFERROR(__xludf.DUMMYFUNCTION("IFERROR(
INDEX(
FILTER(
MAP(
reglas!$B$2:$B$240,
reglas!$C$2:$C$240,
reglas!$D$2:$D$240,
reglas!$E$2:$E$240,
LAMBDA(rEmisor,rPatron,rConcepto,rTipo,
IF(
AND(
OR(
UPPER(TRIM(rEmisor))=UPPER(TRIM(C1743)),
UPPER(TRIM(rEmisor))=""CUALQUIERA""
),
OR(
UPPER(TRI"&amp;"M(rTipo))=""SOLO EMISOR"",
AND(
UPPER(TRIM(rTipo))=""EXACTA"",
UPPER(TRIM(AG1743))=UPPER(TRIM(rPatron))
),
AND(
OR(
UPPER(TRIM(rTipo))=""CONTIENE"",
UPPER(TRIM(rTipo))=""COINCIDENCIA""
),
ISNUMBER(SEARCH(UPPER(TRIM(rPatron)),UPPER(TRIM(D1743))))
)
)
),
rC"&amp;"oncepto,
""""
)
)
),
MAP(
reglas!$B$2:$B$240,
reglas!$C$2:$C$240,
reglas!$D$2:$D$240,
reglas!$E$2:$E$240,
LAMBDA(rEmisor,rPatron,rConcepto,rTipo,
IF(
AND(
OR(
UPPER(TRIM(rEmisor))=UPPER(TRIM(C1743)),
UPPER(TRIM(rEmisor))=""CUALQUIERA""
),
OR(
UPPER(TRIM(r"&amp;"Tipo))=""SOLO EMISOR"",
AND(
UPPER(TRIM(rTipo))=""EXACTA"",
UPPER(TRIM(D1743))=UPPER(TRIM(rPatron))
),
AND(
OR(
UPPER(TRIM(rTipo))=""CONTIENE"",
UPPER(TRIM(rTipo))=""COINCIDENCIA""
),
ISNUMBER(SEARCH(UPPER(TRIM(rPatron)),UPPER(TRIM(D1743))))
)
)
),
rConce"&amp;"pto,
""""
)
)
)&lt;&gt;""""
),
1
),
""""
)"),"MANIOBRAS")</f>
        <v>MANIOBRAS</v>
      </c>
      <c r="L1743" s="27"/>
      <c r="M1743" s="27"/>
      <c r="N1743" s="27"/>
      <c r="O1743" s="27"/>
      <c r="P1743" s="27"/>
      <c r="Q1743" s="27"/>
      <c r="R1743" s="27"/>
      <c r="S1743" s="27"/>
      <c r="T1743" s="27"/>
      <c r="U1743" s="27"/>
      <c r="V1743" s="27"/>
      <c r="W1743" s="27"/>
      <c r="X1743" s="27"/>
      <c r="Y1743" s="27"/>
    </row>
    <row r="1744">
      <c r="A1744" s="32"/>
      <c r="B1744" s="32"/>
      <c r="C1744" s="29" t="s">
        <v>271</v>
      </c>
      <c r="D1744" s="29" t="s">
        <v>587</v>
      </c>
      <c r="E1744" s="28">
        <v>567.51</v>
      </c>
      <c r="F1744" s="28">
        <v>0.0</v>
      </c>
      <c r="G1744" s="99" t="s">
        <v>84</v>
      </c>
      <c r="H1744" s="28">
        <f t="array" ref="H1744">INDEX(CC!C:C,MATCH(1,(CC!A:A=G1744)*(CC!B:B=I1744),0))</f>
        <v>1002</v>
      </c>
      <c r="I1744" s="99" t="s">
        <v>25</v>
      </c>
      <c r="J1744" s="31">
        <v>567.51</v>
      </c>
      <c r="K1744" s="28" t="str">
        <f>IFERROR(__xludf.DUMMYFUNCTION("IFERROR(
INDEX(
FILTER(
MAP(
reglas!$B$2:$B$240,
reglas!$C$2:$C$240,
reglas!$D$2:$D$240,
reglas!$E$2:$E$240,
LAMBDA(rEmisor,rPatron,rConcepto,rTipo,
IF(
AND(
OR(
UPPER(TRIM(rEmisor))=UPPER(TRIM(C1744)),
UPPER(TRIM(rEmisor))=""CUALQUIERA""
),
OR(
UPPER(TRI"&amp;"M(rTipo))=""SOLO EMISOR"",
AND(
UPPER(TRIM(rTipo))=""EXACTA"",
UPPER(TRIM(AG1744))=UPPER(TRIM(rPatron))
),
AND(
OR(
UPPER(TRIM(rTipo))=""CONTIENE"",
UPPER(TRIM(rTipo))=""COINCIDENCIA""
),
ISNUMBER(SEARCH(UPPER(TRIM(rPatron)),UPPER(TRIM(D1744))))
)
)
),
rC"&amp;"oncepto,
""""
)
)
),
MAP(
reglas!$B$2:$B$240,
reglas!$C$2:$C$240,
reglas!$D$2:$D$240,
reglas!$E$2:$E$240,
LAMBDA(rEmisor,rPatron,rConcepto,rTipo,
IF(
AND(
OR(
UPPER(TRIM(rEmisor))=UPPER(TRIM(C1744)),
UPPER(TRIM(rEmisor))=""CUALQUIERA""
),
OR(
UPPER(TRIM(r"&amp;"Tipo))=""SOLO EMISOR"",
AND(
UPPER(TRIM(rTipo))=""EXACTA"",
UPPER(TRIM(D1744))=UPPER(TRIM(rPatron))
),
AND(
OR(
UPPER(TRIM(rTipo))=""CONTIENE"",
UPPER(TRIM(rTipo))=""COINCIDENCIA""
),
ISNUMBER(SEARCH(UPPER(TRIM(rPatron)),UPPER(TRIM(D1744))))
)
)
),
rConce"&amp;"pto,
""""
)
)
)&lt;&gt;""""
),
1
),
""""
)"),"MANIOBRAS")</f>
        <v>MANIOBRAS</v>
      </c>
      <c r="L1744" s="27"/>
      <c r="M1744" s="27"/>
      <c r="N1744" s="27"/>
      <c r="O1744" s="27"/>
      <c r="P1744" s="27"/>
      <c r="Q1744" s="27"/>
      <c r="R1744" s="27"/>
      <c r="S1744" s="27"/>
      <c r="T1744" s="27"/>
      <c r="U1744" s="27"/>
      <c r="V1744" s="27"/>
      <c r="W1744" s="27"/>
      <c r="X1744" s="27"/>
      <c r="Y1744" s="27"/>
    </row>
    <row r="1745">
      <c r="A1745" s="32"/>
      <c r="B1745" s="32"/>
      <c r="C1745" s="29" t="s">
        <v>271</v>
      </c>
      <c r="D1745" s="29" t="s">
        <v>589</v>
      </c>
      <c r="E1745" s="28">
        <v>620.62</v>
      </c>
      <c r="F1745" s="28">
        <v>0.0</v>
      </c>
      <c r="G1745" s="99" t="s">
        <v>84</v>
      </c>
      <c r="H1745" s="28">
        <f t="array" ref="H1745">INDEX(CC!C:C,MATCH(1,(CC!A:A=G1745)*(CC!B:B=I1745),0))</f>
        <v>1002</v>
      </c>
      <c r="I1745" s="99" t="s">
        <v>25</v>
      </c>
      <c r="J1745" s="31">
        <v>620.62</v>
      </c>
      <c r="K1745" s="28" t="str">
        <f>IFERROR(__xludf.DUMMYFUNCTION("IFERROR(
INDEX(
FILTER(
MAP(
reglas!$B$2:$B$240,
reglas!$C$2:$C$240,
reglas!$D$2:$D$240,
reglas!$E$2:$E$240,
LAMBDA(rEmisor,rPatron,rConcepto,rTipo,
IF(
AND(
OR(
UPPER(TRIM(rEmisor))=UPPER(TRIM(C1745)),
UPPER(TRIM(rEmisor))=""CUALQUIERA""
),
OR(
UPPER(TRI"&amp;"M(rTipo))=""SOLO EMISOR"",
AND(
UPPER(TRIM(rTipo))=""EXACTA"",
UPPER(TRIM(AG1745))=UPPER(TRIM(rPatron))
),
AND(
OR(
UPPER(TRIM(rTipo))=""CONTIENE"",
UPPER(TRIM(rTipo))=""COINCIDENCIA""
),
ISNUMBER(SEARCH(UPPER(TRIM(rPatron)),UPPER(TRIM(D1745))))
)
)
),
rC"&amp;"oncepto,
""""
)
)
),
MAP(
reglas!$B$2:$B$240,
reglas!$C$2:$C$240,
reglas!$D$2:$D$240,
reglas!$E$2:$E$240,
LAMBDA(rEmisor,rPatron,rConcepto,rTipo,
IF(
AND(
OR(
UPPER(TRIM(rEmisor))=UPPER(TRIM(C1745)),
UPPER(TRIM(rEmisor))=""CUALQUIERA""
),
OR(
UPPER(TRIM(r"&amp;"Tipo))=""SOLO EMISOR"",
AND(
UPPER(TRIM(rTipo))=""EXACTA"",
UPPER(TRIM(D1745))=UPPER(TRIM(rPatron))
),
AND(
OR(
UPPER(TRIM(rTipo))=""CONTIENE"",
UPPER(TRIM(rTipo))=""COINCIDENCIA""
),
ISNUMBER(SEARCH(UPPER(TRIM(rPatron)),UPPER(TRIM(D1745))))
)
)
),
rConce"&amp;"pto,
""""
)
)
)&lt;&gt;""""
),
1
),
""""
)"),"MANIOBRAS")</f>
        <v>MANIOBRAS</v>
      </c>
      <c r="L1745" s="27"/>
      <c r="M1745" s="27"/>
      <c r="N1745" s="27"/>
      <c r="O1745" s="27"/>
      <c r="P1745" s="27"/>
      <c r="Q1745" s="27"/>
      <c r="R1745" s="27"/>
      <c r="S1745" s="27"/>
      <c r="T1745" s="27"/>
      <c r="U1745" s="27"/>
      <c r="V1745" s="27"/>
      <c r="W1745" s="27"/>
      <c r="X1745" s="27"/>
      <c r="Y1745" s="27"/>
    </row>
    <row r="1746">
      <c r="A1746" s="32"/>
      <c r="B1746" s="32"/>
      <c r="C1746" s="29" t="s">
        <v>271</v>
      </c>
      <c r="D1746" s="29" t="s">
        <v>596</v>
      </c>
      <c r="E1746" s="28">
        <v>651.16</v>
      </c>
      <c r="F1746" s="28">
        <v>0.0</v>
      </c>
      <c r="G1746" s="99" t="s">
        <v>84</v>
      </c>
      <c r="H1746" s="28">
        <f t="array" ref="H1746">INDEX(CC!C:C,MATCH(1,(CC!A:A=G1746)*(CC!B:B=I1746),0))</f>
        <v>1002</v>
      </c>
      <c r="I1746" s="99" t="s">
        <v>25</v>
      </c>
      <c r="J1746" s="31">
        <v>651.16</v>
      </c>
      <c r="K1746" s="28" t="str">
        <f>IFERROR(__xludf.DUMMYFUNCTION("IFERROR(
INDEX(
FILTER(
MAP(
reglas!$B$2:$B$240,
reglas!$C$2:$C$240,
reglas!$D$2:$D$240,
reglas!$E$2:$E$240,
LAMBDA(rEmisor,rPatron,rConcepto,rTipo,
IF(
AND(
OR(
UPPER(TRIM(rEmisor))=UPPER(TRIM(C1746)),
UPPER(TRIM(rEmisor))=""CUALQUIERA""
),
OR(
UPPER(TRI"&amp;"M(rTipo))=""SOLO EMISOR"",
AND(
UPPER(TRIM(rTipo))=""EXACTA"",
UPPER(TRIM(AG1746))=UPPER(TRIM(rPatron))
),
AND(
OR(
UPPER(TRIM(rTipo))=""CONTIENE"",
UPPER(TRIM(rTipo))=""COINCIDENCIA""
),
ISNUMBER(SEARCH(UPPER(TRIM(rPatron)),UPPER(TRIM(D1746))))
)
)
),
rC"&amp;"oncepto,
""""
)
)
),
MAP(
reglas!$B$2:$B$240,
reglas!$C$2:$C$240,
reglas!$D$2:$D$240,
reglas!$E$2:$E$240,
LAMBDA(rEmisor,rPatron,rConcepto,rTipo,
IF(
AND(
OR(
UPPER(TRIM(rEmisor))=UPPER(TRIM(C1746)),
UPPER(TRIM(rEmisor))=""CUALQUIERA""
),
OR(
UPPER(TRIM(r"&amp;"Tipo))=""SOLO EMISOR"",
AND(
UPPER(TRIM(rTipo))=""EXACTA"",
UPPER(TRIM(D1746))=UPPER(TRIM(rPatron))
),
AND(
OR(
UPPER(TRIM(rTipo))=""CONTIENE"",
UPPER(TRIM(rTipo))=""COINCIDENCIA""
),
ISNUMBER(SEARCH(UPPER(TRIM(rPatron)),UPPER(TRIM(D1746))))
)
)
),
rConce"&amp;"pto,
""""
)
)
)&lt;&gt;""""
),
1
),
""""
)"),"MANIOBRAS")</f>
        <v>MANIOBRAS</v>
      </c>
      <c r="L1746" s="27"/>
      <c r="M1746" s="27"/>
      <c r="N1746" s="27"/>
      <c r="O1746" s="27"/>
      <c r="P1746" s="27"/>
      <c r="Q1746" s="27"/>
      <c r="R1746" s="27"/>
      <c r="S1746" s="27"/>
      <c r="T1746" s="27"/>
      <c r="U1746" s="27"/>
      <c r="V1746" s="27"/>
      <c r="W1746" s="27"/>
      <c r="X1746" s="27"/>
      <c r="Y1746" s="27"/>
    </row>
    <row r="1747">
      <c r="A1747" s="32"/>
      <c r="B1747" s="28" t="s">
        <v>29</v>
      </c>
      <c r="C1747" s="29" t="s">
        <v>172</v>
      </c>
      <c r="D1747" s="29" t="s">
        <v>1852</v>
      </c>
      <c r="E1747" s="30">
        <v>14000.0</v>
      </c>
      <c r="F1747" s="28">
        <v>0.0</v>
      </c>
      <c r="G1747" s="99" t="s">
        <v>250</v>
      </c>
      <c r="H1747" s="28">
        <f t="array" ref="H1747">INDEX(CC!C:C,MATCH(1,(CC!A:A=G1747)*(CC!B:B=I1747),0))</f>
        <v>1402</v>
      </c>
      <c r="I1747" s="99" t="s">
        <v>25</v>
      </c>
      <c r="J1747" s="31">
        <v>14000.0</v>
      </c>
      <c r="K1747" s="28" t="str">
        <f>IFERROR(__xludf.DUMMYFUNCTION("IFERROR(
INDEX(
FILTER(
MAP(
reglas!$B$2:$B$240,
reglas!$C$2:$C$240,
reglas!$D$2:$D$240,
reglas!$E$2:$E$240,
LAMBDA(rEmisor,rPatron,rConcepto,rTipo,
IF(
AND(
OR(
UPPER(TRIM(rEmisor))=UPPER(TRIM(C1747)),
UPPER(TRIM(rEmisor))=""CUALQUIERA""
),
OR(
UPPER(TRI"&amp;"M(rTipo))=""SOLO EMISOR"",
AND(
UPPER(TRIM(rTipo))=""EXACTA"",
UPPER(TRIM(AG1747))=UPPER(TRIM(rPatron))
),
AND(
OR(
UPPER(TRIM(rTipo))=""CONTIENE"",
UPPER(TRIM(rTipo))=""COINCIDENCIA""
),
ISNUMBER(SEARCH(UPPER(TRIM(rPatron)),UPPER(TRIM(D1747))))
)
)
),
rC"&amp;"oncepto,
""""
)
)
),
MAP(
reglas!$B$2:$B$240,
reglas!$C$2:$C$240,
reglas!$D$2:$D$240,
reglas!$E$2:$E$240,
LAMBDA(rEmisor,rPatron,rConcepto,rTipo,
IF(
AND(
OR(
UPPER(TRIM(rEmisor))=UPPER(TRIM(C1747)),
UPPER(TRIM(rEmisor))=""CUALQUIERA""
),
OR(
UPPER(TRIM(r"&amp;"Tipo))=""SOLO EMISOR"",
AND(
UPPER(TRIM(rTipo))=""EXACTA"",
UPPER(TRIM(D1747))=UPPER(TRIM(rPatron))
),
AND(
OR(
UPPER(TRIM(rTipo))=""CONTIENE"",
UPPER(TRIM(rTipo))=""COINCIDENCIA""
),
ISNUMBER(SEARCH(UPPER(TRIM(rPatron)),UPPER(TRIM(D1747))))
)
)
),
rConce"&amp;"pto,
""""
)
)
)&lt;&gt;""""
),
1
),
""""
)"),"TRANSPORTE")</f>
        <v>TRANSPORTE</v>
      </c>
      <c r="L1747" s="27"/>
      <c r="M1747" s="27"/>
      <c r="N1747" s="27"/>
      <c r="O1747" s="27"/>
      <c r="P1747" s="27"/>
      <c r="Q1747" s="27"/>
      <c r="R1747" s="27"/>
      <c r="S1747" s="27"/>
      <c r="T1747" s="27"/>
      <c r="U1747" s="27"/>
      <c r="V1747" s="27"/>
      <c r="W1747" s="27"/>
      <c r="X1747" s="27"/>
      <c r="Y1747" s="27"/>
    </row>
    <row r="1748">
      <c r="A1748" s="32"/>
      <c r="B1748" s="28" t="s">
        <v>29</v>
      </c>
      <c r="C1748" s="29" t="s">
        <v>172</v>
      </c>
      <c r="D1748" s="29" t="s">
        <v>1976</v>
      </c>
      <c r="E1748" s="30">
        <v>15250.0</v>
      </c>
      <c r="F1748" s="28">
        <v>0.0</v>
      </c>
      <c r="G1748" s="99" t="s">
        <v>250</v>
      </c>
      <c r="H1748" s="28">
        <f t="array" ref="H1748">INDEX(CC!C:C,MATCH(1,(CC!A:A=G1748)*(CC!B:B=I1748),0))</f>
        <v>1402</v>
      </c>
      <c r="I1748" s="99" t="s">
        <v>25</v>
      </c>
      <c r="J1748" s="31">
        <v>15250.0</v>
      </c>
      <c r="K1748" s="28" t="str">
        <f>IFERROR(__xludf.DUMMYFUNCTION("IFERROR(
INDEX(
FILTER(
MAP(
reglas!$B$2:$B$240,
reglas!$C$2:$C$240,
reglas!$D$2:$D$240,
reglas!$E$2:$E$240,
LAMBDA(rEmisor,rPatron,rConcepto,rTipo,
IF(
AND(
OR(
UPPER(TRIM(rEmisor))=UPPER(TRIM(C1748)),
UPPER(TRIM(rEmisor))=""CUALQUIERA""
),
OR(
UPPER(TRI"&amp;"M(rTipo))=""SOLO EMISOR"",
AND(
UPPER(TRIM(rTipo))=""EXACTA"",
UPPER(TRIM(AG1748))=UPPER(TRIM(rPatron))
),
AND(
OR(
UPPER(TRIM(rTipo))=""CONTIENE"",
UPPER(TRIM(rTipo))=""COINCIDENCIA""
),
ISNUMBER(SEARCH(UPPER(TRIM(rPatron)),UPPER(TRIM(D1748))))
)
)
),
rC"&amp;"oncepto,
""""
)
)
),
MAP(
reglas!$B$2:$B$240,
reglas!$C$2:$C$240,
reglas!$D$2:$D$240,
reglas!$E$2:$E$240,
LAMBDA(rEmisor,rPatron,rConcepto,rTipo,
IF(
AND(
OR(
UPPER(TRIM(rEmisor))=UPPER(TRIM(C1748)),
UPPER(TRIM(rEmisor))=""CUALQUIERA""
),
OR(
UPPER(TRIM(r"&amp;"Tipo))=""SOLO EMISOR"",
AND(
UPPER(TRIM(rTipo))=""EXACTA"",
UPPER(TRIM(D1748))=UPPER(TRIM(rPatron))
),
AND(
OR(
UPPER(TRIM(rTipo))=""CONTIENE"",
UPPER(TRIM(rTipo))=""COINCIDENCIA""
),
ISNUMBER(SEARCH(UPPER(TRIM(rPatron)),UPPER(TRIM(D1748))))
)
)
),
rConce"&amp;"pto,
""""
)
)
)&lt;&gt;""""
),
1
),
""""
)"),"TRANSPORTE")</f>
        <v>TRANSPORTE</v>
      </c>
      <c r="L1748" s="27"/>
      <c r="M1748" s="27"/>
      <c r="N1748" s="27"/>
      <c r="O1748" s="27"/>
      <c r="P1748" s="27"/>
      <c r="Q1748" s="27"/>
      <c r="R1748" s="27"/>
      <c r="S1748" s="27"/>
      <c r="T1748" s="27"/>
      <c r="U1748" s="27"/>
      <c r="V1748" s="27"/>
      <c r="W1748" s="27"/>
      <c r="X1748" s="27"/>
      <c r="Y1748" s="27"/>
    </row>
    <row r="1749">
      <c r="A1749" s="28">
        <v>1.0</v>
      </c>
      <c r="B1749" s="28" t="s">
        <v>29</v>
      </c>
      <c r="C1749" s="29" t="s">
        <v>271</v>
      </c>
      <c r="D1749" s="29" t="s">
        <v>585</v>
      </c>
      <c r="E1749" s="28">
        <v>620.28</v>
      </c>
      <c r="F1749" s="28">
        <v>0.0</v>
      </c>
      <c r="G1749" s="99" t="s">
        <v>84</v>
      </c>
      <c r="H1749" s="28">
        <f t="array" ref="H1749">INDEX(CC!C:C,MATCH(1,(CC!A:A=G1749)*(CC!B:B=I1749),0))</f>
        <v>1002</v>
      </c>
      <c r="I1749" s="99" t="s">
        <v>25</v>
      </c>
      <c r="J1749" s="31">
        <v>620.28</v>
      </c>
      <c r="K1749" s="28" t="str">
        <f>IFERROR(__xludf.DUMMYFUNCTION("IFERROR(
INDEX(
FILTER(
MAP(
reglas!$B$2:$B$240,
reglas!$C$2:$C$240,
reglas!$D$2:$D$240,
reglas!$E$2:$E$240,
LAMBDA(rEmisor,rPatron,rConcepto,rTipo,
IF(
AND(
OR(
UPPER(TRIM(rEmisor))=UPPER(TRIM(C1749)),
UPPER(TRIM(rEmisor))=""CUALQUIERA""
),
OR(
UPPER(TRI"&amp;"M(rTipo))=""SOLO EMISOR"",
AND(
UPPER(TRIM(rTipo))=""EXACTA"",
UPPER(TRIM(AG1749))=UPPER(TRIM(rPatron))
),
AND(
OR(
UPPER(TRIM(rTipo))=""CONTIENE"",
UPPER(TRIM(rTipo))=""COINCIDENCIA""
),
ISNUMBER(SEARCH(UPPER(TRIM(rPatron)),UPPER(TRIM(D1749))))
)
)
),
rC"&amp;"oncepto,
""""
)
)
),
MAP(
reglas!$B$2:$B$240,
reglas!$C$2:$C$240,
reglas!$D$2:$D$240,
reglas!$E$2:$E$240,
LAMBDA(rEmisor,rPatron,rConcepto,rTipo,
IF(
AND(
OR(
UPPER(TRIM(rEmisor))=UPPER(TRIM(C1749)),
UPPER(TRIM(rEmisor))=""CUALQUIERA""
),
OR(
UPPER(TRIM(r"&amp;"Tipo))=""SOLO EMISOR"",
AND(
UPPER(TRIM(rTipo))=""EXACTA"",
UPPER(TRIM(D1749))=UPPER(TRIM(rPatron))
),
AND(
OR(
UPPER(TRIM(rTipo))=""CONTIENE"",
UPPER(TRIM(rTipo))=""COINCIDENCIA""
),
ISNUMBER(SEARCH(UPPER(TRIM(rPatron)),UPPER(TRIM(D1749))))
)
)
),
rConce"&amp;"pto,
""""
)
)
)&lt;&gt;""""
),
1
),
""""
)"),"MANIOBRAS")</f>
        <v>MANIOBRAS</v>
      </c>
      <c r="L1749" s="27"/>
      <c r="M1749" s="27"/>
      <c r="N1749" s="27"/>
      <c r="O1749" s="27"/>
      <c r="P1749" s="27"/>
      <c r="Q1749" s="27"/>
      <c r="R1749" s="27"/>
      <c r="S1749" s="27"/>
      <c r="T1749" s="27"/>
      <c r="U1749" s="27"/>
      <c r="V1749" s="27"/>
      <c r="W1749" s="27"/>
      <c r="X1749" s="27"/>
      <c r="Y1749" s="27"/>
    </row>
    <row r="1750">
      <c r="A1750" s="32"/>
      <c r="B1750" s="32"/>
      <c r="C1750" s="29" t="s">
        <v>271</v>
      </c>
      <c r="D1750" s="29" t="s">
        <v>587</v>
      </c>
      <c r="E1750" s="28">
        <v>567.51</v>
      </c>
      <c r="F1750" s="28">
        <v>0.0</v>
      </c>
      <c r="G1750" s="99" t="s">
        <v>84</v>
      </c>
      <c r="H1750" s="28">
        <f t="array" ref="H1750">INDEX(CC!C:C,MATCH(1,(CC!A:A=G1750)*(CC!B:B=I1750),0))</f>
        <v>1002</v>
      </c>
      <c r="I1750" s="99" t="s">
        <v>25</v>
      </c>
      <c r="J1750" s="31">
        <v>567.51</v>
      </c>
      <c r="K1750" s="28" t="str">
        <f>IFERROR(__xludf.DUMMYFUNCTION("IFERROR(
INDEX(
FILTER(
MAP(
reglas!$B$2:$B$240,
reglas!$C$2:$C$240,
reglas!$D$2:$D$240,
reglas!$E$2:$E$240,
LAMBDA(rEmisor,rPatron,rConcepto,rTipo,
IF(
AND(
OR(
UPPER(TRIM(rEmisor))=UPPER(TRIM(C1750)),
UPPER(TRIM(rEmisor))=""CUALQUIERA""
),
OR(
UPPER(TRI"&amp;"M(rTipo))=""SOLO EMISOR"",
AND(
UPPER(TRIM(rTipo))=""EXACTA"",
UPPER(TRIM(AG1750))=UPPER(TRIM(rPatron))
),
AND(
OR(
UPPER(TRIM(rTipo))=""CONTIENE"",
UPPER(TRIM(rTipo))=""COINCIDENCIA""
),
ISNUMBER(SEARCH(UPPER(TRIM(rPatron)),UPPER(TRIM(D1750))))
)
)
),
rC"&amp;"oncepto,
""""
)
)
),
MAP(
reglas!$B$2:$B$240,
reglas!$C$2:$C$240,
reglas!$D$2:$D$240,
reglas!$E$2:$E$240,
LAMBDA(rEmisor,rPatron,rConcepto,rTipo,
IF(
AND(
OR(
UPPER(TRIM(rEmisor))=UPPER(TRIM(C1750)),
UPPER(TRIM(rEmisor))=""CUALQUIERA""
),
OR(
UPPER(TRIM(r"&amp;"Tipo))=""SOLO EMISOR"",
AND(
UPPER(TRIM(rTipo))=""EXACTA"",
UPPER(TRIM(D1750))=UPPER(TRIM(rPatron))
),
AND(
OR(
UPPER(TRIM(rTipo))=""CONTIENE"",
UPPER(TRIM(rTipo))=""COINCIDENCIA""
),
ISNUMBER(SEARCH(UPPER(TRIM(rPatron)),UPPER(TRIM(D1750))))
)
)
),
rConce"&amp;"pto,
""""
)
)
)&lt;&gt;""""
),
1
),
""""
)"),"MANIOBRAS")</f>
        <v>MANIOBRAS</v>
      </c>
      <c r="L1750" s="27"/>
      <c r="M1750" s="27"/>
      <c r="N1750" s="27"/>
      <c r="O1750" s="27"/>
      <c r="P1750" s="27"/>
      <c r="Q1750" s="27"/>
      <c r="R1750" s="27"/>
      <c r="S1750" s="27"/>
      <c r="T1750" s="27"/>
      <c r="U1750" s="27"/>
      <c r="V1750" s="27"/>
      <c r="W1750" s="27"/>
      <c r="X1750" s="27"/>
      <c r="Y1750" s="27"/>
    </row>
    <row r="1751">
      <c r="A1751" s="32"/>
      <c r="B1751" s="32"/>
      <c r="C1751" s="29" t="s">
        <v>271</v>
      </c>
      <c r="D1751" s="29" t="s">
        <v>589</v>
      </c>
      <c r="E1751" s="28">
        <v>620.62</v>
      </c>
      <c r="F1751" s="28">
        <v>0.0</v>
      </c>
      <c r="G1751" s="99" t="s">
        <v>84</v>
      </c>
      <c r="H1751" s="28">
        <f t="array" ref="H1751">INDEX(CC!C:C,MATCH(1,(CC!A:A=G1751)*(CC!B:B=I1751),0))</f>
        <v>1002</v>
      </c>
      <c r="I1751" s="99" t="s">
        <v>25</v>
      </c>
      <c r="J1751" s="31">
        <v>620.62</v>
      </c>
      <c r="K1751" s="28" t="str">
        <f>IFERROR(__xludf.DUMMYFUNCTION("IFERROR(
INDEX(
FILTER(
MAP(
reglas!$B$2:$B$240,
reglas!$C$2:$C$240,
reglas!$D$2:$D$240,
reglas!$E$2:$E$240,
LAMBDA(rEmisor,rPatron,rConcepto,rTipo,
IF(
AND(
OR(
UPPER(TRIM(rEmisor))=UPPER(TRIM(C1751)),
UPPER(TRIM(rEmisor))=""CUALQUIERA""
),
OR(
UPPER(TRI"&amp;"M(rTipo))=""SOLO EMISOR"",
AND(
UPPER(TRIM(rTipo))=""EXACTA"",
UPPER(TRIM(AG1751))=UPPER(TRIM(rPatron))
),
AND(
OR(
UPPER(TRIM(rTipo))=""CONTIENE"",
UPPER(TRIM(rTipo))=""COINCIDENCIA""
),
ISNUMBER(SEARCH(UPPER(TRIM(rPatron)),UPPER(TRIM(D1751))))
)
)
),
rC"&amp;"oncepto,
""""
)
)
),
MAP(
reglas!$B$2:$B$240,
reglas!$C$2:$C$240,
reglas!$D$2:$D$240,
reglas!$E$2:$E$240,
LAMBDA(rEmisor,rPatron,rConcepto,rTipo,
IF(
AND(
OR(
UPPER(TRIM(rEmisor))=UPPER(TRIM(C1751)),
UPPER(TRIM(rEmisor))=""CUALQUIERA""
),
OR(
UPPER(TRIM(r"&amp;"Tipo))=""SOLO EMISOR"",
AND(
UPPER(TRIM(rTipo))=""EXACTA"",
UPPER(TRIM(D1751))=UPPER(TRIM(rPatron))
),
AND(
OR(
UPPER(TRIM(rTipo))=""CONTIENE"",
UPPER(TRIM(rTipo))=""COINCIDENCIA""
),
ISNUMBER(SEARCH(UPPER(TRIM(rPatron)),UPPER(TRIM(D1751))))
)
)
),
rConce"&amp;"pto,
""""
)
)
)&lt;&gt;""""
),
1
),
""""
)"),"MANIOBRAS")</f>
        <v>MANIOBRAS</v>
      </c>
      <c r="L1751" s="27"/>
      <c r="M1751" s="27"/>
      <c r="N1751" s="27"/>
      <c r="O1751" s="27"/>
      <c r="P1751" s="27"/>
      <c r="Q1751" s="27"/>
      <c r="R1751" s="27"/>
      <c r="S1751" s="27"/>
      <c r="T1751" s="27"/>
      <c r="U1751" s="27"/>
      <c r="V1751" s="27"/>
      <c r="W1751" s="27"/>
      <c r="X1751" s="27"/>
      <c r="Y1751" s="27"/>
    </row>
    <row r="1752">
      <c r="A1752" s="32"/>
      <c r="B1752" s="32"/>
      <c r="C1752" s="29" t="s">
        <v>271</v>
      </c>
      <c r="D1752" s="29" t="s">
        <v>596</v>
      </c>
      <c r="E1752" s="28">
        <v>651.16</v>
      </c>
      <c r="F1752" s="28">
        <v>0.0</v>
      </c>
      <c r="G1752" s="99" t="s">
        <v>84</v>
      </c>
      <c r="H1752" s="28">
        <f t="array" ref="H1752">INDEX(CC!C:C,MATCH(1,(CC!A:A=G1752)*(CC!B:B=I1752),0))</f>
        <v>1002</v>
      </c>
      <c r="I1752" s="99" t="s">
        <v>25</v>
      </c>
      <c r="J1752" s="31">
        <v>651.16</v>
      </c>
      <c r="K1752" s="28" t="str">
        <f>IFERROR(__xludf.DUMMYFUNCTION("IFERROR(
INDEX(
FILTER(
MAP(
reglas!$B$2:$B$240,
reglas!$C$2:$C$240,
reglas!$D$2:$D$240,
reglas!$E$2:$E$240,
LAMBDA(rEmisor,rPatron,rConcepto,rTipo,
IF(
AND(
OR(
UPPER(TRIM(rEmisor))=UPPER(TRIM(C1752)),
UPPER(TRIM(rEmisor))=""CUALQUIERA""
),
OR(
UPPER(TRI"&amp;"M(rTipo))=""SOLO EMISOR"",
AND(
UPPER(TRIM(rTipo))=""EXACTA"",
UPPER(TRIM(AG1752))=UPPER(TRIM(rPatron))
),
AND(
OR(
UPPER(TRIM(rTipo))=""CONTIENE"",
UPPER(TRIM(rTipo))=""COINCIDENCIA""
),
ISNUMBER(SEARCH(UPPER(TRIM(rPatron)),UPPER(TRIM(D1752))))
)
)
),
rC"&amp;"oncepto,
""""
)
)
),
MAP(
reglas!$B$2:$B$240,
reglas!$C$2:$C$240,
reglas!$D$2:$D$240,
reglas!$E$2:$E$240,
LAMBDA(rEmisor,rPatron,rConcepto,rTipo,
IF(
AND(
OR(
UPPER(TRIM(rEmisor))=UPPER(TRIM(C1752)),
UPPER(TRIM(rEmisor))=""CUALQUIERA""
),
OR(
UPPER(TRIM(r"&amp;"Tipo))=""SOLO EMISOR"",
AND(
UPPER(TRIM(rTipo))=""EXACTA"",
UPPER(TRIM(D1752))=UPPER(TRIM(rPatron))
),
AND(
OR(
UPPER(TRIM(rTipo))=""CONTIENE"",
UPPER(TRIM(rTipo))=""COINCIDENCIA""
),
ISNUMBER(SEARCH(UPPER(TRIM(rPatron)),UPPER(TRIM(D1752))))
)
)
),
rConce"&amp;"pto,
""""
)
)
)&lt;&gt;""""
),
1
),
""""
)"),"MANIOBRAS")</f>
        <v>MANIOBRAS</v>
      </c>
      <c r="L1752" s="27"/>
      <c r="M1752" s="27"/>
      <c r="N1752" s="27"/>
      <c r="O1752" s="27"/>
      <c r="P1752" s="27"/>
      <c r="Q1752" s="27"/>
      <c r="R1752" s="27"/>
      <c r="S1752" s="27"/>
      <c r="T1752" s="27"/>
      <c r="U1752" s="27"/>
      <c r="V1752" s="27"/>
      <c r="W1752" s="27"/>
      <c r="X1752" s="27"/>
      <c r="Y1752" s="27"/>
    </row>
    <row r="1753">
      <c r="A1753" s="28">
        <v>1.0</v>
      </c>
      <c r="B1753" s="28" t="s">
        <v>29</v>
      </c>
      <c r="C1753" s="29" t="s">
        <v>281</v>
      </c>
      <c r="D1753" s="29" t="s">
        <v>1977</v>
      </c>
      <c r="E1753" s="28">
        <v>700.0</v>
      </c>
      <c r="F1753" s="28">
        <v>0.0</v>
      </c>
      <c r="G1753" s="99" t="s">
        <v>84</v>
      </c>
      <c r="H1753" s="28">
        <f t="array" ref="H1753">INDEX(CC!C:C,MATCH(1,(CC!A:A=G1753)*(CC!B:B=I1753),0))</f>
        <v>1002</v>
      </c>
      <c r="I1753" s="99" t="s">
        <v>25</v>
      </c>
      <c r="J1753" s="31">
        <v>700.0</v>
      </c>
      <c r="K1753" s="28" t="str">
        <f>IFERROR(__xludf.DUMMYFUNCTION("IFERROR(
INDEX(
FILTER(
MAP(
reglas!$B$2:$B$240,
reglas!$C$2:$C$240,
reglas!$D$2:$D$240,
reglas!$E$2:$E$240,
LAMBDA(rEmisor,rPatron,rConcepto,rTipo,
IF(
AND(
OR(
UPPER(TRIM(rEmisor))=UPPER(TRIM(C1753)),
UPPER(TRIM(rEmisor))=""CUALQUIERA""
),
OR(
UPPER(TRI"&amp;"M(rTipo))=""SOLO EMISOR"",
AND(
UPPER(TRIM(rTipo))=""EXACTA"",
UPPER(TRIM(AG1753))=UPPER(TRIM(rPatron))
),
AND(
OR(
UPPER(TRIM(rTipo))=""CONTIENE"",
UPPER(TRIM(rTipo))=""COINCIDENCIA""
),
ISNUMBER(SEARCH(UPPER(TRIM(rPatron)),UPPER(TRIM(D1753))))
)
)
),
rC"&amp;"oncepto,
""""
)
)
),
MAP(
reglas!$B$2:$B$240,
reglas!$C$2:$C$240,
reglas!$D$2:$D$240,
reglas!$E$2:$E$240,
LAMBDA(rEmisor,rPatron,rConcepto,rTipo,
IF(
AND(
OR(
UPPER(TRIM(rEmisor))=UPPER(TRIM(C1753)),
UPPER(TRIM(rEmisor))=""CUALQUIERA""
),
OR(
UPPER(TRIM(r"&amp;"Tipo))=""SOLO EMISOR"",
AND(
UPPER(TRIM(rTipo))=""EXACTA"",
UPPER(TRIM(D1753))=UPPER(TRIM(rPatron))
),
AND(
OR(
UPPER(TRIM(rTipo))=""CONTIENE"",
UPPER(TRIM(rTipo))=""COINCIDENCIA""
),
ISNUMBER(SEARCH(UPPER(TRIM(rPatron)),UPPER(TRIM(D1753))))
)
)
),
rConce"&amp;"pto,
""""
)
)
)&lt;&gt;""""
),
1
),
""""
)"),"TRANSPORTE")</f>
        <v>TRANSPORTE</v>
      </c>
      <c r="L1753" s="27"/>
      <c r="M1753" s="27"/>
      <c r="N1753" s="27"/>
      <c r="O1753" s="27"/>
      <c r="P1753" s="27"/>
      <c r="Q1753" s="27"/>
      <c r="R1753" s="27"/>
      <c r="S1753" s="27"/>
      <c r="T1753" s="27"/>
      <c r="U1753" s="27"/>
      <c r="V1753" s="27"/>
      <c r="W1753" s="27"/>
      <c r="X1753" s="27"/>
      <c r="Y1753" s="27"/>
    </row>
    <row r="1754">
      <c r="A1754" s="28">
        <v>1.0</v>
      </c>
      <c r="B1754" s="28" t="s">
        <v>29</v>
      </c>
      <c r="C1754" s="29" t="s">
        <v>230</v>
      </c>
      <c r="D1754" s="29" t="s">
        <v>1760</v>
      </c>
      <c r="E1754" s="28">
        <v>939.14</v>
      </c>
      <c r="F1754" s="28">
        <v>0.0</v>
      </c>
      <c r="G1754" s="99" t="s">
        <v>225</v>
      </c>
      <c r="H1754" s="28">
        <f t="array" ref="H1754">INDEX(CC!C:C,MATCH(1,(CC!A:A=G1754)*(CC!B:B=I1754),0))</f>
        <v>102</v>
      </c>
      <c r="I1754" s="99" t="s">
        <v>25</v>
      </c>
      <c r="J1754" s="31">
        <v>939.14</v>
      </c>
      <c r="K1754" s="28" t="str">
        <f>IFERROR(__xludf.DUMMYFUNCTION("IFERROR(
INDEX(
FILTER(
MAP(
reglas!$B$2:$B$240,
reglas!$C$2:$C$240,
reglas!$D$2:$D$240,
reglas!$E$2:$E$240,
LAMBDA(rEmisor,rPatron,rConcepto,rTipo,
IF(
AND(
OR(
UPPER(TRIM(rEmisor))=UPPER(TRIM(C1754)),
UPPER(TRIM(rEmisor))=""CUALQUIERA""
),
OR(
UPPER(TRI"&amp;"M(rTipo))=""SOLO EMISOR"",
AND(
UPPER(TRIM(rTipo))=""EXACTA"",
UPPER(TRIM(AG1754))=UPPER(TRIM(rPatron))
),
AND(
OR(
UPPER(TRIM(rTipo))=""CONTIENE"",
UPPER(TRIM(rTipo))=""COINCIDENCIA""
),
ISNUMBER(SEARCH(UPPER(TRIM(rPatron)),UPPER(TRIM(D1754))))
)
)
),
rC"&amp;"oncepto,
""""
)
)
),
MAP(
reglas!$B$2:$B$240,
reglas!$C$2:$C$240,
reglas!$D$2:$D$240,
reglas!$E$2:$E$240,
LAMBDA(rEmisor,rPatron,rConcepto,rTipo,
IF(
AND(
OR(
UPPER(TRIM(rEmisor))=UPPER(TRIM(C1754)),
UPPER(TRIM(rEmisor))=""CUALQUIERA""
),
OR(
UPPER(TRIM(r"&amp;"Tipo))=""SOLO EMISOR"",
AND(
UPPER(TRIM(rTipo))=""EXACTA"",
UPPER(TRIM(D1754))=UPPER(TRIM(rPatron))
),
AND(
OR(
UPPER(TRIM(rTipo))=""CONTIENE"",
UPPER(TRIM(rTipo))=""COINCIDENCIA""
),
ISNUMBER(SEARCH(UPPER(TRIM(rPatron)),UPPER(TRIM(D1754))))
)
)
),
rConce"&amp;"pto,
""""
)
)
)&lt;&gt;""""
),
1
),
""""
)"),"COMISIONES BANCARIAS")</f>
        <v>COMISIONES BANCARIAS</v>
      </c>
      <c r="L1754" s="27"/>
      <c r="M1754" s="27"/>
      <c r="N1754" s="27"/>
      <c r="O1754" s="27"/>
      <c r="P1754" s="27"/>
      <c r="Q1754" s="27"/>
      <c r="R1754" s="27"/>
      <c r="S1754" s="27"/>
      <c r="T1754" s="27"/>
      <c r="U1754" s="27"/>
      <c r="V1754" s="27"/>
      <c r="W1754" s="27"/>
      <c r="X1754" s="27"/>
      <c r="Y1754" s="27"/>
    </row>
    <row r="1755">
      <c r="A1755" s="32"/>
      <c r="B1755" s="28" t="s">
        <v>29</v>
      </c>
      <c r="C1755" s="29" t="s">
        <v>172</v>
      </c>
      <c r="D1755" s="29" t="s">
        <v>1967</v>
      </c>
      <c r="E1755" s="30">
        <v>11500.0</v>
      </c>
      <c r="F1755" s="28">
        <v>0.0</v>
      </c>
      <c r="G1755" s="99" t="s">
        <v>250</v>
      </c>
      <c r="H1755" s="28">
        <f t="array" ref="H1755">INDEX(CC!C:C,MATCH(1,(CC!A:A=G1755)*(CC!B:B=I1755),0))</f>
        <v>1402</v>
      </c>
      <c r="I1755" s="99" t="s">
        <v>25</v>
      </c>
      <c r="J1755" s="31">
        <v>11500.0</v>
      </c>
      <c r="K1755" s="28" t="str">
        <f>IFERROR(__xludf.DUMMYFUNCTION("IFERROR(
INDEX(
FILTER(
MAP(
reglas!$B$2:$B$240,
reglas!$C$2:$C$240,
reglas!$D$2:$D$240,
reglas!$E$2:$E$240,
LAMBDA(rEmisor,rPatron,rConcepto,rTipo,
IF(
AND(
OR(
UPPER(TRIM(rEmisor))=UPPER(TRIM(C1755)),
UPPER(TRIM(rEmisor))=""CUALQUIERA""
),
OR(
UPPER(TRI"&amp;"M(rTipo))=""SOLO EMISOR"",
AND(
UPPER(TRIM(rTipo))=""EXACTA"",
UPPER(TRIM(AG1755))=UPPER(TRIM(rPatron))
),
AND(
OR(
UPPER(TRIM(rTipo))=""CONTIENE"",
UPPER(TRIM(rTipo))=""COINCIDENCIA""
),
ISNUMBER(SEARCH(UPPER(TRIM(rPatron)),UPPER(TRIM(D1755))))
)
)
),
rC"&amp;"oncepto,
""""
)
)
),
MAP(
reglas!$B$2:$B$240,
reglas!$C$2:$C$240,
reglas!$D$2:$D$240,
reglas!$E$2:$E$240,
LAMBDA(rEmisor,rPatron,rConcepto,rTipo,
IF(
AND(
OR(
UPPER(TRIM(rEmisor))=UPPER(TRIM(C1755)),
UPPER(TRIM(rEmisor))=""CUALQUIERA""
),
OR(
UPPER(TRIM(r"&amp;"Tipo))=""SOLO EMISOR"",
AND(
UPPER(TRIM(rTipo))=""EXACTA"",
UPPER(TRIM(D1755))=UPPER(TRIM(rPatron))
),
AND(
OR(
UPPER(TRIM(rTipo))=""CONTIENE"",
UPPER(TRIM(rTipo))=""COINCIDENCIA""
),
ISNUMBER(SEARCH(UPPER(TRIM(rPatron)),UPPER(TRIM(D1755))))
)
)
),
rConce"&amp;"pto,
""""
)
)
)&lt;&gt;""""
),
1
),
""""
)"),"TRANSPORTE")</f>
        <v>TRANSPORTE</v>
      </c>
      <c r="L1755" s="27"/>
      <c r="M1755" s="27"/>
      <c r="N1755" s="27"/>
      <c r="O1755" s="27"/>
      <c r="P1755" s="27"/>
      <c r="Q1755" s="27"/>
      <c r="R1755" s="27"/>
      <c r="S1755" s="27"/>
      <c r="T1755" s="27"/>
      <c r="U1755" s="27"/>
      <c r="V1755" s="27"/>
      <c r="W1755" s="27"/>
      <c r="X1755" s="27"/>
      <c r="Y1755" s="27"/>
    </row>
    <row r="1756">
      <c r="A1756" s="32"/>
      <c r="B1756" s="28" t="s">
        <v>29</v>
      </c>
      <c r="C1756" s="29" t="s">
        <v>490</v>
      </c>
      <c r="D1756" s="29" t="s">
        <v>1978</v>
      </c>
      <c r="E1756" s="30">
        <v>2100.0</v>
      </c>
      <c r="F1756" s="28">
        <v>0.0</v>
      </c>
      <c r="G1756" s="99" t="s">
        <v>225</v>
      </c>
      <c r="H1756" s="28">
        <f t="array" ref="H1756">INDEX(CC!C:C,MATCH(1,(CC!A:A=G1756)*(CC!B:B=I1756),0))</f>
        <v>102</v>
      </c>
      <c r="I1756" s="99" t="s">
        <v>25</v>
      </c>
      <c r="J1756" s="31">
        <v>2100.0</v>
      </c>
      <c r="K1756" s="28" t="str">
        <f>IFERROR(__xludf.DUMMYFUNCTION("IFERROR(
INDEX(
FILTER(
MAP(
reglas!$B$2:$B$240,
reglas!$C$2:$C$240,
reglas!$D$2:$D$240,
reglas!$E$2:$E$240,
LAMBDA(rEmisor,rPatron,rConcepto,rTipo,
IF(
AND(
OR(
UPPER(TRIM(rEmisor))=UPPER(TRIM(C1756)),
UPPER(TRIM(rEmisor))=""CUALQUIERA""
),
OR(
UPPER(TRI"&amp;"M(rTipo))=""SOLO EMISOR"",
AND(
UPPER(TRIM(rTipo))=""EXACTA"",
UPPER(TRIM(AG1756))=UPPER(TRIM(rPatron))
),
AND(
OR(
UPPER(TRIM(rTipo))=""CONTIENE"",
UPPER(TRIM(rTipo))=""COINCIDENCIA""
),
ISNUMBER(SEARCH(UPPER(TRIM(rPatron)),UPPER(TRIM(D1756))))
)
)
),
rC"&amp;"oncepto,
""""
)
)
),
MAP(
reglas!$B$2:$B$240,
reglas!$C$2:$C$240,
reglas!$D$2:$D$240,
reglas!$E$2:$E$240,
LAMBDA(rEmisor,rPatron,rConcepto,rTipo,
IF(
AND(
OR(
UPPER(TRIM(rEmisor))=UPPER(TRIM(C1756)),
UPPER(TRIM(rEmisor))=""CUALQUIERA""
),
OR(
UPPER(TRIM(r"&amp;"Tipo))=""SOLO EMISOR"",
AND(
UPPER(TRIM(rTipo))=""EXACTA"",
UPPER(TRIM(D1756))=UPPER(TRIM(rPatron))
),
AND(
OR(
UPPER(TRIM(rTipo))=""CONTIENE"",
UPPER(TRIM(rTipo))=""COINCIDENCIA""
),
ISNUMBER(SEARCH(UPPER(TRIM(rPatron)),UPPER(TRIM(D1756))))
)
)
),
rConce"&amp;"pto,
""""
)
)
)&lt;&gt;""""
),
1
),
""""
)"),"OTROS GASTOS")</f>
        <v>OTROS GASTOS</v>
      </c>
      <c r="L1756" s="27"/>
      <c r="M1756" s="27"/>
      <c r="N1756" s="27"/>
      <c r="O1756" s="27"/>
      <c r="P1756" s="27"/>
      <c r="Q1756" s="27"/>
      <c r="R1756" s="27"/>
      <c r="S1756" s="27"/>
      <c r="T1756" s="27"/>
      <c r="U1756" s="27"/>
      <c r="V1756" s="27"/>
      <c r="W1756" s="27"/>
      <c r="X1756" s="27"/>
      <c r="Y1756" s="27"/>
    </row>
    <row r="1757">
      <c r="A1757" s="32"/>
      <c r="B1757" s="32"/>
      <c r="C1757" s="29" t="s">
        <v>490</v>
      </c>
      <c r="D1757" s="29" t="s">
        <v>1979</v>
      </c>
      <c r="E1757" s="28">
        <v>294.0</v>
      </c>
      <c r="F1757" s="28">
        <v>0.0</v>
      </c>
      <c r="G1757" s="99" t="s">
        <v>225</v>
      </c>
      <c r="H1757" s="28">
        <f t="array" ref="H1757">INDEX(CC!C:C,MATCH(1,(CC!A:A=G1757)*(CC!B:B=I1757),0))</f>
        <v>102</v>
      </c>
      <c r="I1757" s="99" t="s">
        <v>25</v>
      </c>
      <c r="J1757" s="31">
        <v>294.0</v>
      </c>
      <c r="K1757" s="28" t="str">
        <f>IFERROR(__xludf.DUMMYFUNCTION("IFERROR(
INDEX(
FILTER(
MAP(
reglas!$B$2:$B$240,
reglas!$C$2:$C$240,
reglas!$D$2:$D$240,
reglas!$E$2:$E$240,
LAMBDA(rEmisor,rPatron,rConcepto,rTipo,
IF(
AND(
OR(
UPPER(TRIM(rEmisor))=UPPER(TRIM(C1757)),
UPPER(TRIM(rEmisor))=""CUALQUIERA""
),
OR(
UPPER(TRI"&amp;"M(rTipo))=""SOLO EMISOR"",
AND(
UPPER(TRIM(rTipo))=""EXACTA"",
UPPER(TRIM(AG1757))=UPPER(TRIM(rPatron))
),
AND(
OR(
UPPER(TRIM(rTipo))=""CONTIENE"",
UPPER(TRIM(rTipo))=""COINCIDENCIA""
),
ISNUMBER(SEARCH(UPPER(TRIM(rPatron)),UPPER(TRIM(D1757))))
)
)
),
rC"&amp;"oncepto,
""""
)
)
),
MAP(
reglas!$B$2:$B$240,
reglas!$C$2:$C$240,
reglas!$D$2:$D$240,
reglas!$E$2:$E$240,
LAMBDA(rEmisor,rPatron,rConcepto,rTipo,
IF(
AND(
OR(
UPPER(TRIM(rEmisor))=UPPER(TRIM(C1757)),
UPPER(TRIM(rEmisor))=""CUALQUIERA""
),
OR(
UPPER(TRIM(r"&amp;"Tipo))=""SOLO EMISOR"",
AND(
UPPER(TRIM(rTipo))=""EXACTA"",
UPPER(TRIM(D1757))=UPPER(TRIM(rPatron))
),
AND(
OR(
UPPER(TRIM(rTipo))=""CONTIENE"",
UPPER(TRIM(rTipo))=""COINCIDENCIA""
),
ISNUMBER(SEARCH(UPPER(TRIM(rPatron)),UPPER(TRIM(D1757))))
)
)
),
rConce"&amp;"pto,
""""
)
)
)&lt;&gt;""""
),
1
),
""""
)"),"OTROS GASTOS")</f>
        <v>OTROS GASTOS</v>
      </c>
      <c r="L1757" s="27"/>
      <c r="M1757" s="27"/>
      <c r="N1757" s="27"/>
      <c r="O1757" s="27"/>
      <c r="P1757" s="27"/>
      <c r="Q1757" s="27"/>
      <c r="R1757" s="27"/>
      <c r="S1757" s="27"/>
      <c r="T1757" s="27"/>
      <c r="U1757" s="27"/>
      <c r="V1757" s="27"/>
      <c r="W1757" s="27"/>
      <c r="X1757" s="27"/>
      <c r="Y1757" s="27"/>
    </row>
    <row r="1758">
      <c r="A1758" s="32"/>
      <c r="B1758" s="28" t="s">
        <v>29</v>
      </c>
      <c r="C1758" s="29" t="s">
        <v>172</v>
      </c>
      <c r="D1758" s="29" t="s">
        <v>1973</v>
      </c>
      <c r="E1758" s="30">
        <v>11500.0</v>
      </c>
      <c r="F1758" s="28">
        <v>0.0</v>
      </c>
      <c r="G1758" s="99" t="s">
        <v>250</v>
      </c>
      <c r="H1758" s="28">
        <f t="array" ref="H1758">INDEX(CC!C:C,MATCH(1,(CC!A:A=G1758)*(CC!B:B=I1758),0))</f>
        <v>1402</v>
      </c>
      <c r="I1758" s="99" t="s">
        <v>25</v>
      </c>
      <c r="J1758" s="31">
        <v>11500.0</v>
      </c>
      <c r="K1758" s="28" t="str">
        <f>IFERROR(__xludf.DUMMYFUNCTION("IFERROR(
INDEX(
FILTER(
MAP(
reglas!$B$2:$B$240,
reglas!$C$2:$C$240,
reglas!$D$2:$D$240,
reglas!$E$2:$E$240,
LAMBDA(rEmisor,rPatron,rConcepto,rTipo,
IF(
AND(
OR(
UPPER(TRIM(rEmisor))=UPPER(TRIM(C1758)),
UPPER(TRIM(rEmisor))=""CUALQUIERA""
),
OR(
UPPER(TRI"&amp;"M(rTipo))=""SOLO EMISOR"",
AND(
UPPER(TRIM(rTipo))=""EXACTA"",
UPPER(TRIM(AG1758))=UPPER(TRIM(rPatron))
),
AND(
OR(
UPPER(TRIM(rTipo))=""CONTIENE"",
UPPER(TRIM(rTipo))=""COINCIDENCIA""
),
ISNUMBER(SEARCH(UPPER(TRIM(rPatron)),UPPER(TRIM(D1758))))
)
)
),
rC"&amp;"oncepto,
""""
)
)
),
MAP(
reglas!$B$2:$B$240,
reglas!$C$2:$C$240,
reglas!$D$2:$D$240,
reglas!$E$2:$E$240,
LAMBDA(rEmisor,rPatron,rConcepto,rTipo,
IF(
AND(
OR(
UPPER(TRIM(rEmisor))=UPPER(TRIM(C1758)),
UPPER(TRIM(rEmisor))=""CUALQUIERA""
),
OR(
UPPER(TRIM(r"&amp;"Tipo))=""SOLO EMISOR"",
AND(
UPPER(TRIM(rTipo))=""EXACTA"",
UPPER(TRIM(D1758))=UPPER(TRIM(rPatron))
),
AND(
OR(
UPPER(TRIM(rTipo))=""CONTIENE"",
UPPER(TRIM(rTipo))=""COINCIDENCIA""
),
ISNUMBER(SEARCH(UPPER(TRIM(rPatron)),UPPER(TRIM(D1758))))
)
)
),
rConce"&amp;"pto,
""""
)
)
)&lt;&gt;""""
),
1
),
""""
)"),"TRANSPORTE")</f>
        <v>TRANSPORTE</v>
      </c>
      <c r="L1758" s="27"/>
      <c r="M1758" s="27"/>
      <c r="N1758" s="27"/>
      <c r="O1758" s="27"/>
      <c r="P1758" s="27"/>
      <c r="Q1758" s="27"/>
      <c r="R1758" s="27"/>
      <c r="S1758" s="27"/>
      <c r="T1758" s="27"/>
      <c r="U1758" s="27"/>
      <c r="V1758" s="27"/>
      <c r="W1758" s="27"/>
      <c r="X1758" s="27"/>
      <c r="Y1758" s="27"/>
    </row>
    <row r="1759">
      <c r="A1759" s="32"/>
      <c r="B1759" s="28" t="s">
        <v>29</v>
      </c>
      <c r="C1759" s="29" t="s">
        <v>163</v>
      </c>
      <c r="D1759" s="29" t="s">
        <v>1980</v>
      </c>
      <c r="E1759" s="28">
        <v>262.93</v>
      </c>
      <c r="F1759" s="28">
        <v>0.0</v>
      </c>
      <c r="G1759" s="99" t="s">
        <v>385</v>
      </c>
      <c r="H1759" s="28">
        <f t="array" ref="H1759">INDEX(CC!C:C,MATCH(1,(CC!A:A=G1759)*(CC!B:B=I1759),0))</f>
        <v>502</v>
      </c>
      <c r="I1759" s="99" t="s">
        <v>25</v>
      </c>
      <c r="J1759" s="31">
        <v>262.93</v>
      </c>
      <c r="K1759" s="28" t="str">
        <f>IFERROR(__xludf.DUMMYFUNCTION("IFERROR(
INDEX(
FILTER(
MAP(
reglas!$B$2:$B$240,
reglas!$C$2:$C$240,
reglas!$D$2:$D$240,
reglas!$E$2:$E$240,
LAMBDA(rEmisor,rPatron,rConcepto,rTipo,
IF(
AND(
OR(
UPPER(TRIM(rEmisor))=UPPER(TRIM(C1759)),
UPPER(TRIM(rEmisor))=""CUALQUIERA""
),
OR(
UPPER(TRI"&amp;"M(rTipo))=""SOLO EMISOR"",
AND(
UPPER(TRIM(rTipo))=""EXACTA"",
UPPER(TRIM(AG1759))=UPPER(TRIM(rPatron))
),
AND(
OR(
UPPER(TRIM(rTipo))=""CONTIENE"",
UPPER(TRIM(rTipo))=""COINCIDENCIA""
),
ISNUMBER(SEARCH(UPPER(TRIM(rPatron)),UPPER(TRIM(D1759))))
)
)
),
rC"&amp;"oncepto,
""""
)
)
),
MAP(
reglas!$B$2:$B$240,
reglas!$C$2:$C$240,
reglas!$D$2:$D$240,
reglas!$E$2:$E$240,
LAMBDA(rEmisor,rPatron,rConcepto,rTipo,
IF(
AND(
OR(
UPPER(TRIM(rEmisor))=UPPER(TRIM(C1759)),
UPPER(TRIM(rEmisor))=""CUALQUIERA""
),
OR(
UPPER(TRIM(r"&amp;"Tipo))=""SOLO EMISOR"",
AND(
UPPER(TRIM(rTipo))=""EXACTA"",
UPPER(TRIM(D1759))=UPPER(TRIM(rPatron))
),
AND(
OR(
UPPER(TRIM(rTipo))=""CONTIENE"",
UPPER(TRIM(rTipo))=""COINCIDENCIA""
),
ISNUMBER(SEARCH(UPPER(TRIM(rPatron)),UPPER(TRIM(D1759))))
)
)
),
rConce"&amp;"pto,
""""
)
)
)&lt;&gt;""""
),
1
),
""""
)"),"PATIO REGULADOR")</f>
        <v>PATIO REGULADOR</v>
      </c>
      <c r="L1759" s="27"/>
      <c r="M1759" s="27"/>
      <c r="N1759" s="27"/>
      <c r="O1759" s="27"/>
      <c r="P1759" s="27"/>
      <c r="Q1759" s="27"/>
      <c r="R1759" s="27"/>
      <c r="S1759" s="27"/>
      <c r="T1759" s="27"/>
      <c r="U1759" s="27"/>
      <c r="V1759" s="27"/>
      <c r="W1759" s="27"/>
      <c r="X1759" s="27"/>
      <c r="Y1759" s="27"/>
    </row>
    <row r="1760">
      <c r="A1760" s="32"/>
      <c r="B1760" s="28" t="s">
        <v>29</v>
      </c>
      <c r="C1760" s="29" t="s">
        <v>492</v>
      </c>
      <c r="D1760" s="29" t="s">
        <v>1981</v>
      </c>
      <c r="E1760" s="28">
        <v>683.61</v>
      </c>
      <c r="F1760" s="28">
        <v>0.0</v>
      </c>
      <c r="G1760" s="99" t="s">
        <v>74</v>
      </c>
      <c r="H1760" s="28">
        <f t="array" ref="H1760">INDEX(CC!C:C,MATCH(1,(CC!A:A=G1760)*(CC!B:B=I1760),0))</f>
        <v>1502</v>
      </c>
      <c r="I1760" s="99" t="s">
        <v>25</v>
      </c>
      <c r="J1760" s="31">
        <v>683.61</v>
      </c>
      <c r="K1760" s="28" t="str">
        <f>IFERROR(__xludf.DUMMYFUNCTION("IFERROR(
INDEX(
FILTER(
MAP(
reglas!$B$2:$B$240,
reglas!$C$2:$C$240,
reglas!$D$2:$D$240,
reglas!$E$2:$E$240,
LAMBDA(rEmisor,rPatron,rConcepto,rTipo,
IF(
AND(
OR(
UPPER(TRIM(rEmisor))=UPPER(TRIM(C1760)),
UPPER(TRIM(rEmisor))=""CUALQUIERA""
),
OR(
UPPER(TRI"&amp;"M(rTipo))=""SOLO EMISOR"",
AND(
UPPER(TRIM(rTipo))=""EXACTA"",
UPPER(TRIM(AG1760))=UPPER(TRIM(rPatron))
),
AND(
OR(
UPPER(TRIM(rTipo))=""CONTIENE"",
UPPER(TRIM(rTipo))=""COINCIDENCIA""
),
ISNUMBER(SEARCH(UPPER(TRIM(rPatron)),UPPER(TRIM(D1760))))
)
)
),
rC"&amp;"oncepto,
""""
)
)
),
MAP(
reglas!$B$2:$B$240,
reglas!$C$2:$C$240,
reglas!$D$2:$D$240,
reglas!$E$2:$E$240,
LAMBDA(rEmisor,rPatron,rConcepto,rTipo,
IF(
AND(
OR(
UPPER(TRIM(rEmisor))=UPPER(TRIM(C1760)),
UPPER(TRIM(rEmisor))=""CUALQUIERA""
),
OR(
UPPER(TRIM(r"&amp;"Tipo))=""SOLO EMISOR"",
AND(
UPPER(TRIM(rTipo))=""EXACTA"",
UPPER(TRIM(D1760))=UPPER(TRIM(rPatron))
),
AND(
OR(
UPPER(TRIM(rTipo))=""CONTIENE"",
UPPER(TRIM(rTipo))=""COINCIDENCIA""
),
ISNUMBER(SEARCH(UPPER(TRIM(rPatron)),UPPER(TRIM(D1760))))
)
)
),
rConce"&amp;"pto,
""""
)
)
)&lt;&gt;""""
),
1
),
""""
)"),"MONTACARGAS")</f>
        <v>MONTACARGAS</v>
      </c>
      <c r="L1760" s="27"/>
      <c r="M1760" s="27"/>
      <c r="N1760" s="27"/>
      <c r="O1760" s="27"/>
      <c r="P1760" s="27"/>
      <c r="Q1760" s="27"/>
      <c r="R1760" s="27"/>
      <c r="S1760" s="27"/>
      <c r="T1760" s="27"/>
      <c r="U1760" s="27"/>
      <c r="V1760" s="27"/>
      <c r="W1760" s="27"/>
      <c r="X1760" s="27"/>
      <c r="Y1760" s="27"/>
    </row>
    <row r="1761">
      <c r="A1761" s="28">
        <v>1.0</v>
      </c>
      <c r="B1761" s="28" t="s">
        <v>29</v>
      </c>
      <c r="C1761" s="29" t="s">
        <v>89</v>
      </c>
      <c r="D1761" s="29" t="s">
        <v>91</v>
      </c>
      <c r="E1761" s="30">
        <v>1283.04</v>
      </c>
      <c r="F1761" s="28">
        <v>0.0</v>
      </c>
      <c r="G1761" s="99" t="s">
        <v>601</v>
      </c>
      <c r="H1761" s="28">
        <f t="array" ref="H1761">INDEX(CC!C:C,MATCH(1,(CC!A:A=G1761)*(CC!B:B=I1761),0))</f>
        <v>402</v>
      </c>
      <c r="I1761" s="99" t="s">
        <v>25</v>
      </c>
      <c r="J1761" s="31">
        <v>1283.04</v>
      </c>
      <c r="K1761" s="28" t="str">
        <f>IFERROR(__xludf.DUMMYFUNCTION("IFERROR(
INDEX(
FILTER(
MAP(
reglas!$B$2:$B$240,
reglas!$C$2:$C$240,
reglas!$D$2:$D$240,
reglas!$E$2:$E$240,
LAMBDA(rEmisor,rPatron,rConcepto,rTipo,
IF(
AND(
OR(
UPPER(TRIM(rEmisor))=UPPER(TRIM(C1761)),
UPPER(TRIM(rEmisor))=""CUALQUIERA""
),
OR(
UPPER(TRI"&amp;"M(rTipo))=""SOLO EMISOR"",
AND(
UPPER(TRIM(rTipo))=""EXACTA"",
UPPER(TRIM(AG1761))=UPPER(TRIM(rPatron))
),
AND(
OR(
UPPER(TRIM(rTipo))=""CONTIENE"",
UPPER(TRIM(rTipo))=""COINCIDENCIA""
),
ISNUMBER(SEARCH(UPPER(TRIM(rPatron)),UPPER(TRIM(D1761))))
)
)
),
rC"&amp;"oncepto,
""""
)
)
),
MAP(
reglas!$B$2:$B$240,
reglas!$C$2:$C$240,
reglas!$D$2:$D$240,
reglas!$E$2:$E$240,
LAMBDA(rEmisor,rPatron,rConcepto,rTipo,
IF(
AND(
OR(
UPPER(TRIM(rEmisor))=UPPER(TRIM(C1761)),
UPPER(TRIM(rEmisor))=""CUALQUIERA""
),
OR(
UPPER(TRIM(r"&amp;"Tipo))=""SOLO EMISOR"",
AND(
UPPER(TRIM(rTipo))=""EXACTA"",
UPPER(TRIM(D1761))=UPPER(TRIM(rPatron))
),
AND(
OR(
UPPER(TRIM(rTipo))=""CONTIENE"",
UPPER(TRIM(rTipo))=""COINCIDENCIA""
),
ISNUMBER(SEARCH(UPPER(TRIM(rPatron)),UPPER(TRIM(D1761))))
)
)
),
rConce"&amp;"pto,
""""
)
)
)&lt;&gt;""""
),
1
),
""""
)"),"MANIOBRAS")</f>
        <v>MANIOBRAS</v>
      </c>
      <c r="L1761" s="27"/>
      <c r="M1761" s="27"/>
      <c r="N1761" s="27"/>
      <c r="O1761" s="27"/>
      <c r="P1761" s="27"/>
      <c r="Q1761" s="27"/>
      <c r="R1761" s="27"/>
      <c r="S1761" s="27"/>
      <c r="T1761" s="27"/>
      <c r="U1761" s="27"/>
      <c r="V1761" s="27"/>
      <c r="W1761" s="27"/>
      <c r="X1761" s="27"/>
      <c r="Y1761" s="27"/>
    </row>
    <row r="1762">
      <c r="A1762" s="32"/>
      <c r="B1762" s="28" t="s">
        <v>29</v>
      </c>
      <c r="C1762" s="29" t="s">
        <v>405</v>
      </c>
      <c r="D1762" s="29" t="s">
        <v>406</v>
      </c>
      <c r="E1762" s="30">
        <v>75000.0</v>
      </c>
      <c r="F1762" s="28">
        <v>0.0</v>
      </c>
      <c r="G1762" s="99" t="s">
        <v>250</v>
      </c>
      <c r="H1762" s="28">
        <f t="array" ref="H1762">INDEX(CC!C:C,MATCH(1,(CC!A:A=G1762)*(CC!B:B=I1762),0))</f>
        <v>1402</v>
      </c>
      <c r="I1762" s="99" t="s">
        <v>25</v>
      </c>
      <c r="J1762" s="31">
        <v>75000.0</v>
      </c>
      <c r="K1762" s="28" t="str">
        <f>IFERROR(__xludf.DUMMYFUNCTION("IFERROR(
INDEX(
FILTER(
MAP(
reglas!$B$2:$B$240,
reglas!$C$2:$C$240,
reglas!$D$2:$D$240,
reglas!$E$2:$E$240,
LAMBDA(rEmisor,rPatron,rConcepto,rTipo,
IF(
AND(
OR(
UPPER(TRIM(rEmisor))=UPPER(TRIM(C1762)),
UPPER(TRIM(rEmisor))=""CUALQUIERA""
),
OR(
UPPER(TRI"&amp;"M(rTipo))=""SOLO EMISOR"",
AND(
UPPER(TRIM(rTipo))=""EXACTA"",
UPPER(TRIM(AG1762))=UPPER(TRIM(rPatron))
),
AND(
OR(
UPPER(TRIM(rTipo))=""CONTIENE"",
UPPER(TRIM(rTipo))=""COINCIDENCIA""
),
ISNUMBER(SEARCH(UPPER(TRIM(rPatron)),UPPER(TRIM(D1762))))
)
)
),
rC"&amp;"oncepto,
""""
)
)
),
MAP(
reglas!$B$2:$B$240,
reglas!$C$2:$C$240,
reglas!$D$2:$D$240,
reglas!$E$2:$E$240,
LAMBDA(rEmisor,rPatron,rConcepto,rTipo,
IF(
AND(
OR(
UPPER(TRIM(rEmisor))=UPPER(TRIM(C1762)),
UPPER(TRIM(rEmisor))=""CUALQUIERA""
),
OR(
UPPER(TRIM(r"&amp;"Tipo))=""SOLO EMISOR"",
AND(
UPPER(TRIM(rTipo))=""EXACTA"",
UPPER(TRIM(D1762))=UPPER(TRIM(rPatron))
),
AND(
OR(
UPPER(TRIM(rTipo))=""CONTIENE"",
UPPER(TRIM(rTipo))=""COINCIDENCIA""
),
ISNUMBER(SEARCH(UPPER(TRIM(rPatron)),UPPER(TRIM(D1762))))
)
)
),
rConce"&amp;"pto,
""""
)
)
)&lt;&gt;""""
),
1
),
""""
)"),"HONORARIOS AGENTE ADUANAL")</f>
        <v>HONORARIOS AGENTE ADUANAL</v>
      </c>
      <c r="L1762" s="27"/>
      <c r="M1762" s="27"/>
      <c r="N1762" s="27"/>
      <c r="O1762" s="27"/>
      <c r="P1762" s="27"/>
      <c r="Q1762" s="27"/>
      <c r="R1762" s="27"/>
      <c r="S1762" s="27"/>
      <c r="T1762" s="27"/>
      <c r="U1762" s="27"/>
      <c r="V1762" s="27"/>
      <c r="W1762" s="27"/>
      <c r="X1762" s="27"/>
      <c r="Y1762" s="27"/>
    </row>
    <row r="1763">
      <c r="A1763" s="32"/>
      <c r="B1763" s="28" t="s">
        <v>29</v>
      </c>
      <c r="C1763" s="29" t="s">
        <v>174</v>
      </c>
      <c r="D1763" s="29" t="s">
        <v>1982</v>
      </c>
      <c r="E1763" s="28">
        <v>800.0</v>
      </c>
      <c r="F1763" s="28">
        <v>0.0</v>
      </c>
      <c r="G1763" s="99" t="s">
        <v>40</v>
      </c>
      <c r="H1763" s="28">
        <f t="array" ref="H1763">INDEX(CC!C:C,MATCH(1,(CC!A:A=G1763)*(CC!B:B=I1763),0))</f>
        <v>602</v>
      </c>
      <c r="I1763" s="99" t="s">
        <v>25</v>
      </c>
      <c r="J1763" s="31">
        <v>800.0</v>
      </c>
      <c r="K1763" s="28" t="str">
        <f>IFERROR(__xludf.DUMMYFUNCTION("IFERROR(
INDEX(
FILTER(
MAP(
reglas!$B$2:$B$240,
reglas!$C$2:$C$240,
reglas!$D$2:$D$240,
reglas!$E$2:$E$240,
LAMBDA(rEmisor,rPatron,rConcepto,rTipo,
IF(
AND(
OR(
UPPER(TRIM(rEmisor))=UPPER(TRIM(C1763)),
UPPER(TRIM(rEmisor))=""CUALQUIERA""
),
OR(
UPPER(TRI"&amp;"M(rTipo))=""SOLO EMISOR"",
AND(
UPPER(TRIM(rTipo))=""EXACTA"",
UPPER(TRIM(AG1763))=UPPER(TRIM(rPatron))
),
AND(
OR(
UPPER(TRIM(rTipo))=""CONTIENE"",
UPPER(TRIM(rTipo))=""COINCIDENCIA""
),
ISNUMBER(SEARCH(UPPER(TRIM(rPatron)),UPPER(TRIM(D1763))))
)
)
),
rC"&amp;"oncepto,
""""
)
)
),
MAP(
reglas!$B$2:$B$240,
reglas!$C$2:$C$240,
reglas!$D$2:$D$240,
reglas!$E$2:$E$240,
LAMBDA(rEmisor,rPatron,rConcepto,rTipo,
IF(
AND(
OR(
UPPER(TRIM(rEmisor))=UPPER(TRIM(C1763)),
UPPER(TRIM(rEmisor))=""CUALQUIERA""
),
OR(
UPPER(TRIM(r"&amp;"Tipo))=""SOLO EMISOR"",
AND(
UPPER(TRIM(rTipo))=""EXACTA"",
UPPER(TRIM(D1763))=UPPER(TRIM(rPatron))
),
AND(
OR(
UPPER(TRIM(rTipo))=""CONTIENE"",
UPPER(TRIM(rTipo))=""COINCIDENCIA""
),
ISNUMBER(SEARCH(UPPER(TRIM(rPatron)),UPPER(TRIM(D1763))))
)
)
),
rConce"&amp;"pto,
""""
)
)
)&lt;&gt;""""
),
1
),
""""
)"),"TRANSPORTE")</f>
        <v>TRANSPORTE</v>
      </c>
      <c r="L1763" s="27"/>
      <c r="M1763" s="27"/>
      <c r="N1763" s="27"/>
      <c r="O1763" s="27"/>
      <c r="P1763" s="27"/>
      <c r="Q1763" s="27"/>
      <c r="R1763" s="27"/>
      <c r="S1763" s="27"/>
      <c r="T1763" s="27"/>
      <c r="U1763" s="27"/>
      <c r="V1763" s="27"/>
      <c r="W1763" s="27"/>
      <c r="X1763" s="27"/>
      <c r="Y1763" s="27"/>
    </row>
    <row r="1764">
      <c r="A1764" s="32"/>
      <c r="B1764" s="28" t="s">
        <v>29</v>
      </c>
      <c r="C1764" s="29" t="s">
        <v>172</v>
      </c>
      <c r="D1764" s="29" t="s">
        <v>1853</v>
      </c>
      <c r="E1764" s="30">
        <v>16500.0</v>
      </c>
      <c r="F1764" s="28">
        <v>0.0</v>
      </c>
      <c r="G1764" s="99" t="s">
        <v>250</v>
      </c>
      <c r="H1764" s="28">
        <f t="array" ref="H1764">INDEX(CC!C:C,MATCH(1,(CC!A:A=G1764)*(CC!B:B=I1764),0))</f>
        <v>1402</v>
      </c>
      <c r="I1764" s="99" t="s">
        <v>25</v>
      </c>
      <c r="J1764" s="31">
        <v>16500.0</v>
      </c>
      <c r="K1764" s="28" t="str">
        <f>IFERROR(__xludf.DUMMYFUNCTION("IFERROR(
INDEX(
FILTER(
MAP(
reglas!$B$2:$B$240,
reglas!$C$2:$C$240,
reglas!$D$2:$D$240,
reglas!$E$2:$E$240,
LAMBDA(rEmisor,rPatron,rConcepto,rTipo,
IF(
AND(
OR(
UPPER(TRIM(rEmisor))=UPPER(TRIM(C1764)),
UPPER(TRIM(rEmisor))=""CUALQUIERA""
),
OR(
UPPER(TRI"&amp;"M(rTipo))=""SOLO EMISOR"",
AND(
UPPER(TRIM(rTipo))=""EXACTA"",
UPPER(TRIM(AG1764))=UPPER(TRIM(rPatron))
),
AND(
OR(
UPPER(TRIM(rTipo))=""CONTIENE"",
UPPER(TRIM(rTipo))=""COINCIDENCIA""
),
ISNUMBER(SEARCH(UPPER(TRIM(rPatron)),UPPER(TRIM(D1764))))
)
)
),
rC"&amp;"oncepto,
""""
)
)
),
MAP(
reglas!$B$2:$B$240,
reglas!$C$2:$C$240,
reglas!$D$2:$D$240,
reglas!$E$2:$E$240,
LAMBDA(rEmisor,rPatron,rConcepto,rTipo,
IF(
AND(
OR(
UPPER(TRIM(rEmisor))=UPPER(TRIM(C1764)),
UPPER(TRIM(rEmisor))=""CUALQUIERA""
),
OR(
UPPER(TRIM(r"&amp;"Tipo))=""SOLO EMISOR"",
AND(
UPPER(TRIM(rTipo))=""EXACTA"",
UPPER(TRIM(D1764))=UPPER(TRIM(rPatron))
),
AND(
OR(
UPPER(TRIM(rTipo))=""CONTIENE"",
UPPER(TRIM(rTipo))=""COINCIDENCIA""
),
ISNUMBER(SEARCH(UPPER(TRIM(rPatron)),UPPER(TRIM(D1764))))
)
)
),
rConce"&amp;"pto,
""""
)
)
)&lt;&gt;""""
),
1
),
""""
)"),"TRANSPORTE")</f>
        <v>TRANSPORTE</v>
      </c>
      <c r="L1764" s="27"/>
      <c r="M1764" s="27"/>
      <c r="N1764" s="27"/>
      <c r="O1764" s="27"/>
      <c r="P1764" s="27"/>
      <c r="Q1764" s="27"/>
      <c r="R1764" s="27"/>
      <c r="S1764" s="27"/>
      <c r="T1764" s="27"/>
      <c r="U1764" s="27"/>
      <c r="V1764" s="27"/>
      <c r="W1764" s="27"/>
      <c r="X1764" s="27"/>
      <c r="Y1764" s="27"/>
    </row>
    <row r="1765">
      <c r="A1765" s="28">
        <v>1.0</v>
      </c>
      <c r="B1765" s="28" t="s">
        <v>29</v>
      </c>
      <c r="C1765" s="29" t="s">
        <v>271</v>
      </c>
      <c r="D1765" s="29" t="s">
        <v>585</v>
      </c>
      <c r="E1765" s="28">
        <v>620.28</v>
      </c>
      <c r="F1765" s="28">
        <v>0.0</v>
      </c>
      <c r="G1765" s="99" t="s">
        <v>84</v>
      </c>
      <c r="H1765" s="28">
        <f t="array" ref="H1765">INDEX(CC!C:C,MATCH(1,(CC!A:A=G1765)*(CC!B:B=I1765),0))</f>
        <v>1002</v>
      </c>
      <c r="I1765" s="99" t="s">
        <v>25</v>
      </c>
      <c r="J1765" s="31">
        <v>620.28</v>
      </c>
      <c r="K1765" s="28" t="str">
        <f>IFERROR(__xludf.DUMMYFUNCTION("IFERROR(
INDEX(
FILTER(
MAP(
reglas!$B$2:$B$240,
reglas!$C$2:$C$240,
reglas!$D$2:$D$240,
reglas!$E$2:$E$240,
LAMBDA(rEmisor,rPatron,rConcepto,rTipo,
IF(
AND(
OR(
UPPER(TRIM(rEmisor))=UPPER(TRIM(C1765)),
UPPER(TRIM(rEmisor))=""CUALQUIERA""
),
OR(
UPPER(TRI"&amp;"M(rTipo))=""SOLO EMISOR"",
AND(
UPPER(TRIM(rTipo))=""EXACTA"",
UPPER(TRIM(AG1765))=UPPER(TRIM(rPatron))
),
AND(
OR(
UPPER(TRIM(rTipo))=""CONTIENE"",
UPPER(TRIM(rTipo))=""COINCIDENCIA""
),
ISNUMBER(SEARCH(UPPER(TRIM(rPatron)),UPPER(TRIM(D1765))))
)
)
),
rC"&amp;"oncepto,
""""
)
)
),
MAP(
reglas!$B$2:$B$240,
reglas!$C$2:$C$240,
reglas!$D$2:$D$240,
reglas!$E$2:$E$240,
LAMBDA(rEmisor,rPatron,rConcepto,rTipo,
IF(
AND(
OR(
UPPER(TRIM(rEmisor))=UPPER(TRIM(C1765)),
UPPER(TRIM(rEmisor))=""CUALQUIERA""
),
OR(
UPPER(TRIM(r"&amp;"Tipo))=""SOLO EMISOR"",
AND(
UPPER(TRIM(rTipo))=""EXACTA"",
UPPER(TRIM(D1765))=UPPER(TRIM(rPatron))
),
AND(
OR(
UPPER(TRIM(rTipo))=""CONTIENE"",
UPPER(TRIM(rTipo))=""COINCIDENCIA""
),
ISNUMBER(SEARCH(UPPER(TRIM(rPatron)),UPPER(TRIM(D1765))))
)
)
),
rConce"&amp;"pto,
""""
)
)
)&lt;&gt;""""
),
1
),
""""
)"),"MANIOBRAS")</f>
        <v>MANIOBRAS</v>
      </c>
      <c r="L1765" s="27"/>
      <c r="M1765" s="27"/>
      <c r="N1765" s="27"/>
      <c r="O1765" s="27"/>
      <c r="P1765" s="27"/>
      <c r="Q1765" s="27"/>
      <c r="R1765" s="27"/>
      <c r="S1765" s="27"/>
      <c r="T1765" s="27"/>
      <c r="U1765" s="27"/>
      <c r="V1765" s="27"/>
      <c r="W1765" s="27"/>
      <c r="X1765" s="27"/>
      <c r="Y1765" s="27"/>
    </row>
    <row r="1766">
      <c r="A1766" s="32"/>
      <c r="B1766" s="32"/>
      <c r="C1766" s="29" t="s">
        <v>271</v>
      </c>
      <c r="D1766" s="29" t="s">
        <v>587</v>
      </c>
      <c r="E1766" s="28">
        <v>567.51</v>
      </c>
      <c r="F1766" s="28">
        <v>0.0</v>
      </c>
      <c r="G1766" s="99" t="s">
        <v>84</v>
      </c>
      <c r="H1766" s="28">
        <f t="array" ref="H1766">INDEX(CC!C:C,MATCH(1,(CC!A:A=G1766)*(CC!B:B=I1766),0))</f>
        <v>1002</v>
      </c>
      <c r="I1766" s="99" t="s">
        <v>25</v>
      </c>
      <c r="J1766" s="31">
        <v>567.51</v>
      </c>
      <c r="K1766" s="28" t="str">
        <f>IFERROR(__xludf.DUMMYFUNCTION("IFERROR(
INDEX(
FILTER(
MAP(
reglas!$B$2:$B$240,
reglas!$C$2:$C$240,
reglas!$D$2:$D$240,
reglas!$E$2:$E$240,
LAMBDA(rEmisor,rPatron,rConcepto,rTipo,
IF(
AND(
OR(
UPPER(TRIM(rEmisor))=UPPER(TRIM(C1766)),
UPPER(TRIM(rEmisor))=""CUALQUIERA""
),
OR(
UPPER(TRI"&amp;"M(rTipo))=""SOLO EMISOR"",
AND(
UPPER(TRIM(rTipo))=""EXACTA"",
UPPER(TRIM(AG1766))=UPPER(TRIM(rPatron))
),
AND(
OR(
UPPER(TRIM(rTipo))=""CONTIENE"",
UPPER(TRIM(rTipo))=""COINCIDENCIA""
),
ISNUMBER(SEARCH(UPPER(TRIM(rPatron)),UPPER(TRIM(D1766))))
)
)
),
rC"&amp;"oncepto,
""""
)
)
),
MAP(
reglas!$B$2:$B$240,
reglas!$C$2:$C$240,
reglas!$D$2:$D$240,
reglas!$E$2:$E$240,
LAMBDA(rEmisor,rPatron,rConcepto,rTipo,
IF(
AND(
OR(
UPPER(TRIM(rEmisor))=UPPER(TRIM(C1766)),
UPPER(TRIM(rEmisor))=""CUALQUIERA""
),
OR(
UPPER(TRIM(r"&amp;"Tipo))=""SOLO EMISOR"",
AND(
UPPER(TRIM(rTipo))=""EXACTA"",
UPPER(TRIM(D1766))=UPPER(TRIM(rPatron))
),
AND(
OR(
UPPER(TRIM(rTipo))=""CONTIENE"",
UPPER(TRIM(rTipo))=""COINCIDENCIA""
),
ISNUMBER(SEARCH(UPPER(TRIM(rPatron)),UPPER(TRIM(D1766))))
)
)
),
rConce"&amp;"pto,
""""
)
)
)&lt;&gt;""""
),
1
),
""""
)"),"MANIOBRAS")</f>
        <v>MANIOBRAS</v>
      </c>
      <c r="L1766" s="27"/>
      <c r="M1766" s="27"/>
      <c r="N1766" s="27"/>
      <c r="O1766" s="27"/>
      <c r="P1766" s="27"/>
      <c r="Q1766" s="27"/>
      <c r="R1766" s="27"/>
      <c r="S1766" s="27"/>
      <c r="T1766" s="27"/>
      <c r="U1766" s="27"/>
      <c r="V1766" s="27"/>
      <c r="W1766" s="27"/>
      <c r="X1766" s="27"/>
      <c r="Y1766" s="27"/>
    </row>
    <row r="1767">
      <c r="A1767" s="32"/>
      <c r="B1767" s="32"/>
      <c r="C1767" s="29" t="s">
        <v>271</v>
      </c>
      <c r="D1767" s="29" t="s">
        <v>589</v>
      </c>
      <c r="E1767" s="28">
        <v>620.62</v>
      </c>
      <c r="F1767" s="28">
        <v>0.0</v>
      </c>
      <c r="G1767" s="99" t="s">
        <v>84</v>
      </c>
      <c r="H1767" s="28">
        <f t="array" ref="H1767">INDEX(CC!C:C,MATCH(1,(CC!A:A=G1767)*(CC!B:B=I1767),0))</f>
        <v>1002</v>
      </c>
      <c r="I1767" s="99" t="s">
        <v>25</v>
      </c>
      <c r="J1767" s="31">
        <v>620.62</v>
      </c>
      <c r="K1767" s="28" t="str">
        <f>IFERROR(__xludf.DUMMYFUNCTION("IFERROR(
INDEX(
FILTER(
MAP(
reglas!$B$2:$B$240,
reglas!$C$2:$C$240,
reglas!$D$2:$D$240,
reglas!$E$2:$E$240,
LAMBDA(rEmisor,rPatron,rConcepto,rTipo,
IF(
AND(
OR(
UPPER(TRIM(rEmisor))=UPPER(TRIM(C1767)),
UPPER(TRIM(rEmisor))=""CUALQUIERA""
),
OR(
UPPER(TRI"&amp;"M(rTipo))=""SOLO EMISOR"",
AND(
UPPER(TRIM(rTipo))=""EXACTA"",
UPPER(TRIM(AG1767))=UPPER(TRIM(rPatron))
),
AND(
OR(
UPPER(TRIM(rTipo))=""CONTIENE"",
UPPER(TRIM(rTipo))=""COINCIDENCIA""
),
ISNUMBER(SEARCH(UPPER(TRIM(rPatron)),UPPER(TRIM(D1767))))
)
)
),
rC"&amp;"oncepto,
""""
)
)
),
MAP(
reglas!$B$2:$B$240,
reglas!$C$2:$C$240,
reglas!$D$2:$D$240,
reglas!$E$2:$E$240,
LAMBDA(rEmisor,rPatron,rConcepto,rTipo,
IF(
AND(
OR(
UPPER(TRIM(rEmisor))=UPPER(TRIM(C1767)),
UPPER(TRIM(rEmisor))=""CUALQUIERA""
),
OR(
UPPER(TRIM(r"&amp;"Tipo))=""SOLO EMISOR"",
AND(
UPPER(TRIM(rTipo))=""EXACTA"",
UPPER(TRIM(D1767))=UPPER(TRIM(rPatron))
),
AND(
OR(
UPPER(TRIM(rTipo))=""CONTIENE"",
UPPER(TRIM(rTipo))=""COINCIDENCIA""
),
ISNUMBER(SEARCH(UPPER(TRIM(rPatron)),UPPER(TRIM(D1767))))
)
)
),
rConce"&amp;"pto,
""""
)
)
)&lt;&gt;""""
),
1
),
""""
)"),"MANIOBRAS")</f>
        <v>MANIOBRAS</v>
      </c>
      <c r="L1767" s="27"/>
      <c r="M1767" s="27"/>
      <c r="N1767" s="27"/>
      <c r="O1767" s="27"/>
      <c r="P1767" s="27"/>
      <c r="Q1767" s="27"/>
      <c r="R1767" s="27"/>
      <c r="S1767" s="27"/>
      <c r="T1767" s="27"/>
      <c r="U1767" s="27"/>
      <c r="V1767" s="27"/>
      <c r="W1767" s="27"/>
      <c r="X1767" s="27"/>
      <c r="Y1767" s="27"/>
    </row>
    <row r="1768">
      <c r="A1768" s="32"/>
      <c r="B1768" s="32"/>
      <c r="C1768" s="29" t="s">
        <v>271</v>
      </c>
      <c r="D1768" s="29" t="s">
        <v>596</v>
      </c>
      <c r="E1768" s="28">
        <v>651.16</v>
      </c>
      <c r="F1768" s="28">
        <v>0.0</v>
      </c>
      <c r="G1768" s="99" t="s">
        <v>84</v>
      </c>
      <c r="H1768" s="28">
        <f t="array" ref="H1768">INDEX(CC!C:C,MATCH(1,(CC!A:A=G1768)*(CC!B:B=I1768),0))</f>
        <v>1002</v>
      </c>
      <c r="I1768" s="99" t="s">
        <v>25</v>
      </c>
      <c r="J1768" s="31">
        <v>651.16</v>
      </c>
      <c r="K1768" s="28" t="str">
        <f>IFERROR(__xludf.DUMMYFUNCTION("IFERROR(
INDEX(
FILTER(
MAP(
reglas!$B$2:$B$240,
reglas!$C$2:$C$240,
reglas!$D$2:$D$240,
reglas!$E$2:$E$240,
LAMBDA(rEmisor,rPatron,rConcepto,rTipo,
IF(
AND(
OR(
UPPER(TRIM(rEmisor))=UPPER(TRIM(C1768)),
UPPER(TRIM(rEmisor))=""CUALQUIERA""
),
OR(
UPPER(TRI"&amp;"M(rTipo))=""SOLO EMISOR"",
AND(
UPPER(TRIM(rTipo))=""EXACTA"",
UPPER(TRIM(AG1768))=UPPER(TRIM(rPatron))
),
AND(
OR(
UPPER(TRIM(rTipo))=""CONTIENE"",
UPPER(TRIM(rTipo))=""COINCIDENCIA""
),
ISNUMBER(SEARCH(UPPER(TRIM(rPatron)),UPPER(TRIM(D1768))))
)
)
),
rC"&amp;"oncepto,
""""
)
)
),
MAP(
reglas!$B$2:$B$240,
reglas!$C$2:$C$240,
reglas!$D$2:$D$240,
reglas!$E$2:$E$240,
LAMBDA(rEmisor,rPatron,rConcepto,rTipo,
IF(
AND(
OR(
UPPER(TRIM(rEmisor))=UPPER(TRIM(C1768)),
UPPER(TRIM(rEmisor))=""CUALQUIERA""
),
OR(
UPPER(TRIM(r"&amp;"Tipo))=""SOLO EMISOR"",
AND(
UPPER(TRIM(rTipo))=""EXACTA"",
UPPER(TRIM(D1768))=UPPER(TRIM(rPatron))
),
AND(
OR(
UPPER(TRIM(rTipo))=""CONTIENE"",
UPPER(TRIM(rTipo))=""COINCIDENCIA""
),
ISNUMBER(SEARCH(UPPER(TRIM(rPatron)),UPPER(TRIM(D1768))))
)
)
),
rConce"&amp;"pto,
""""
)
)
)&lt;&gt;""""
),
1
),
""""
)"),"MANIOBRAS")</f>
        <v>MANIOBRAS</v>
      </c>
      <c r="L1768" s="27"/>
      <c r="M1768" s="27"/>
      <c r="N1768" s="27"/>
      <c r="O1768" s="27"/>
      <c r="P1768" s="27"/>
      <c r="Q1768" s="27"/>
      <c r="R1768" s="27"/>
      <c r="S1768" s="27"/>
      <c r="T1768" s="27"/>
      <c r="U1768" s="27"/>
      <c r="V1768" s="27"/>
      <c r="W1768" s="27"/>
      <c r="X1768" s="27"/>
      <c r="Y1768" s="27"/>
    </row>
    <row r="1769">
      <c r="A1769" s="32"/>
      <c r="B1769" s="28" t="s">
        <v>29</v>
      </c>
      <c r="C1769" s="29" t="s">
        <v>172</v>
      </c>
      <c r="D1769" s="29" t="s">
        <v>1983</v>
      </c>
      <c r="E1769" s="30">
        <v>14000.0</v>
      </c>
      <c r="F1769" s="28">
        <v>0.0</v>
      </c>
      <c r="G1769" s="99" t="s">
        <v>250</v>
      </c>
      <c r="H1769" s="28">
        <f t="array" ref="H1769">INDEX(CC!C:C,MATCH(1,(CC!A:A=G1769)*(CC!B:B=I1769),0))</f>
        <v>1402</v>
      </c>
      <c r="I1769" s="99" t="s">
        <v>25</v>
      </c>
      <c r="J1769" s="31">
        <v>14000.0</v>
      </c>
      <c r="K1769" s="28" t="str">
        <f>IFERROR(__xludf.DUMMYFUNCTION("IFERROR(
INDEX(
FILTER(
MAP(
reglas!$B$2:$B$240,
reglas!$C$2:$C$240,
reglas!$D$2:$D$240,
reglas!$E$2:$E$240,
LAMBDA(rEmisor,rPatron,rConcepto,rTipo,
IF(
AND(
OR(
UPPER(TRIM(rEmisor))=UPPER(TRIM(C1769)),
UPPER(TRIM(rEmisor))=""CUALQUIERA""
),
OR(
UPPER(TRI"&amp;"M(rTipo))=""SOLO EMISOR"",
AND(
UPPER(TRIM(rTipo))=""EXACTA"",
UPPER(TRIM(AG1769))=UPPER(TRIM(rPatron))
),
AND(
OR(
UPPER(TRIM(rTipo))=""CONTIENE"",
UPPER(TRIM(rTipo))=""COINCIDENCIA""
),
ISNUMBER(SEARCH(UPPER(TRIM(rPatron)),UPPER(TRIM(D1769))))
)
)
),
rC"&amp;"oncepto,
""""
)
)
),
MAP(
reglas!$B$2:$B$240,
reglas!$C$2:$C$240,
reglas!$D$2:$D$240,
reglas!$E$2:$E$240,
LAMBDA(rEmisor,rPatron,rConcepto,rTipo,
IF(
AND(
OR(
UPPER(TRIM(rEmisor))=UPPER(TRIM(C1769)),
UPPER(TRIM(rEmisor))=""CUALQUIERA""
),
OR(
UPPER(TRIM(r"&amp;"Tipo))=""SOLO EMISOR"",
AND(
UPPER(TRIM(rTipo))=""EXACTA"",
UPPER(TRIM(D1769))=UPPER(TRIM(rPatron))
),
AND(
OR(
UPPER(TRIM(rTipo))=""CONTIENE"",
UPPER(TRIM(rTipo))=""COINCIDENCIA""
),
ISNUMBER(SEARCH(UPPER(TRIM(rPatron)),UPPER(TRIM(D1769))))
)
)
),
rConce"&amp;"pto,
""""
)
)
)&lt;&gt;""""
),
1
),
""""
)"),"TRANSPORTE")</f>
        <v>TRANSPORTE</v>
      </c>
      <c r="L1769" s="27"/>
      <c r="M1769" s="27"/>
      <c r="N1769" s="27"/>
      <c r="O1769" s="27"/>
      <c r="P1769" s="27"/>
      <c r="Q1769" s="27"/>
      <c r="R1769" s="27"/>
      <c r="S1769" s="27"/>
      <c r="T1769" s="27"/>
      <c r="U1769" s="27"/>
      <c r="V1769" s="27"/>
      <c r="W1769" s="27"/>
      <c r="X1769" s="27"/>
      <c r="Y1769" s="27"/>
    </row>
    <row r="1770">
      <c r="A1770" s="32"/>
      <c r="B1770" s="28" t="s">
        <v>29</v>
      </c>
      <c r="C1770" s="29" t="s">
        <v>172</v>
      </c>
      <c r="D1770" s="29" t="s">
        <v>1984</v>
      </c>
      <c r="E1770" s="30">
        <v>14000.0</v>
      </c>
      <c r="F1770" s="28">
        <v>0.0</v>
      </c>
      <c r="G1770" s="99" t="s">
        <v>250</v>
      </c>
      <c r="H1770" s="28">
        <f t="array" ref="H1770">INDEX(CC!C:C,MATCH(1,(CC!A:A=G1770)*(CC!B:B=I1770),0))</f>
        <v>1402</v>
      </c>
      <c r="I1770" s="99" t="s">
        <v>25</v>
      </c>
      <c r="J1770" s="31">
        <v>14000.0</v>
      </c>
      <c r="K1770" s="28" t="str">
        <f>IFERROR(__xludf.DUMMYFUNCTION("IFERROR(
INDEX(
FILTER(
MAP(
reglas!$B$2:$B$240,
reglas!$C$2:$C$240,
reglas!$D$2:$D$240,
reglas!$E$2:$E$240,
LAMBDA(rEmisor,rPatron,rConcepto,rTipo,
IF(
AND(
OR(
UPPER(TRIM(rEmisor))=UPPER(TRIM(C1770)),
UPPER(TRIM(rEmisor))=""CUALQUIERA""
),
OR(
UPPER(TRI"&amp;"M(rTipo))=""SOLO EMISOR"",
AND(
UPPER(TRIM(rTipo))=""EXACTA"",
UPPER(TRIM(AG1770))=UPPER(TRIM(rPatron))
),
AND(
OR(
UPPER(TRIM(rTipo))=""CONTIENE"",
UPPER(TRIM(rTipo))=""COINCIDENCIA""
),
ISNUMBER(SEARCH(UPPER(TRIM(rPatron)),UPPER(TRIM(D1770))))
)
)
),
rC"&amp;"oncepto,
""""
)
)
),
MAP(
reglas!$B$2:$B$240,
reglas!$C$2:$C$240,
reglas!$D$2:$D$240,
reglas!$E$2:$E$240,
LAMBDA(rEmisor,rPatron,rConcepto,rTipo,
IF(
AND(
OR(
UPPER(TRIM(rEmisor))=UPPER(TRIM(C1770)),
UPPER(TRIM(rEmisor))=""CUALQUIERA""
),
OR(
UPPER(TRIM(r"&amp;"Tipo))=""SOLO EMISOR"",
AND(
UPPER(TRIM(rTipo))=""EXACTA"",
UPPER(TRIM(D1770))=UPPER(TRIM(rPatron))
),
AND(
OR(
UPPER(TRIM(rTipo))=""CONTIENE"",
UPPER(TRIM(rTipo))=""COINCIDENCIA""
),
ISNUMBER(SEARCH(UPPER(TRIM(rPatron)),UPPER(TRIM(D1770))))
)
)
),
rConce"&amp;"pto,
""""
)
)
)&lt;&gt;""""
),
1
),
""""
)"),"TRANSPORTE")</f>
        <v>TRANSPORTE</v>
      </c>
      <c r="L1770" s="27"/>
      <c r="M1770" s="27"/>
      <c r="N1770" s="27"/>
      <c r="O1770" s="27"/>
      <c r="P1770" s="27"/>
      <c r="Q1770" s="27"/>
      <c r="R1770" s="27"/>
      <c r="S1770" s="27"/>
      <c r="T1770" s="27"/>
      <c r="U1770" s="27"/>
      <c r="V1770" s="27"/>
      <c r="W1770" s="27"/>
      <c r="X1770" s="27"/>
      <c r="Y1770" s="27"/>
    </row>
    <row r="1771">
      <c r="A1771" s="32"/>
      <c r="B1771" s="28" t="s">
        <v>29</v>
      </c>
      <c r="C1771" s="29" t="s">
        <v>172</v>
      </c>
      <c r="D1771" s="29" t="s">
        <v>1985</v>
      </c>
      <c r="E1771" s="28">
        <v>425.0</v>
      </c>
      <c r="F1771" s="28">
        <v>0.0</v>
      </c>
      <c r="G1771" s="99" t="s">
        <v>250</v>
      </c>
      <c r="H1771" s="28">
        <f t="array" ref="H1771">INDEX(CC!C:C,MATCH(1,(CC!A:A=G1771)*(CC!B:B=I1771),0))</f>
        <v>1402</v>
      </c>
      <c r="I1771" s="99" t="s">
        <v>25</v>
      </c>
      <c r="J1771" s="31">
        <v>425.0</v>
      </c>
      <c r="K1771" s="28" t="str">
        <f>IFERROR(__xludf.DUMMYFUNCTION("IFERROR(
INDEX(
FILTER(
MAP(
reglas!$B$2:$B$240,
reglas!$C$2:$C$240,
reglas!$D$2:$D$240,
reglas!$E$2:$E$240,
LAMBDA(rEmisor,rPatron,rConcepto,rTipo,
IF(
AND(
OR(
UPPER(TRIM(rEmisor))=UPPER(TRIM(C1771)),
UPPER(TRIM(rEmisor))=""CUALQUIERA""
),
OR(
UPPER(TRI"&amp;"M(rTipo))=""SOLO EMISOR"",
AND(
UPPER(TRIM(rTipo))=""EXACTA"",
UPPER(TRIM(AG1771))=UPPER(TRIM(rPatron))
),
AND(
OR(
UPPER(TRIM(rTipo))=""CONTIENE"",
UPPER(TRIM(rTipo))=""COINCIDENCIA""
),
ISNUMBER(SEARCH(UPPER(TRIM(rPatron)),UPPER(TRIM(D1771))))
)
)
),
rC"&amp;"oncepto,
""""
)
)
),
MAP(
reglas!$B$2:$B$240,
reglas!$C$2:$C$240,
reglas!$D$2:$D$240,
reglas!$E$2:$E$240,
LAMBDA(rEmisor,rPatron,rConcepto,rTipo,
IF(
AND(
OR(
UPPER(TRIM(rEmisor))=UPPER(TRIM(C1771)),
UPPER(TRIM(rEmisor))=""CUALQUIERA""
),
OR(
UPPER(TRIM(r"&amp;"Tipo))=""SOLO EMISOR"",
AND(
UPPER(TRIM(rTipo))=""EXACTA"",
UPPER(TRIM(D1771))=UPPER(TRIM(rPatron))
),
AND(
OR(
UPPER(TRIM(rTipo))=""CONTIENE"",
UPPER(TRIM(rTipo))=""COINCIDENCIA""
),
ISNUMBER(SEARCH(UPPER(TRIM(rPatron)),UPPER(TRIM(D1771))))
)
)
),
rConce"&amp;"pto,
""""
)
)
)&lt;&gt;""""
),
1
),
""""
)"),"PATIO REGULADOR")</f>
        <v>PATIO REGULADOR</v>
      </c>
      <c r="L1771" s="27"/>
      <c r="M1771" s="27"/>
      <c r="N1771" s="27"/>
      <c r="O1771" s="27"/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</row>
    <row r="1772">
      <c r="A1772" s="32"/>
      <c r="B1772" s="32"/>
      <c r="C1772" s="29" t="s">
        <v>172</v>
      </c>
      <c r="D1772" s="29" t="s">
        <v>1986</v>
      </c>
      <c r="E1772" s="28">
        <v>785.0</v>
      </c>
      <c r="F1772" s="28">
        <v>0.0</v>
      </c>
      <c r="G1772" s="99" t="s">
        <v>250</v>
      </c>
      <c r="H1772" s="28">
        <f t="array" ref="H1772">INDEX(CC!C:C,MATCH(1,(CC!A:A=G1772)*(CC!B:B=I1772),0))</f>
        <v>1402</v>
      </c>
      <c r="I1772" s="99" t="s">
        <v>25</v>
      </c>
      <c r="J1772" s="31">
        <v>785.0</v>
      </c>
      <c r="K1772" s="28" t="str">
        <f>IFERROR(__xludf.DUMMYFUNCTION("IFERROR(
INDEX(
FILTER(
MAP(
reglas!$B$2:$B$240,
reglas!$C$2:$C$240,
reglas!$D$2:$D$240,
reglas!$E$2:$E$240,
LAMBDA(rEmisor,rPatron,rConcepto,rTipo,
IF(
AND(
OR(
UPPER(TRIM(rEmisor))=UPPER(TRIM(C1772)),
UPPER(TRIM(rEmisor))=""CUALQUIERA""
),
OR(
UPPER(TRI"&amp;"M(rTipo))=""SOLO EMISOR"",
AND(
UPPER(TRIM(rTipo))=""EXACTA"",
UPPER(TRIM(AG1772))=UPPER(TRIM(rPatron))
),
AND(
OR(
UPPER(TRIM(rTipo))=""CONTIENE"",
UPPER(TRIM(rTipo))=""COINCIDENCIA""
),
ISNUMBER(SEARCH(UPPER(TRIM(rPatron)),UPPER(TRIM(D1772))))
)
)
),
rC"&amp;"oncepto,
""""
)
)
),
MAP(
reglas!$B$2:$B$240,
reglas!$C$2:$C$240,
reglas!$D$2:$D$240,
reglas!$E$2:$E$240,
LAMBDA(rEmisor,rPatron,rConcepto,rTipo,
IF(
AND(
OR(
UPPER(TRIM(rEmisor))=UPPER(TRIM(C1772)),
UPPER(TRIM(rEmisor))=""CUALQUIERA""
),
OR(
UPPER(TRIM(r"&amp;"Tipo))=""SOLO EMISOR"",
AND(
UPPER(TRIM(rTipo))=""EXACTA"",
UPPER(TRIM(D1772))=UPPER(TRIM(rPatron))
),
AND(
OR(
UPPER(TRIM(rTipo))=""CONTIENE"",
UPPER(TRIM(rTipo))=""COINCIDENCIA""
),
ISNUMBER(SEARCH(UPPER(TRIM(rPatron)),UPPER(TRIM(D1772))))
)
)
),
rConce"&amp;"pto,
""""
)
)
)&lt;&gt;""""
),
1
),
""""
)"),"PATIO REGULADOR")</f>
        <v>PATIO REGULADOR</v>
      </c>
      <c r="L1772" s="27"/>
      <c r="M1772" s="27"/>
      <c r="N1772" s="27"/>
      <c r="O1772" s="27"/>
      <c r="P1772" s="27"/>
      <c r="Q1772" s="27"/>
      <c r="R1772" s="27"/>
      <c r="S1772" s="27"/>
      <c r="T1772" s="27"/>
      <c r="U1772" s="27"/>
      <c r="V1772" s="27"/>
      <c r="W1772" s="27"/>
      <c r="X1772" s="27"/>
      <c r="Y1772" s="27"/>
    </row>
    <row r="1773">
      <c r="A1773" s="32"/>
      <c r="B1773" s="32"/>
      <c r="C1773" s="29" t="s">
        <v>172</v>
      </c>
      <c r="D1773" s="29" t="s">
        <v>1987</v>
      </c>
      <c r="E1773" s="28">
        <v>425.0</v>
      </c>
      <c r="F1773" s="28">
        <v>0.0</v>
      </c>
      <c r="G1773" s="99" t="s">
        <v>250</v>
      </c>
      <c r="H1773" s="28">
        <f t="array" ref="H1773">INDEX(CC!C:C,MATCH(1,(CC!A:A=G1773)*(CC!B:B=I1773),0))</f>
        <v>1402</v>
      </c>
      <c r="I1773" s="99" t="s">
        <v>25</v>
      </c>
      <c r="J1773" s="31">
        <v>425.0</v>
      </c>
      <c r="K1773" s="28" t="str">
        <f>IFERROR(__xludf.DUMMYFUNCTION("IFERROR(
INDEX(
FILTER(
MAP(
reglas!$B$2:$B$240,
reglas!$C$2:$C$240,
reglas!$D$2:$D$240,
reglas!$E$2:$E$240,
LAMBDA(rEmisor,rPatron,rConcepto,rTipo,
IF(
AND(
OR(
UPPER(TRIM(rEmisor))=UPPER(TRIM(C1773)),
UPPER(TRIM(rEmisor))=""CUALQUIERA""
),
OR(
UPPER(TRI"&amp;"M(rTipo))=""SOLO EMISOR"",
AND(
UPPER(TRIM(rTipo))=""EXACTA"",
UPPER(TRIM(AG1773))=UPPER(TRIM(rPatron))
),
AND(
OR(
UPPER(TRIM(rTipo))=""CONTIENE"",
UPPER(TRIM(rTipo))=""COINCIDENCIA""
),
ISNUMBER(SEARCH(UPPER(TRIM(rPatron)),UPPER(TRIM(D1773))))
)
)
),
rC"&amp;"oncepto,
""""
)
)
),
MAP(
reglas!$B$2:$B$240,
reglas!$C$2:$C$240,
reglas!$D$2:$D$240,
reglas!$E$2:$E$240,
LAMBDA(rEmisor,rPatron,rConcepto,rTipo,
IF(
AND(
OR(
UPPER(TRIM(rEmisor))=UPPER(TRIM(C1773)),
UPPER(TRIM(rEmisor))=""CUALQUIERA""
),
OR(
UPPER(TRIM(r"&amp;"Tipo))=""SOLO EMISOR"",
AND(
UPPER(TRIM(rTipo))=""EXACTA"",
UPPER(TRIM(D1773))=UPPER(TRIM(rPatron))
),
AND(
OR(
UPPER(TRIM(rTipo))=""CONTIENE"",
UPPER(TRIM(rTipo))=""COINCIDENCIA""
),
ISNUMBER(SEARCH(UPPER(TRIM(rPatron)),UPPER(TRIM(D1773))))
)
)
),
rConce"&amp;"pto,
""""
)
)
)&lt;&gt;""""
),
1
),
""""
)"),"PATIO REGULADOR")</f>
        <v>PATIO REGULADOR</v>
      </c>
      <c r="L1773" s="27"/>
      <c r="M1773" s="27"/>
      <c r="N1773" s="27"/>
      <c r="O1773" s="27"/>
      <c r="P1773" s="27"/>
      <c r="Q1773" s="27"/>
      <c r="R1773" s="27"/>
      <c r="S1773" s="27"/>
      <c r="T1773" s="27"/>
      <c r="U1773" s="27"/>
      <c r="V1773" s="27"/>
      <c r="W1773" s="27"/>
      <c r="X1773" s="27"/>
      <c r="Y1773" s="27"/>
    </row>
    <row r="1774">
      <c r="A1774" s="32"/>
      <c r="B1774" s="32"/>
      <c r="C1774" s="29" t="s">
        <v>172</v>
      </c>
      <c r="D1774" s="29" t="s">
        <v>1988</v>
      </c>
      <c r="E1774" s="28">
        <v>425.0</v>
      </c>
      <c r="F1774" s="28">
        <v>0.0</v>
      </c>
      <c r="G1774" s="99" t="s">
        <v>250</v>
      </c>
      <c r="H1774" s="28">
        <f t="array" ref="H1774">INDEX(CC!C:C,MATCH(1,(CC!A:A=G1774)*(CC!B:B=I1774),0))</f>
        <v>1402</v>
      </c>
      <c r="I1774" s="99" t="s">
        <v>25</v>
      </c>
      <c r="J1774" s="31">
        <v>425.0</v>
      </c>
      <c r="K1774" s="28" t="str">
        <f>IFERROR(__xludf.DUMMYFUNCTION("IFERROR(
INDEX(
FILTER(
MAP(
reglas!$B$2:$B$240,
reglas!$C$2:$C$240,
reglas!$D$2:$D$240,
reglas!$E$2:$E$240,
LAMBDA(rEmisor,rPatron,rConcepto,rTipo,
IF(
AND(
OR(
UPPER(TRIM(rEmisor))=UPPER(TRIM(C1774)),
UPPER(TRIM(rEmisor))=""CUALQUIERA""
),
OR(
UPPER(TRI"&amp;"M(rTipo))=""SOLO EMISOR"",
AND(
UPPER(TRIM(rTipo))=""EXACTA"",
UPPER(TRIM(AG1774))=UPPER(TRIM(rPatron))
),
AND(
OR(
UPPER(TRIM(rTipo))=""CONTIENE"",
UPPER(TRIM(rTipo))=""COINCIDENCIA""
),
ISNUMBER(SEARCH(UPPER(TRIM(rPatron)),UPPER(TRIM(D1774))))
)
)
),
rC"&amp;"oncepto,
""""
)
)
),
MAP(
reglas!$B$2:$B$240,
reglas!$C$2:$C$240,
reglas!$D$2:$D$240,
reglas!$E$2:$E$240,
LAMBDA(rEmisor,rPatron,rConcepto,rTipo,
IF(
AND(
OR(
UPPER(TRIM(rEmisor))=UPPER(TRIM(C1774)),
UPPER(TRIM(rEmisor))=""CUALQUIERA""
),
OR(
UPPER(TRIM(r"&amp;"Tipo))=""SOLO EMISOR"",
AND(
UPPER(TRIM(rTipo))=""EXACTA"",
UPPER(TRIM(D1774))=UPPER(TRIM(rPatron))
),
AND(
OR(
UPPER(TRIM(rTipo))=""CONTIENE"",
UPPER(TRIM(rTipo))=""COINCIDENCIA""
),
ISNUMBER(SEARCH(UPPER(TRIM(rPatron)),UPPER(TRIM(D1774))))
)
)
),
rConce"&amp;"pto,
""""
)
)
)&lt;&gt;""""
),
1
),
""""
)"),"PATIO REGULADOR")</f>
        <v>PATIO REGULADOR</v>
      </c>
      <c r="L1774" s="27"/>
      <c r="M1774" s="27"/>
      <c r="N1774" s="27"/>
      <c r="O1774" s="27"/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</row>
    <row r="1775">
      <c r="A1775" s="32"/>
      <c r="B1775" s="32"/>
      <c r="C1775" s="29" t="s">
        <v>172</v>
      </c>
      <c r="D1775" s="29" t="s">
        <v>1989</v>
      </c>
      <c r="E1775" s="28">
        <v>425.0</v>
      </c>
      <c r="F1775" s="28">
        <v>0.0</v>
      </c>
      <c r="G1775" s="99" t="s">
        <v>250</v>
      </c>
      <c r="H1775" s="28">
        <f t="array" ref="H1775">INDEX(CC!C:C,MATCH(1,(CC!A:A=G1775)*(CC!B:B=I1775),0))</f>
        <v>1402</v>
      </c>
      <c r="I1775" s="99" t="s">
        <v>25</v>
      </c>
      <c r="J1775" s="31">
        <v>425.0</v>
      </c>
      <c r="K1775" s="28" t="str">
        <f>IFERROR(__xludf.DUMMYFUNCTION("IFERROR(
INDEX(
FILTER(
MAP(
reglas!$B$2:$B$240,
reglas!$C$2:$C$240,
reglas!$D$2:$D$240,
reglas!$E$2:$E$240,
LAMBDA(rEmisor,rPatron,rConcepto,rTipo,
IF(
AND(
OR(
UPPER(TRIM(rEmisor))=UPPER(TRIM(C1775)),
UPPER(TRIM(rEmisor))=""CUALQUIERA""
),
OR(
UPPER(TRI"&amp;"M(rTipo))=""SOLO EMISOR"",
AND(
UPPER(TRIM(rTipo))=""EXACTA"",
UPPER(TRIM(AG1775))=UPPER(TRIM(rPatron))
),
AND(
OR(
UPPER(TRIM(rTipo))=""CONTIENE"",
UPPER(TRIM(rTipo))=""COINCIDENCIA""
),
ISNUMBER(SEARCH(UPPER(TRIM(rPatron)),UPPER(TRIM(D1775))))
)
)
),
rC"&amp;"oncepto,
""""
)
)
),
MAP(
reglas!$B$2:$B$240,
reglas!$C$2:$C$240,
reglas!$D$2:$D$240,
reglas!$E$2:$E$240,
LAMBDA(rEmisor,rPatron,rConcepto,rTipo,
IF(
AND(
OR(
UPPER(TRIM(rEmisor))=UPPER(TRIM(C1775)),
UPPER(TRIM(rEmisor))=""CUALQUIERA""
),
OR(
UPPER(TRIM(r"&amp;"Tipo))=""SOLO EMISOR"",
AND(
UPPER(TRIM(rTipo))=""EXACTA"",
UPPER(TRIM(D1775))=UPPER(TRIM(rPatron))
),
AND(
OR(
UPPER(TRIM(rTipo))=""CONTIENE"",
UPPER(TRIM(rTipo))=""COINCIDENCIA""
),
ISNUMBER(SEARCH(UPPER(TRIM(rPatron)),UPPER(TRIM(D1775))))
)
)
),
rConce"&amp;"pto,
""""
)
)
)&lt;&gt;""""
),
1
),
""""
)"),"PATIO REGULADOR")</f>
        <v>PATIO REGULADOR</v>
      </c>
      <c r="L1775" s="27"/>
      <c r="M1775" s="27"/>
      <c r="N1775" s="27"/>
      <c r="O1775" s="27"/>
      <c r="P1775" s="27"/>
      <c r="Q1775" s="27"/>
      <c r="R1775" s="27"/>
      <c r="S1775" s="27"/>
      <c r="T1775" s="27"/>
      <c r="U1775" s="27"/>
      <c r="V1775" s="27"/>
      <c r="W1775" s="27"/>
      <c r="X1775" s="27"/>
      <c r="Y1775" s="27"/>
    </row>
    <row r="1776">
      <c r="A1776" s="32"/>
      <c r="B1776" s="32"/>
      <c r="C1776" s="29" t="s">
        <v>172</v>
      </c>
      <c r="D1776" s="29" t="s">
        <v>1990</v>
      </c>
      <c r="E1776" s="28">
        <v>305.0</v>
      </c>
      <c r="F1776" s="28">
        <v>0.0</v>
      </c>
      <c r="G1776" s="99" t="s">
        <v>250</v>
      </c>
      <c r="H1776" s="28">
        <f t="array" ref="H1776">INDEX(CC!C:C,MATCH(1,(CC!A:A=G1776)*(CC!B:B=I1776),0))</f>
        <v>1402</v>
      </c>
      <c r="I1776" s="99" t="s">
        <v>25</v>
      </c>
      <c r="J1776" s="31">
        <v>305.0</v>
      </c>
      <c r="K1776" s="28" t="str">
        <f>IFERROR(__xludf.DUMMYFUNCTION("IFERROR(
INDEX(
FILTER(
MAP(
reglas!$B$2:$B$240,
reglas!$C$2:$C$240,
reglas!$D$2:$D$240,
reglas!$E$2:$E$240,
LAMBDA(rEmisor,rPatron,rConcepto,rTipo,
IF(
AND(
OR(
UPPER(TRIM(rEmisor))=UPPER(TRIM(C1776)),
UPPER(TRIM(rEmisor))=""CUALQUIERA""
),
OR(
UPPER(TRI"&amp;"M(rTipo))=""SOLO EMISOR"",
AND(
UPPER(TRIM(rTipo))=""EXACTA"",
UPPER(TRIM(AG1776))=UPPER(TRIM(rPatron))
),
AND(
OR(
UPPER(TRIM(rTipo))=""CONTIENE"",
UPPER(TRIM(rTipo))=""COINCIDENCIA""
),
ISNUMBER(SEARCH(UPPER(TRIM(rPatron)),UPPER(TRIM(D1776))))
)
)
),
rC"&amp;"oncepto,
""""
)
)
),
MAP(
reglas!$B$2:$B$240,
reglas!$C$2:$C$240,
reglas!$D$2:$D$240,
reglas!$E$2:$E$240,
LAMBDA(rEmisor,rPatron,rConcepto,rTipo,
IF(
AND(
OR(
UPPER(TRIM(rEmisor))=UPPER(TRIM(C1776)),
UPPER(TRIM(rEmisor))=""CUALQUIERA""
),
OR(
UPPER(TRIM(r"&amp;"Tipo))=""SOLO EMISOR"",
AND(
UPPER(TRIM(rTipo))=""EXACTA"",
UPPER(TRIM(D1776))=UPPER(TRIM(rPatron))
),
AND(
OR(
UPPER(TRIM(rTipo))=""CONTIENE"",
UPPER(TRIM(rTipo))=""COINCIDENCIA""
),
ISNUMBER(SEARCH(UPPER(TRIM(rPatron)),UPPER(TRIM(D1776))))
)
)
),
rConce"&amp;"pto,
""""
)
)
)&lt;&gt;""""
),
1
),
""""
)"),"PATIO REGULADOR")</f>
        <v>PATIO REGULADOR</v>
      </c>
      <c r="L1776" s="27"/>
      <c r="M1776" s="27"/>
      <c r="N1776" s="27"/>
      <c r="O1776" s="27"/>
      <c r="P1776" s="27"/>
      <c r="Q1776" s="27"/>
      <c r="R1776" s="27"/>
      <c r="S1776" s="27"/>
      <c r="T1776" s="27"/>
      <c r="U1776" s="27"/>
      <c r="V1776" s="27"/>
      <c r="W1776" s="27"/>
      <c r="X1776" s="27"/>
      <c r="Y1776" s="27"/>
    </row>
    <row r="1777">
      <c r="A1777" s="32"/>
      <c r="B1777" s="32"/>
      <c r="C1777" s="29" t="s">
        <v>172</v>
      </c>
      <c r="D1777" s="29" t="s">
        <v>1991</v>
      </c>
      <c r="E1777" s="28">
        <v>425.0</v>
      </c>
      <c r="F1777" s="28">
        <v>0.0</v>
      </c>
      <c r="G1777" s="99" t="s">
        <v>250</v>
      </c>
      <c r="H1777" s="28">
        <f t="array" ref="H1777">INDEX(CC!C:C,MATCH(1,(CC!A:A=G1777)*(CC!B:B=I1777),0))</f>
        <v>1402</v>
      </c>
      <c r="I1777" s="99" t="s">
        <v>25</v>
      </c>
      <c r="J1777" s="31">
        <v>425.0</v>
      </c>
      <c r="K1777" s="28" t="str">
        <f>IFERROR(__xludf.DUMMYFUNCTION("IFERROR(
INDEX(
FILTER(
MAP(
reglas!$B$2:$B$240,
reglas!$C$2:$C$240,
reglas!$D$2:$D$240,
reglas!$E$2:$E$240,
LAMBDA(rEmisor,rPatron,rConcepto,rTipo,
IF(
AND(
OR(
UPPER(TRIM(rEmisor))=UPPER(TRIM(C1777)),
UPPER(TRIM(rEmisor))=""CUALQUIERA""
),
OR(
UPPER(TRI"&amp;"M(rTipo))=""SOLO EMISOR"",
AND(
UPPER(TRIM(rTipo))=""EXACTA"",
UPPER(TRIM(AG1777))=UPPER(TRIM(rPatron))
),
AND(
OR(
UPPER(TRIM(rTipo))=""CONTIENE"",
UPPER(TRIM(rTipo))=""COINCIDENCIA""
),
ISNUMBER(SEARCH(UPPER(TRIM(rPatron)),UPPER(TRIM(D1777))))
)
)
),
rC"&amp;"oncepto,
""""
)
)
),
MAP(
reglas!$B$2:$B$240,
reglas!$C$2:$C$240,
reglas!$D$2:$D$240,
reglas!$E$2:$E$240,
LAMBDA(rEmisor,rPatron,rConcepto,rTipo,
IF(
AND(
OR(
UPPER(TRIM(rEmisor))=UPPER(TRIM(C1777)),
UPPER(TRIM(rEmisor))=""CUALQUIERA""
),
OR(
UPPER(TRIM(r"&amp;"Tipo))=""SOLO EMISOR"",
AND(
UPPER(TRIM(rTipo))=""EXACTA"",
UPPER(TRIM(D1777))=UPPER(TRIM(rPatron))
),
AND(
OR(
UPPER(TRIM(rTipo))=""CONTIENE"",
UPPER(TRIM(rTipo))=""COINCIDENCIA""
),
ISNUMBER(SEARCH(UPPER(TRIM(rPatron)),UPPER(TRIM(D1777))))
)
)
),
rConce"&amp;"pto,
""""
)
)
)&lt;&gt;""""
),
1
),
""""
)"),"PATIO REGULADOR")</f>
        <v>PATIO REGULADOR</v>
      </c>
      <c r="L1777" s="27"/>
      <c r="M1777" s="27"/>
      <c r="N1777" s="27"/>
      <c r="O1777" s="27"/>
      <c r="P1777" s="27"/>
      <c r="Q1777" s="27"/>
      <c r="R1777" s="27"/>
      <c r="S1777" s="27"/>
      <c r="T1777" s="27"/>
      <c r="U1777" s="27"/>
      <c r="V1777" s="27"/>
      <c r="W1777" s="27"/>
      <c r="X1777" s="27"/>
      <c r="Y1777" s="27"/>
    </row>
    <row r="1778">
      <c r="A1778" s="32"/>
      <c r="B1778" s="32"/>
      <c r="C1778" s="29" t="s">
        <v>172</v>
      </c>
      <c r="D1778" s="29" t="s">
        <v>1992</v>
      </c>
      <c r="E1778" s="28">
        <v>905.0</v>
      </c>
      <c r="F1778" s="28">
        <v>0.0</v>
      </c>
      <c r="G1778" s="99" t="s">
        <v>250</v>
      </c>
      <c r="H1778" s="28">
        <f t="array" ref="H1778">INDEX(CC!C:C,MATCH(1,(CC!A:A=G1778)*(CC!B:B=I1778),0))</f>
        <v>1402</v>
      </c>
      <c r="I1778" s="99" t="s">
        <v>25</v>
      </c>
      <c r="J1778" s="31">
        <v>905.0</v>
      </c>
      <c r="K1778" s="28" t="str">
        <f>IFERROR(__xludf.DUMMYFUNCTION("IFERROR(
INDEX(
FILTER(
MAP(
reglas!$B$2:$B$240,
reglas!$C$2:$C$240,
reglas!$D$2:$D$240,
reglas!$E$2:$E$240,
LAMBDA(rEmisor,rPatron,rConcepto,rTipo,
IF(
AND(
OR(
UPPER(TRIM(rEmisor))=UPPER(TRIM(C1778)),
UPPER(TRIM(rEmisor))=""CUALQUIERA""
),
OR(
UPPER(TRI"&amp;"M(rTipo))=""SOLO EMISOR"",
AND(
UPPER(TRIM(rTipo))=""EXACTA"",
UPPER(TRIM(AG1778))=UPPER(TRIM(rPatron))
),
AND(
OR(
UPPER(TRIM(rTipo))=""CONTIENE"",
UPPER(TRIM(rTipo))=""COINCIDENCIA""
),
ISNUMBER(SEARCH(UPPER(TRIM(rPatron)),UPPER(TRIM(D1778))))
)
)
),
rC"&amp;"oncepto,
""""
)
)
),
MAP(
reglas!$B$2:$B$240,
reglas!$C$2:$C$240,
reglas!$D$2:$D$240,
reglas!$E$2:$E$240,
LAMBDA(rEmisor,rPatron,rConcepto,rTipo,
IF(
AND(
OR(
UPPER(TRIM(rEmisor))=UPPER(TRIM(C1778)),
UPPER(TRIM(rEmisor))=""CUALQUIERA""
),
OR(
UPPER(TRIM(r"&amp;"Tipo))=""SOLO EMISOR"",
AND(
UPPER(TRIM(rTipo))=""EXACTA"",
UPPER(TRIM(D1778))=UPPER(TRIM(rPatron))
),
AND(
OR(
UPPER(TRIM(rTipo))=""CONTIENE"",
UPPER(TRIM(rTipo))=""COINCIDENCIA""
),
ISNUMBER(SEARCH(UPPER(TRIM(rPatron)),UPPER(TRIM(D1778))))
)
)
),
rConce"&amp;"pto,
""""
)
)
)&lt;&gt;""""
),
1
),
""""
)"),"PATIO REGULADOR")</f>
        <v>PATIO REGULADOR</v>
      </c>
      <c r="L1778" s="27"/>
      <c r="M1778" s="27"/>
      <c r="N1778" s="27"/>
      <c r="O1778" s="27"/>
      <c r="P1778" s="27"/>
      <c r="Q1778" s="27"/>
      <c r="R1778" s="27"/>
      <c r="S1778" s="27"/>
      <c r="T1778" s="27"/>
      <c r="U1778" s="27"/>
      <c r="V1778" s="27"/>
      <c r="W1778" s="27"/>
      <c r="X1778" s="27"/>
      <c r="Y1778" s="27"/>
    </row>
    <row r="1779">
      <c r="A1779" s="32"/>
      <c r="B1779" s="32"/>
      <c r="C1779" s="29" t="s">
        <v>172</v>
      </c>
      <c r="D1779" s="29" t="s">
        <v>1993</v>
      </c>
      <c r="E1779" s="28">
        <v>785.0</v>
      </c>
      <c r="F1779" s="28">
        <v>0.0</v>
      </c>
      <c r="G1779" s="99" t="s">
        <v>250</v>
      </c>
      <c r="H1779" s="28">
        <f t="array" ref="H1779">INDEX(CC!C:C,MATCH(1,(CC!A:A=G1779)*(CC!B:B=I1779),0))</f>
        <v>1402</v>
      </c>
      <c r="I1779" s="99" t="s">
        <v>25</v>
      </c>
      <c r="J1779" s="31">
        <v>785.0</v>
      </c>
      <c r="K1779" s="28" t="str">
        <f>IFERROR(__xludf.DUMMYFUNCTION("IFERROR(
INDEX(
FILTER(
MAP(
reglas!$B$2:$B$240,
reglas!$C$2:$C$240,
reglas!$D$2:$D$240,
reglas!$E$2:$E$240,
LAMBDA(rEmisor,rPatron,rConcepto,rTipo,
IF(
AND(
OR(
UPPER(TRIM(rEmisor))=UPPER(TRIM(C1779)),
UPPER(TRIM(rEmisor))=""CUALQUIERA""
),
OR(
UPPER(TRI"&amp;"M(rTipo))=""SOLO EMISOR"",
AND(
UPPER(TRIM(rTipo))=""EXACTA"",
UPPER(TRIM(AG1779))=UPPER(TRIM(rPatron))
),
AND(
OR(
UPPER(TRIM(rTipo))=""CONTIENE"",
UPPER(TRIM(rTipo))=""COINCIDENCIA""
),
ISNUMBER(SEARCH(UPPER(TRIM(rPatron)),UPPER(TRIM(D1779))))
)
)
),
rC"&amp;"oncepto,
""""
)
)
),
MAP(
reglas!$B$2:$B$240,
reglas!$C$2:$C$240,
reglas!$D$2:$D$240,
reglas!$E$2:$E$240,
LAMBDA(rEmisor,rPatron,rConcepto,rTipo,
IF(
AND(
OR(
UPPER(TRIM(rEmisor))=UPPER(TRIM(C1779)),
UPPER(TRIM(rEmisor))=""CUALQUIERA""
),
OR(
UPPER(TRIM(r"&amp;"Tipo))=""SOLO EMISOR"",
AND(
UPPER(TRIM(rTipo))=""EXACTA"",
UPPER(TRIM(D1779))=UPPER(TRIM(rPatron))
),
AND(
OR(
UPPER(TRIM(rTipo))=""CONTIENE"",
UPPER(TRIM(rTipo))=""COINCIDENCIA""
),
ISNUMBER(SEARCH(UPPER(TRIM(rPatron)),UPPER(TRIM(D1779))))
)
)
),
rConce"&amp;"pto,
""""
)
)
)&lt;&gt;""""
),
1
),
""""
)"),"PATIO REGULADOR")</f>
        <v>PATIO REGULADOR</v>
      </c>
      <c r="L1779" s="27"/>
      <c r="M1779" s="27"/>
      <c r="N1779" s="27"/>
      <c r="O1779" s="27"/>
      <c r="P1779" s="27"/>
      <c r="Q1779" s="27"/>
      <c r="R1779" s="27"/>
      <c r="S1779" s="27"/>
      <c r="T1779" s="27"/>
      <c r="U1779" s="27"/>
      <c r="V1779" s="27"/>
      <c r="W1779" s="27"/>
      <c r="X1779" s="27"/>
      <c r="Y1779" s="27"/>
    </row>
    <row r="1780">
      <c r="A1780" s="32"/>
      <c r="B1780" s="32"/>
      <c r="C1780" s="29" t="s">
        <v>172</v>
      </c>
      <c r="D1780" s="29" t="s">
        <v>1994</v>
      </c>
      <c r="E1780" s="28">
        <v>425.0</v>
      </c>
      <c r="F1780" s="28">
        <v>0.0</v>
      </c>
      <c r="G1780" s="99" t="s">
        <v>250</v>
      </c>
      <c r="H1780" s="28">
        <f t="array" ref="H1780">INDEX(CC!C:C,MATCH(1,(CC!A:A=G1780)*(CC!B:B=I1780),0))</f>
        <v>1402</v>
      </c>
      <c r="I1780" s="99" t="s">
        <v>25</v>
      </c>
      <c r="J1780" s="31">
        <v>425.0</v>
      </c>
      <c r="K1780" s="28" t="str">
        <f>IFERROR(__xludf.DUMMYFUNCTION("IFERROR(
INDEX(
FILTER(
MAP(
reglas!$B$2:$B$240,
reglas!$C$2:$C$240,
reglas!$D$2:$D$240,
reglas!$E$2:$E$240,
LAMBDA(rEmisor,rPatron,rConcepto,rTipo,
IF(
AND(
OR(
UPPER(TRIM(rEmisor))=UPPER(TRIM(C1780)),
UPPER(TRIM(rEmisor))=""CUALQUIERA""
),
OR(
UPPER(TRI"&amp;"M(rTipo))=""SOLO EMISOR"",
AND(
UPPER(TRIM(rTipo))=""EXACTA"",
UPPER(TRIM(AG1780))=UPPER(TRIM(rPatron))
),
AND(
OR(
UPPER(TRIM(rTipo))=""CONTIENE"",
UPPER(TRIM(rTipo))=""COINCIDENCIA""
),
ISNUMBER(SEARCH(UPPER(TRIM(rPatron)),UPPER(TRIM(D1780))))
)
)
),
rC"&amp;"oncepto,
""""
)
)
),
MAP(
reglas!$B$2:$B$240,
reglas!$C$2:$C$240,
reglas!$D$2:$D$240,
reglas!$E$2:$E$240,
LAMBDA(rEmisor,rPatron,rConcepto,rTipo,
IF(
AND(
OR(
UPPER(TRIM(rEmisor))=UPPER(TRIM(C1780)),
UPPER(TRIM(rEmisor))=""CUALQUIERA""
),
OR(
UPPER(TRIM(r"&amp;"Tipo))=""SOLO EMISOR"",
AND(
UPPER(TRIM(rTipo))=""EXACTA"",
UPPER(TRIM(D1780))=UPPER(TRIM(rPatron))
),
AND(
OR(
UPPER(TRIM(rTipo))=""CONTIENE"",
UPPER(TRIM(rTipo))=""COINCIDENCIA""
),
ISNUMBER(SEARCH(UPPER(TRIM(rPatron)),UPPER(TRIM(D1780))))
)
)
),
rConce"&amp;"pto,
""""
)
)
)&lt;&gt;""""
),
1
),
""""
)"),"PATIO REGULADOR")</f>
        <v>PATIO REGULADOR</v>
      </c>
      <c r="L1780" s="27"/>
      <c r="M1780" s="27"/>
      <c r="N1780" s="27"/>
      <c r="O1780" s="27"/>
      <c r="P1780" s="27"/>
      <c r="Q1780" s="27"/>
      <c r="R1780" s="27"/>
      <c r="S1780" s="27"/>
      <c r="T1780" s="27"/>
      <c r="U1780" s="27"/>
      <c r="V1780" s="27"/>
      <c r="W1780" s="27"/>
      <c r="X1780" s="27"/>
      <c r="Y1780" s="27"/>
    </row>
    <row r="1781">
      <c r="A1781" s="32"/>
      <c r="B1781" s="32"/>
      <c r="C1781" s="29" t="s">
        <v>172</v>
      </c>
      <c r="D1781" s="29" t="s">
        <v>1995</v>
      </c>
      <c r="E1781" s="28">
        <v>305.0</v>
      </c>
      <c r="F1781" s="28">
        <v>0.0</v>
      </c>
      <c r="G1781" s="99" t="s">
        <v>250</v>
      </c>
      <c r="H1781" s="28">
        <f t="array" ref="H1781">INDEX(CC!C:C,MATCH(1,(CC!A:A=G1781)*(CC!B:B=I1781),0))</f>
        <v>1402</v>
      </c>
      <c r="I1781" s="99" t="s">
        <v>25</v>
      </c>
      <c r="J1781" s="31">
        <v>305.0</v>
      </c>
      <c r="K1781" s="28" t="str">
        <f>IFERROR(__xludf.DUMMYFUNCTION("IFERROR(
INDEX(
FILTER(
MAP(
reglas!$B$2:$B$240,
reglas!$C$2:$C$240,
reglas!$D$2:$D$240,
reglas!$E$2:$E$240,
LAMBDA(rEmisor,rPatron,rConcepto,rTipo,
IF(
AND(
OR(
UPPER(TRIM(rEmisor))=UPPER(TRIM(C1781)),
UPPER(TRIM(rEmisor))=""CUALQUIERA""
),
OR(
UPPER(TRI"&amp;"M(rTipo))=""SOLO EMISOR"",
AND(
UPPER(TRIM(rTipo))=""EXACTA"",
UPPER(TRIM(AG1781))=UPPER(TRIM(rPatron))
),
AND(
OR(
UPPER(TRIM(rTipo))=""CONTIENE"",
UPPER(TRIM(rTipo))=""COINCIDENCIA""
),
ISNUMBER(SEARCH(UPPER(TRIM(rPatron)),UPPER(TRIM(D1781))))
)
)
),
rC"&amp;"oncepto,
""""
)
)
),
MAP(
reglas!$B$2:$B$240,
reglas!$C$2:$C$240,
reglas!$D$2:$D$240,
reglas!$E$2:$E$240,
LAMBDA(rEmisor,rPatron,rConcepto,rTipo,
IF(
AND(
OR(
UPPER(TRIM(rEmisor))=UPPER(TRIM(C1781)),
UPPER(TRIM(rEmisor))=""CUALQUIERA""
),
OR(
UPPER(TRIM(r"&amp;"Tipo))=""SOLO EMISOR"",
AND(
UPPER(TRIM(rTipo))=""EXACTA"",
UPPER(TRIM(D1781))=UPPER(TRIM(rPatron))
),
AND(
OR(
UPPER(TRIM(rTipo))=""CONTIENE"",
UPPER(TRIM(rTipo))=""COINCIDENCIA""
),
ISNUMBER(SEARCH(UPPER(TRIM(rPatron)),UPPER(TRIM(D1781))))
)
)
),
rConce"&amp;"pto,
""""
)
)
)&lt;&gt;""""
),
1
),
""""
)"),"PATIO REGULADOR")</f>
        <v>PATIO REGULADOR</v>
      </c>
      <c r="L1781" s="27"/>
      <c r="M1781" s="27"/>
      <c r="N1781" s="27"/>
      <c r="O1781" s="27"/>
      <c r="P1781" s="27"/>
      <c r="Q1781" s="27"/>
      <c r="R1781" s="27"/>
      <c r="S1781" s="27"/>
      <c r="T1781" s="27"/>
      <c r="U1781" s="27"/>
      <c r="V1781" s="27"/>
      <c r="W1781" s="27"/>
      <c r="X1781" s="27"/>
      <c r="Y1781" s="27"/>
    </row>
    <row r="1782">
      <c r="A1782" s="32"/>
      <c r="B1782" s="32"/>
      <c r="C1782" s="29" t="s">
        <v>172</v>
      </c>
      <c r="D1782" s="29" t="s">
        <v>1995</v>
      </c>
      <c r="E1782" s="28">
        <v>425.0</v>
      </c>
      <c r="F1782" s="28">
        <v>0.0</v>
      </c>
      <c r="G1782" s="99" t="s">
        <v>250</v>
      </c>
      <c r="H1782" s="28">
        <f t="array" ref="H1782">INDEX(CC!C:C,MATCH(1,(CC!A:A=G1782)*(CC!B:B=I1782),0))</f>
        <v>1402</v>
      </c>
      <c r="I1782" s="99" t="s">
        <v>25</v>
      </c>
      <c r="J1782" s="31">
        <v>425.0</v>
      </c>
      <c r="K1782" s="28" t="str">
        <f>IFERROR(__xludf.DUMMYFUNCTION("IFERROR(
INDEX(
FILTER(
MAP(
reglas!$B$2:$B$240,
reglas!$C$2:$C$240,
reglas!$D$2:$D$240,
reglas!$E$2:$E$240,
LAMBDA(rEmisor,rPatron,rConcepto,rTipo,
IF(
AND(
OR(
UPPER(TRIM(rEmisor))=UPPER(TRIM(C1782)),
UPPER(TRIM(rEmisor))=""CUALQUIERA""
),
OR(
UPPER(TRI"&amp;"M(rTipo))=""SOLO EMISOR"",
AND(
UPPER(TRIM(rTipo))=""EXACTA"",
UPPER(TRIM(AG1782))=UPPER(TRIM(rPatron))
),
AND(
OR(
UPPER(TRIM(rTipo))=""CONTIENE"",
UPPER(TRIM(rTipo))=""COINCIDENCIA""
),
ISNUMBER(SEARCH(UPPER(TRIM(rPatron)),UPPER(TRIM(D1782))))
)
)
),
rC"&amp;"oncepto,
""""
)
)
),
MAP(
reglas!$B$2:$B$240,
reglas!$C$2:$C$240,
reglas!$D$2:$D$240,
reglas!$E$2:$E$240,
LAMBDA(rEmisor,rPatron,rConcepto,rTipo,
IF(
AND(
OR(
UPPER(TRIM(rEmisor))=UPPER(TRIM(C1782)),
UPPER(TRIM(rEmisor))=""CUALQUIERA""
),
OR(
UPPER(TRIM(r"&amp;"Tipo))=""SOLO EMISOR"",
AND(
UPPER(TRIM(rTipo))=""EXACTA"",
UPPER(TRIM(D1782))=UPPER(TRIM(rPatron))
),
AND(
OR(
UPPER(TRIM(rTipo))=""CONTIENE"",
UPPER(TRIM(rTipo))=""COINCIDENCIA""
),
ISNUMBER(SEARCH(UPPER(TRIM(rPatron)),UPPER(TRIM(D1782))))
)
)
),
rConce"&amp;"pto,
""""
)
)
)&lt;&gt;""""
),
1
),
""""
)"),"PATIO REGULADOR")</f>
        <v>PATIO REGULADOR</v>
      </c>
      <c r="L1782" s="27"/>
      <c r="M1782" s="27"/>
      <c r="N1782" s="27"/>
      <c r="O1782" s="27"/>
      <c r="P1782" s="27"/>
      <c r="Q1782" s="27"/>
      <c r="R1782" s="27"/>
      <c r="S1782" s="27"/>
      <c r="T1782" s="27"/>
      <c r="U1782" s="27"/>
      <c r="V1782" s="27"/>
      <c r="W1782" s="27"/>
      <c r="X1782" s="27"/>
      <c r="Y1782" s="27"/>
    </row>
    <row r="1783">
      <c r="A1783" s="32"/>
      <c r="B1783" s="32"/>
      <c r="C1783" s="29" t="s">
        <v>172</v>
      </c>
      <c r="D1783" s="29" t="s">
        <v>1996</v>
      </c>
      <c r="E1783" s="28">
        <v>425.0</v>
      </c>
      <c r="F1783" s="28">
        <v>0.0</v>
      </c>
      <c r="G1783" s="99" t="s">
        <v>250</v>
      </c>
      <c r="H1783" s="28">
        <f t="array" ref="H1783">INDEX(CC!C:C,MATCH(1,(CC!A:A=G1783)*(CC!B:B=I1783),0))</f>
        <v>1402</v>
      </c>
      <c r="I1783" s="99" t="s">
        <v>25</v>
      </c>
      <c r="J1783" s="31">
        <v>425.0</v>
      </c>
      <c r="K1783" s="28" t="str">
        <f>IFERROR(__xludf.DUMMYFUNCTION("IFERROR(
INDEX(
FILTER(
MAP(
reglas!$B$2:$B$240,
reglas!$C$2:$C$240,
reglas!$D$2:$D$240,
reglas!$E$2:$E$240,
LAMBDA(rEmisor,rPatron,rConcepto,rTipo,
IF(
AND(
OR(
UPPER(TRIM(rEmisor))=UPPER(TRIM(C1783)),
UPPER(TRIM(rEmisor))=""CUALQUIERA""
),
OR(
UPPER(TRI"&amp;"M(rTipo))=""SOLO EMISOR"",
AND(
UPPER(TRIM(rTipo))=""EXACTA"",
UPPER(TRIM(AG1783))=UPPER(TRIM(rPatron))
),
AND(
OR(
UPPER(TRIM(rTipo))=""CONTIENE"",
UPPER(TRIM(rTipo))=""COINCIDENCIA""
),
ISNUMBER(SEARCH(UPPER(TRIM(rPatron)),UPPER(TRIM(D1783))))
)
)
),
rC"&amp;"oncepto,
""""
)
)
),
MAP(
reglas!$B$2:$B$240,
reglas!$C$2:$C$240,
reglas!$D$2:$D$240,
reglas!$E$2:$E$240,
LAMBDA(rEmisor,rPatron,rConcepto,rTipo,
IF(
AND(
OR(
UPPER(TRIM(rEmisor))=UPPER(TRIM(C1783)),
UPPER(TRIM(rEmisor))=""CUALQUIERA""
),
OR(
UPPER(TRIM(r"&amp;"Tipo))=""SOLO EMISOR"",
AND(
UPPER(TRIM(rTipo))=""EXACTA"",
UPPER(TRIM(D1783))=UPPER(TRIM(rPatron))
),
AND(
OR(
UPPER(TRIM(rTipo))=""CONTIENE"",
UPPER(TRIM(rTipo))=""COINCIDENCIA""
),
ISNUMBER(SEARCH(UPPER(TRIM(rPatron)),UPPER(TRIM(D1783))))
)
)
),
rConce"&amp;"pto,
""""
)
)
)&lt;&gt;""""
),
1
),
""""
)"),"PATIO REGULADOR")</f>
        <v>PATIO REGULADOR</v>
      </c>
      <c r="L1783" s="27"/>
      <c r="M1783" s="27"/>
      <c r="N1783" s="27"/>
      <c r="O1783" s="27"/>
      <c r="P1783" s="27"/>
      <c r="Q1783" s="27"/>
      <c r="R1783" s="27"/>
      <c r="S1783" s="27"/>
      <c r="T1783" s="27"/>
      <c r="U1783" s="27"/>
      <c r="V1783" s="27"/>
      <c r="W1783" s="27"/>
      <c r="X1783" s="27"/>
      <c r="Y1783" s="27"/>
    </row>
    <row r="1784">
      <c r="A1784" s="32"/>
      <c r="B1784" s="32"/>
      <c r="C1784" s="29" t="s">
        <v>172</v>
      </c>
      <c r="D1784" s="29" t="s">
        <v>1997</v>
      </c>
      <c r="E1784" s="28">
        <v>305.0</v>
      </c>
      <c r="F1784" s="28">
        <v>0.0</v>
      </c>
      <c r="G1784" s="99" t="s">
        <v>250</v>
      </c>
      <c r="H1784" s="28">
        <f t="array" ref="H1784">INDEX(CC!C:C,MATCH(1,(CC!A:A=G1784)*(CC!B:B=I1784),0))</f>
        <v>1402</v>
      </c>
      <c r="I1784" s="99" t="s">
        <v>25</v>
      </c>
      <c r="J1784" s="31">
        <v>305.0</v>
      </c>
      <c r="K1784" s="28" t="str">
        <f>IFERROR(__xludf.DUMMYFUNCTION("IFERROR(
INDEX(
FILTER(
MAP(
reglas!$B$2:$B$240,
reglas!$C$2:$C$240,
reglas!$D$2:$D$240,
reglas!$E$2:$E$240,
LAMBDA(rEmisor,rPatron,rConcepto,rTipo,
IF(
AND(
OR(
UPPER(TRIM(rEmisor))=UPPER(TRIM(C1784)),
UPPER(TRIM(rEmisor))=""CUALQUIERA""
),
OR(
UPPER(TRI"&amp;"M(rTipo))=""SOLO EMISOR"",
AND(
UPPER(TRIM(rTipo))=""EXACTA"",
UPPER(TRIM(AG1784))=UPPER(TRIM(rPatron))
),
AND(
OR(
UPPER(TRIM(rTipo))=""CONTIENE"",
UPPER(TRIM(rTipo))=""COINCIDENCIA""
),
ISNUMBER(SEARCH(UPPER(TRIM(rPatron)),UPPER(TRIM(D1784))))
)
)
),
rC"&amp;"oncepto,
""""
)
)
),
MAP(
reglas!$B$2:$B$240,
reglas!$C$2:$C$240,
reglas!$D$2:$D$240,
reglas!$E$2:$E$240,
LAMBDA(rEmisor,rPatron,rConcepto,rTipo,
IF(
AND(
OR(
UPPER(TRIM(rEmisor))=UPPER(TRIM(C1784)),
UPPER(TRIM(rEmisor))=""CUALQUIERA""
),
OR(
UPPER(TRIM(r"&amp;"Tipo))=""SOLO EMISOR"",
AND(
UPPER(TRIM(rTipo))=""EXACTA"",
UPPER(TRIM(D1784))=UPPER(TRIM(rPatron))
),
AND(
OR(
UPPER(TRIM(rTipo))=""CONTIENE"",
UPPER(TRIM(rTipo))=""COINCIDENCIA""
),
ISNUMBER(SEARCH(UPPER(TRIM(rPatron)),UPPER(TRIM(D1784))))
)
)
),
rConce"&amp;"pto,
""""
)
)
)&lt;&gt;""""
),
1
),
""""
)"),"PATIO REGULADOR")</f>
        <v>PATIO REGULADOR</v>
      </c>
      <c r="L1784" s="27"/>
      <c r="M1784" s="27"/>
      <c r="N1784" s="27"/>
      <c r="O1784" s="27"/>
      <c r="P1784" s="27"/>
      <c r="Q1784" s="27"/>
      <c r="R1784" s="27"/>
      <c r="S1784" s="27"/>
      <c r="T1784" s="27"/>
      <c r="U1784" s="27"/>
      <c r="V1784" s="27"/>
      <c r="W1784" s="27"/>
      <c r="X1784" s="27"/>
      <c r="Y1784" s="27"/>
    </row>
    <row r="1785">
      <c r="A1785" s="32"/>
      <c r="B1785" s="32"/>
      <c r="C1785" s="29" t="s">
        <v>172</v>
      </c>
      <c r="D1785" s="29" t="s">
        <v>1998</v>
      </c>
      <c r="E1785" s="28">
        <v>545.0</v>
      </c>
      <c r="F1785" s="28">
        <v>0.0</v>
      </c>
      <c r="G1785" s="99" t="s">
        <v>250</v>
      </c>
      <c r="H1785" s="28">
        <f t="array" ref="H1785">INDEX(CC!C:C,MATCH(1,(CC!A:A=G1785)*(CC!B:B=I1785),0))</f>
        <v>1402</v>
      </c>
      <c r="I1785" s="99" t="s">
        <v>25</v>
      </c>
      <c r="J1785" s="31">
        <v>545.0</v>
      </c>
      <c r="K1785" s="28" t="str">
        <f>IFERROR(__xludf.DUMMYFUNCTION("IFERROR(
INDEX(
FILTER(
MAP(
reglas!$B$2:$B$240,
reglas!$C$2:$C$240,
reglas!$D$2:$D$240,
reglas!$E$2:$E$240,
LAMBDA(rEmisor,rPatron,rConcepto,rTipo,
IF(
AND(
OR(
UPPER(TRIM(rEmisor))=UPPER(TRIM(C1785)),
UPPER(TRIM(rEmisor))=""CUALQUIERA""
),
OR(
UPPER(TRI"&amp;"M(rTipo))=""SOLO EMISOR"",
AND(
UPPER(TRIM(rTipo))=""EXACTA"",
UPPER(TRIM(AG1785))=UPPER(TRIM(rPatron))
),
AND(
OR(
UPPER(TRIM(rTipo))=""CONTIENE"",
UPPER(TRIM(rTipo))=""COINCIDENCIA""
),
ISNUMBER(SEARCH(UPPER(TRIM(rPatron)),UPPER(TRIM(D1785))))
)
)
),
rC"&amp;"oncepto,
""""
)
)
),
MAP(
reglas!$B$2:$B$240,
reglas!$C$2:$C$240,
reglas!$D$2:$D$240,
reglas!$E$2:$E$240,
LAMBDA(rEmisor,rPatron,rConcepto,rTipo,
IF(
AND(
OR(
UPPER(TRIM(rEmisor))=UPPER(TRIM(C1785)),
UPPER(TRIM(rEmisor))=""CUALQUIERA""
),
OR(
UPPER(TRIM(r"&amp;"Tipo))=""SOLO EMISOR"",
AND(
UPPER(TRIM(rTipo))=""EXACTA"",
UPPER(TRIM(D1785))=UPPER(TRIM(rPatron))
),
AND(
OR(
UPPER(TRIM(rTipo))=""CONTIENE"",
UPPER(TRIM(rTipo))=""COINCIDENCIA""
),
ISNUMBER(SEARCH(UPPER(TRIM(rPatron)),UPPER(TRIM(D1785))))
)
)
),
rConce"&amp;"pto,
""""
)
)
)&lt;&gt;""""
),
1
),
""""
)"),"PATIO REGULADOR")</f>
        <v>PATIO REGULADOR</v>
      </c>
      <c r="L1785" s="27"/>
      <c r="M1785" s="27"/>
      <c r="N1785" s="27"/>
      <c r="O1785" s="27"/>
      <c r="P1785" s="27"/>
      <c r="Q1785" s="27"/>
      <c r="R1785" s="27"/>
      <c r="S1785" s="27"/>
      <c r="T1785" s="27"/>
      <c r="U1785" s="27"/>
      <c r="V1785" s="27"/>
      <c r="W1785" s="27"/>
      <c r="X1785" s="27"/>
      <c r="Y1785" s="27"/>
    </row>
    <row r="1786">
      <c r="A1786" s="32"/>
      <c r="B1786" s="32"/>
      <c r="C1786" s="29" t="s">
        <v>172</v>
      </c>
      <c r="D1786" s="29" t="s">
        <v>1999</v>
      </c>
      <c r="E1786" s="28">
        <v>425.0</v>
      </c>
      <c r="F1786" s="28">
        <v>0.0</v>
      </c>
      <c r="G1786" s="99" t="s">
        <v>250</v>
      </c>
      <c r="H1786" s="28">
        <f t="array" ref="H1786">INDEX(CC!C:C,MATCH(1,(CC!A:A=G1786)*(CC!B:B=I1786),0))</f>
        <v>1402</v>
      </c>
      <c r="I1786" s="99" t="s">
        <v>25</v>
      </c>
      <c r="J1786" s="31">
        <v>425.0</v>
      </c>
      <c r="K1786" s="28" t="str">
        <f>IFERROR(__xludf.DUMMYFUNCTION("IFERROR(
INDEX(
FILTER(
MAP(
reglas!$B$2:$B$240,
reglas!$C$2:$C$240,
reglas!$D$2:$D$240,
reglas!$E$2:$E$240,
LAMBDA(rEmisor,rPatron,rConcepto,rTipo,
IF(
AND(
OR(
UPPER(TRIM(rEmisor))=UPPER(TRIM(C1786)),
UPPER(TRIM(rEmisor))=""CUALQUIERA""
),
OR(
UPPER(TRI"&amp;"M(rTipo))=""SOLO EMISOR"",
AND(
UPPER(TRIM(rTipo))=""EXACTA"",
UPPER(TRIM(AG1786))=UPPER(TRIM(rPatron))
),
AND(
OR(
UPPER(TRIM(rTipo))=""CONTIENE"",
UPPER(TRIM(rTipo))=""COINCIDENCIA""
),
ISNUMBER(SEARCH(UPPER(TRIM(rPatron)),UPPER(TRIM(D1786))))
)
)
),
rC"&amp;"oncepto,
""""
)
)
),
MAP(
reglas!$B$2:$B$240,
reglas!$C$2:$C$240,
reglas!$D$2:$D$240,
reglas!$E$2:$E$240,
LAMBDA(rEmisor,rPatron,rConcepto,rTipo,
IF(
AND(
OR(
UPPER(TRIM(rEmisor))=UPPER(TRIM(C1786)),
UPPER(TRIM(rEmisor))=""CUALQUIERA""
),
OR(
UPPER(TRIM(r"&amp;"Tipo))=""SOLO EMISOR"",
AND(
UPPER(TRIM(rTipo))=""EXACTA"",
UPPER(TRIM(D1786))=UPPER(TRIM(rPatron))
),
AND(
OR(
UPPER(TRIM(rTipo))=""CONTIENE"",
UPPER(TRIM(rTipo))=""COINCIDENCIA""
),
ISNUMBER(SEARCH(UPPER(TRIM(rPatron)),UPPER(TRIM(D1786))))
)
)
),
rConce"&amp;"pto,
""""
)
)
)&lt;&gt;""""
),
1
),
""""
)"),"PATIO REGULADOR")</f>
        <v>PATIO REGULADOR</v>
      </c>
      <c r="L1786" s="27"/>
      <c r="M1786" s="27"/>
      <c r="N1786" s="27"/>
      <c r="O1786" s="27"/>
      <c r="P1786" s="27"/>
      <c r="Q1786" s="27"/>
      <c r="R1786" s="27"/>
      <c r="S1786" s="27"/>
      <c r="T1786" s="27"/>
      <c r="U1786" s="27"/>
      <c r="V1786" s="27"/>
      <c r="W1786" s="27"/>
      <c r="X1786" s="27"/>
      <c r="Y1786" s="27"/>
    </row>
    <row r="1787">
      <c r="A1787" s="32"/>
      <c r="B1787" s="32"/>
      <c r="C1787" s="29" t="s">
        <v>172</v>
      </c>
      <c r="D1787" s="29" t="s">
        <v>2000</v>
      </c>
      <c r="E1787" s="28">
        <v>305.0</v>
      </c>
      <c r="F1787" s="28">
        <v>0.0</v>
      </c>
      <c r="G1787" s="99" t="s">
        <v>250</v>
      </c>
      <c r="H1787" s="28">
        <f t="array" ref="H1787">INDEX(CC!C:C,MATCH(1,(CC!A:A=G1787)*(CC!B:B=I1787),0))</f>
        <v>1402</v>
      </c>
      <c r="I1787" s="99" t="s">
        <v>25</v>
      </c>
      <c r="J1787" s="31">
        <v>305.0</v>
      </c>
      <c r="K1787" s="28" t="str">
        <f>IFERROR(__xludf.DUMMYFUNCTION("IFERROR(
INDEX(
FILTER(
MAP(
reglas!$B$2:$B$240,
reglas!$C$2:$C$240,
reglas!$D$2:$D$240,
reglas!$E$2:$E$240,
LAMBDA(rEmisor,rPatron,rConcepto,rTipo,
IF(
AND(
OR(
UPPER(TRIM(rEmisor))=UPPER(TRIM(C1787)),
UPPER(TRIM(rEmisor))=""CUALQUIERA""
),
OR(
UPPER(TRI"&amp;"M(rTipo))=""SOLO EMISOR"",
AND(
UPPER(TRIM(rTipo))=""EXACTA"",
UPPER(TRIM(AG1787))=UPPER(TRIM(rPatron))
),
AND(
OR(
UPPER(TRIM(rTipo))=""CONTIENE"",
UPPER(TRIM(rTipo))=""COINCIDENCIA""
),
ISNUMBER(SEARCH(UPPER(TRIM(rPatron)),UPPER(TRIM(D1787))))
)
)
),
rC"&amp;"oncepto,
""""
)
)
),
MAP(
reglas!$B$2:$B$240,
reglas!$C$2:$C$240,
reglas!$D$2:$D$240,
reglas!$E$2:$E$240,
LAMBDA(rEmisor,rPatron,rConcepto,rTipo,
IF(
AND(
OR(
UPPER(TRIM(rEmisor))=UPPER(TRIM(C1787)),
UPPER(TRIM(rEmisor))=""CUALQUIERA""
),
OR(
UPPER(TRIM(r"&amp;"Tipo))=""SOLO EMISOR"",
AND(
UPPER(TRIM(rTipo))=""EXACTA"",
UPPER(TRIM(D1787))=UPPER(TRIM(rPatron))
),
AND(
OR(
UPPER(TRIM(rTipo))=""CONTIENE"",
UPPER(TRIM(rTipo))=""COINCIDENCIA""
),
ISNUMBER(SEARCH(UPPER(TRIM(rPatron)),UPPER(TRIM(D1787))))
)
)
),
rConce"&amp;"pto,
""""
)
)
)&lt;&gt;""""
),
1
),
""""
)"),"PATIO REGULADOR")</f>
        <v>PATIO REGULADOR</v>
      </c>
      <c r="L1787" s="27"/>
      <c r="M1787" s="27"/>
      <c r="N1787" s="27"/>
      <c r="O1787" s="27"/>
      <c r="P1787" s="27"/>
      <c r="Q1787" s="27"/>
      <c r="R1787" s="27"/>
      <c r="S1787" s="27"/>
      <c r="T1787" s="27"/>
      <c r="U1787" s="27"/>
      <c r="V1787" s="27"/>
      <c r="W1787" s="27"/>
      <c r="X1787" s="27"/>
      <c r="Y1787" s="27"/>
    </row>
    <row r="1788">
      <c r="A1788" s="32"/>
      <c r="B1788" s="32"/>
      <c r="C1788" s="29" t="s">
        <v>172</v>
      </c>
      <c r="D1788" s="29" t="s">
        <v>2001</v>
      </c>
      <c r="E1788" s="28">
        <v>305.0</v>
      </c>
      <c r="F1788" s="28">
        <v>0.0</v>
      </c>
      <c r="G1788" s="99" t="s">
        <v>250</v>
      </c>
      <c r="H1788" s="28">
        <f t="array" ref="H1788">INDEX(CC!C:C,MATCH(1,(CC!A:A=G1788)*(CC!B:B=I1788),0))</f>
        <v>1402</v>
      </c>
      <c r="I1788" s="99" t="s">
        <v>25</v>
      </c>
      <c r="J1788" s="31">
        <v>305.0</v>
      </c>
      <c r="K1788" s="28" t="str">
        <f>IFERROR(__xludf.DUMMYFUNCTION("IFERROR(
INDEX(
FILTER(
MAP(
reglas!$B$2:$B$240,
reglas!$C$2:$C$240,
reglas!$D$2:$D$240,
reglas!$E$2:$E$240,
LAMBDA(rEmisor,rPatron,rConcepto,rTipo,
IF(
AND(
OR(
UPPER(TRIM(rEmisor))=UPPER(TRIM(C1788)),
UPPER(TRIM(rEmisor))=""CUALQUIERA""
),
OR(
UPPER(TRI"&amp;"M(rTipo))=""SOLO EMISOR"",
AND(
UPPER(TRIM(rTipo))=""EXACTA"",
UPPER(TRIM(AG1788))=UPPER(TRIM(rPatron))
),
AND(
OR(
UPPER(TRIM(rTipo))=""CONTIENE"",
UPPER(TRIM(rTipo))=""COINCIDENCIA""
),
ISNUMBER(SEARCH(UPPER(TRIM(rPatron)),UPPER(TRIM(D1788))))
)
)
),
rC"&amp;"oncepto,
""""
)
)
),
MAP(
reglas!$B$2:$B$240,
reglas!$C$2:$C$240,
reglas!$D$2:$D$240,
reglas!$E$2:$E$240,
LAMBDA(rEmisor,rPatron,rConcepto,rTipo,
IF(
AND(
OR(
UPPER(TRIM(rEmisor))=UPPER(TRIM(C1788)),
UPPER(TRIM(rEmisor))=""CUALQUIERA""
),
OR(
UPPER(TRIM(r"&amp;"Tipo))=""SOLO EMISOR"",
AND(
UPPER(TRIM(rTipo))=""EXACTA"",
UPPER(TRIM(D1788))=UPPER(TRIM(rPatron))
),
AND(
OR(
UPPER(TRIM(rTipo))=""CONTIENE"",
UPPER(TRIM(rTipo))=""COINCIDENCIA""
),
ISNUMBER(SEARCH(UPPER(TRIM(rPatron)),UPPER(TRIM(D1788))))
)
)
),
rConce"&amp;"pto,
""""
)
)
)&lt;&gt;""""
),
1
),
""""
)"),"PATIO REGULADOR")</f>
        <v>PATIO REGULADOR</v>
      </c>
      <c r="L1788" s="27"/>
      <c r="M1788" s="27"/>
      <c r="N1788" s="27"/>
      <c r="O1788" s="27"/>
      <c r="P1788" s="27"/>
      <c r="Q1788" s="27"/>
      <c r="R1788" s="27"/>
      <c r="S1788" s="27"/>
      <c r="T1788" s="27"/>
      <c r="U1788" s="27"/>
      <c r="V1788" s="27"/>
      <c r="W1788" s="27"/>
      <c r="X1788" s="27"/>
      <c r="Y1788" s="27"/>
    </row>
    <row r="1789">
      <c r="A1789" s="32"/>
      <c r="B1789" s="32"/>
      <c r="C1789" s="29" t="s">
        <v>172</v>
      </c>
      <c r="D1789" s="29" t="s">
        <v>2002</v>
      </c>
      <c r="E1789" s="28">
        <v>425.0</v>
      </c>
      <c r="F1789" s="28">
        <v>0.0</v>
      </c>
      <c r="G1789" s="99" t="s">
        <v>250</v>
      </c>
      <c r="H1789" s="28">
        <f t="array" ref="H1789">INDEX(CC!C:C,MATCH(1,(CC!A:A=G1789)*(CC!B:B=I1789),0))</f>
        <v>1402</v>
      </c>
      <c r="I1789" s="99" t="s">
        <v>25</v>
      </c>
      <c r="J1789" s="31">
        <v>425.0</v>
      </c>
      <c r="K1789" s="28" t="str">
        <f>IFERROR(__xludf.DUMMYFUNCTION("IFERROR(
INDEX(
FILTER(
MAP(
reglas!$B$2:$B$240,
reglas!$C$2:$C$240,
reglas!$D$2:$D$240,
reglas!$E$2:$E$240,
LAMBDA(rEmisor,rPatron,rConcepto,rTipo,
IF(
AND(
OR(
UPPER(TRIM(rEmisor))=UPPER(TRIM(C1789)),
UPPER(TRIM(rEmisor))=""CUALQUIERA""
),
OR(
UPPER(TRI"&amp;"M(rTipo))=""SOLO EMISOR"",
AND(
UPPER(TRIM(rTipo))=""EXACTA"",
UPPER(TRIM(AG1789))=UPPER(TRIM(rPatron))
),
AND(
OR(
UPPER(TRIM(rTipo))=""CONTIENE"",
UPPER(TRIM(rTipo))=""COINCIDENCIA""
),
ISNUMBER(SEARCH(UPPER(TRIM(rPatron)),UPPER(TRIM(D1789))))
)
)
),
rC"&amp;"oncepto,
""""
)
)
),
MAP(
reglas!$B$2:$B$240,
reglas!$C$2:$C$240,
reglas!$D$2:$D$240,
reglas!$E$2:$E$240,
LAMBDA(rEmisor,rPatron,rConcepto,rTipo,
IF(
AND(
OR(
UPPER(TRIM(rEmisor))=UPPER(TRIM(C1789)),
UPPER(TRIM(rEmisor))=""CUALQUIERA""
),
OR(
UPPER(TRIM(r"&amp;"Tipo))=""SOLO EMISOR"",
AND(
UPPER(TRIM(rTipo))=""EXACTA"",
UPPER(TRIM(D1789))=UPPER(TRIM(rPatron))
),
AND(
OR(
UPPER(TRIM(rTipo))=""CONTIENE"",
UPPER(TRIM(rTipo))=""COINCIDENCIA""
),
ISNUMBER(SEARCH(UPPER(TRIM(rPatron)),UPPER(TRIM(D1789))))
)
)
),
rConce"&amp;"pto,
""""
)
)
)&lt;&gt;""""
),
1
),
""""
)"),"PATIO REGULADOR")</f>
        <v>PATIO REGULADOR</v>
      </c>
      <c r="L1789" s="27"/>
      <c r="M1789" s="27"/>
      <c r="N1789" s="27"/>
      <c r="O1789" s="27"/>
      <c r="P1789" s="27"/>
      <c r="Q1789" s="27"/>
      <c r="R1789" s="27"/>
      <c r="S1789" s="27"/>
      <c r="T1789" s="27"/>
      <c r="U1789" s="27"/>
      <c r="V1789" s="27"/>
      <c r="W1789" s="27"/>
      <c r="X1789" s="27"/>
      <c r="Y1789" s="27"/>
    </row>
    <row r="1790">
      <c r="A1790" s="32"/>
      <c r="B1790" s="32"/>
      <c r="C1790" s="29" t="s">
        <v>172</v>
      </c>
      <c r="D1790" s="29" t="s">
        <v>2003</v>
      </c>
      <c r="E1790" s="28">
        <v>545.0</v>
      </c>
      <c r="F1790" s="28">
        <v>0.0</v>
      </c>
      <c r="G1790" s="99" t="s">
        <v>250</v>
      </c>
      <c r="H1790" s="28">
        <f t="array" ref="H1790">INDEX(CC!C:C,MATCH(1,(CC!A:A=G1790)*(CC!B:B=I1790),0))</f>
        <v>1402</v>
      </c>
      <c r="I1790" s="99" t="s">
        <v>25</v>
      </c>
      <c r="J1790" s="31">
        <v>545.0</v>
      </c>
      <c r="K1790" s="28" t="str">
        <f>IFERROR(__xludf.DUMMYFUNCTION("IFERROR(
INDEX(
FILTER(
MAP(
reglas!$B$2:$B$240,
reglas!$C$2:$C$240,
reglas!$D$2:$D$240,
reglas!$E$2:$E$240,
LAMBDA(rEmisor,rPatron,rConcepto,rTipo,
IF(
AND(
OR(
UPPER(TRIM(rEmisor))=UPPER(TRIM(C1790)),
UPPER(TRIM(rEmisor))=""CUALQUIERA""
),
OR(
UPPER(TRI"&amp;"M(rTipo))=""SOLO EMISOR"",
AND(
UPPER(TRIM(rTipo))=""EXACTA"",
UPPER(TRIM(AG1790))=UPPER(TRIM(rPatron))
),
AND(
OR(
UPPER(TRIM(rTipo))=""CONTIENE"",
UPPER(TRIM(rTipo))=""COINCIDENCIA""
),
ISNUMBER(SEARCH(UPPER(TRIM(rPatron)),UPPER(TRIM(D1790))))
)
)
),
rC"&amp;"oncepto,
""""
)
)
),
MAP(
reglas!$B$2:$B$240,
reglas!$C$2:$C$240,
reglas!$D$2:$D$240,
reglas!$E$2:$E$240,
LAMBDA(rEmisor,rPatron,rConcepto,rTipo,
IF(
AND(
OR(
UPPER(TRIM(rEmisor))=UPPER(TRIM(C1790)),
UPPER(TRIM(rEmisor))=""CUALQUIERA""
),
OR(
UPPER(TRIM(r"&amp;"Tipo))=""SOLO EMISOR"",
AND(
UPPER(TRIM(rTipo))=""EXACTA"",
UPPER(TRIM(D1790))=UPPER(TRIM(rPatron))
),
AND(
OR(
UPPER(TRIM(rTipo))=""CONTIENE"",
UPPER(TRIM(rTipo))=""COINCIDENCIA""
),
ISNUMBER(SEARCH(UPPER(TRIM(rPatron)),UPPER(TRIM(D1790))))
)
)
),
rConce"&amp;"pto,
""""
)
)
)&lt;&gt;""""
),
1
),
""""
)"),"PATIO REGULADOR")</f>
        <v>PATIO REGULADOR</v>
      </c>
      <c r="L1790" s="27"/>
      <c r="M1790" s="27"/>
      <c r="N1790" s="27"/>
      <c r="O1790" s="27"/>
      <c r="P1790" s="27"/>
      <c r="Q1790" s="27"/>
      <c r="R1790" s="27"/>
      <c r="S1790" s="27"/>
      <c r="T1790" s="27"/>
      <c r="U1790" s="27"/>
      <c r="V1790" s="27"/>
      <c r="W1790" s="27"/>
      <c r="X1790" s="27"/>
      <c r="Y1790" s="27"/>
    </row>
    <row r="1791">
      <c r="A1791" s="32"/>
      <c r="B1791" s="32"/>
      <c r="C1791" s="29" t="s">
        <v>172</v>
      </c>
      <c r="D1791" s="29" t="s">
        <v>2004</v>
      </c>
      <c r="E1791" s="28">
        <v>425.0</v>
      </c>
      <c r="F1791" s="28">
        <v>0.0</v>
      </c>
      <c r="G1791" s="99" t="s">
        <v>250</v>
      </c>
      <c r="H1791" s="28">
        <f t="array" ref="H1791">INDEX(CC!C:C,MATCH(1,(CC!A:A=G1791)*(CC!B:B=I1791),0))</f>
        <v>1402</v>
      </c>
      <c r="I1791" s="99" t="s">
        <v>25</v>
      </c>
      <c r="J1791" s="31">
        <v>425.0</v>
      </c>
      <c r="K1791" s="28" t="str">
        <f>IFERROR(__xludf.DUMMYFUNCTION("IFERROR(
INDEX(
FILTER(
MAP(
reglas!$B$2:$B$240,
reglas!$C$2:$C$240,
reglas!$D$2:$D$240,
reglas!$E$2:$E$240,
LAMBDA(rEmisor,rPatron,rConcepto,rTipo,
IF(
AND(
OR(
UPPER(TRIM(rEmisor))=UPPER(TRIM(C1791)),
UPPER(TRIM(rEmisor))=""CUALQUIERA""
),
OR(
UPPER(TRI"&amp;"M(rTipo))=""SOLO EMISOR"",
AND(
UPPER(TRIM(rTipo))=""EXACTA"",
UPPER(TRIM(AG1791))=UPPER(TRIM(rPatron))
),
AND(
OR(
UPPER(TRIM(rTipo))=""CONTIENE"",
UPPER(TRIM(rTipo))=""COINCIDENCIA""
),
ISNUMBER(SEARCH(UPPER(TRIM(rPatron)),UPPER(TRIM(D1791))))
)
)
),
rC"&amp;"oncepto,
""""
)
)
),
MAP(
reglas!$B$2:$B$240,
reglas!$C$2:$C$240,
reglas!$D$2:$D$240,
reglas!$E$2:$E$240,
LAMBDA(rEmisor,rPatron,rConcepto,rTipo,
IF(
AND(
OR(
UPPER(TRIM(rEmisor))=UPPER(TRIM(C1791)),
UPPER(TRIM(rEmisor))=""CUALQUIERA""
),
OR(
UPPER(TRIM(r"&amp;"Tipo))=""SOLO EMISOR"",
AND(
UPPER(TRIM(rTipo))=""EXACTA"",
UPPER(TRIM(D1791))=UPPER(TRIM(rPatron))
),
AND(
OR(
UPPER(TRIM(rTipo))=""CONTIENE"",
UPPER(TRIM(rTipo))=""COINCIDENCIA""
),
ISNUMBER(SEARCH(UPPER(TRIM(rPatron)),UPPER(TRIM(D1791))))
)
)
),
rConce"&amp;"pto,
""""
)
)
)&lt;&gt;""""
),
1
),
""""
)"),"PATIO REGULADOR")</f>
        <v>PATIO REGULADOR</v>
      </c>
      <c r="L1791" s="27"/>
      <c r="M1791" s="27"/>
      <c r="N1791" s="27"/>
      <c r="O1791" s="27"/>
      <c r="P1791" s="27"/>
      <c r="Q1791" s="27"/>
      <c r="R1791" s="27"/>
      <c r="S1791" s="27"/>
      <c r="T1791" s="27"/>
      <c r="U1791" s="27"/>
      <c r="V1791" s="27"/>
      <c r="W1791" s="27"/>
      <c r="X1791" s="27"/>
      <c r="Y1791" s="27"/>
    </row>
    <row r="1792">
      <c r="A1792" s="32"/>
      <c r="B1792" s="32"/>
      <c r="C1792" s="29" t="s">
        <v>172</v>
      </c>
      <c r="D1792" s="29" t="s">
        <v>2005</v>
      </c>
      <c r="E1792" s="28">
        <v>305.0</v>
      </c>
      <c r="F1792" s="28">
        <v>0.0</v>
      </c>
      <c r="G1792" s="99" t="s">
        <v>250</v>
      </c>
      <c r="H1792" s="28">
        <f t="array" ref="H1792">INDEX(CC!C:C,MATCH(1,(CC!A:A=G1792)*(CC!B:B=I1792),0))</f>
        <v>1402</v>
      </c>
      <c r="I1792" s="99" t="s">
        <v>25</v>
      </c>
      <c r="J1792" s="31">
        <v>305.0</v>
      </c>
      <c r="K1792" s="28" t="str">
        <f>IFERROR(__xludf.DUMMYFUNCTION("IFERROR(
INDEX(
FILTER(
MAP(
reglas!$B$2:$B$240,
reglas!$C$2:$C$240,
reglas!$D$2:$D$240,
reglas!$E$2:$E$240,
LAMBDA(rEmisor,rPatron,rConcepto,rTipo,
IF(
AND(
OR(
UPPER(TRIM(rEmisor))=UPPER(TRIM(C1792)),
UPPER(TRIM(rEmisor))=""CUALQUIERA""
),
OR(
UPPER(TRI"&amp;"M(rTipo))=""SOLO EMISOR"",
AND(
UPPER(TRIM(rTipo))=""EXACTA"",
UPPER(TRIM(AG1792))=UPPER(TRIM(rPatron))
),
AND(
OR(
UPPER(TRIM(rTipo))=""CONTIENE"",
UPPER(TRIM(rTipo))=""COINCIDENCIA""
),
ISNUMBER(SEARCH(UPPER(TRIM(rPatron)),UPPER(TRIM(D1792))))
)
)
),
rC"&amp;"oncepto,
""""
)
)
),
MAP(
reglas!$B$2:$B$240,
reglas!$C$2:$C$240,
reglas!$D$2:$D$240,
reglas!$E$2:$E$240,
LAMBDA(rEmisor,rPatron,rConcepto,rTipo,
IF(
AND(
OR(
UPPER(TRIM(rEmisor))=UPPER(TRIM(C1792)),
UPPER(TRIM(rEmisor))=""CUALQUIERA""
),
OR(
UPPER(TRIM(r"&amp;"Tipo))=""SOLO EMISOR"",
AND(
UPPER(TRIM(rTipo))=""EXACTA"",
UPPER(TRIM(D1792))=UPPER(TRIM(rPatron))
),
AND(
OR(
UPPER(TRIM(rTipo))=""CONTIENE"",
UPPER(TRIM(rTipo))=""COINCIDENCIA""
),
ISNUMBER(SEARCH(UPPER(TRIM(rPatron)),UPPER(TRIM(D1792))))
)
)
),
rConce"&amp;"pto,
""""
)
)
)&lt;&gt;""""
),
1
),
""""
)"),"PATIO REGULADOR")</f>
        <v>PATIO REGULADOR</v>
      </c>
      <c r="L1792" s="27"/>
      <c r="M1792" s="27"/>
      <c r="N1792" s="27"/>
      <c r="O1792" s="27"/>
      <c r="P1792" s="27"/>
      <c r="Q1792" s="27"/>
      <c r="R1792" s="27"/>
      <c r="S1792" s="27"/>
      <c r="T1792" s="27"/>
      <c r="U1792" s="27"/>
      <c r="V1792" s="27"/>
      <c r="W1792" s="27"/>
      <c r="X1792" s="27"/>
      <c r="Y1792" s="27"/>
    </row>
    <row r="1793">
      <c r="A1793" s="32"/>
      <c r="B1793" s="32"/>
      <c r="C1793" s="29" t="s">
        <v>172</v>
      </c>
      <c r="D1793" s="29" t="s">
        <v>2006</v>
      </c>
      <c r="E1793" s="28">
        <v>305.0</v>
      </c>
      <c r="F1793" s="28">
        <v>0.0</v>
      </c>
      <c r="G1793" s="99" t="s">
        <v>250</v>
      </c>
      <c r="H1793" s="28">
        <f t="array" ref="H1793">INDEX(CC!C:C,MATCH(1,(CC!A:A=G1793)*(CC!B:B=I1793),0))</f>
        <v>1402</v>
      </c>
      <c r="I1793" s="99" t="s">
        <v>25</v>
      </c>
      <c r="J1793" s="31">
        <v>305.0</v>
      </c>
      <c r="K1793" s="28" t="str">
        <f>IFERROR(__xludf.DUMMYFUNCTION("IFERROR(
INDEX(
FILTER(
MAP(
reglas!$B$2:$B$240,
reglas!$C$2:$C$240,
reglas!$D$2:$D$240,
reglas!$E$2:$E$240,
LAMBDA(rEmisor,rPatron,rConcepto,rTipo,
IF(
AND(
OR(
UPPER(TRIM(rEmisor))=UPPER(TRIM(C1793)),
UPPER(TRIM(rEmisor))=""CUALQUIERA""
),
OR(
UPPER(TRI"&amp;"M(rTipo))=""SOLO EMISOR"",
AND(
UPPER(TRIM(rTipo))=""EXACTA"",
UPPER(TRIM(AG1793))=UPPER(TRIM(rPatron))
),
AND(
OR(
UPPER(TRIM(rTipo))=""CONTIENE"",
UPPER(TRIM(rTipo))=""COINCIDENCIA""
),
ISNUMBER(SEARCH(UPPER(TRIM(rPatron)),UPPER(TRIM(D1793))))
)
)
),
rC"&amp;"oncepto,
""""
)
)
),
MAP(
reglas!$B$2:$B$240,
reglas!$C$2:$C$240,
reglas!$D$2:$D$240,
reglas!$E$2:$E$240,
LAMBDA(rEmisor,rPatron,rConcepto,rTipo,
IF(
AND(
OR(
UPPER(TRIM(rEmisor))=UPPER(TRIM(C1793)),
UPPER(TRIM(rEmisor))=""CUALQUIERA""
),
OR(
UPPER(TRIM(r"&amp;"Tipo))=""SOLO EMISOR"",
AND(
UPPER(TRIM(rTipo))=""EXACTA"",
UPPER(TRIM(D1793))=UPPER(TRIM(rPatron))
),
AND(
OR(
UPPER(TRIM(rTipo))=""CONTIENE"",
UPPER(TRIM(rTipo))=""COINCIDENCIA""
),
ISNUMBER(SEARCH(UPPER(TRIM(rPatron)),UPPER(TRIM(D1793))))
)
)
),
rConce"&amp;"pto,
""""
)
)
)&lt;&gt;""""
),
1
),
""""
)"),"PATIO REGULADOR")</f>
        <v>PATIO REGULADOR</v>
      </c>
      <c r="L1793" s="27"/>
      <c r="M1793" s="27"/>
      <c r="N1793" s="27"/>
      <c r="O1793" s="27"/>
      <c r="P1793" s="27"/>
      <c r="Q1793" s="27"/>
      <c r="R1793" s="27"/>
      <c r="S1793" s="27"/>
      <c r="T1793" s="27"/>
      <c r="U1793" s="27"/>
      <c r="V1793" s="27"/>
      <c r="W1793" s="27"/>
      <c r="X1793" s="27"/>
      <c r="Y1793" s="27"/>
    </row>
    <row r="1794">
      <c r="A1794" s="32"/>
      <c r="B1794" s="32"/>
      <c r="C1794" s="29" t="s">
        <v>172</v>
      </c>
      <c r="D1794" s="29" t="s">
        <v>2007</v>
      </c>
      <c r="E1794" s="28">
        <v>305.0</v>
      </c>
      <c r="F1794" s="28">
        <v>0.0</v>
      </c>
      <c r="G1794" s="99" t="s">
        <v>250</v>
      </c>
      <c r="H1794" s="28">
        <f t="array" ref="H1794">INDEX(CC!C:C,MATCH(1,(CC!A:A=G1794)*(CC!B:B=I1794),0))</f>
        <v>1402</v>
      </c>
      <c r="I1794" s="99" t="s">
        <v>25</v>
      </c>
      <c r="J1794" s="31">
        <v>305.0</v>
      </c>
      <c r="K1794" s="28" t="str">
        <f>IFERROR(__xludf.DUMMYFUNCTION("IFERROR(
INDEX(
FILTER(
MAP(
reglas!$B$2:$B$240,
reglas!$C$2:$C$240,
reglas!$D$2:$D$240,
reglas!$E$2:$E$240,
LAMBDA(rEmisor,rPatron,rConcepto,rTipo,
IF(
AND(
OR(
UPPER(TRIM(rEmisor))=UPPER(TRIM(C1794)),
UPPER(TRIM(rEmisor))=""CUALQUIERA""
),
OR(
UPPER(TRI"&amp;"M(rTipo))=""SOLO EMISOR"",
AND(
UPPER(TRIM(rTipo))=""EXACTA"",
UPPER(TRIM(AG1794))=UPPER(TRIM(rPatron))
),
AND(
OR(
UPPER(TRIM(rTipo))=""CONTIENE"",
UPPER(TRIM(rTipo))=""COINCIDENCIA""
),
ISNUMBER(SEARCH(UPPER(TRIM(rPatron)),UPPER(TRIM(D1794))))
)
)
),
rC"&amp;"oncepto,
""""
)
)
),
MAP(
reglas!$B$2:$B$240,
reglas!$C$2:$C$240,
reglas!$D$2:$D$240,
reglas!$E$2:$E$240,
LAMBDA(rEmisor,rPatron,rConcepto,rTipo,
IF(
AND(
OR(
UPPER(TRIM(rEmisor))=UPPER(TRIM(C1794)),
UPPER(TRIM(rEmisor))=""CUALQUIERA""
),
OR(
UPPER(TRIM(r"&amp;"Tipo))=""SOLO EMISOR"",
AND(
UPPER(TRIM(rTipo))=""EXACTA"",
UPPER(TRIM(D1794))=UPPER(TRIM(rPatron))
),
AND(
OR(
UPPER(TRIM(rTipo))=""CONTIENE"",
UPPER(TRIM(rTipo))=""COINCIDENCIA""
),
ISNUMBER(SEARCH(UPPER(TRIM(rPatron)),UPPER(TRIM(D1794))))
)
)
),
rConce"&amp;"pto,
""""
)
)
)&lt;&gt;""""
),
1
),
""""
)"),"PATIO REGULADOR")</f>
        <v>PATIO REGULADOR</v>
      </c>
      <c r="L1794" s="27"/>
      <c r="M1794" s="27"/>
      <c r="N1794" s="27"/>
      <c r="O1794" s="27"/>
      <c r="P1794" s="27"/>
      <c r="Q1794" s="27"/>
      <c r="R1794" s="27"/>
      <c r="S1794" s="27"/>
      <c r="T1794" s="27"/>
      <c r="U1794" s="27"/>
      <c r="V1794" s="27"/>
      <c r="W1794" s="27"/>
      <c r="X1794" s="27"/>
      <c r="Y1794" s="27"/>
    </row>
    <row r="1795">
      <c r="A1795" s="32"/>
      <c r="B1795" s="32"/>
      <c r="C1795" s="29" t="s">
        <v>172</v>
      </c>
      <c r="D1795" s="29" t="s">
        <v>2008</v>
      </c>
      <c r="E1795" s="28">
        <v>305.0</v>
      </c>
      <c r="F1795" s="28">
        <v>0.0</v>
      </c>
      <c r="G1795" s="99" t="s">
        <v>250</v>
      </c>
      <c r="H1795" s="28">
        <f t="array" ref="H1795">INDEX(CC!C:C,MATCH(1,(CC!A:A=G1795)*(CC!B:B=I1795),0))</f>
        <v>1402</v>
      </c>
      <c r="I1795" s="99" t="s">
        <v>25</v>
      </c>
      <c r="J1795" s="31">
        <v>305.0</v>
      </c>
      <c r="K1795" s="28" t="str">
        <f>IFERROR(__xludf.DUMMYFUNCTION("IFERROR(
INDEX(
FILTER(
MAP(
reglas!$B$2:$B$240,
reglas!$C$2:$C$240,
reglas!$D$2:$D$240,
reglas!$E$2:$E$240,
LAMBDA(rEmisor,rPatron,rConcepto,rTipo,
IF(
AND(
OR(
UPPER(TRIM(rEmisor))=UPPER(TRIM(C1795)),
UPPER(TRIM(rEmisor))=""CUALQUIERA""
),
OR(
UPPER(TRI"&amp;"M(rTipo))=""SOLO EMISOR"",
AND(
UPPER(TRIM(rTipo))=""EXACTA"",
UPPER(TRIM(AG1795))=UPPER(TRIM(rPatron))
),
AND(
OR(
UPPER(TRIM(rTipo))=""CONTIENE"",
UPPER(TRIM(rTipo))=""COINCIDENCIA""
),
ISNUMBER(SEARCH(UPPER(TRIM(rPatron)),UPPER(TRIM(D1795))))
)
)
),
rC"&amp;"oncepto,
""""
)
)
),
MAP(
reglas!$B$2:$B$240,
reglas!$C$2:$C$240,
reglas!$D$2:$D$240,
reglas!$E$2:$E$240,
LAMBDA(rEmisor,rPatron,rConcepto,rTipo,
IF(
AND(
OR(
UPPER(TRIM(rEmisor))=UPPER(TRIM(C1795)),
UPPER(TRIM(rEmisor))=""CUALQUIERA""
),
OR(
UPPER(TRIM(r"&amp;"Tipo))=""SOLO EMISOR"",
AND(
UPPER(TRIM(rTipo))=""EXACTA"",
UPPER(TRIM(D1795))=UPPER(TRIM(rPatron))
),
AND(
OR(
UPPER(TRIM(rTipo))=""CONTIENE"",
UPPER(TRIM(rTipo))=""COINCIDENCIA""
),
ISNUMBER(SEARCH(UPPER(TRIM(rPatron)),UPPER(TRIM(D1795))))
)
)
),
rConce"&amp;"pto,
""""
)
)
)&lt;&gt;""""
),
1
),
""""
)"),"PATIO REGULADOR")</f>
        <v>PATIO REGULADOR</v>
      </c>
      <c r="L1795" s="27"/>
      <c r="M1795" s="27"/>
      <c r="N1795" s="27"/>
      <c r="O1795" s="27"/>
      <c r="P1795" s="27"/>
      <c r="Q1795" s="27"/>
      <c r="R1795" s="27"/>
      <c r="S1795" s="27"/>
      <c r="T1795" s="27"/>
      <c r="U1795" s="27"/>
      <c r="V1795" s="27"/>
      <c r="W1795" s="27"/>
      <c r="X1795" s="27"/>
      <c r="Y1795" s="27"/>
    </row>
    <row r="1796">
      <c r="A1796" s="32"/>
      <c r="B1796" s="32"/>
      <c r="C1796" s="29" t="s">
        <v>172</v>
      </c>
      <c r="D1796" s="29" t="s">
        <v>2009</v>
      </c>
      <c r="E1796" s="28">
        <v>785.0</v>
      </c>
      <c r="F1796" s="28">
        <v>0.0</v>
      </c>
      <c r="G1796" s="99" t="s">
        <v>250</v>
      </c>
      <c r="H1796" s="28">
        <f t="array" ref="H1796">INDEX(CC!C:C,MATCH(1,(CC!A:A=G1796)*(CC!B:B=I1796),0))</f>
        <v>1402</v>
      </c>
      <c r="I1796" s="99" t="s">
        <v>25</v>
      </c>
      <c r="J1796" s="31">
        <v>785.0</v>
      </c>
      <c r="K1796" s="28" t="str">
        <f>IFERROR(__xludf.DUMMYFUNCTION("IFERROR(
INDEX(
FILTER(
MAP(
reglas!$B$2:$B$240,
reglas!$C$2:$C$240,
reglas!$D$2:$D$240,
reglas!$E$2:$E$240,
LAMBDA(rEmisor,rPatron,rConcepto,rTipo,
IF(
AND(
OR(
UPPER(TRIM(rEmisor))=UPPER(TRIM(C1796)),
UPPER(TRIM(rEmisor))=""CUALQUIERA""
),
OR(
UPPER(TRI"&amp;"M(rTipo))=""SOLO EMISOR"",
AND(
UPPER(TRIM(rTipo))=""EXACTA"",
UPPER(TRIM(AG1796))=UPPER(TRIM(rPatron))
),
AND(
OR(
UPPER(TRIM(rTipo))=""CONTIENE"",
UPPER(TRIM(rTipo))=""COINCIDENCIA""
),
ISNUMBER(SEARCH(UPPER(TRIM(rPatron)),UPPER(TRIM(D1796))))
)
)
),
rC"&amp;"oncepto,
""""
)
)
),
MAP(
reglas!$B$2:$B$240,
reglas!$C$2:$C$240,
reglas!$D$2:$D$240,
reglas!$E$2:$E$240,
LAMBDA(rEmisor,rPatron,rConcepto,rTipo,
IF(
AND(
OR(
UPPER(TRIM(rEmisor))=UPPER(TRIM(C1796)),
UPPER(TRIM(rEmisor))=""CUALQUIERA""
),
OR(
UPPER(TRIM(r"&amp;"Tipo))=""SOLO EMISOR"",
AND(
UPPER(TRIM(rTipo))=""EXACTA"",
UPPER(TRIM(D1796))=UPPER(TRIM(rPatron))
),
AND(
OR(
UPPER(TRIM(rTipo))=""CONTIENE"",
UPPER(TRIM(rTipo))=""COINCIDENCIA""
),
ISNUMBER(SEARCH(UPPER(TRIM(rPatron)),UPPER(TRIM(D1796))))
)
)
),
rConce"&amp;"pto,
""""
)
)
)&lt;&gt;""""
),
1
),
""""
)"),"PATIO REGULADOR")</f>
        <v>PATIO REGULADOR</v>
      </c>
      <c r="L1796" s="27"/>
      <c r="M1796" s="27"/>
      <c r="N1796" s="27"/>
      <c r="O1796" s="27"/>
      <c r="P1796" s="27"/>
      <c r="Q1796" s="27"/>
      <c r="R1796" s="27"/>
      <c r="S1796" s="27"/>
      <c r="T1796" s="27"/>
      <c r="U1796" s="27"/>
      <c r="V1796" s="27"/>
      <c r="W1796" s="27"/>
      <c r="X1796" s="27"/>
      <c r="Y1796" s="27"/>
    </row>
    <row r="1797">
      <c r="A1797" s="32"/>
      <c r="B1797" s="32"/>
      <c r="C1797" s="29" t="s">
        <v>172</v>
      </c>
      <c r="D1797" s="29" t="s">
        <v>2010</v>
      </c>
      <c r="E1797" s="28">
        <v>305.0</v>
      </c>
      <c r="F1797" s="28">
        <v>0.0</v>
      </c>
      <c r="G1797" s="99" t="s">
        <v>250</v>
      </c>
      <c r="H1797" s="28">
        <f t="array" ref="H1797">INDEX(CC!C:C,MATCH(1,(CC!A:A=G1797)*(CC!B:B=I1797),0))</f>
        <v>1402</v>
      </c>
      <c r="I1797" s="99" t="s">
        <v>25</v>
      </c>
      <c r="J1797" s="31">
        <v>305.0</v>
      </c>
      <c r="K1797" s="28" t="str">
        <f>IFERROR(__xludf.DUMMYFUNCTION("IFERROR(
INDEX(
FILTER(
MAP(
reglas!$B$2:$B$240,
reglas!$C$2:$C$240,
reglas!$D$2:$D$240,
reglas!$E$2:$E$240,
LAMBDA(rEmisor,rPatron,rConcepto,rTipo,
IF(
AND(
OR(
UPPER(TRIM(rEmisor))=UPPER(TRIM(C1797)),
UPPER(TRIM(rEmisor))=""CUALQUIERA""
),
OR(
UPPER(TRI"&amp;"M(rTipo))=""SOLO EMISOR"",
AND(
UPPER(TRIM(rTipo))=""EXACTA"",
UPPER(TRIM(AG1797))=UPPER(TRIM(rPatron))
),
AND(
OR(
UPPER(TRIM(rTipo))=""CONTIENE"",
UPPER(TRIM(rTipo))=""COINCIDENCIA""
),
ISNUMBER(SEARCH(UPPER(TRIM(rPatron)),UPPER(TRIM(D1797))))
)
)
),
rC"&amp;"oncepto,
""""
)
)
),
MAP(
reglas!$B$2:$B$240,
reglas!$C$2:$C$240,
reglas!$D$2:$D$240,
reglas!$E$2:$E$240,
LAMBDA(rEmisor,rPatron,rConcepto,rTipo,
IF(
AND(
OR(
UPPER(TRIM(rEmisor))=UPPER(TRIM(C1797)),
UPPER(TRIM(rEmisor))=""CUALQUIERA""
),
OR(
UPPER(TRIM(r"&amp;"Tipo))=""SOLO EMISOR"",
AND(
UPPER(TRIM(rTipo))=""EXACTA"",
UPPER(TRIM(D1797))=UPPER(TRIM(rPatron))
),
AND(
OR(
UPPER(TRIM(rTipo))=""CONTIENE"",
UPPER(TRIM(rTipo))=""COINCIDENCIA""
),
ISNUMBER(SEARCH(UPPER(TRIM(rPatron)),UPPER(TRIM(D1797))))
)
)
),
rConce"&amp;"pto,
""""
)
)
)&lt;&gt;""""
),
1
),
""""
)"),"PATIO REGULADOR")</f>
        <v>PATIO REGULADOR</v>
      </c>
      <c r="L1797" s="27"/>
      <c r="M1797" s="27"/>
      <c r="N1797" s="27"/>
      <c r="O1797" s="27"/>
      <c r="P1797" s="27"/>
      <c r="Q1797" s="27"/>
      <c r="R1797" s="27"/>
      <c r="S1797" s="27"/>
      <c r="T1797" s="27"/>
      <c r="U1797" s="27"/>
      <c r="V1797" s="27"/>
      <c r="W1797" s="27"/>
      <c r="X1797" s="27"/>
      <c r="Y1797" s="27"/>
    </row>
    <row r="1798">
      <c r="A1798" s="32"/>
      <c r="B1798" s="32"/>
      <c r="C1798" s="29" t="s">
        <v>172</v>
      </c>
      <c r="D1798" s="29" t="s">
        <v>2011</v>
      </c>
      <c r="E1798" s="28">
        <v>305.0</v>
      </c>
      <c r="F1798" s="28">
        <v>0.0</v>
      </c>
      <c r="G1798" s="99" t="s">
        <v>250</v>
      </c>
      <c r="H1798" s="28">
        <f t="array" ref="H1798">INDEX(CC!C:C,MATCH(1,(CC!A:A=G1798)*(CC!B:B=I1798),0))</f>
        <v>1402</v>
      </c>
      <c r="I1798" s="99" t="s">
        <v>25</v>
      </c>
      <c r="J1798" s="31">
        <v>305.0</v>
      </c>
      <c r="K1798" s="28" t="str">
        <f>IFERROR(__xludf.DUMMYFUNCTION("IFERROR(
INDEX(
FILTER(
MAP(
reglas!$B$2:$B$240,
reglas!$C$2:$C$240,
reglas!$D$2:$D$240,
reglas!$E$2:$E$240,
LAMBDA(rEmisor,rPatron,rConcepto,rTipo,
IF(
AND(
OR(
UPPER(TRIM(rEmisor))=UPPER(TRIM(C1798)),
UPPER(TRIM(rEmisor))=""CUALQUIERA""
),
OR(
UPPER(TRI"&amp;"M(rTipo))=""SOLO EMISOR"",
AND(
UPPER(TRIM(rTipo))=""EXACTA"",
UPPER(TRIM(AG1798))=UPPER(TRIM(rPatron))
),
AND(
OR(
UPPER(TRIM(rTipo))=""CONTIENE"",
UPPER(TRIM(rTipo))=""COINCIDENCIA""
),
ISNUMBER(SEARCH(UPPER(TRIM(rPatron)),UPPER(TRIM(D1798))))
)
)
),
rC"&amp;"oncepto,
""""
)
)
),
MAP(
reglas!$B$2:$B$240,
reglas!$C$2:$C$240,
reglas!$D$2:$D$240,
reglas!$E$2:$E$240,
LAMBDA(rEmisor,rPatron,rConcepto,rTipo,
IF(
AND(
OR(
UPPER(TRIM(rEmisor))=UPPER(TRIM(C1798)),
UPPER(TRIM(rEmisor))=""CUALQUIERA""
),
OR(
UPPER(TRIM(r"&amp;"Tipo))=""SOLO EMISOR"",
AND(
UPPER(TRIM(rTipo))=""EXACTA"",
UPPER(TRIM(D1798))=UPPER(TRIM(rPatron))
),
AND(
OR(
UPPER(TRIM(rTipo))=""CONTIENE"",
UPPER(TRIM(rTipo))=""COINCIDENCIA""
),
ISNUMBER(SEARCH(UPPER(TRIM(rPatron)),UPPER(TRIM(D1798))))
)
)
),
rConce"&amp;"pto,
""""
)
)
)&lt;&gt;""""
),
1
),
""""
)"),"PATIO REGULADOR")</f>
        <v>PATIO REGULADOR</v>
      </c>
      <c r="L1798" s="27"/>
      <c r="M1798" s="27"/>
      <c r="N1798" s="27"/>
      <c r="O1798" s="27"/>
      <c r="P1798" s="27"/>
      <c r="Q1798" s="27"/>
      <c r="R1798" s="27"/>
      <c r="S1798" s="27"/>
      <c r="T1798" s="27"/>
      <c r="U1798" s="27"/>
      <c r="V1798" s="27"/>
      <c r="W1798" s="27"/>
      <c r="X1798" s="27"/>
      <c r="Y1798" s="27"/>
    </row>
    <row r="1799">
      <c r="A1799" s="32"/>
      <c r="B1799" s="32"/>
      <c r="C1799" s="29" t="s">
        <v>172</v>
      </c>
      <c r="D1799" s="29" t="s">
        <v>2012</v>
      </c>
      <c r="E1799" s="28">
        <v>545.0</v>
      </c>
      <c r="F1799" s="28">
        <v>0.0</v>
      </c>
      <c r="G1799" s="99" t="s">
        <v>250</v>
      </c>
      <c r="H1799" s="28">
        <f t="array" ref="H1799">INDEX(CC!C:C,MATCH(1,(CC!A:A=G1799)*(CC!B:B=I1799),0))</f>
        <v>1402</v>
      </c>
      <c r="I1799" s="99" t="s">
        <v>25</v>
      </c>
      <c r="J1799" s="31">
        <v>545.0</v>
      </c>
      <c r="K1799" s="28" t="str">
        <f>IFERROR(__xludf.DUMMYFUNCTION("IFERROR(
INDEX(
FILTER(
MAP(
reglas!$B$2:$B$240,
reglas!$C$2:$C$240,
reglas!$D$2:$D$240,
reglas!$E$2:$E$240,
LAMBDA(rEmisor,rPatron,rConcepto,rTipo,
IF(
AND(
OR(
UPPER(TRIM(rEmisor))=UPPER(TRIM(C1799)),
UPPER(TRIM(rEmisor))=""CUALQUIERA""
),
OR(
UPPER(TRI"&amp;"M(rTipo))=""SOLO EMISOR"",
AND(
UPPER(TRIM(rTipo))=""EXACTA"",
UPPER(TRIM(AG1799))=UPPER(TRIM(rPatron))
),
AND(
OR(
UPPER(TRIM(rTipo))=""CONTIENE"",
UPPER(TRIM(rTipo))=""COINCIDENCIA""
),
ISNUMBER(SEARCH(UPPER(TRIM(rPatron)),UPPER(TRIM(D1799))))
)
)
),
rC"&amp;"oncepto,
""""
)
)
),
MAP(
reglas!$B$2:$B$240,
reglas!$C$2:$C$240,
reglas!$D$2:$D$240,
reglas!$E$2:$E$240,
LAMBDA(rEmisor,rPatron,rConcepto,rTipo,
IF(
AND(
OR(
UPPER(TRIM(rEmisor))=UPPER(TRIM(C1799)),
UPPER(TRIM(rEmisor))=""CUALQUIERA""
),
OR(
UPPER(TRIM(r"&amp;"Tipo))=""SOLO EMISOR"",
AND(
UPPER(TRIM(rTipo))=""EXACTA"",
UPPER(TRIM(D1799))=UPPER(TRIM(rPatron))
),
AND(
OR(
UPPER(TRIM(rTipo))=""CONTIENE"",
UPPER(TRIM(rTipo))=""COINCIDENCIA""
),
ISNUMBER(SEARCH(UPPER(TRIM(rPatron)),UPPER(TRIM(D1799))))
)
)
),
rConce"&amp;"pto,
""""
)
)
)&lt;&gt;""""
),
1
),
""""
)"),"PATIO REGULADOR")</f>
        <v>PATIO REGULADOR</v>
      </c>
      <c r="L1799" s="27"/>
      <c r="M1799" s="27"/>
      <c r="N1799" s="27"/>
      <c r="O1799" s="27"/>
      <c r="P1799" s="27"/>
      <c r="Q1799" s="27"/>
      <c r="R1799" s="27"/>
      <c r="S1799" s="27"/>
      <c r="T1799" s="27"/>
      <c r="U1799" s="27"/>
      <c r="V1799" s="27"/>
      <c r="W1799" s="27"/>
      <c r="X1799" s="27"/>
      <c r="Y1799" s="27"/>
    </row>
    <row r="1800">
      <c r="A1800" s="32"/>
      <c r="B1800" s="32"/>
      <c r="C1800" s="29" t="s">
        <v>172</v>
      </c>
      <c r="D1800" s="29" t="s">
        <v>2013</v>
      </c>
      <c r="E1800" s="28">
        <v>665.0</v>
      </c>
      <c r="F1800" s="28">
        <v>0.0</v>
      </c>
      <c r="G1800" s="99" t="s">
        <v>250</v>
      </c>
      <c r="H1800" s="28">
        <f t="array" ref="H1800">INDEX(CC!C:C,MATCH(1,(CC!A:A=G1800)*(CC!B:B=I1800),0))</f>
        <v>1402</v>
      </c>
      <c r="I1800" s="99" t="s">
        <v>25</v>
      </c>
      <c r="J1800" s="31">
        <v>665.0</v>
      </c>
      <c r="K1800" s="28" t="str">
        <f>IFERROR(__xludf.DUMMYFUNCTION("IFERROR(
INDEX(
FILTER(
MAP(
reglas!$B$2:$B$240,
reglas!$C$2:$C$240,
reglas!$D$2:$D$240,
reglas!$E$2:$E$240,
LAMBDA(rEmisor,rPatron,rConcepto,rTipo,
IF(
AND(
OR(
UPPER(TRIM(rEmisor))=UPPER(TRIM(C1800)),
UPPER(TRIM(rEmisor))=""CUALQUIERA""
),
OR(
UPPER(TRI"&amp;"M(rTipo))=""SOLO EMISOR"",
AND(
UPPER(TRIM(rTipo))=""EXACTA"",
UPPER(TRIM(AG1800))=UPPER(TRIM(rPatron))
),
AND(
OR(
UPPER(TRIM(rTipo))=""CONTIENE"",
UPPER(TRIM(rTipo))=""COINCIDENCIA""
),
ISNUMBER(SEARCH(UPPER(TRIM(rPatron)),UPPER(TRIM(D1800))))
)
)
),
rC"&amp;"oncepto,
""""
)
)
),
MAP(
reglas!$B$2:$B$240,
reglas!$C$2:$C$240,
reglas!$D$2:$D$240,
reglas!$E$2:$E$240,
LAMBDA(rEmisor,rPatron,rConcepto,rTipo,
IF(
AND(
OR(
UPPER(TRIM(rEmisor))=UPPER(TRIM(C1800)),
UPPER(TRIM(rEmisor))=""CUALQUIERA""
),
OR(
UPPER(TRIM(r"&amp;"Tipo))=""SOLO EMISOR"",
AND(
UPPER(TRIM(rTipo))=""EXACTA"",
UPPER(TRIM(D1800))=UPPER(TRIM(rPatron))
),
AND(
OR(
UPPER(TRIM(rTipo))=""CONTIENE"",
UPPER(TRIM(rTipo))=""COINCIDENCIA""
),
ISNUMBER(SEARCH(UPPER(TRIM(rPatron)),UPPER(TRIM(D1800))))
)
)
),
rConce"&amp;"pto,
""""
)
)
)&lt;&gt;""""
),
1
),
""""
)"),"PATIO REGULADOR")</f>
        <v>PATIO REGULADOR</v>
      </c>
      <c r="L1800" s="27"/>
      <c r="M1800" s="27"/>
      <c r="N1800" s="27"/>
      <c r="O1800" s="27"/>
      <c r="P1800" s="27"/>
      <c r="Q1800" s="27"/>
      <c r="R1800" s="27"/>
      <c r="S1800" s="27"/>
      <c r="T1800" s="27"/>
      <c r="U1800" s="27"/>
      <c r="V1800" s="27"/>
      <c r="W1800" s="27"/>
      <c r="X1800" s="27"/>
      <c r="Y1800" s="27"/>
    </row>
    <row r="1801">
      <c r="A1801" s="32"/>
      <c r="B1801" s="32"/>
      <c r="C1801" s="29" t="s">
        <v>172</v>
      </c>
      <c r="D1801" s="29" t="s">
        <v>2014</v>
      </c>
      <c r="E1801" s="28">
        <v>545.0</v>
      </c>
      <c r="F1801" s="28">
        <v>0.0</v>
      </c>
      <c r="G1801" s="99" t="s">
        <v>250</v>
      </c>
      <c r="H1801" s="28">
        <f t="array" ref="H1801">INDEX(CC!C:C,MATCH(1,(CC!A:A=G1801)*(CC!B:B=I1801),0))</f>
        <v>1402</v>
      </c>
      <c r="I1801" s="99" t="s">
        <v>25</v>
      </c>
      <c r="J1801" s="31">
        <v>545.0</v>
      </c>
      <c r="K1801" s="28" t="str">
        <f>IFERROR(__xludf.DUMMYFUNCTION("IFERROR(
INDEX(
FILTER(
MAP(
reglas!$B$2:$B$240,
reglas!$C$2:$C$240,
reglas!$D$2:$D$240,
reglas!$E$2:$E$240,
LAMBDA(rEmisor,rPatron,rConcepto,rTipo,
IF(
AND(
OR(
UPPER(TRIM(rEmisor))=UPPER(TRIM(C1801)),
UPPER(TRIM(rEmisor))=""CUALQUIERA""
),
OR(
UPPER(TRI"&amp;"M(rTipo))=""SOLO EMISOR"",
AND(
UPPER(TRIM(rTipo))=""EXACTA"",
UPPER(TRIM(AG1801))=UPPER(TRIM(rPatron))
),
AND(
OR(
UPPER(TRIM(rTipo))=""CONTIENE"",
UPPER(TRIM(rTipo))=""COINCIDENCIA""
),
ISNUMBER(SEARCH(UPPER(TRIM(rPatron)),UPPER(TRIM(D1801))))
)
)
),
rC"&amp;"oncepto,
""""
)
)
),
MAP(
reglas!$B$2:$B$240,
reglas!$C$2:$C$240,
reglas!$D$2:$D$240,
reglas!$E$2:$E$240,
LAMBDA(rEmisor,rPatron,rConcepto,rTipo,
IF(
AND(
OR(
UPPER(TRIM(rEmisor))=UPPER(TRIM(C1801)),
UPPER(TRIM(rEmisor))=""CUALQUIERA""
),
OR(
UPPER(TRIM(r"&amp;"Tipo))=""SOLO EMISOR"",
AND(
UPPER(TRIM(rTipo))=""EXACTA"",
UPPER(TRIM(D1801))=UPPER(TRIM(rPatron))
),
AND(
OR(
UPPER(TRIM(rTipo))=""CONTIENE"",
UPPER(TRIM(rTipo))=""COINCIDENCIA""
),
ISNUMBER(SEARCH(UPPER(TRIM(rPatron)),UPPER(TRIM(D1801))))
)
)
),
rConce"&amp;"pto,
""""
)
)
)&lt;&gt;""""
),
1
),
""""
)"),"PATIO REGULADOR")</f>
        <v>PATIO REGULADOR</v>
      </c>
      <c r="L1801" s="27"/>
      <c r="M1801" s="27"/>
      <c r="N1801" s="27"/>
      <c r="O1801" s="27"/>
      <c r="P1801" s="27"/>
      <c r="Q1801" s="27"/>
      <c r="R1801" s="27"/>
      <c r="S1801" s="27"/>
      <c r="T1801" s="27"/>
      <c r="U1801" s="27"/>
      <c r="V1801" s="27"/>
      <c r="W1801" s="27"/>
      <c r="X1801" s="27"/>
      <c r="Y1801" s="27"/>
    </row>
    <row r="1802">
      <c r="A1802" s="32"/>
      <c r="B1802" s="32"/>
      <c r="C1802" s="29" t="s">
        <v>172</v>
      </c>
      <c r="D1802" s="29" t="s">
        <v>2015</v>
      </c>
      <c r="E1802" s="28">
        <v>545.0</v>
      </c>
      <c r="F1802" s="28">
        <v>0.0</v>
      </c>
      <c r="G1802" s="99" t="s">
        <v>250</v>
      </c>
      <c r="H1802" s="28">
        <f t="array" ref="H1802">INDEX(CC!C:C,MATCH(1,(CC!A:A=G1802)*(CC!B:B=I1802),0))</f>
        <v>1402</v>
      </c>
      <c r="I1802" s="99" t="s">
        <v>25</v>
      </c>
      <c r="J1802" s="31">
        <v>545.0</v>
      </c>
      <c r="K1802" s="28" t="str">
        <f>IFERROR(__xludf.DUMMYFUNCTION("IFERROR(
INDEX(
FILTER(
MAP(
reglas!$B$2:$B$240,
reglas!$C$2:$C$240,
reglas!$D$2:$D$240,
reglas!$E$2:$E$240,
LAMBDA(rEmisor,rPatron,rConcepto,rTipo,
IF(
AND(
OR(
UPPER(TRIM(rEmisor))=UPPER(TRIM(C1802)),
UPPER(TRIM(rEmisor))=""CUALQUIERA""
),
OR(
UPPER(TRI"&amp;"M(rTipo))=""SOLO EMISOR"",
AND(
UPPER(TRIM(rTipo))=""EXACTA"",
UPPER(TRIM(AG1802))=UPPER(TRIM(rPatron))
),
AND(
OR(
UPPER(TRIM(rTipo))=""CONTIENE"",
UPPER(TRIM(rTipo))=""COINCIDENCIA""
),
ISNUMBER(SEARCH(UPPER(TRIM(rPatron)),UPPER(TRIM(D1802))))
)
)
),
rC"&amp;"oncepto,
""""
)
)
),
MAP(
reglas!$B$2:$B$240,
reglas!$C$2:$C$240,
reglas!$D$2:$D$240,
reglas!$E$2:$E$240,
LAMBDA(rEmisor,rPatron,rConcepto,rTipo,
IF(
AND(
OR(
UPPER(TRIM(rEmisor))=UPPER(TRIM(C1802)),
UPPER(TRIM(rEmisor))=""CUALQUIERA""
),
OR(
UPPER(TRIM(r"&amp;"Tipo))=""SOLO EMISOR"",
AND(
UPPER(TRIM(rTipo))=""EXACTA"",
UPPER(TRIM(D1802))=UPPER(TRIM(rPatron))
),
AND(
OR(
UPPER(TRIM(rTipo))=""CONTIENE"",
UPPER(TRIM(rTipo))=""COINCIDENCIA""
),
ISNUMBER(SEARCH(UPPER(TRIM(rPatron)),UPPER(TRIM(D1802))))
)
)
),
rConce"&amp;"pto,
""""
)
)
)&lt;&gt;""""
),
1
),
""""
)"),"PATIO REGULADOR")</f>
        <v>PATIO REGULADOR</v>
      </c>
      <c r="L1802" s="27"/>
      <c r="M1802" s="27"/>
      <c r="N1802" s="27"/>
      <c r="O1802" s="27"/>
      <c r="P1802" s="27"/>
      <c r="Q1802" s="27"/>
      <c r="R1802" s="27"/>
      <c r="S1802" s="27"/>
      <c r="T1802" s="27"/>
      <c r="U1802" s="27"/>
      <c r="V1802" s="27"/>
      <c r="W1802" s="27"/>
      <c r="X1802" s="27"/>
      <c r="Y1802" s="27"/>
    </row>
    <row r="1803">
      <c r="A1803" s="32"/>
      <c r="B1803" s="32"/>
      <c r="C1803" s="29" t="s">
        <v>172</v>
      </c>
      <c r="D1803" s="29" t="s">
        <v>2016</v>
      </c>
      <c r="E1803" s="28">
        <v>305.0</v>
      </c>
      <c r="F1803" s="28">
        <v>0.0</v>
      </c>
      <c r="G1803" s="99" t="s">
        <v>250</v>
      </c>
      <c r="H1803" s="28">
        <f t="array" ref="H1803">INDEX(CC!C:C,MATCH(1,(CC!A:A=G1803)*(CC!B:B=I1803),0))</f>
        <v>1402</v>
      </c>
      <c r="I1803" s="99" t="s">
        <v>25</v>
      </c>
      <c r="J1803" s="31">
        <v>305.0</v>
      </c>
      <c r="K1803" s="28" t="str">
        <f>IFERROR(__xludf.DUMMYFUNCTION("IFERROR(
INDEX(
FILTER(
MAP(
reglas!$B$2:$B$240,
reglas!$C$2:$C$240,
reglas!$D$2:$D$240,
reglas!$E$2:$E$240,
LAMBDA(rEmisor,rPatron,rConcepto,rTipo,
IF(
AND(
OR(
UPPER(TRIM(rEmisor))=UPPER(TRIM(C1803)),
UPPER(TRIM(rEmisor))=""CUALQUIERA""
),
OR(
UPPER(TRI"&amp;"M(rTipo))=""SOLO EMISOR"",
AND(
UPPER(TRIM(rTipo))=""EXACTA"",
UPPER(TRIM(AG1803))=UPPER(TRIM(rPatron))
),
AND(
OR(
UPPER(TRIM(rTipo))=""CONTIENE"",
UPPER(TRIM(rTipo))=""COINCIDENCIA""
),
ISNUMBER(SEARCH(UPPER(TRIM(rPatron)),UPPER(TRIM(D1803))))
)
)
),
rC"&amp;"oncepto,
""""
)
)
),
MAP(
reglas!$B$2:$B$240,
reglas!$C$2:$C$240,
reglas!$D$2:$D$240,
reglas!$E$2:$E$240,
LAMBDA(rEmisor,rPatron,rConcepto,rTipo,
IF(
AND(
OR(
UPPER(TRIM(rEmisor))=UPPER(TRIM(C1803)),
UPPER(TRIM(rEmisor))=""CUALQUIERA""
),
OR(
UPPER(TRIM(r"&amp;"Tipo))=""SOLO EMISOR"",
AND(
UPPER(TRIM(rTipo))=""EXACTA"",
UPPER(TRIM(D1803))=UPPER(TRIM(rPatron))
),
AND(
OR(
UPPER(TRIM(rTipo))=""CONTIENE"",
UPPER(TRIM(rTipo))=""COINCIDENCIA""
),
ISNUMBER(SEARCH(UPPER(TRIM(rPatron)),UPPER(TRIM(D1803))))
)
)
),
rConce"&amp;"pto,
""""
)
)
)&lt;&gt;""""
),
1
),
""""
)"),"PATIO REGULADOR")</f>
        <v>PATIO REGULADOR</v>
      </c>
      <c r="L1803" s="27"/>
      <c r="M1803" s="27"/>
      <c r="N1803" s="27"/>
      <c r="O1803" s="27"/>
      <c r="P1803" s="27"/>
      <c r="Q1803" s="27"/>
      <c r="R1803" s="27"/>
      <c r="S1803" s="27"/>
      <c r="T1803" s="27"/>
      <c r="U1803" s="27"/>
      <c r="V1803" s="27"/>
      <c r="W1803" s="27"/>
      <c r="X1803" s="27"/>
      <c r="Y1803" s="27"/>
    </row>
    <row r="1804">
      <c r="A1804" s="32"/>
      <c r="B1804" s="32"/>
      <c r="C1804" s="29" t="s">
        <v>172</v>
      </c>
      <c r="D1804" s="29" t="s">
        <v>2017</v>
      </c>
      <c r="E1804" s="28">
        <v>665.0</v>
      </c>
      <c r="F1804" s="28">
        <v>0.0</v>
      </c>
      <c r="G1804" s="99" t="s">
        <v>250</v>
      </c>
      <c r="H1804" s="28">
        <f t="array" ref="H1804">INDEX(CC!C:C,MATCH(1,(CC!A:A=G1804)*(CC!B:B=I1804),0))</f>
        <v>1402</v>
      </c>
      <c r="I1804" s="99" t="s">
        <v>25</v>
      </c>
      <c r="J1804" s="31">
        <v>665.0</v>
      </c>
      <c r="K1804" s="28" t="str">
        <f>IFERROR(__xludf.DUMMYFUNCTION("IFERROR(
INDEX(
FILTER(
MAP(
reglas!$B$2:$B$240,
reglas!$C$2:$C$240,
reglas!$D$2:$D$240,
reglas!$E$2:$E$240,
LAMBDA(rEmisor,rPatron,rConcepto,rTipo,
IF(
AND(
OR(
UPPER(TRIM(rEmisor))=UPPER(TRIM(C1804)),
UPPER(TRIM(rEmisor))=""CUALQUIERA""
),
OR(
UPPER(TRI"&amp;"M(rTipo))=""SOLO EMISOR"",
AND(
UPPER(TRIM(rTipo))=""EXACTA"",
UPPER(TRIM(AG1804))=UPPER(TRIM(rPatron))
),
AND(
OR(
UPPER(TRIM(rTipo))=""CONTIENE"",
UPPER(TRIM(rTipo))=""COINCIDENCIA""
),
ISNUMBER(SEARCH(UPPER(TRIM(rPatron)),UPPER(TRIM(D1804))))
)
)
),
rC"&amp;"oncepto,
""""
)
)
),
MAP(
reglas!$B$2:$B$240,
reglas!$C$2:$C$240,
reglas!$D$2:$D$240,
reglas!$E$2:$E$240,
LAMBDA(rEmisor,rPatron,rConcepto,rTipo,
IF(
AND(
OR(
UPPER(TRIM(rEmisor))=UPPER(TRIM(C1804)),
UPPER(TRIM(rEmisor))=""CUALQUIERA""
),
OR(
UPPER(TRIM(r"&amp;"Tipo))=""SOLO EMISOR"",
AND(
UPPER(TRIM(rTipo))=""EXACTA"",
UPPER(TRIM(D1804))=UPPER(TRIM(rPatron))
),
AND(
OR(
UPPER(TRIM(rTipo))=""CONTIENE"",
UPPER(TRIM(rTipo))=""COINCIDENCIA""
),
ISNUMBER(SEARCH(UPPER(TRIM(rPatron)),UPPER(TRIM(D1804))))
)
)
),
rConce"&amp;"pto,
""""
)
)
)&lt;&gt;""""
),
1
),
""""
)"),"PATIO REGULADOR")</f>
        <v>PATIO REGULADOR</v>
      </c>
      <c r="L1804" s="27"/>
      <c r="M1804" s="27"/>
      <c r="N1804" s="27"/>
      <c r="O1804" s="27"/>
      <c r="P1804" s="27"/>
      <c r="Q1804" s="27"/>
      <c r="R1804" s="27"/>
      <c r="S1804" s="27"/>
      <c r="T1804" s="27"/>
      <c r="U1804" s="27"/>
      <c r="V1804" s="27"/>
      <c r="W1804" s="27"/>
      <c r="X1804" s="27"/>
      <c r="Y1804" s="27"/>
    </row>
    <row r="1805">
      <c r="A1805" s="32"/>
      <c r="B1805" s="32"/>
      <c r="C1805" s="29" t="s">
        <v>172</v>
      </c>
      <c r="D1805" s="29" t="s">
        <v>2018</v>
      </c>
      <c r="E1805" s="28">
        <v>665.0</v>
      </c>
      <c r="F1805" s="28">
        <v>0.0</v>
      </c>
      <c r="G1805" s="99" t="s">
        <v>250</v>
      </c>
      <c r="H1805" s="28">
        <f t="array" ref="H1805">INDEX(CC!C:C,MATCH(1,(CC!A:A=G1805)*(CC!B:B=I1805),0))</f>
        <v>1402</v>
      </c>
      <c r="I1805" s="99" t="s">
        <v>25</v>
      </c>
      <c r="J1805" s="31">
        <v>665.0</v>
      </c>
      <c r="K1805" s="28" t="str">
        <f>IFERROR(__xludf.DUMMYFUNCTION("IFERROR(
INDEX(
FILTER(
MAP(
reglas!$B$2:$B$240,
reglas!$C$2:$C$240,
reglas!$D$2:$D$240,
reglas!$E$2:$E$240,
LAMBDA(rEmisor,rPatron,rConcepto,rTipo,
IF(
AND(
OR(
UPPER(TRIM(rEmisor))=UPPER(TRIM(C1805)),
UPPER(TRIM(rEmisor))=""CUALQUIERA""
),
OR(
UPPER(TRI"&amp;"M(rTipo))=""SOLO EMISOR"",
AND(
UPPER(TRIM(rTipo))=""EXACTA"",
UPPER(TRIM(AG1805))=UPPER(TRIM(rPatron))
),
AND(
OR(
UPPER(TRIM(rTipo))=""CONTIENE"",
UPPER(TRIM(rTipo))=""COINCIDENCIA""
),
ISNUMBER(SEARCH(UPPER(TRIM(rPatron)),UPPER(TRIM(D1805))))
)
)
),
rC"&amp;"oncepto,
""""
)
)
),
MAP(
reglas!$B$2:$B$240,
reglas!$C$2:$C$240,
reglas!$D$2:$D$240,
reglas!$E$2:$E$240,
LAMBDA(rEmisor,rPatron,rConcepto,rTipo,
IF(
AND(
OR(
UPPER(TRIM(rEmisor))=UPPER(TRIM(C1805)),
UPPER(TRIM(rEmisor))=""CUALQUIERA""
),
OR(
UPPER(TRIM(r"&amp;"Tipo))=""SOLO EMISOR"",
AND(
UPPER(TRIM(rTipo))=""EXACTA"",
UPPER(TRIM(D1805))=UPPER(TRIM(rPatron))
),
AND(
OR(
UPPER(TRIM(rTipo))=""CONTIENE"",
UPPER(TRIM(rTipo))=""COINCIDENCIA""
),
ISNUMBER(SEARCH(UPPER(TRIM(rPatron)),UPPER(TRIM(D1805))))
)
)
),
rConce"&amp;"pto,
""""
)
)
)&lt;&gt;""""
),
1
),
""""
)"),"PATIO REGULADOR")</f>
        <v>PATIO REGULADOR</v>
      </c>
      <c r="L1805" s="27"/>
      <c r="M1805" s="27"/>
      <c r="N1805" s="27"/>
      <c r="O1805" s="27"/>
      <c r="P1805" s="27"/>
      <c r="Q1805" s="27"/>
      <c r="R1805" s="27"/>
      <c r="S1805" s="27"/>
      <c r="T1805" s="27"/>
      <c r="U1805" s="27"/>
      <c r="V1805" s="27"/>
      <c r="W1805" s="27"/>
      <c r="X1805" s="27"/>
      <c r="Y1805" s="27"/>
    </row>
    <row r="1806">
      <c r="A1806" s="32"/>
      <c r="B1806" s="32"/>
      <c r="C1806" s="29" t="s">
        <v>172</v>
      </c>
      <c r="D1806" s="29" t="s">
        <v>2019</v>
      </c>
      <c r="E1806" s="30">
        <v>1025.0</v>
      </c>
      <c r="F1806" s="28">
        <v>0.0</v>
      </c>
      <c r="G1806" s="99" t="s">
        <v>250</v>
      </c>
      <c r="H1806" s="28">
        <f t="array" ref="H1806">INDEX(CC!C:C,MATCH(1,(CC!A:A=G1806)*(CC!B:B=I1806),0))</f>
        <v>1402</v>
      </c>
      <c r="I1806" s="99" t="s">
        <v>25</v>
      </c>
      <c r="J1806" s="31">
        <v>1025.0</v>
      </c>
      <c r="K1806" s="28" t="str">
        <f>IFERROR(__xludf.DUMMYFUNCTION("IFERROR(
INDEX(
FILTER(
MAP(
reglas!$B$2:$B$240,
reglas!$C$2:$C$240,
reglas!$D$2:$D$240,
reglas!$E$2:$E$240,
LAMBDA(rEmisor,rPatron,rConcepto,rTipo,
IF(
AND(
OR(
UPPER(TRIM(rEmisor))=UPPER(TRIM(C1806)),
UPPER(TRIM(rEmisor))=""CUALQUIERA""
),
OR(
UPPER(TRI"&amp;"M(rTipo))=""SOLO EMISOR"",
AND(
UPPER(TRIM(rTipo))=""EXACTA"",
UPPER(TRIM(AG1806))=UPPER(TRIM(rPatron))
),
AND(
OR(
UPPER(TRIM(rTipo))=""CONTIENE"",
UPPER(TRIM(rTipo))=""COINCIDENCIA""
),
ISNUMBER(SEARCH(UPPER(TRIM(rPatron)),UPPER(TRIM(D1806))))
)
)
),
rC"&amp;"oncepto,
""""
)
)
),
MAP(
reglas!$B$2:$B$240,
reglas!$C$2:$C$240,
reglas!$D$2:$D$240,
reglas!$E$2:$E$240,
LAMBDA(rEmisor,rPatron,rConcepto,rTipo,
IF(
AND(
OR(
UPPER(TRIM(rEmisor))=UPPER(TRIM(C1806)),
UPPER(TRIM(rEmisor))=""CUALQUIERA""
),
OR(
UPPER(TRIM(r"&amp;"Tipo))=""SOLO EMISOR"",
AND(
UPPER(TRIM(rTipo))=""EXACTA"",
UPPER(TRIM(D1806))=UPPER(TRIM(rPatron))
),
AND(
OR(
UPPER(TRIM(rTipo))=""CONTIENE"",
UPPER(TRIM(rTipo))=""COINCIDENCIA""
),
ISNUMBER(SEARCH(UPPER(TRIM(rPatron)),UPPER(TRIM(D1806))))
)
)
),
rConce"&amp;"pto,
""""
)
)
)&lt;&gt;""""
),
1
),
""""
)"),"PATIO REGULADOR")</f>
        <v>PATIO REGULADOR</v>
      </c>
      <c r="L1806" s="27"/>
      <c r="M1806" s="27"/>
      <c r="N1806" s="27"/>
      <c r="O1806" s="27"/>
      <c r="P1806" s="27"/>
      <c r="Q1806" s="27"/>
      <c r="R1806" s="27"/>
      <c r="S1806" s="27"/>
      <c r="T1806" s="27"/>
      <c r="U1806" s="27"/>
      <c r="V1806" s="27"/>
      <c r="W1806" s="27"/>
      <c r="X1806" s="27"/>
      <c r="Y1806" s="27"/>
    </row>
    <row r="1807">
      <c r="A1807" s="32"/>
      <c r="B1807" s="32"/>
      <c r="C1807" s="29" t="s">
        <v>172</v>
      </c>
      <c r="D1807" s="29" t="s">
        <v>2020</v>
      </c>
      <c r="E1807" s="28">
        <v>425.0</v>
      </c>
      <c r="F1807" s="28">
        <v>0.0</v>
      </c>
      <c r="G1807" s="99" t="s">
        <v>250</v>
      </c>
      <c r="H1807" s="28">
        <f t="array" ref="H1807">INDEX(CC!C:C,MATCH(1,(CC!A:A=G1807)*(CC!B:B=I1807),0))</f>
        <v>1402</v>
      </c>
      <c r="I1807" s="99" t="s">
        <v>25</v>
      </c>
      <c r="J1807" s="31">
        <v>425.0</v>
      </c>
      <c r="K1807" s="28" t="str">
        <f>IFERROR(__xludf.DUMMYFUNCTION("IFERROR(
INDEX(
FILTER(
MAP(
reglas!$B$2:$B$240,
reglas!$C$2:$C$240,
reglas!$D$2:$D$240,
reglas!$E$2:$E$240,
LAMBDA(rEmisor,rPatron,rConcepto,rTipo,
IF(
AND(
OR(
UPPER(TRIM(rEmisor))=UPPER(TRIM(C1807)),
UPPER(TRIM(rEmisor))=""CUALQUIERA""
),
OR(
UPPER(TRI"&amp;"M(rTipo))=""SOLO EMISOR"",
AND(
UPPER(TRIM(rTipo))=""EXACTA"",
UPPER(TRIM(AG1807))=UPPER(TRIM(rPatron))
),
AND(
OR(
UPPER(TRIM(rTipo))=""CONTIENE"",
UPPER(TRIM(rTipo))=""COINCIDENCIA""
),
ISNUMBER(SEARCH(UPPER(TRIM(rPatron)),UPPER(TRIM(D1807))))
)
)
),
rC"&amp;"oncepto,
""""
)
)
),
MAP(
reglas!$B$2:$B$240,
reglas!$C$2:$C$240,
reglas!$D$2:$D$240,
reglas!$E$2:$E$240,
LAMBDA(rEmisor,rPatron,rConcepto,rTipo,
IF(
AND(
OR(
UPPER(TRIM(rEmisor))=UPPER(TRIM(C1807)),
UPPER(TRIM(rEmisor))=""CUALQUIERA""
),
OR(
UPPER(TRIM(r"&amp;"Tipo))=""SOLO EMISOR"",
AND(
UPPER(TRIM(rTipo))=""EXACTA"",
UPPER(TRIM(D1807))=UPPER(TRIM(rPatron))
),
AND(
OR(
UPPER(TRIM(rTipo))=""CONTIENE"",
UPPER(TRIM(rTipo))=""COINCIDENCIA""
),
ISNUMBER(SEARCH(UPPER(TRIM(rPatron)),UPPER(TRIM(D1807))))
)
)
),
rConce"&amp;"pto,
""""
)
)
)&lt;&gt;""""
),
1
),
""""
)"),"PATIO REGULADOR")</f>
        <v>PATIO REGULADOR</v>
      </c>
      <c r="L1807" s="27"/>
      <c r="M1807" s="27"/>
      <c r="N1807" s="27"/>
      <c r="O1807" s="27"/>
      <c r="P1807" s="27"/>
      <c r="Q1807" s="27"/>
      <c r="R1807" s="27"/>
      <c r="S1807" s="27"/>
      <c r="T1807" s="27"/>
      <c r="U1807" s="27"/>
      <c r="V1807" s="27"/>
      <c r="W1807" s="27"/>
      <c r="X1807" s="27"/>
      <c r="Y1807" s="27"/>
    </row>
    <row r="1808">
      <c r="A1808" s="32"/>
      <c r="B1808" s="32"/>
      <c r="C1808" s="29" t="s">
        <v>172</v>
      </c>
      <c r="D1808" s="29" t="s">
        <v>2021</v>
      </c>
      <c r="E1808" s="28">
        <v>785.0</v>
      </c>
      <c r="F1808" s="28">
        <v>0.0</v>
      </c>
      <c r="G1808" s="99" t="s">
        <v>250</v>
      </c>
      <c r="H1808" s="28">
        <f t="array" ref="H1808">INDEX(CC!C:C,MATCH(1,(CC!A:A=G1808)*(CC!B:B=I1808),0))</f>
        <v>1402</v>
      </c>
      <c r="I1808" s="99" t="s">
        <v>25</v>
      </c>
      <c r="J1808" s="31">
        <v>785.0</v>
      </c>
      <c r="K1808" s="28" t="str">
        <f>IFERROR(__xludf.DUMMYFUNCTION("IFERROR(
INDEX(
FILTER(
MAP(
reglas!$B$2:$B$240,
reglas!$C$2:$C$240,
reglas!$D$2:$D$240,
reglas!$E$2:$E$240,
LAMBDA(rEmisor,rPatron,rConcepto,rTipo,
IF(
AND(
OR(
UPPER(TRIM(rEmisor))=UPPER(TRIM(C1808)),
UPPER(TRIM(rEmisor))=""CUALQUIERA""
),
OR(
UPPER(TRI"&amp;"M(rTipo))=""SOLO EMISOR"",
AND(
UPPER(TRIM(rTipo))=""EXACTA"",
UPPER(TRIM(AG1808))=UPPER(TRIM(rPatron))
),
AND(
OR(
UPPER(TRIM(rTipo))=""CONTIENE"",
UPPER(TRIM(rTipo))=""COINCIDENCIA""
),
ISNUMBER(SEARCH(UPPER(TRIM(rPatron)),UPPER(TRIM(D1808))))
)
)
),
rC"&amp;"oncepto,
""""
)
)
),
MAP(
reglas!$B$2:$B$240,
reglas!$C$2:$C$240,
reglas!$D$2:$D$240,
reglas!$E$2:$E$240,
LAMBDA(rEmisor,rPatron,rConcepto,rTipo,
IF(
AND(
OR(
UPPER(TRIM(rEmisor))=UPPER(TRIM(C1808)),
UPPER(TRIM(rEmisor))=""CUALQUIERA""
),
OR(
UPPER(TRIM(r"&amp;"Tipo))=""SOLO EMISOR"",
AND(
UPPER(TRIM(rTipo))=""EXACTA"",
UPPER(TRIM(D1808))=UPPER(TRIM(rPatron))
),
AND(
OR(
UPPER(TRIM(rTipo))=""CONTIENE"",
UPPER(TRIM(rTipo))=""COINCIDENCIA""
),
ISNUMBER(SEARCH(UPPER(TRIM(rPatron)),UPPER(TRIM(D1808))))
)
)
),
rConce"&amp;"pto,
""""
)
)
)&lt;&gt;""""
),
1
),
""""
)"),"PATIO REGULADOR")</f>
        <v>PATIO REGULADOR</v>
      </c>
      <c r="L1808" s="27"/>
      <c r="M1808" s="27"/>
      <c r="N1808" s="27"/>
      <c r="O1808" s="27"/>
      <c r="P1808" s="27"/>
      <c r="Q1808" s="27"/>
      <c r="R1808" s="27"/>
      <c r="S1808" s="27"/>
      <c r="T1808" s="27"/>
      <c r="U1808" s="27"/>
      <c r="V1808" s="27"/>
      <c r="W1808" s="27"/>
      <c r="X1808" s="27"/>
      <c r="Y1808" s="27"/>
    </row>
    <row r="1809">
      <c r="A1809" s="32"/>
      <c r="B1809" s="32"/>
      <c r="C1809" s="29" t="s">
        <v>172</v>
      </c>
      <c r="D1809" s="29" t="s">
        <v>2022</v>
      </c>
      <c r="E1809" s="28">
        <v>665.0</v>
      </c>
      <c r="F1809" s="28">
        <v>0.0</v>
      </c>
      <c r="G1809" s="99" t="s">
        <v>250</v>
      </c>
      <c r="H1809" s="28">
        <f t="array" ref="H1809">INDEX(CC!C:C,MATCH(1,(CC!A:A=G1809)*(CC!B:B=I1809),0))</f>
        <v>1402</v>
      </c>
      <c r="I1809" s="99" t="s">
        <v>25</v>
      </c>
      <c r="J1809" s="31">
        <v>665.0</v>
      </c>
      <c r="K1809" s="28" t="str">
        <f>IFERROR(__xludf.DUMMYFUNCTION("IFERROR(
INDEX(
FILTER(
MAP(
reglas!$B$2:$B$240,
reglas!$C$2:$C$240,
reglas!$D$2:$D$240,
reglas!$E$2:$E$240,
LAMBDA(rEmisor,rPatron,rConcepto,rTipo,
IF(
AND(
OR(
UPPER(TRIM(rEmisor))=UPPER(TRIM(C1809)),
UPPER(TRIM(rEmisor))=""CUALQUIERA""
),
OR(
UPPER(TRI"&amp;"M(rTipo))=""SOLO EMISOR"",
AND(
UPPER(TRIM(rTipo))=""EXACTA"",
UPPER(TRIM(AG1809))=UPPER(TRIM(rPatron))
),
AND(
OR(
UPPER(TRIM(rTipo))=""CONTIENE"",
UPPER(TRIM(rTipo))=""COINCIDENCIA""
),
ISNUMBER(SEARCH(UPPER(TRIM(rPatron)),UPPER(TRIM(D1809))))
)
)
),
rC"&amp;"oncepto,
""""
)
)
),
MAP(
reglas!$B$2:$B$240,
reglas!$C$2:$C$240,
reglas!$D$2:$D$240,
reglas!$E$2:$E$240,
LAMBDA(rEmisor,rPatron,rConcepto,rTipo,
IF(
AND(
OR(
UPPER(TRIM(rEmisor))=UPPER(TRIM(C1809)),
UPPER(TRIM(rEmisor))=""CUALQUIERA""
),
OR(
UPPER(TRIM(r"&amp;"Tipo))=""SOLO EMISOR"",
AND(
UPPER(TRIM(rTipo))=""EXACTA"",
UPPER(TRIM(D1809))=UPPER(TRIM(rPatron))
),
AND(
OR(
UPPER(TRIM(rTipo))=""CONTIENE"",
UPPER(TRIM(rTipo))=""COINCIDENCIA""
),
ISNUMBER(SEARCH(UPPER(TRIM(rPatron)),UPPER(TRIM(D1809))))
)
)
),
rConce"&amp;"pto,
""""
)
)
)&lt;&gt;""""
),
1
),
""""
)"),"PATIO REGULADOR")</f>
        <v>PATIO REGULADOR</v>
      </c>
      <c r="L1809" s="27"/>
      <c r="M1809" s="27"/>
      <c r="N1809" s="27"/>
      <c r="O1809" s="27"/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</row>
    <row r="1810">
      <c r="A1810" s="32"/>
      <c r="B1810" s="32"/>
      <c r="C1810" s="29" t="s">
        <v>172</v>
      </c>
      <c r="D1810" s="29" t="s">
        <v>2023</v>
      </c>
      <c r="E1810" s="28">
        <v>905.0</v>
      </c>
      <c r="F1810" s="28">
        <v>0.0</v>
      </c>
      <c r="G1810" s="99" t="s">
        <v>250</v>
      </c>
      <c r="H1810" s="28">
        <f t="array" ref="H1810">INDEX(CC!C:C,MATCH(1,(CC!A:A=G1810)*(CC!B:B=I1810),0))</f>
        <v>1402</v>
      </c>
      <c r="I1810" s="99" t="s">
        <v>25</v>
      </c>
      <c r="J1810" s="31">
        <v>905.0</v>
      </c>
      <c r="K1810" s="28" t="str">
        <f>IFERROR(__xludf.DUMMYFUNCTION("IFERROR(
INDEX(
FILTER(
MAP(
reglas!$B$2:$B$240,
reglas!$C$2:$C$240,
reglas!$D$2:$D$240,
reglas!$E$2:$E$240,
LAMBDA(rEmisor,rPatron,rConcepto,rTipo,
IF(
AND(
OR(
UPPER(TRIM(rEmisor))=UPPER(TRIM(C1810)),
UPPER(TRIM(rEmisor))=""CUALQUIERA""
),
OR(
UPPER(TRI"&amp;"M(rTipo))=""SOLO EMISOR"",
AND(
UPPER(TRIM(rTipo))=""EXACTA"",
UPPER(TRIM(AG1810))=UPPER(TRIM(rPatron))
),
AND(
OR(
UPPER(TRIM(rTipo))=""CONTIENE"",
UPPER(TRIM(rTipo))=""COINCIDENCIA""
),
ISNUMBER(SEARCH(UPPER(TRIM(rPatron)),UPPER(TRIM(D1810))))
)
)
),
rC"&amp;"oncepto,
""""
)
)
),
MAP(
reglas!$B$2:$B$240,
reglas!$C$2:$C$240,
reglas!$D$2:$D$240,
reglas!$E$2:$E$240,
LAMBDA(rEmisor,rPatron,rConcepto,rTipo,
IF(
AND(
OR(
UPPER(TRIM(rEmisor))=UPPER(TRIM(C1810)),
UPPER(TRIM(rEmisor))=""CUALQUIERA""
),
OR(
UPPER(TRIM(r"&amp;"Tipo))=""SOLO EMISOR"",
AND(
UPPER(TRIM(rTipo))=""EXACTA"",
UPPER(TRIM(D1810))=UPPER(TRIM(rPatron))
),
AND(
OR(
UPPER(TRIM(rTipo))=""CONTIENE"",
UPPER(TRIM(rTipo))=""COINCIDENCIA""
),
ISNUMBER(SEARCH(UPPER(TRIM(rPatron)),UPPER(TRIM(D1810))))
)
)
),
rConce"&amp;"pto,
""""
)
)
)&lt;&gt;""""
),
1
),
""""
)"),"PATIO REGULADOR")</f>
        <v>PATIO REGULADOR</v>
      </c>
      <c r="L1810" s="27"/>
      <c r="M1810" s="27"/>
      <c r="N1810" s="27"/>
      <c r="O1810" s="27"/>
      <c r="P1810" s="27"/>
      <c r="Q1810" s="27"/>
      <c r="R1810" s="27"/>
      <c r="S1810" s="27"/>
      <c r="T1810" s="27"/>
      <c r="U1810" s="27"/>
      <c r="V1810" s="27"/>
      <c r="W1810" s="27"/>
      <c r="X1810" s="27"/>
      <c r="Y1810" s="27"/>
    </row>
    <row r="1811">
      <c r="A1811" s="32"/>
      <c r="B1811" s="32"/>
      <c r="C1811" s="29" t="s">
        <v>172</v>
      </c>
      <c r="D1811" s="29" t="s">
        <v>2024</v>
      </c>
      <c r="E1811" s="28">
        <v>425.0</v>
      </c>
      <c r="F1811" s="28">
        <v>0.0</v>
      </c>
      <c r="G1811" s="99" t="s">
        <v>250</v>
      </c>
      <c r="H1811" s="28">
        <f t="array" ref="H1811">INDEX(CC!C:C,MATCH(1,(CC!A:A=G1811)*(CC!B:B=I1811),0))</f>
        <v>1402</v>
      </c>
      <c r="I1811" s="99" t="s">
        <v>25</v>
      </c>
      <c r="J1811" s="31">
        <v>425.0</v>
      </c>
      <c r="K1811" s="28" t="str">
        <f>IFERROR(__xludf.DUMMYFUNCTION("IFERROR(
INDEX(
FILTER(
MAP(
reglas!$B$2:$B$240,
reglas!$C$2:$C$240,
reglas!$D$2:$D$240,
reglas!$E$2:$E$240,
LAMBDA(rEmisor,rPatron,rConcepto,rTipo,
IF(
AND(
OR(
UPPER(TRIM(rEmisor))=UPPER(TRIM(C1811)),
UPPER(TRIM(rEmisor))=""CUALQUIERA""
),
OR(
UPPER(TRI"&amp;"M(rTipo))=""SOLO EMISOR"",
AND(
UPPER(TRIM(rTipo))=""EXACTA"",
UPPER(TRIM(AG1811))=UPPER(TRIM(rPatron))
),
AND(
OR(
UPPER(TRIM(rTipo))=""CONTIENE"",
UPPER(TRIM(rTipo))=""COINCIDENCIA""
),
ISNUMBER(SEARCH(UPPER(TRIM(rPatron)),UPPER(TRIM(D1811))))
)
)
),
rC"&amp;"oncepto,
""""
)
)
),
MAP(
reglas!$B$2:$B$240,
reglas!$C$2:$C$240,
reglas!$D$2:$D$240,
reglas!$E$2:$E$240,
LAMBDA(rEmisor,rPatron,rConcepto,rTipo,
IF(
AND(
OR(
UPPER(TRIM(rEmisor))=UPPER(TRIM(C1811)),
UPPER(TRIM(rEmisor))=""CUALQUIERA""
),
OR(
UPPER(TRIM(r"&amp;"Tipo))=""SOLO EMISOR"",
AND(
UPPER(TRIM(rTipo))=""EXACTA"",
UPPER(TRIM(D1811))=UPPER(TRIM(rPatron))
),
AND(
OR(
UPPER(TRIM(rTipo))=""CONTIENE"",
UPPER(TRIM(rTipo))=""COINCIDENCIA""
),
ISNUMBER(SEARCH(UPPER(TRIM(rPatron)),UPPER(TRIM(D1811))))
)
)
),
rConce"&amp;"pto,
""""
)
)
)&lt;&gt;""""
),
1
),
""""
)"),"PATIO REGULADOR")</f>
        <v>PATIO REGULADOR</v>
      </c>
      <c r="L1811" s="27"/>
      <c r="M1811" s="27"/>
      <c r="N1811" s="27"/>
      <c r="O1811" s="27"/>
      <c r="P1811" s="27"/>
      <c r="Q1811" s="27"/>
      <c r="R1811" s="27"/>
      <c r="S1811" s="27"/>
      <c r="T1811" s="27"/>
      <c r="U1811" s="27"/>
      <c r="V1811" s="27"/>
      <c r="W1811" s="27"/>
      <c r="X1811" s="27"/>
      <c r="Y1811" s="27"/>
    </row>
    <row r="1812">
      <c r="A1812" s="28">
        <v>1.0</v>
      </c>
      <c r="B1812" s="28" t="s">
        <v>29</v>
      </c>
      <c r="C1812" s="29" t="s">
        <v>271</v>
      </c>
      <c r="D1812" s="29" t="s">
        <v>582</v>
      </c>
      <c r="E1812" s="28">
        <v>600.0</v>
      </c>
      <c r="F1812" s="28">
        <v>479.0</v>
      </c>
      <c r="G1812" s="99" t="s">
        <v>84</v>
      </c>
      <c r="H1812" s="28">
        <f t="array" ref="H1812">INDEX(CC!C:C,MATCH(1,(CC!A:A=G1812)*(CC!B:B=I1812),0))</f>
        <v>1002</v>
      </c>
      <c r="I1812" s="99" t="s">
        <v>25</v>
      </c>
      <c r="J1812" s="31">
        <v>121.0</v>
      </c>
      <c r="K1812" s="28" t="str">
        <f>IFERROR(__xludf.DUMMYFUNCTION("IFERROR(
INDEX(
FILTER(
MAP(
reglas!$B$2:$B$240,
reglas!$C$2:$C$240,
reglas!$D$2:$D$240,
reglas!$E$2:$E$240,
LAMBDA(rEmisor,rPatron,rConcepto,rTipo,
IF(
AND(
OR(
UPPER(TRIM(rEmisor))=UPPER(TRIM(C1812)),
UPPER(TRIM(rEmisor))=""CUALQUIERA""
),
OR(
UPPER(TRI"&amp;"M(rTipo))=""SOLO EMISOR"",
AND(
UPPER(TRIM(rTipo))=""EXACTA"",
UPPER(TRIM(AG1812))=UPPER(TRIM(rPatron))
),
AND(
OR(
UPPER(TRIM(rTipo))=""CONTIENE"",
UPPER(TRIM(rTipo))=""COINCIDENCIA""
),
ISNUMBER(SEARCH(UPPER(TRIM(rPatron)),UPPER(TRIM(D1812))))
)
)
),
rC"&amp;"oncepto,
""""
)
)
),
MAP(
reglas!$B$2:$B$240,
reglas!$C$2:$C$240,
reglas!$D$2:$D$240,
reglas!$E$2:$E$240,
LAMBDA(rEmisor,rPatron,rConcepto,rTipo,
IF(
AND(
OR(
UPPER(TRIM(rEmisor))=UPPER(TRIM(C1812)),
UPPER(TRIM(rEmisor))=""CUALQUIERA""
),
OR(
UPPER(TRIM(r"&amp;"Tipo))=""SOLO EMISOR"",
AND(
UPPER(TRIM(rTipo))=""EXACTA"",
UPPER(TRIM(D1812))=UPPER(TRIM(rPatron))
),
AND(
OR(
UPPER(TRIM(rTipo))=""CONTIENE"",
UPPER(TRIM(rTipo))=""COINCIDENCIA""
),
ISNUMBER(SEARCH(UPPER(TRIM(rPatron)),UPPER(TRIM(D1812))))
)
)
),
rConce"&amp;"pto,
""""
)
)
)&lt;&gt;""""
),
1
),
""""
)"),"MANIOBRAS")</f>
        <v>MANIOBRAS</v>
      </c>
      <c r="L1812" s="27"/>
      <c r="M1812" s="27"/>
      <c r="N1812" s="27"/>
      <c r="O1812" s="27"/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</row>
    <row r="1813">
      <c r="A1813" s="32"/>
      <c r="B1813" s="32"/>
      <c r="C1813" s="29" t="s">
        <v>271</v>
      </c>
      <c r="D1813" s="29" t="s">
        <v>585</v>
      </c>
      <c r="E1813" s="28">
        <v>620.28</v>
      </c>
      <c r="F1813" s="28">
        <v>0.0</v>
      </c>
      <c r="G1813" s="99" t="s">
        <v>84</v>
      </c>
      <c r="H1813" s="28">
        <f t="array" ref="H1813">INDEX(CC!C:C,MATCH(1,(CC!A:A=G1813)*(CC!B:B=I1813),0))</f>
        <v>1002</v>
      </c>
      <c r="I1813" s="99" t="s">
        <v>25</v>
      </c>
      <c r="J1813" s="31">
        <v>620.28</v>
      </c>
      <c r="K1813" s="28" t="str">
        <f>IFERROR(__xludf.DUMMYFUNCTION("IFERROR(
INDEX(
FILTER(
MAP(
reglas!$B$2:$B$240,
reglas!$C$2:$C$240,
reglas!$D$2:$D$240,
reglas!$E$2:$E$240,
LAMBDA(rEmisor,rPatron,rConcepto,rTipo,
IF(
AND(
OR(
UPPER(TRIM(rEmisor))=UPPER(TRIM(C1813)),
UPPER(TRIM(rEmisor))=""CUALQUIERA""
),
OR(
UPPER(TRI"&amp;"M(rTipo))=""SOLO EMISOR"",
AND(
UPPER(TRIM(rTipo))=""EXACTA"",
UPPER(TRIM(AG1813))=UPPER(TRIM(rPatron))
),
AND(
OR(
UPPER(TRIM(rTipo))=""CONTIENE"",
UPPER(TRIM(rTipo))=""COINCIDENCIA""
),
ISNUMBER(SEARCH(UPPER(TRIM(rPatron)),UPPER(TRIM(D1813))))
)
)
),
rC"&amp;"oncepto,
""""
)
)
),
MAP(
reglas!$B$2:$B$240,
reglas!$C$2:$C$240,
reglas!$D$2:$D$240,
reglas!$E$2:$E$240,
LAMBDA(rEmisor,rPatron,rConcepto,rTipo,
IF(
AND(
OR(
UPPER(TRIM(rEmisor))=UPPER(TRIM(C1813)),
UPPER(TRIM(rEmisor))=""CUALQUIERA""
),
OR(
UPPER(TRIM(r"&amp;"Tipo))=""SOLO EMISOR"",
AND(
UPPER(TRIM(rTipo))=""EXACTA"",
UPPER(TRIM(D1813))=UPPER(TRIM(rPatron))
),
AND(
OR(
UPPER(TRIM(rTipo))=""CONTIENE"",
UPPER(TRIM(rTipo))=""COINCIDENCIA""
),
ISNUMBER(SEARCH(UPPER(TRIM(rPatron)),UPPER(TRIM(D1813))))
)
)
),
rConce"&amp;"pto,
""""
)
)
)&lt;&gt;""""
),
1
),
""""
)"),"MANIOBRAS")</f>
        <v>MANIOBRAS</v>
      </c>
      <c r="L1813" s="27"/>
      <c r="M1813" s="27"/>
      <c r="N1813" s="27"/>
      <c r="O1813" s="27"/>
      <c r="P1813" s="27"/>
      <c r="Q1813" s="27"/>
      <c r="R1813" s="27"/>
      <c r="S1813" s="27"/>
      <c r="T1813" s="27"/>
      <c r="U1813" s="27"/>
      <c r="V1813" s="27"/>
      <c r="W1813" s="27"/>
      <c r="X1813" s="27"/>
      <c r="Y1813" s="27"/>
    </row>
    <row r="1814">
      <c r="A1814" s="32"/>
      <c r="B1814" s="32"/>
      <c r="C1814" s="29" t="s">
        <v>271</v>
      </c>
      <c r="D1814" s="29" t="s">
        <v>587</v>
      </c>
      <c r="E1814" s="28">
        <v>567.51</v>
      </c>
      <c r="F1814" s="28">
        <v>0.0</v>
      </c>
      <c r="G1814" s="99" t="s">
        <v>84</v>
      </c>
      <c r="H1814" s="28">
        <f t="array" ref="H1814">INDEX(CC!C:C,MATCH(1,(CC!A:A=G1814)*(CC!B:B=I1814),0))</f>
        <v>1002</v>
      </c>
      <c r="I1814" s="99" t="s">
        <v>25</v>
      </c>
      <c r="J1814" s="31">
        <v>567.51</v>
      </c>
      <c r="K1814" s="28" t="str">
        <f>IFERROR(__xludf.DUMMYFUNCTION("IFERROR(
INDEX(
FILTER(
MAP(
reglas!$B$2:$B$240,
reglas!$C$2:$C$240,
reglas!$D$2:$D$240,
reglas!$E$2:$E$240,
LAMBDA(rEmisor,rPatron,rConcepto,rTipo,
IF(
AND(
OR(
UPPER(TRIM(rEmisor))=UPPER(TRIM(C1814)),
UPPER(TRIM(rEmisor))=""CUALQUIERA""
),
OR(
UPPER(TRI"&amp;"M(rTipo))=""SOLO EMISOR"",
AND(
UPPER(TRIM(rTipo))=""EXACTA"",
UPPER(TRIM(AG1814))=UPPER(TRIM(rPatron))
),
AND(
OR(
UPPER(TRIM(rTipo))=""CONTIENE"",
UPPER(TRIM(rTipo))=""COINCIDENCIA""
),
ISNUMBER(SEARCH(UPPER(TRIM(rPatron)),UPPER(TRIM(D1814))))
)
)
),
rC"&amp;"oncepto,
""""
)
)
),
MAP(
reglas!$B$2:$B$240,
reglas!$C$2:$C$240,
reglas!$D$2:$D$240,
reglas!$E$2:$E$240,
LAMBDA(rEmisor,rPatron,rConcepto,rTipo,
IF(
AND(
OR(
UPPER(TRIM(rEmisor))=UPPER(TRIM(C1814)),
UPPER(TRIM(rEmisor))=""CUALQUIERA""
),
OR(
UPPER(TRIM(r"&amp;"Tipo))=""SOLO EMISOR"",
AND(
UPPER(TRIM(rTipo))=""EXACTA"",
UPPER(TRIM(D1814))=UPPER(TRIM(rPatron))
),
AND(
OR(
UPPER(TRIM(rTipo))=""CONTIENE"",
UPPER(TRIM(rTipo))=""COINCIDENCIA""
),
ISNUMBER(SEARCH(UPPER(TRIM(rPatron)),UPPER(TRIM(D1814))))
)
)
),
rConce"&amp;"pto,
""""
)
)
)&lt;&gt;""""
),
1
),
""""
)"),"MANIOBRAS")</f>
        <v>MANIOBRAS</v>
      </c>
      <c r="L1814" s="27"/>
      <c r="M1814" s="27"/>
      <c r="N1814" s="27"/>
      <c r="O1814" s="27"/>
      <c r="P1814" s="27"/>
      <c r="Q1814" s="27"/>
      <c r="R1814" s="27"/>
      <c r="S1814" s="27"/>
      <c r="T1814" s="27"/>
      <c r="U1814" s="27"/>
      <c r="V1814" s="27"/>
      <c r="W1814" s="27"/>
      <c r="X1814" s="27"/>
      <c r="Y1814" s="27"/>
    </row>
    <row r="1815">
      <c r="A1815" s="32"/>
      <c r="B1815" s="32"/>
      <c r="C1815" s="29" t="s">
        <v>271</v>
      </c>
      <c r="D1815" s="29" t="s">
        <v>586</v>
      </c>
      <c r="E1815" s="28">
        <v>620.62</v>
      </c>
      <c r="F1815" s="28">
        <v>0.0</v>
      </c>
      <c r="G1815" s="99" t="s">
        <v>84</v>
      </c>
      <c r="H1815" s="28">
        <f t="array" ref="H1815">INDEX(CC!C:C,MATCH(1,(CC!A:A=G1815)*(CC!B:B=I1815),0))</f>
        <v>1002</v>
      </c>
      <c r="I1815" s="99" t="s">
        <v>25</v>
      </c>
      <c r="J1815" s="31">
        <v>620.62</v>
      </c>
      <c r="K1815" s="28" t="str">
        <f>IFERROR(__xludf.DUMMYFUNCTION("IFERROR(
INDEX(
FILTER(
MAP(
reglas!$B$2:$B$240,
reglas!$C$2:$C$240,
reglas!$D$2:$D$240,
reglas!$E$2:$E$240,
LAMBDA(rEmisor,rPatron,rConcepto,rTipo,
IF(
AND(
OR(
UPPER(TRIM(rEmisor))=UPPER(TRIM(C1815)),
UPPER(TRIM(rEmisor))=""CUALQUIERA""
),
OR(
UPPER(TRI"&amp;"M(rTipo))=""SOLO EMISOR"",
AND(
UPPER(TRIM(rTipo))=""EXACTA"",
UPPER(TRIM(AG1815))=UPPER(TRIM(rPatron))
),
AND(
OR(
UPPER(TRIM(rTipo))=""CONTIENE"",
UPPER(TRIM(rTipo))=""COINCIDENCIA""
),
ISNUMBER(SEARCH(UPPER(TRIM(rPatron)),UPPER(TRIM(D1815))))
)
)
),
rC"&amp;"oncepto,
""""
)
)
),
MAP(
reglas!$B$2:$B$240,
reglas!$C$2:$C$240,
reglas!$D$2:$D$240,
reglas!$E$2:$E$240,
LAMBDA(rEmisor,rPatron,rConcepto,rTipo,
IF(
AND(
OR(
UPPER(TRIM(rEmisor))=UPPER(TRIM(C1815)),
UPPER(TRIM(rEmisor))=""CUALQUIERA""
),
OR(
UPPER(TRIM(r"&amp;"Tipo))=""SOLO EMISOR"",
AND(
UPPER(TRIM(rTipo))=""EXACTA"",
UPPER(TRIM(D1815))=UPPER(TRIM(rPatron))
),
AND(
OR(
UPPER(TRIM(rTipo))=""CONTIENE"",
UPPER(TRIM(rTipo))=""COINCIDENCIA""
),
ISNUMBER(SEARCH(UPPER(TRIM(rPatron)),UPPER(TRIM(D1815))))
)
)
),
rConce"&amp;"pto,
""""
)
)
)&lt;&gt;""""
),
1
),
""""
)"),"MANIOBRAS")</f>
        <v>MANIOBRAS</v>
      </c>
      <c r="L1815" s="27"/>
      <c r="M1815" s="27"/>
      <c r="N1815" s="27"/>
      <c r="O1815" s="27"/>
      <c r="P1815" s="27"/>
      <c r="Q1815" s="27"/>
      <c r="R1815" s="27"/>
      <c r="S1815" s="27"/>
      <c r="T1815" s="27"/>
      <c r="U1815" s="27"/>
      <c r="V1815" s="27"/>
      <c r="W1815" s="27"/>
      <c r="X1815" s="27"/>
      <c r="Y1815" s="27"/>
    </row>
    <row r="1816">
      <c r="A1816" s="32"/>
      <c r="B1816" s="32"/>
      <c r="C1816" s="29" t="s">
        <v>271</v>
      </c>
      <c r="D1816" s="29" t="s">
        <v>589</v>
      </c>
      <c r="E1816" s="28">
        <v>620.62</v>
      </c>
      <c r="F1816" s="28">
        <v>0.0</v>
      </c>
      <c r="G1816" s="99" t="s">
        <v>84</v>
      </c>
      <c r="H1816" s="28">
        <f t="array" ref="H1816">INDEX(CC!C:C,MATCH(1,(CC!A:A=G1816)*(CC!B:B=I1816),0))</f>
        <v>1002</v>
      </c>
      <c r="I1816" s="99" t="s">
        <v>25</v>
      </c>
      <c r="J1816" s="31">
        <v>620.62</v>
      </c>
      <c r="K1816" s="28" t="str">
        <f>IFERROR(__xludf.DUMMYFUNCTION("IFERROR(
INDEX(
FILTER(
MAP(
reglas!$B$2:$B$240,
reglas!$C$2:$C$240,
reglas!$D$2:$D$240,
reglas!$E$2:$E$240,
LAMBDA(rEmisor,rPatron,rConcepto,rTipo,
IF(
AND(
OR(
UPPER(TRIM(rEmisor))=UPPER(TRIM(C1816)),
UPPER(TRIM(rEmisor))=""CUALQUIERA""
),
OR(
UPPER(TRI"&amp;"M(rTipo))=""SOLO EMISOR"",
AND(
UPPER(TRIM(rTipo))=""EXACTA"",
UPPER(TRIM(AG1816))=UPPER(TRIM(rPatron))
),
AND(
OR(
UPPER(TRIM(rTipo))=""CONTIENE"",
UPPER(TRIM(rTipo))=""COINCIDENCIA""
),
ISNUMBER(SEARCH(UPPER(TRIM(rPatron)),UPPER(TRIM(D1816))))
)
)
),
rC"&amp;"oncepto,
""""
)
)
),
MAP(
reglas!$B$2:$B$240,
reglas!$C$2:$C$240,
reglas!$D$2:$D$240,
reglas!$E$2:$E$240,
LAMBDA(rEmisor,rPatron,rConcepto,rTipo,
IF(
AND(
OR(
UPPER(TRIM(rEmisor))=UPPER(TRIM(C1816)),
UPPER(TRIM(rEmisor))=""CUALQUIERA""
),
OR(
UPPER(TRIM(r"&amp;"Tipo))=""SOLO EMISOR"",
AND(
UPPER(TRIM(rTipo))=""EXACTA"",
UPPER(TRIM(D1816))=UPPER(TRIM(rPatron))
),
AND(
OR(
UPPER(TRIM(rTipo))=""CONTIENE"",
UPPER(TRIM(rTipo))=""COINCIDENCIA""
),
ISNUMBER(SEARCH(UPPER(TRIM(rPatron)),UPPER(TRIM(D1816))))
)
)
),
rConce"&amp;"pto,
""""
)
)
)&lt;&gt;""""
),
1
),
""""
)"),"MANIOBRAS")</f>
        <v>MANIOBRAS</v>
      </c>
      <c r="L1816" s="27"/>
      <c r="M1816" s="27"/>
      <c r="N1816" s="27"/>
      <c r="O1816" s="27"/>
      <c r="P1816" s="27"/>
      <c r="Q1816" s="27"/>
      <c r="R1816" s="27"/>
      <c r="S1816" s="27"/>
      <c r="T1816" s="27"/>
      <c r="U1816" s="27"/>
      <c r="V1816" s="27"/>
      <c r="W1816" s="27"/>
      <c r="X1816" s="27"/>
      <c r="Y1816" s="27"/>
    </row>
    <row r="1817">
      <c r="A1817" s="32"/>
      <c r="B1817" s="32"/>
      <c r="C1817" s="29" t="s">
        <v>271</v>
      </c>
      <c r="D1817" s="29" t="s">
        <v>593</v>
      </c>
      <c r="E1817" s="28">
        <v>408.2</v>
      </c>
      <c r="F1817" s="28">
        <v>0.0</v>
      </c>
      <c r="G1817" s="99" t="s">
        <v>84</v>
      </c>
      <c r="H1817" s="28">
        <f t="array" ref="H1817">INDEX(CC!C:C,MATCH(1,(CC!A:A=G1817)*(CC!B:B=I1817),0))</f>
        <v>1002</v>
      </c>
      <c r="I1817" s="99" t="s">
        <v>25</v>
      </c>
      <c r="J1817" s="31">
        <v>408.2</v>
      </c>
      <c r="K1817" s="28" t="str">
        <f>IFERROR(__xludf.DUMMYFUNCTION("IFERROR(
INDEX(
FILTER(
MAP(
reglas!$B$2:$B$240,
reglas!$C$2:$C$240,
reglas!$D$2:$D$240,
reglas!$E$2:$E$240,
LAMBDA(rEmisor,rPatron,rConcepto,rTipo,
IF(
AND(
OR(
UPPER(TRIM(rEmisor))=UPPER(TRIM(C1817)),
UPPER(TRIM(rEmisor))=""CUALQUIERA""
),
OR(
UPPER(TRI"&amp;"M(rTipo))=""SOLO EMISOR"",
AND(
UPPER(TRIM(rTipo))=""EXACTA"",
UPPER(TRIM(AG1817))=UPPER(TRIM(rPatron))
),
AND(
OR(
UPPER(TRIM(rTipo))=""CONTIENE"",
UPPER(TRIM(rTipo))=""COINCIDENCIA""
),
ISNUMBER(SEARCH(UPPER(TRIM(rPatron)),UPPER(TRIM(D1817))))
)
)
),
rC"&amp;"oncepto,
""""
)
)
),
MAP(
reglas!$B$2:$B$240,
reglas!$C$2:$C$240,
reglas!$D$2:$D$240,
reglas!$E$2:$E$240,
LAMBDA(rEmisor,rPatron,rConcepto,rTipo,
IF(
AND(
OR(
UPPER(TRIM(rEmisor))=UPPER(TRIM(C1817)),
UPPER(TRIM(rEmisor))=""CUALQUIERA""
),
OR(
UPPER(TRIM(r"&amp;"Tipo))=""SOLO EMISOR"",
AND(
UPPER(TRIM(rTipo))=""EXACTA"",
UPPER(TRIM(D1817))=UPPER(TRIM(rPatron))
),
AND(
OR(
UPPER(TRIM(rTipo))=""CONTIENE"",
UPPER(TRIM(rTipo))=""COINCIDENCIA""
),
ISNUMBER(SEARCH(UPPER(TRIM(rPatron)),UPPER(TRIM(D1817))))
)
)
),
rConce"&amp;"pto,
""""
)
)
)&lt;&gt;""""
),
1
),
""""
)"),"MANIOBRAS")</f>
        <v>MANIOBRAS</v>
      </c>
      <c r="L1817" s="27"/>
      <c r="M1817" s="27"/>
      <c r="N1817" s="27"/>
      <c r="O1817" s="27"/>
      <c r="P1817" s="27"/>
      <c r="Q1817" s="27"/>
      <c r="R1817" s="27"/>
      <c r="S1817" s="27"/>
      <c r="T1817" s="27"/>
      <c r="U1817" s="27"/>
      <c r="V1817" s="27"/>
      <c r="W1817" s="27"/>
      <c r="X1817" s="27"/>
      <c r="Y1817" s="27"/>
    </row>
    <row r="1818">
      <c r="A1818" s="32"/>
      <c r="B1818" s="32"/>
      <c r="C1818" s="29" t="s">
        <v>271</v>
      </c>
      <c r="D1818" s="29" t="s">
        <v>596</v>
      </c>
      <c r="E1818" s="30">
        <v>1302.32</v>
      </c>
      <c r="F1818" s="28">
        <v>0.0</v>
      </c>
      <c r="G1818" s="99" t="s">
        <v>84</v>
      </c>
      <c r="H1818" s="28">
        <f t="array" ref="H1818">INDEX(CC!C:C,MATCH(1,(CC!A:A=G1818)*(CC!B:B=I1818),0))</f>
        <v>1002</v>
      </c>
      <c r="I1818" s="99" t="s">
        <v>25</v>
      </c>
      <c r="J1818" s="31">
        <v>1302.32</v>
      </c>
      <c r="K1818" s="28" t="str">
        <f>IFERROR(__xludf.DUMMYFUNCTION("IFERROR(
INDEX(
FILTER(
MAP(
reglas!$B$2:$B$240,
reglas!$C$2:$C$240,
reglas!$D$2:$D$240,
reglas!$E$2:$E$240,
LAMBDA(rEmisor,rPatron,rConcepto,rTipo,
IF(
AND(
OR(
UPPER(TRIM(rEmisor))=UPPER(TRIM(C1818)),
UPPER(TRIM(rEmisor))=""CUALQUIERA""
),
OR(
UPPER(TRI"&amp;"M(rTipo))=""SOLO EMISOR"",
AND(
UPPER(TRIM(rTipo))=""EXACTA"",
UPPER(TRIM(AG1818))=UPPER(TRIM(rPatron))
),
AND(
OR(
UPPER(TRIM(rTipo))=""CONTIENE"",
UPPER(TRIM(rTipo))=""COINCIDENCIA""
),
ISNUMBER(SEARCH(UPPER(TRIM(rPatron)),UPPER(TRIM(D1818))))
)
)
),
rC"&amp;"oncepto,
""""
)
)
),
MAP(
reglas!$B$2:$B$240,
reglas!$C$2:$C$240,
reglas!$D$2:$D$240,
reglas!$E$2:$E$240,
LAMBDA(rEmisor,rPatron,rConcepto,rTipo,
IF(
AND(
OR(
UPPER(TRIM(rEmisor))=UPPER(TRIM(C1818)),
UPPER(TRIM(rEmisor))=""CUALQUIERA""
),
OR(
UPPER(TRIM(r"&amp;"Tipo))=""SOLO EMISOR"",
AND(
UPPER(TRIM(rTipo))=""EXACTA"",
UPPER(TRIM(D1818))=UPPER(TRIM(rPatron))
),
AND(
OR(
UPPER(TRIM(rTipo))=""CONTIENE"",
UPPER(TRIM(rTipo))=""COINCIDENCIA""
),
ISNUMBER(SEARCH(UPPER(TRIM(rPatron)),UPPER(TRIM(D1818))))
)
)
),
rConce"&amp;"pto,
""""
)
)
)&lt;&gt;""""
),
1
),
""""
)"),"MANIOBRAS")</f>
        <v>MANIOBRAS</v>
      </c>
      <c r="L1818" s="27"/>
      <c r="M1818" s="27"/>
      <c r="N1818" s="27"/>
      <c r="O1818" s="27"/>
      <c r="P1818" s="27"/>
      <c r="Q1818" s="27"/>
      <c r="R1818" s="27"/>
      <c r="S1818" s="27"/>
      <c r="T1818" s="27"/>
      <c r="U1818" s="27"/>
      <c r="V1818" s="27"/>
      <c r="W1818" s="27"/>
      <c r="X1818" s="27"/>
      <c r="Y1818" s="27"/>
    </row>
    <row r="1819">
      <c r="A1819" s="28">
        <v>1.0</v>
      </c>
      <c r="B1819" s="28" t="s">
        <v>29</v>
      </c>
      <c r="C1819" s="29" t="s">
        <v>271</v>
      </c>
      <c r="D1819" s="29" t="s">
        <v>585</v>
      </c>
      <c r="E1819" s="28">
        <v>620.28</v>
      </c>
      <c r="F1819" s="28">
        <v>0.0</v>
      </c>
      <c r="G1819" s="99" t="s">
        <v>84</v>
      </c>
      <c r="H1819" s="28">
        <f t="array" ref="H1819">INDEX(CC!C:C,MATCH(1,(CC!A:A=G1819)*(CC!B:B=I1819),0))</f>
        <v>1002</v>
      </c>
      <c r="I1819" s="99" t="s">
        <v>25</v>
      </c>
      <c r="J1819" s="31">
        <v>620.28</v>
      </c>
      <c r="K1819" s="28" t="str">
        <f>IFERROR(__xludf.DUMMYFUNCTION("IFERROR(
INDEX(
FILTER(
MAP(
reglas!$B$2:$B$240,
reglas!$C$2:$C$240,
reglas!$D$2:$D$240,
reglas!$E$2:$E$240,
LAMBDA(rEmisor,rPatron,rConcepto,rTipo,
IF(
AND(
OR(
UPPER(TRIM(rEmisor))=UPPER(TRIM(C1819)),
UPPER(TRIM(rEmisor))=""CUALQUIERA""
),
OR(
UPPER(TRI"&amp;"M(rTipo))=""SOLO EMISOR"",
AND(
UPPER(TRIM(rTipo))=""EXACTA"",
UPPER(TRIM(AG1819))=UPPER(TRIM(rPatron))
),
AND(
OR(
UPPER(TRIM(rTipo))=""CONTIENE"",
UPPER(TRIM(rTipo))=""COINCIDENCIA""
),
ISNUMBER(SEARCH(UPPER(TRIM(rPatron)),UPPER(TRIM(D1819))))
)
)
),
rC"&amp;"oncepto,
""""
)
)
),
MAP(
reglas!$B$2:$B$240,
reglas!$C$2:$C$240,
reglas!$D$2:$D$240,
reglas!$E$2:$E$240,
LAMBDA(rEmisor,rPatron,rConcepto,rTipo,
IF(
AND(
OR(
UPPER(TRIM(rEmisor))=UPPER(TRIM(C1819)),
UPPER(TRIM(rEmisor))=""CUALQUIERA""
),
OR(
UPPER(TRIM(r"&amp;"Tipo))=""SOLO EMISOR"",
AND(
UPPER(TRIM(rTipo))=""EXACTA"",
UPPER(TRIM(D1819))=UPPER(TRIM(rPatron))
),
AND(
OR(
UPPER(TRIM(rTipo))=""CONTIENE"",
UPPER(TRIM(rTipo))=""COINCIDENCIA""
),
ISNUMBER(SEARCH(UPPER(TRIM(rPatron)),UPPER(TRIM(D1819))))
)
)
),
rConce"&amp;"pto,
""""
)
)
)&lt;&gt;""""
),
1
),
""""
)"),"MANIOBRAS")</f>
        <v>MANIOBRAS</v>
      </c>
      <c r="L1819" s="27"/>
      <c r="M1819" s="27"/>
      <c r="N1819" s="27"/>
      <c r="O1819" s="27"/>
      <c r="P1819" s="27"/>
      <c r="Q1819" s="27"/>
      <c r="R1819" s="27"/>
      <c r="S1819" s="27"/>
      <c r="T1819" s="27"/>
      <c r="U1819" s="27"/>
      <c r="V1819" s="27"/>
      <c r="W1819" s="27"/>
      <c r="X1819" s="27"/>
      <c r="Y1819" s="27"/>
    </row>
    <row r="1820">
      <c r="A1820" s="32"/>
      <c r="B1820" s="32"/>
      <c r="C1820" s="29" t="s">
        <v>271</v>
      </c>
      <c r="D1820" s="29" t="s">
        <v>587</v>
      </c>
      <c r="E1820" s="28">
        <v>567.51</v>
      </c>
      <c r="F1820" s="28">
        <v>0.0</v>
      </c>
      <c r="G1820" s="99" t="s">
        <v>84</v>
      </c>
      <c r="H1820" s="28">
        <f t="array" ref="H1820">INDEX(CC!C:C,MATCH(1,(CC!A:A=G1820)*(CC!B:B=I1820),0))</f>
        <v>1002</v>
      </c>
      <c r="I1820" s="99" t="s">
        <v>25</v>
      </c>
      <c r="J1820" s="31">
        <v>567.51</v>
      </c>
      <c r="K1820" s="28" t="str">
        <f>IFERROR(__xludf.DUMMYFUNCTION("IFERROR(
INDEX(
FILTER(
MAP(
reglas!$B$2:$B$240,
reglas!$C$2:$C$240,
reglas!$D$2:$D$240,
reglas!$E$2:$E$240,
LAMBDA(rEmisor,rPatron,rConcepto,rTipo,
IF(
AND(
OR(
UPPER(TRIM(rEmisor))=UPPER(TRIM(C1820)),
UPPER(TRIM(rEmisor))=""CUALQUIERA""
),
OR(
UPPER(TRI"&amp;"M(rTipo))=""SOLO EMISOR"",
AND(
UPPER(TRIM(rTipo))=""EXACTA"",
UPPER(TRIM(AG1820))=UPPER(TRIM(rPatron))
),
AND(
OR(
UPPER(TRIM(rTipo))=""CONTIENE"",
UPPER(TRIM(rTipo))=""COINCIDENCIA""
),
ISNUMBER(SEARCH(UPPER(TRIM(rPatron)),UPPER(TRIM(D1820))))
)
)
),
rC"&amp;"oncepto,
""""
)
)
),
MAP(
reglas!$B$2:$B$240,
reglas!$C$2:$C$240,
reglas!$D$2:$D$240,
reglas!$E$2:$E$240,
LAMBDA(rEmisor,rPatron,rConcepto,rTipo,
IF(
AND(
OR(
UPPER(TRIM(rEmisor))=UPPER(TRIM(C1820)),
UPPER(TRIM(rEmisor))=""CUALQUIERA""
),
OR(
UPPER(TRIM(r"&amp;"Tipo))=""SOLO EMISOR"",
AND(
UPPER(TRIM(rTipo))=""EXACTA"",
UPPER(TRIM(D1820))=UPPER(TRIM(rPatron))
),
AND(
OR(
UPPER(TRIM(rTipo))=""CONTIENE"",
UPPER(TRIM(rTipo))=""COINCIDENCIA""
),
ISNUMBER(SEARCH(UPPER(TRIM(rPatron)),UPPER(TRIM(D1820))))
)
)
),
rConce"&amp;"pto,
""""
)
)
)&lt;&gt;""""
),
1
),
""""
)"),"MANIOBRAS")</f>
        <v>MANIOBRAS</v>
      </c>
      <c r="L1820" s="27"/>
      <c r="M1820" s="27"/>
      <c r="N1820" s="27"/>
      <c r="O1820" s="27"/>
      <c r="P1820" s="27"/>
      <c r="Q1820" s="27"/>
      <c r="R1820" s="27"/>
      <c r="S1820" s="27"/>
      <c r="T1820" s="27"/>
      <c r="U1820" s="27"/>
      <c r="V1820" s="27"/>
      <c r="W1820" s="27"/>
      <c r="X1820" s="27"/>
      <c r="Y1820" s="27"/>
    </row>
    <row r="1821">
      <c r="A1821" s="32"/>
      <c r="B1821" s="32"/>
      <c r="C1821" s="29" t="s">
        <v>271</v>
      </c>
      <c r="D1821" s="29" t="s">
        <v>589</v>
      </c>
      <c r="E1821" s="28">
        <v>620.62</v>
      </c>
      <c r="F1821" s="28">
        <v>0.0</v>
      </c>
      <c r="G1821" s="99" t="s">
        <v>84</v>
      </c>
      <c r="H1821" s="28">
        <f t="array" ref="H1821">INDEX(CC!C:C,MATCH(1,(CC!A:A=G1821)*(CC!B:B=I1821),0))</f>
        <v>1002</v>
      </c>
      <c r="I1821" s="99" t="s">
        <v>25</v>
      </c>
      <c r="J1821" s="31">
        <v>620.62</v>
      </c>
      <c r="K1821" s="28" t="str">
        <f>IFERROR(__xludf.DUMMYFUNCTION("IFERROR(
INDEX(
FILTER(
MAP(
reglas!$B$2:$B$240,
reglas!$C$2:$C$240,
reglas!$D$2:$D$240,
reglas!$E$2:$E$240,
LAMBDA(rEmisor,rPatron,rConcepto,rTipo,
IF(
AND(
OR(
UPPER(TRIM(rEmisor))=UPPER(TRIM(C1821)),
UPPER(TRIM(rEmisor))=""CUALQUIERA""
),
OR(
UPPER(TRI"&amp;"M(rTipo))=""SOLO EMISOR"",
AND(
UPPER(TRIM(rTipo))=""EXACTA"",
UPPER(TRIM(AG1821))=UPPER(TRIM(rPatron))
),
AND(
OR(
UPPER(TRIM(rTipo))=""CONTIENE"",
UPPER(TRIM(rTipo))=""COINCIDENCIA""
),
ISNUMBER(SEARCH(UPPER(TRIM(rPatron)),UPPER(TRIM(D1821))))
)
)
),
rC"&amp;"oncepto,
""""
)
)
),
MAP(
reglas!$B$2:$B$240,
reglas!$C$2:$C$240,
reglas!$D$2:$D$240,
reglas!$E$2:$E$240,
LAMBDA(rEmisor,rPatron,rConcepto,rTipo,
IF(
AND(
OR(
UPPER(TRIM(rEmisor))=UPPER(TRIM(C1821)),
UPPER(TRIM(rEmisor))=""CUALQUIERA""
),
OR(
UPPER(TRIM(r"&amp;"Tipo))=""SOLO EMISOR"",
AND(
UPPER(TRIM(rTipo))=""EXACTA"",
UPPER(TRIM(D1821))=UPPER(TRIM(rPatron))
),
AND(
OR(
UPPER(TRIM(rTipo))=""CONTIENE"",
UPPER(TRIM(rTipo))=""COINCIDENCIA""
),
ISNUMBER(SEARCH(UPPER(TRIM(rPatron)),UPPER(TRIM(D1821))))
)
)
),
rConce"&amp;"pto,
""""
)
)
)&lt;&gt;""""
),
1
),
""""
)"),"MANIOBRAS")</f>
        <v>MANIOBRAS</v>
      </c>
      <c r="L1821" s="27"/>
      <c r="M1821" s="27"/>
      <c r="N1821" s="27"/>
      <c r="O1821" s="27"/>
      <c r="P1821" s="27"/>
      <c r="Q1821" s="27"/>
      <c r="R1821" s="27"/>
      <c r="S1821" s="27"/>
      <c r="T1821" s="27"/>
      <c r="U1821" s="27"/>
      <c r="V1821" s="27"/>
      <c r="W1821" s="27"/>
      <c r="X1821" s="27"/>
      <c r="Y1821" s="27"/>
    </row>
    <row r="1822">
      <c r="A1822" s="32"/>
      <c r="B1822" s="32"/>
      <c r="C1822" s="29" t="s">
        <v>271</v>
      </c>
      <c r="D1822" s="29" t="s">
        <v>596</v>
      </c>
      <c r="E1822" s="28">
        <v>651.16</v>
      </c>
      <c r="F1822" s="28">
        <v>0.0</v>
      </c>
      <c r="G1822" s="99" t="s">
        <v>84</v>
      </c>
      <c r="H1822" s="28">
        <f t="array" ref="H1822">INDEX(CC!C:C,MATCH(1,(CC!A:A=G1822)*(CC!B:B=I1822),0))</f>
        <v>1002</v>
      </c>
      <c r="I1822" s="99" t="s">
        <v>25</v>
      </c>
      <c r="J1822" s="31">
        <v>651.16</v>
      </c>
      <c r="K1822" s="28" t="str">
        <f>IFERROR(__xludf.DUMMYFUNCTION("IFERROR(
INDEX(
FILTER(
MAP(
reglas!$B$2:$B$240,
reglas!$C$2:$C$240,
reglas!$D$2:$D$240,
reglas!$E$2:$E$240,
LAMBDA(rEmisor,rPatron,rConcepto,rTipo,
IF(
AND(
OR(
UPPER(TRIM(rEmisor))=UPPER(TRIM(C1822)),
UPPER(TRIM(rEmisor))=""CUALQUIERA""
),
OR(
UPPER(TRI"&amp;"M(rTipo))=""SOLO EMISOR"",
AND(
UPPER(TRIM(rTipo))=""EXACTA"",
UPPER(TRIM(AG1822))=UPPER(TRIM(rPatron))
),
AND(
OR(
UPPER(TRIM(rTipo))=""CONTIENE"",
UPPER(TRIM(rTipo))=""COINCIDENCIA""
),
ISNUMBER(SEARCH(UPPER(TRIM(rPatron)),UPPER(TRIM(D1822))))
)
)
),
rC"&amp;"oncepto,
""""
)
)
),
MAP(
reglas!$B$2:$B$240,
reglas!$C$2:$C$240,
reglas!$D$2:$D$240,
reglas!$E$2:$E$240,
LAMBDA(rEmisor,rPatron,rConcepto,rTipo,
IF(
AND(
OR(
UPPER(TRIM(rEmisor))=UPPER(TRIM(C1822)),
UPPER(TRIM(rEmisor))=""CUALQUIERA""
),
OR(
UPPER(TRIM(r"&amp;"Tipo))=""SOLO EMISOR"",
AND(
UPPER(TRIM(rTipo))=""EXACTA"",
UPPER(TRIM(D1822))=UPPER(TRIM(rPatron))
),
AND(
OR(
UPPER(TRIM(rTipo))=""CONTIENE"",
UPPER(TRIM(rTipo))=""COINCIDENCIA""
),
ISNUMBER(SEARCH(UPPER(TRIM(rPatron)),UPPER(TRIM(D1822))))
)
)
),
rConce"&amp;"pto,
""""
)
)
)&lt;&gt;""""
),
1
),
""""
)"),"MANIOBRAS")</f>
        <v>MANIOBRAS</v>
      </c>
      <c r="L1822" s="27"/>
      <c r="M1822" s="27"/>
      <c r="N1822" s="27"/>
      <c r="O1822" s="27"/>
      <c r="P1822" s="27"/>
      <c r="Q1822" s="27"/>
      <c r="R1822" s="27"/>
      <c r="S1822" s="27"/>
      <c r="T1822" s="27"/>
      <c r="U1822" s="27"/>
      <c r="V1822" s="27"/>
      <c r="W1822" s="27"/>
      <c r="X1822" s="27"/>
      <c r="Y1822" s="27"/>
    </row>
    <row r="1823">
      <c r="A1823" s="32"/>
      <c r="B1823" s="28" t="s">
        <v>29</v>
      </c>
      <c r="C1823" s="29" t="s">
        <v>172</v>
      </c>
      <c r="D1823" s="29" t="s">
        <v>2025</v>
      </c>
      <c r="E1823" s="30">
        <v>5750.0</v>
      </c>
      <c r="F1823" s="28">
        <v>0.0</v>
      </c>
      <c r="G1823" s="99" t="s">
        <v>250</v>
      </c>
      <c r="H1823" s="28">
        <f t="array" ref="H1823">INDEX(CC!C:C,MATCH(1,(CC!A:A=G1823)*(CC!B:B=I1823),0))</f>
        <v>1402</v>
      </c>
      <c r="I1823" s="99" t="s">
        <v>25</v>
      </c>
      <c r="J1823" s="31">
        <v>5750.0</v>
      </c>
      <c r="K1823" s="28" t="str">
        <f>IFERROR(__xludf.DUMMYFUNCTION("IFERROR(
INDEX(
FILTER(
MAP(
reglas!$B$2:$B$240,
reglas!$C$2:$C$240,
reglas!$D$2:$D$240,
reglas!$E$2:$E$240,
LAMBDA(rEmisor,rPatron,rConcepto,rTipo,
IF(
AND(
OR(
UPPER(TRIM(rEmisor))=UPPER(TRIM(C1823)),
UPPER(TRIM(rEmisor))=""CUALQUIERA""
),
OR(
UPPER(TRI"&amp;"M(rTipo))=""SOLO EMISOR"",
AND(
UPPER(TRIM(rTipo))=""EXACTA"",
UPPER(TRIM(AG1823))=UPPER(TRIM(rPatron))
),
AND(
OR(
UPPER(TRIM(rTipo))=""CONTIENE"",
UPPER(TRIM(rTipo))=""COINCIDENCIA""
),
ISNUMBER(SEARCH(UPPER(TRIM(rPatron)),UPPER(TRIM(D1823))))
)
)
),
rC"&amp;"oncepto,
""""
)
)
),
MAP(
reglas!$B$2:$B$240,
reglas!$C$2:$C$240,
reglas!$D$2:$D$240,
reglas!$E$2:$E$240,
LAMBDA(rEmisor,rPatron,rConcepto,rTipo,
IF(
AND(
OR(
UPPER(TRIM(rEmisor))=UPPER(TRIM(C1823)),
UPPER(TRIM(rEmisor))=""CUALQUIERA""
),
OR(
UPPER(TRIM(r"&amp;"Tipo))=""SOLO EMISOR"",
AND(
UPPER(TRIM(rTipo))=""EXACTA"",
UPPER(TRIM(D1823))=UPPER(TRIM(rPatron))
),
AND(
OR(
UPPER(TRIM(rTipo))=""CONTIENE"",
UPPER(TRIM(rTipo))=""COINCIDENCIA""
),
ISNUMBER(SEARCH(UPPER(TRIM(rPatron)),UPPER(TRIM(D1823))))
)
)
),
rConce"&amp;"pto,
""""
)
)
)&lt;&gt;""""
),
1
),
""""
)"),"TRANSPORTE")</f>
        <v>TRANSPORTE</v>
      </c>
      <c r="L1823" s="27"/>
      <c r="M1823" s="27"/>
      <c r="N1823" s="27"/>
      <c r="O1823" s="27"/>
      <c r="P1823" s="27"/>
      <c r="Q1823" s="27"/>
      <c r="R1823" s="27"/>
      <c r="S1823" s="27"/>
      <c r="T1823" s="27"/>
      <c r="U1823" s="27"/>
      <c r="V1823" s="27"/>
      <c r="W1823" s="27"/>
      <c r="X1823" s="27"/>
      <c r="Y1823" s="27"/>
    </row>
    <row r="1824">
      <c r="A1824" s="28">
        <v>1.0</v>
      </c>
      <c r="B1824" s="28" t="s">
        <v>29</v>
      </c>
      <c r="C1824" s="29" t="s">
        <v>271</v>
      </c>
      <c r="D1824" s="29" t="s">
        <v>585</v>
      </c>
      <c r="E1824" s="28">
        <v>620.28</v>
      </c>
      <c r="F1824" s="28">
        <v>0.0</v>
      </c>
      <c r="G1824" s="99" t="s">
        <v>84</v>
      </c>
      <c r="H1824" s="28">
        <f t="array" ref="H1824">INDEX(CC!C:C,MATCH(1,(CC!A:A=G1824)*(CC!B:B=I1824),0))</f>
        <v>1002</v>
      </c>
      <c r="I1824" s="99" t="s">
        <v>25</v>
      </c>
      <c r="J1824" s="31">
        <v>620.28</v>
      </c>
      <c r="K1824" s="28" t="str">
        <f>IFERROR(__xludf.DUMMYFUNCTION("IFERROR(
INDEX(
FILTER(
MAP(
reglas!$B$2:$B$240,
reglas!$C$2:$C$240,
reglas!$D$2:$D$240,
reglas!$E$2:$E$240,
LAMBDA(rEmisor,rPatron,rConcepto,rTipo,
IF(
AND(
OR(
UPPER(TRIM(rEmisor))=UPPER(TRIM(C1824)),
UPPER(TRIM(rEmisor))=""CUALQUIERA""
),
OR(
UPPER(TRI"&amp;"M(rTipo))=""SOLO EMISOR"",
AND(
UPPER(TRIM(rTipo))=""EXACTA"",
UPPER(TRIM(AG1824))=UPPER(TRIM(rPatron))
),
AND(
OR(
UPPER(TRIM(rTipo))=""CONTIENE"",
UPPER(TRIM(rTipo))=""COINCIDENCIA""
),
ISNUMBER(SEARCH(UPPER(TRIM(rPatron)),UPPER(TRIM(D1824))))
)
)
),
rC"&amp;"oncepto,
""""
)
)
),
MAP(
reglas!$B$2:$B$240,
reglas!$C$2:$C$240,
reglas!$D$2:$D$240,
reglas!$E$2:$E$240,
LAMBDA(rEmisor,rPatron,rConcepto,rTipo,
IF(
AND(
OR(
UPPER(TRIM(rEmisor))=UPPER(TRIM(C1824)),
UPPER(TRIM(rEmisor))=""CUALQUIERA""
),
OR(
UPPER(TRIM(r"&amp;"Tipo))=""SOLO EMISOR"",
AND(
UPPER(TRIM(rTipo))=""EXACTA"",
UPPER(TRIM(D1824))=UPPER(TRIM(rPatron))
),
AND(
OR(
UPPER(TRIM(rTipo))=""CONTIENE"",
UPPER(TRIM(rTipo))=""COINCIDENCIA""
),
ISNUMBER(SEARCH(UPPER(TRIM(rPatron)),UPPER(TRIM(D1824))))
)
)
),
rConce"&amp;"pto,
""""
)
)
)&lt;&gt;""""
),
1
),
""""
)"),"MANIOBRAS")</f>
        <v>MANIOBRAS</v>
      </c>
      <c r="L1824" s="27"/>
      <c r="M1824" s="27"/>
      <c r="N1824" s="27"/>
      <c r="O1824" s="27"/>
      <c r="P1824" s="27"/>
      <c r="Q1824" s="27"/>
      <c r="R1824" s="27"/>
      <c r="S1824" s="27"/>
      <c r="T1824" s="27"/>
      <c r="U1824" s="27"/>
      <c r="V1824" s="27"/>
      <c r="W1824" s="27"/>
      <c r="X1824" s="27"/>
      <c r="Y1824" s="27"/>
    </row>
    <row r="1825">
      <c r="A1825" s="32"/>
      <c r="B1825" s="32"/>
      <c r="C1825" s="29" t="s">
        <v>271</v>
      </c>
      <c r="D1825" s="29" t="s">
        <v>587</v>
      </c>
      <c r="E1825" s="28">
        <v>567.51</v>
      </c>
      <c r="F1825" s="28">
        <v>0.0</v>
      </c>
      <c r="G1825" s="99" t="s">
        <v>84</v>
      </c>
      <c r="H1825" s="28">
        <f t="array" ref="H1825">INDEX(CC!C:C,MATCH(1,(CC!A:A=G1825)*(CC!B:B=I1825),0))</f>
        <v>1002</v>
      </c>
      <c r="I1825" s="99" t="s">
        <v>25</v>
      </c>
      <c r="J1825" s="31">
        <v>567.51</v>
      </c>
      <c r="K1825" s="28" t="str">
        <f>IFERROR(__xludf.DUMMYFUNCTION("IFERROR(
INDEX(
FILTER(
MAP(
reglas!$B$2:$B$240,
reglas!$C$2:$C$240,
reglas!$D$2:$D$240,
reglas!$E$2:$E$240,
LAMBDA(rEmisor,rPatron,rConcepto,rTipo,
IF(
AND(
OR(
UPPER(TRIM(rEmisor))=UPPER(TRIM(C1825)),
UPPER(TRIM(rEmisor))=""CUALQUIERA""
),
OR(
UPPER(TRI"&amp;"M(rTipo))=""SOLO EMISOR"",
AND(
UPPER(TRIM(rTipo))=""EXACTA"",
UPPER(TRIM(AG1825))=UPPER(TRIM(rPatron))
),
AND(
OR(
UPPER(TRIM(rTipo))=""CONTIENE"",
UPPER(TRIM(rTipo))=""COINCIDENCIA""
),
ISNUMBER(SEARCH(UPPER(TRIM(rPatron)),UPPER(TRIM(D1825))))
)
)
),
rC"&amp;"oncepto,
""""
)
)
),
MAP(
reglas!$B$2:$B$240,
reglas!$C$2:$C$240,
reglas!$D$2:$D$240,
reglas!$E$2:$E$240,
LAMBDA(rEmisor,rPatron,rConcepto,rTipo,
IF(
AND(
OR(
UPPER(TRIM(rEmisor))=UPPER(TRIM(C1825)),
UPPER(TRIM(rEmisor))=""CUALQUIERA""
),
OR(
UPPER(TRIM(r"&amp;"Tipo))=""SOLO EMISOR"",
AND(
UPPER(TRIM(rTipo))=""EXACTA"",
UPPER(TRIM(D1825))=UPPER(TRIM(rPatron))
),
AND(
OR(
UPPER(TRIM(rTipo))=""CONTIENE"",
UPPER(TRIM(rTipo))=""COINCIDENCIA""
),
ISNUMBER(SEARCH(UPPER(TRIM(rPatron)),UPPER(TRIM(D1825))))
)
)
),
rConce"&amp;"pto,
""""
)
)
)&lt;&gt;""""
),
1
),
""""
)"),"MANIOBRAS")</f>
        <v>MANIOBRAS</v>
      </c>
      <c r="L1825" s="27"/>
      <c r="M1825" s="27"/>
      <c r="N1825" s="27"/>
      <c r="O1825" s="27"/>
      <c r="P1825" s="27"/>
      <c r="Q1825" s="27"/>
      <c r="R1825" s="27"/>
      <c r="S1825" s="27"/>
      <c r="T1825" s="27"/>
      <c r="U1825" s="27"/>
      <c r="V1825" s="27"/>
      <c r="W1825" s="27"/>
      <c r="X1825" s="27"/>
      <c r="Y1825" s="27"/>
    </row>
    <row r="1826">
      <c r="A1826" s="32"/>
      <c r="B1826" s="32"/>
      <c r="C1826" s="29" t="s">
        <v>271</v>
      </c>
      <c r="D1826" s="29" t="s">
        <v>586</v>
      </c>
      <c r="E1826" s="30">
        <v>1488.26</v>
      </c>
      <c r="F1826" s="28">
        <v>0.0</v>
      </c>
      <c r="G1826" s="99" t="s">
        <v>84</v>
      </c>
      <c r="H1826" s="28">
        <f t="array" ref="H1826">INDEX(CC!C:C,MATCH(1,(CC!A:A=G1826)*(CC!B:B=I1826),0))</f>
        <v>1002</v>
      </c>
      <c r="I1826" s="99" t="s">
        <v>25</v>
      </c>
      <c r="J1826" s="31">
        <v>1488.26</v>
      </c>
      <c r="K1826" s="28" t="str">
        <f>IFERROR(__xludf.DUMMYFUNCTION("IFERROR(
INDEX(
FILTER(
MAP(
reglas!$B$2:$B$240,
reglas!$C$2:$C$240,
reglas!$D$2:$D$240,
reglas!$E$2:$E$240,
LAMBDA(rEmisor,rPatron,rConcepto,rTipo,
IF(
AND(
OR(
UPPER(TRIM(rEmisor))=UPPER(TRIM(C1826)),
UPPER(TRIM(rEmisor))=""CUALQUIERA""
),
OR(
UPPER(TRI"&amp;"M(rTipo))=""SOLO EMISOR"",
AND(
UPPER(TRIM(rTipo))=""EXACTA"",
UPPER(TRIM(AG1826))=UPPER(TRIM(rPatron))
),
AND(
OR(
UPPER(TRIM(rTipo))=""CONTIENE"",
UPPER(TRIM(rTipo))=""COINCIDENCIA""
),
ISNUMBER(SEARCH(UPPER(TRIM(rPatron)),UPPER(TRIM(D1826))))
)
)
),
rC"&amp;"oncepto,
""""
)
)
),
MAP(
reglas!$B$2:$B$240,
reglas!$C$2:$C$240,
reglas!$D$2:$D$240,
reglas!$E$2:$E$240,
LAMBDA(rEmisor,rPatron,rConcepto,rTipo,
IF(
AND(
OR(
UPPER(TRIM(rEmisor))=UPPER(TRIM(C1826)),
UPPER(TRIM(rEmisor))=""CUALQUIERA""
),
OR(
UPPER(TRIM(r"&amp;"Tipo))=""SOLO EMISOR"",
AND(
UPPER(TRIM(rTipo))=""EXACTA"",
UPPER(TRIM(D1826))=UPPER(TRIM(rPatron))
),
AND(
OR(
UPPER(TRIM(rTipo))=""CONTIENE"",
UPPER(TRIM(rTipo))=""COINCIDENCIA""
),
ISNUMBER(SEARCH(UPPER(TRIM(rPatron)),UPPER(TRIM(D1826))))
)
)
),
rConce"&amp;"pto,
""""
)
)
)&lt;&gt;""""
),
1
),
""""
)"),"MANIOBRAS")</f>
        <v>MANIOBRAS</v>
      </c>
      <c r="L1826" s="27"/>
      <c r="M1826" s="27"/>
      <c r="N1826" s="27"/>
      <c r="O1826" s="27"/>
      <c r="P1826" s="27"/>
      <c r="Q1826" s="27"/>
      <c r="R1826" s="27"/>
      <c r="S1826" s="27"/>
      <c r="T1826" s="27"/>
      <c r="U1826" s="27"/>
      <c r="V1826" s="27"/>
      <c r="W1826" s="27"/>
      <c r="X1826" s="27"/>
      <c r="Y1826" s="27"/>
    </row>
    <row r="1827">
      <c r="A1827" s="32"/>
      <c r="B1827" s="32"/>
      <c r="C1827" s="29" t="s">
        <v>271</v>
      </c>
      <c r="D1827" s="29" t="s">
        <v>589</v>
      </c>
      <c r="E1827" s="28">
        <v>837.1</v>
      </c>
      <c r="F1827" s="28">
        <v>0.0</v>
      </c>
      <c r="G1827" s="99" t="s">
        <v>84</v>
      </c>
      <c r="H1827" s="28">
        <f t="array" ref="H1827">INDEX(CC!C:C,MATCH(1,(CC!A:A=G1827)*(CC!B:B=I1827),0))</f>
        <v>1002</v>
      </c>
      <c r="I1827" s="99" t="s">
        <v>25</v>
      </c>
      <c r="J1827" s="31">
        <v>837.1</v>
      </c>
      <c r="K1827" s="28" t="str">
        <f>IFERROR(__xludf.DUMMYFUNCTION("IFERROR(
INDEX(
FILTER(
MAP(
reglas!$B$2:$B$240,
reglas!$C$2:$C$240,
reglas!$D$2:$D$240,
reglas!$E$2:$E$240,
LAMBDA(rEmisor,rPatron,rConcepto,rTipo,
IF(
AND(
OR(
UPPER(TRIM(rEmisor))=UPPER(TRIM(C1827)),
UPPER(TRIM(rEmisor))=""CUALQUIERA""
),
OR(
UPPER(TRI"&amp;"M(rTipo))=""SOLO EMISOR"",
AND(
UPPER(TRIM(rTipo))=""EXACTA"",
UPPER(TRIM(AG1827))=UPPER(TRIM(rPatron))
),
AND(
OR(
UPPER(TRIM(rTipo))=""CONTIENE"",
UPPER(TRIM(rTipo))=""COINCIDENCIA""
),
ISNUMBER(SEARCH(UPPER(TRIM(rPatron)),UPPER(TRIM(D1827))))
)
)
),
rC"&amp;"oncepto,
""""
)
)
),
MAP(
reglas!$B$2:$B$240,
reglas!$C$2:$C$240,
reglas!$D$2:$D$240,
reglas!$E$2:$E$240,
LAMBDA(rEmisor,rPatron,rConcepto,rTipo,
IF(
AND(
OR(
UPPER(TRIM(rEmisor))=UPPER(TRIM(C1827)),
UPPER(TRIM(rEmisor))=""CUALQUIERA""
),
OR(
UPPER(TRIM(r"&amp;"Tipo))=""SOLO EMISOR"",
AND(
UPPER(TRIM(rTipo))=""EXACTA"",
UPPER(TRIM(D1827))=UPPER(TRIM(rPatron))
),
AND(
OR(
UPPER(TRIM(rTipo))=""CONTIENE"",
UPPER(TRIM(rTipo))=""COINCIDENCIA""
),
ISNUMBER(SEARCH(UPPER(TRIM(rPatron)),UPPER(TRIM(D1827))))
)
)
),
rConce"&amp;"pto,
""""
)
)
)&lt;&gt;""""
),
1
),
""""
)"),"MANIOBRAS")</f>
        <v>MANIOBRAS</v>
      </c>
      <c r="L1827" s="27"/>
      <c r="M1827" s="27"/>
      <c r="N1827" s="27"/>
      <c r="O1827" s="27"/>
      <c r="P1827" s="27"/>
      <c r="Q1827" s="27"/>
      <c r="R1827" s="27"/>
      <c r="S1827" s="27"/>
      <c r="T1827" s="27"/>
      <c r="U1827" s="27"/>
      <c r="V1827" s="27"/>
      <c r="W1827" s="27"/>
      <c r="X1827" s="27"/>
      <c r="Y1827" s="27"/>
    </row>
    <row r="1828">
      <c r="A1828" s="32"/>
      <c r="B1828" s="32"/>
      <c r="C1828" s="29" t="s">
        <v>271</v>
      </c>
      <c r="D1828" s="29" t="s">
        <v>593</v>
      </c>
      <c r="E1828" s="28">
        <v>405.32</v>
      </c>
      <c r="F1828" s="28">
        <v>0.0</v>
      </c>
      <c r="G1828" s="99" t="s">
        <v>84</v>
      </c>
      <c r="H1828" s="28">
        <f t="array" ref="H1828">INDEX(CC!C:C,MATCH(1,(CC!A:A=G1828)*(CC!B:B=I1828),0))</f>
        <v>1002</v>
      </c>
      <c r="I1828" s="99" t="s">
        <v>25</v>
      </c>
      <c r="J1828" s="31">
        <v>405.32</v>
      </c>
      <c r="K1828" s="28" t="str">
        <f>IFERROR(__xludf.DUMMYFUNCTION("IFERROR(
INDEX(
FILTER(
MAP(
reglas!$B$2:$B$240,
reglas!$C$2:$C$240,
reglas!$D$2:$D$240,
reglas!$E$2:$E$240,
LAMBDA(rEmisor,rPatron,rConcepto,rTipo,
IF(
AND(
OR(
UPPER(TRIM(rEmisor))=UPPER(TRIM(C1828)),
UPPER(TRIM(rEmisor))=""CUALQUIERA""
),
OR(
UPPER(TRI"&amp;"M(rTipo))=""SOLO EMISOR"",
AND(
UPPER(TRIM(rTipo))=""EXACTA"",
UPPER(TRIM(AG1828))=UPPER(TRIM(rPatron))
),
AND(
OR(
UPPER(TRIM(rTipo))=""CONTIENE"",
UPPER(TRIM(rTipo))=""COINCIDENCIA""
),
ISNUMBER(SEARCH(UPPER(TRIM(rPatron)),UPPER(TRIM(D1828))))
)
)
),
rC"&amp;"oncepto,
""""
)
)
),
MAP(
reglas!$B$2:$B$240,
reglas!$C$2:$C$240,
reglas!$D$2:$D$240,
reglas!$E$2:$E$240,
LAMBDA(rEmisor,rPatron,rConcepto,rTipo,
IF(
AND(
OR(
UPPER(TRIM(rEmisor))=UPPER(TRIM(C1828)),
UPPER(TRIM(rEmisor))=""CUALQUIERA""
),
OR(
UPPER(TRIM(r"&amp;"Tipo))=""SOLO EMISOR"",
AND(
UPPER(TRIM(rTipo))=""EXACTA"",
UPPER(TRIM(D1828))=UPPER(TRIM(rPatron))
),
AND(
OR(
UPPER(TRIM(rTipo))=""CONTIENE"",
UPPER(TRIM(rTipo))=""COINCIDENCIA""
),
ISNUMBER(SEARCH(UPPER(TRIM(rPatron)),UPPER(TRIM(D1828))))
)
)
),
rConce"&amp;"pto,
""""
)
)
)&lt;&gt;""""
),
1
),
""""
)"),"MANIOBRAS")</f>
        <v>MANIOBRAS</v>
      </c>
      <c r="L1828" s="27"/>
      <c r="M1828" s="27"/>
      <c r="N1828" s="27"/>
      <c r="O1828" s="27"/>
      <c r="P1828" s="27"/>
      <c r="Q1828" s="27"/>
      <c r="R1828" s="27"/>
      <c r="S1828" s="27"/>
      <c r="T1828" s="27"/>
      <c r="U1828" s="27"/>
      <c r="V1828" s="27"/>
      <c r="W1828" s="27"/>
      <c r="X1828" s="27"/>
      <c r="Y1828" s="27"/>
    </row>
    <row r="1829">
      <c r="A1829" s="32"/>
      <c r="B1829" s="32"/>
      <c r="C1829" s="29" t="s">
        <v>271</v>
      </c>
      <c r="D1829" s="29" t="s">
        <v>596</v>
      </c>
      <c r="E1829" s="28">
        <v>651.16</v>
      </c>
      <c r="F1829" s="28">
        <v>0.0</v>
      </c>
      <c r="G1829" s="99" t="s">
        <v>84</v>
      </c>
      <c r="H1829" s="28">
        <f t="array" ref="H1829">INDEX(CC!C:C,MATCH(1,(CC!A:A=G1829)*(CC!B:B=I1829),0))</f>
        <v>1002</v>
      </c>
      <c r="I1829" s="99" t="s">
        <v>25</v>
      </c>
      <c r="J1829" s="31">
        <v>651.16</v>
      </c>
      <c r="K1829" s="28" t="str">
        <f>IFERROR(__xludf.DUMMYFUNCTION("IFERROR(
INDEX(
FILTER(
MAP(
reglas!$B$2:$B$240,
reglas!$C$2:$C$240,
reglas!$D$2:$D$240,
reglas!$E$2:$E$240,
LAMBDA(rEmisor,rPatron,rConcepto,rTipo,
IF(
AND(
OR(
UPPER(TRIM(rEmisor))=UPPER(TRIM(C1829)),
UPPER(TRIM(rEmisor))=""CUALQUIERA""
),
OR(
UPPER(TRI"&amp;"M(rTipo))=""SOLO EMISOR"",
AND(
UPPER(TRIM(rTipo))=""EXACTA"",
UPPER(TRIM(AG1829))=UPPER(TRIM(rPatron))
),
AND(
OR(
UPPER(TRIM(rTipo))=""CONTIENE"",
UPPER(TRIM(rTipo))=""COINCIDENCIA""
),
ISNUMBER(SEARCH(UPPER(TRIM(rPatron)),UPPER(TRIM(D1829))))
)
)
),
rC"&amp;"oncepto,
""""
)
)
),
MAP(
reglas!$B$2:$B$240,
reglas!$C$2:$C$240,
reglas!$D$2:$D$240,
reglas!$E$2:$E$240,
LAMBDA(rEmisor,rPatron,rConcepto,rTipo,
IF(
AND(
OR(
UPPER(TRIM(rEmisor))=UPPER(TRIM(C1829)),
UPPER(TRIM(rEmisor))=""CUALQUIERA""
),
OR(
UPPER(TRIM(r"&amp;"Tipo))=""SOLO EMISOR"",
AND(
UPPER(TRIM(rTipo))=""EXACTA"",
UPPER(TRIM(D1829))=UPPER(TRIM(rPatron))
),
AND(
OR(
UPPER(TRIM(rTipo))=""CONTIENE"",
UPPER(TRIM(rTipo))=""COINCIDENCIA""
),
ISNUMBER(SEARCH(UPPER(TRIM(rPatron)),UPPER(TRIM(D1829))))
)
)
),
rConce"&amp;"pto,
""""
)
)
)&lt;&gt;""""
),
1
),
""""
)"),"MANIOBRAS")</f>
        <v>MANIOBRAS</v>
      </c>
      <c r="L1829" s="27"/>
      <c r="M1829" s="27"/>
      <c r="N1829" s="27"/>
      <c r="O1829" s="27"/>
      <c r="P1829" s="27"/>
      <c r="Q1829" s="27"/>
      <c r="R1829" s="27"/>
      <c r="S1829" s="27"/>
      <c r="T1829" s="27"/>
      <c r="U1829" s="27"/>
      <c r="V1829" s="27"/>
      <c r="W1829" s="27"/>
      <c r="X1829" s="27"/>
      <c r="Y1829" s="27"/>
    </row>
    <row r="1830">
      <c r="A1830" s="32"/>
      <c r="B1830" s="28" t="s">
        <v>29</v>
      </c>
      <c r="C1830" s="29" t="s">
        <v>172</v>
      </c>
      <c r="D1830" s="29" t="s">
        <v>1967</v>
      </c>
      <c r="E1830" s="30">
        <v>11500.0</v>
      </c>
      <c r="F1830" s="28">
        <v>0.0</v>
      </c>
      <c r="G1830" s="99" t="s">
        <v>250</v>
      </c>
      <c r="H1830" s="28">
        <f t="array" ref="H1830">INDEX(CC!C:C,MATCH(1,(CC!A:A=G1830)*(CC!B:B=I1830),0))</f>
        <v>1402</v>
      </c>
      <c r="I1830" s="99" t="s">
        <v>25</v>
      </c>
      <c r="J1830" s="31">
        <v>11500.0</v>
      </c>
      <c r="K1830" s="28" t="str">
        <f>IFERROR(__xludf.DUMMYFUNCTION("IFERROR(
INDEX(
FILTER(
MAP(
reglas!$B$2:$B$240,
reglas!$C$2:$C$240,
reglas!$D$2:$D$240,
reglas!$E$2:$E$240,
LAMBDA(rEmisor,rPatron,rConcepto,rTipo,
IF(
AND(
OR(
UPPER(TRIM(rEmisor))=UPPER(TRIM(C1830)),
UPPER(TRIM(rEmisor))=""CUALQUIERA""
),
OR(
UPPER(TRI"&amp;"M(rTipo))=""SOLO EMISOR"",
AND(
UPPER(TRIM(rTipo))=""EXACTA"",
UPPER(TRIM(AG1830))=UPPER(TRIM(rPatron))
),
AND(
OR(
UPPER(TRIM(rTipo))=""CONTIENE"",
UPPER(TRIM(rTipo))=""COINCIDENCIA""
),
ISNUMBER(SEARCH(UPPER(TRIM(rPatron)),UPPER(TRIM(D1830))))
)
)
),
rC"&amp;"oncepto,
""""
)
)
),
MAP(
reglas!$B$2:$B$240,
reglas!$C$2:$C$240,
reglas!$D$2:$D$240,
reglas!$E$2:$E$240,
LAMBDA(rEmisor,rPatron,rConcepto,rTipo,
IF(
AND(
OR(
UPPER(TRIM(rEmisor))=UPPER(TRIM(C1830)),
UPPER(TRIM(rEmisor))=""CUALQUIERA""
),
OR(
UPPER(TRIM(r"&amp;"Tipo))=""SOLO EMISOR"",
AND(
UPPER(TRIM(rTipo))=""EXACTA"",
UPPER(TRIM(D1830))=UPPER(TRIM(rPatron))
),
AND(
OR(
UPPER(TRIM(rTipo))=""CONTIENE"",
UPPER(TRIM(rTipo))=""COINCIDENCIA""
),
ISNUMBER(SEARCH(UPPER(TRIM(rPatron)),UPPER(TRIM(D1830))))
)
)
),
rConce"&amp;"pto,
""""
)
)
)&lt;&gt;""""
),
1
),
""""
)"),"TRANSPORTE")</f>
        <v>TRANSPORTE</v>
      </c>
      <c r="L1830" s="27"/>
      <c r="M1830" s="27"/>
      <c r="N1830" s="27"/>
      <c r="O1830" s="27"/>
      <c r="P1830" s="27"/>
      <c r="Q1830" s="27"/>
      <c r="R1830" s="27"/>
      <c r="S1830" s="27"/>
      <c r="T1830" s="27"/>
      <c r="U1830" s="27"/>
      <c r="V1830" s="27"/>
      <c r="W1830" s="27"/>
      <c r="X1830" s="27"/>
      <c r="Y1830" s="27"/>
    </row>
    <row r="1831">
      <c r="A1831" s="28">
        <v>1.0</v>
      </c>
      <c r="B1831" s="28" t="s">
        <v>29</v>
      </c>
      <c r="C1831" s="29" t="s">
        <v>271</v>
      </c>
      <c r="D1831" s="29" t="s">
        <v>585</v>
      </c>
      <c r="E1831" s="28">
        <v>620.28</v>
      </c>
      <c r="F1831" s="28">
        <v>0.0</v>
      </c>
      <c r="G1831" s="99" t="s">
        <v>84</v>
      </c>
      <c r="H1831" s="28">
        <f t="array" ref="H1831">INDEX(CC!C:C,MATCH(1,(CC!A:A=G1831)*(CC!B:B=I1831),0))</f>
        <v>1002</v>
      </c>
      <c r="I1831" s="99" t="s">
        <v>25</v>
      </c>
      <c r="J1831" s="31">
        <v>620.28</v>
      </c>
      <c r="K1831" s="28" t="str">
        <f>IFERROR(__xludf.DUMMYFUNCTION("IFERROR(
INDEX(
FILTER(
MAP(
reglas!$B$2:$B$240,
reglas!$C$2:$C$240,
reglas!$D$2:$D$240,
reglas!$E$2:$E$240,
LAMBDA(rEmisor,rPatron,rConcepto,rTipo,
IF(
AND(
OR(
UPPER(TRIM(rEmisor))=UPPER(TRIM(C1831)),
UPPER(TRIM(rEmisor))=""CUALQUIERA""
),
OR(
UPPER(TRI"&amp;"M(rTipo))=""SOLO EMISOR"",
AND(
UPPER(TRIM(rTipo))=""EXACTA"",
UPPER(TRIM(AG1831))=UPPER(TRIM(rPatron))
),
AND(
OR(
UPPER(TRIM(rTipo))=""CONTIENE"",
UPPER(TRIM(rTipo))=""COINCIDENCIA""
),
ISNUMBER(SEARCH(UPPER(TRIM(rPatron)),UPPER(TRIM(D1831))))
)
)
),
rC"&amp;"oncepto,
""""
)
)
),
MAP(
reglas!$B$2:$B$240,
reglas!$C$2:$C$240,
reglas!$D$2:$D$240,
reglas!$E$2:$E$240,
LAMBDA(rEmisor,rPatron,rConcepto,rTipo,
IF(
AND(
OR(
UPPER(TRIM(rEmisor))=UPPER(TRIM(C1831)),
UPPER(TRIM(rEmisor))=""CUALQUIERA""
),
OR(
UPPER(TRIM(r"&amp;"Tipo))=""SOLO EMISOR"",
AND(
UPPER(TRIM(rTipo))=""EXACTA"",
UPPER(TRIM(D1831))=UPPER(TRIM(rPatron))
),
AND(
OR(
UPPER(TRIM(rTipo))=""CONTIENE"",
UPPER(TRIM(rTipo))=""COINCIDENCIA""
),
ISNUMBER(SEARCH(UPPER(TRIM(rPatron)),UPPER(TRIM(D1831))))
)
)
),
rConce"&amp;"pto,
""""
)
)
)&lt;&gt;""""
),
1
),
""""
)"),"MANIOBRAS")</f>
        <v>MANIOBRAS</v>
      </c>
      <c r="L1831" s="27"/>
      <c r="M1831" s="27"/>
      <c r="N1831" s="27"/>
      <c r="O1831" s="27"/>
      <c r="P1831" s="27"/>
      <c r="Q1831" s="27"/>
      <c r="R1831" s="27"/>
      <c r="S1831" s="27"/>
      <c r="T1831" s="27"/>
      <c r="U1831" s="27"/>
      <c r="V1831" s="27"/>
      <c r="W1831" s="27"/>
      <c r="X1831" s="27"/>
      <c r="Y1831" s="27"/>
    </row>
    <row r="1832">
      <c r="A1832" s="32"/>
      <c r="B1832" s="32"/>
      <c r="C1832" s="29" t="s">
        <v>271</v>
      </c>
      <c r="D1832" s="29" t="s">
        <v>587</v>
      </c>
      <c r="E1832" s="28">
        <v>567.51</v>
      </c>
      <c r="F1832" s="28">
        <v>0.0</v>
      </c>
      <c r="G1832" s="99" t="s">
        <v>84</v>
      </c>
      <c r="H1832" s="28">
        <f t="array" ref="H1832">INDEX(CC!C:C,MATCH(1,(CC!A:A=G1832)*(CC!B:B=I1832),0))</f>
        <v>1002</v>
      </c>
      <c r="I1832" s="99" t="s">
        <v>25</v>
      </c>
      <c r="J1832" s="31">
        <v>567.51</v>
      </c>
      <c r="K1832" s="28" t="str">
        <f>IFERROR(__xludf.DUMMYFUNCTION("IFERROR(
INDEX(
FILTER(
MAP(
reglas!$B$2:$B$240,
reglas!$C$2:$C$240,
reglas!$D$2:$D$240,
reglas!$E$2:$E$240,
LAMBDA(rEmisor,rPatron,rConcepto,rTipo,
IF(
AND(
OR(
UPPER(TRIM(rEmisor))=UPPER(TRIM(C1832)),
UPPER(TRIM(rEmisor))=""CUALQUIERA""
),
OR(
UPPER(TRI"&amp;"M(rTipo))=""SOLO EMISOR"",
AND(
UPPER(TRIM(rTipo))=""EXACTA"",
UPPER(TRIM(AG1832))=UPPER(TRIM(rPatron))
),
AND(
OR(
UPPER(TRIM(rTipo))=""CONTIENE"",
UPPER(TRIM(rTipo))=""COINCIDENCIA""
),
ISNUMBER(SEARCH(UPPER(TRIM(rPatron)),UPPER(TRIM(D1832))))
)
)
),
rC"&amp;"oncepto,
""""
)
)
),
MAP(
reglas!$B$2:$B$240,
reglas!$C$2:$C$240,
reglas!$D$2:$D$240,
reglas!$E$2:$E$240,
LAMBDA(rEmisor,rPatron,rConcepto,rTipo,
IF(
AND(
OR(
UPPER(TRIM(rEmisor))=UPPER(TRIM(C1832)),
UPPER(TRIM(rEmisor))=""CUALQUIERA""
),
OR(
UPPER(TRIM(r"&amp;"Tipo))=""SOLO EMISOR"",
AND(
UPPER(TRIM(rTipo))=""EXACTA"",
UPPER(TRIM(D1832))=UPPER(TRIM(rPatron))
),
AND(
OR(
UPPER(TRIM(rTipo))=""CONTIENE"",
UPPER(TRIM(rTipo))=""COINCIDENCIA""
),
ISNUMBER(SEARCH(UPPER(TRIM(rPatron)),UPPER(TRIM(D1832))))
)
)
),
rConce"&amp;"pto,
""""
)
)
)&lt;&gt;""""
),
1
),
""""
)"),"MANIOBRAS")</f>
        <v>MANIOBRAS</v>
      </c>
      <c r="L1832" s="27"/>
      <c r="M1832" s="27"/>
      <c r="N1832" s="27"/>
      <c r="O1832" s="27"/>
      <c r="P1832" s="27"/>
      <c r="Q1832" s="27"/>
      <c r="R1832" s="27"/>
      <c r="S1832" s="27"/>
      <c r="T1832" s="27"/>
      <c r="U1832" s="27"/>
      <c r="V1832" s="27"/>
      <c r="W1832" s="27"/>
      <c r="X1832" s="27"/>
      <c r="Y1832" s="27"/>
    </row>
    <row r="1833">
      <c r="A1833" s="32"/>
      <c r="B1833" s="32"/>
      <c r="C1833" s="29" t="s">
        <v>271</v>
      </c>
      <c r="D1833" s="29" t="s">
        <v>586</v>
      </c>
      <c r="E1833" s="28">
        <v>620.62</v>
      </c>
      <c r="F1833" s="28">
        <v>0.0</v>
      </c>
      <c r="G1833" s="99" t="s">
        <v>84</v>
      </c>
      <c r="H1833" s="28">
        <f t="array" ref="H1833">INDEX(CC!C:C,MATCH(1,(CC!A:A=G1833)*(CC!B:B=I1833),0))</f>
        <v>1002</v>
      </c>
      <c r="I1833" s="99" t="s">
        <v>25</v>
      </c>
      <c r="J1833" s="31">
        <v>620.62</v>
      </c>
      <c r="K1833" s="28" t="str">
        <f>IFERROR(__xludf.DUMMYFUNCTION("IFERROR(
INDEX(
FILTER(
MAP(
reglas!$B$2:$B$240,
reglas!$C$2:$C$240,
reglas!$D$2:$D$240,
reglas!$E$2:$E$240,
LAMBDA(rEmisor,rPatron,rConcepto,rTipo,
IF(
AND(
OR(
UPPER(TRIM(rEmisor))=UPPER(TRIM(C1833)),
UPPER(TRIM(rEmisor))=""CUALQUIERA""
),
OR(
UPPER(TRI"&amp;"M(rTipo))=""SOLO EMISOR"",
AND(
UPPER(TRIM(rTipo))=""EXACTA"",
UPPER(TRIM(AG1833))=UPPER(TRIM(rPatron))
),
AND(
OR(
UPPER(TRIM(rTipo))=""CONTIENE"",
UPPER(TRIM(rTipo))=""COINCIDENCIA""
),
ISNUMBER(SEARCH(UPPER(TRIM(rPatron)),UPPER(TRIM(D1833))))
)
)
),
rC"&amp;"oncepto,
""""
)
)
),
MAP(
reglas!$B$2:$B$240,
reglas!$C$2:$C$240,
reglas!$D$2:$D$240,
reglas!$E$2:$E$240,
LAMBDA(rEmisor,rPatron,rConcepto,rTipo,
IF(
AND(
OR(
UPPER(TRIM(rEmisor))=UPPER(TRIM(C1833)),
UPPER(TRIM(rEmisor))=""CUALQUIERA""
),
OR(
UPPER(TRIM(r"&amp;"Tipo))=""SOLO EMISOR"",
AND(
UPPER(TRIM(rTipo))=""EXACTA"",
UPPER(TRIM(D1833))=UPPER(TRIM(rPatron))
),
AND(
OR(
UPPER(TRIM(rTipo))=""CONTIENE"",
UPPER(TRIM(rTipo))=""COINCIDENCIA""
),
ISNUMBER(SEARCH(UPPER(TRIM(rPatron)),UPPER(TRIM(D1833))))
)
)
),
rConce"&amp;"pto,
""""
)
)
)&lt;&gt;""""
),
1
),
""""
)"),"MANIOBRAS")</f>
        <v>MANIOBRAS</v>
      </c>
      <c r="L1833" s="27"/>
      <c r="M1833" s="27"/>
      <c r="N1833" s="27"/>
      <c r="O1833" s="27"/>
      <c r="P1833" s="27"/>
      <c r="Q1833" s="27"/>
      <c r="R1833" s="27"/>
      <c r="S1833" s="27"/>
      <c r="T1833" s="27"/>
      <c r="U1833" s="27"/>
      <c r="V1833" s="27"/>
      <c r="W1833" s="27"/>
      <c r="X1833" s="27"/>
      <c r="Y1833" s="27"/>
    </row>
    <row r="1834">
      <c r="A1834" s="32"/>
      <c r="B1834" s="32"/>
      <c r="C1834" s="29" t="s">
        <v>271</v>
      </c>
      <c r="D1834" s="29" t="s">
        <v>589</v>
      </c>
      <c r="E1834" s="28">
        <v>620.62</v>
      </c>
      <c r="F1834" s="28">
        <v>0.0</v>
      </c>
      <c r="G1834" s="99" t="s">
        <v>84</v>
      </c>
      <c r="H1834" s="28">
        <f t="array" ref="H1834">INDEX(CC!C:C,MATCH(1,(CC!A:A=G1834)*(CC!B:B=I1834),0))</f>
        <v>1002</v>
      </c>
      <c r="I1834" s="99" t="s">
        <v>25</v>
      </c>
      <c r="J1834" s="31">
        <v>620.62</v>
      </c>
      <c r="K1834" s="28" t="str">
        <f>IFERROR(__xludf.DUMMYFUNCTION("IFERROR(
INDEX(
FILTER(
MAP(
reglas!$B$2:$B$240,
reglas!$C$2:$C$240,
reglas!$D$2:$D$240,
reglas!$E$2:$E$240,
LAMBDA(rEmisor,rPatron,rConcepto,rTipo,
IF(
AND(
OR(
UPPER(TRIM(rEmisor))=UPPER(TRIM(C1834)),
UPPER(TRIM(rEmisor))=""CUALQUIERA""
),
OR(
UPPER(TRI"&amp;"M(rTipo))=""SOLO EMISOR"",
AND(
UPPER(TRIM(rTipo))=""EXACTA"",
UPPER(TRIM(AG1834))=UPPER(TRIM(rPatron))
),
AND(
OR(
UPPER(TRIM(rTipo))=""CONTIENE"",
UPPER(TRIM(rTipo))=""COINCIDENCIA""
),
ISNUMBER(SEARCH(UPPER(TRIM(rPatron)),UPPER(TRIM(D1834))))
)
)
),
rC"&amp;"oncepto,
""""
)
)
),
MAP(
reglas!$B$2:$B$240,
reglas!$C$2:$C$240,
reglas!$D$2:$D$240,
reglas!$E$2:$E$240,
LAMBDA(rEmisor,rPatron,rConcepto,rTipo,
IF(
AND(
OR(
UPPER(TRIM(rEmisor))=UPPER(TRIM(C1834)),
UPPER(TRIM(rEmisor))=""CUALQUIERA""
),
OR(
UPPER(TRIM(r"&amp;"Tipo))=""SOLO EMISOR"",
AND(
UPPER(TRIM(rTipo))=""EXACTA"",
UPPER(TRIM(D1834))=UPPER(TRIM(rPatron))
),
AND(
OR(
UPPER(TRIM(rTipo))=""CONTIENE"",
UPPER(TRIM(rTipo))=""COINCIDENCIA""
),
ISNUMBER(SEARCH(UPPER(TRIM(rPatron)),UPPER(TRIM(D1834))))
)
)
),
rConce"&amp;"pto,
""""
)
)
)&lt;&gt;""""
),
1
),
""""
)"),"MANIOBRAS")</f>
        <v>MANIOBRAS</v>
      </c>
      <c r="L1834" s="27"/>
      <c r="M1834" s="27"/>
      <c r="N1834" s="27"/>
      <c r="O1834" s="27"/>
      <c r="P1834" s="27"/>
      <c r="Q1834" s="27"/>
      <c r="R1834" s="27"/>
      <c r="S1834" s="27"/>
      <c r="T1834" s="27"/>
      <c r="U1834" s="27"/>
      <c r="V1834" s="27"/>
      <c r="W1834" s="27"/>
      <c r="X1834" s="27"/>
      <c r="Y1834" s="27"/>
    </row>
    <row r="1835">
      <c r="A1835" s="32"/>
      <c r="B1835" s="32"/>
      <c r="C1835" s="29" t="s">
        <v>271</v>
      </c>
      <c r="D1835" s="29" t="s">
        <v>593</v>
      </c>
      <c r="E1835" s="28">
        <v>556.65</v>
      </c>
      <c r="F1835" s="28">
        <v>0.0</v>
      </c>
      <c r="G1835" s="99" t="s">
        <v>84</v>
      </c>
      <c r="H1835" s="28">
        <f t="array" ref="H1835">INDEX(CC!C:C,MATCH(1,(CC!A:A=G1835)*(CC!B:B=I1835),0))</f>
        <v>1002</v>
      </c>
      <c r="I1835" s="99" t="s">
        <v>25</v>
      </c>
      <c r="J1835" s="31">
        <v>556.65</v>
      </c>
      <c r="K1835" s="28" t="str">
        <f>IFERROR(__xludf.DUMMYFUNCTION("IFERROR(
INDEX(
FILTER(
MAP(
reglas!$B$2:$B$240,
reglas!$C$2:$C$240,
reglas!$D$2:$D$240,
reglas!$E$2:$E$240,
LAMBDA(rEmisor,rPatron,rConcepto,rTipo,
IF(
AND(
OR(
UPPER(TRIM(rEmisor))=UPPER(TRIM(C1835)),
UPPER(TRIM(rEmisor))=""CUALQUIERA""
),
OR(
UPPER(TRI"&amp;"M(rTipo))=""SOLO EMISOR"",
AND(
UPPER(TRIM(rTipo))=""EXACTA"",
UPPER(TRIM(AG1835))=UPPER(TRIM(rPatron))
),
AND(
OR(
UPPER(TRIM(rTipo))=""CONTIENE"",
UPPER(TRIM(rTipo))=""COINCIDENCIA""
),
ISNUMBER(SEARCH(UPPER(TRIM(rPatron)),UPPER(TRIM(D1835))))
)
)
),
rC"&amp;"oncepto,
""""
)
)
),
MAP(
reglas!$B$2:$B$240,
reglas!$C$2:$C$240,
reglas!$D$2:$D$240,
reglas!$E$2:$E$240,
LAMBDA(rEmisor,rPatron,rConcepto,rTipo,
IF(
AND(
OR(
UPPER(TRIM(rEmisor))=UPPER(TRIM(C1835)),
UPPER(TRIM(rEmisor))=""CUALQUIERA""
),
OR(
UPPER(TRIM(r"&amp;"Tipo))=""SOLO EMISOR"",
AND(
UPPER(TRIM(rTipo))=""EXACTA"",
UPPER(TRIM(D1835))=UPPER(TRIM(rPatron))
),
AND(
OR(
UPPER(TRIM(rTipo))=""CONTIENE"",
UPPER(TRIM(rTipo))=""COINCIDENCIA""
),
ISNUMBER(SEARCH(UPPER(TRIM(rPatron)),UPPER(TRIM(D1835))))
)
)
),
rConce"&amp;"pto,
""""
)
)
)&lt;&gt;""""
),
1
),
""""
)"),"MANIOBRAS")</f>
        <v>MANIOBRAS</v>
      </c>
      <c r="L1835" s="27"/>
      <c r="M1835" s="27"/>
      <c r="N1835" s="27"/>
      <c r="O1835" s="27"/>
      <c r="P1835" s="27"/>
      <c r="Q1835" s="27"/>
      <c r="R1835" s="27"/>
      <c r="S1835" s="27"/>
      <c r="T1835" s="27"/>
      <c r="U1835" s="27"/>
      <c r="V1835" s="27"/>
      <c r="W1835" s="27"/>
      <c r="X1835" s="27"/>
      <c r="Y1835" s="27"/>
    </row>
    <row r="1836">
      <c r="A1836" s="32"/>
      <c r="B1836" s="32"/>
      <c r="C1836" s="29" t="s">
        <v>271</v>
      </c>
      <c r="D1836" s="29" t="s">
        <v>596</v>
      </c>
      <c r="E1836" s="28">
        <v>651.16</v>
      </c>
      <c r="F1836" s="28">
        <v>0.0</v>
      </c>
      <c r="G1836" s="99" t="s">
        <v>84</v>
      </c>
      <c r="H1836" s="28">
        <f t="array" ref="H1836">INDEX(CC!C:C,MATCH(1,(CC!A:A=G1836)*(CC!B:B=I1836),0))</f>
        <v>1002</v>
      </c>
      <c r="I1836" s="99" t="s">
        <v>25</v>
      </c>
      <c r="J1836" s="31">
        <v>651.16</v>
      </c>
      <c r="K1836" s="28" t="str">
        <f>IFERROR(__xludf.DUMMYFUNCTION("IFERROR(
INDEX(
FILTER(
MAP(
reglas!$B$2:$B$240,
reglas!$C$2:$C$240,
reglas!$D$2:$D$240,
reglas!$E$2:$E$240,
LAMBDA(rEmisor,rPatron,rConcepto,rTipo,
IF(
AND(
OR(
UPPER(TRIM(rEmisor))=UPPER(TRIM(C1836)),
UPPER(TRIM(rEmisor))=""CUALQUIERA""
),
OR(
UPPER(TRI"&amp;"M(rTipo))=""SOLO EMISOR"",
AND(
UPPER(TRIM(rTipo))=""EXACTA"",
UPPER(TRIM(AG1836))=UPPER(TRIM(rPatron))
),
AND(
OR(
UPPER(TRIM(rTipo))=""CONTIENE"",
UPPER(TRIM(rTipo))=""COINCIDENCIA""
),
ISNUMBER(SEARCH(UPPER(TRIM(rPatron)),UPPER(TRIM(D1836))))
)
)
),
rC"&amp;"oncepto,
""""
)
)
),
MAP(
reglas!$B$2:$B$240,
reglas!$C$2:$C$240,
reglas!$D$2:$D$240,
reglas!$E$2:$E$240,
LAMBDA(rEmisor,rPatron,rConcepto,rTipo,
IF(
AND(
OR(
UPPER(TRIM(rEmisor))=UPPER(TRIM(C1836)),
UPPER(TRIM(rEmisor))=""CUALQUIERA""
),
OR(
UPPER(TRIM(r"&amp;"Tipo))=""SOLO EMISOR"",
AND(
UPPER(TRIM(rTipo))=""EXACTA"",
UPPER(TRIM(D1836))=UPPER(TRIM(rPatron))
),
AND(
OR(
UPPER(TRIM(rTipo))=""CONTIENE"",
UPPER(TRIM(rTipo))=""COINCIDENCIA""
),
ISNUMBER(SEARCH(UPPER(TRIM(rPatron)),UPPER(TRIM(D1836))))
)
)
),
rConce"&amp;"pto,
""""
)
)
)&lt;&gt;""""
),
1
),
""""
)"),"MANIOBRAS")</f>
        <v>MANIOBRAS</v>
      </c>
      <c r="L1836" s="27"/>
      <c r="M1836" s="27"/>
      <c r="N1836" s="27"/>
      <c r="O1836" s="27"/>
      <c r="P1836" s="27"/>
      <c r="Q1836" s="27"/>
      <c r="R1836" s="27"/>
      <c r="S1836" s="27"/>
      <c r="T1836" s="27"/>
      <c r="U1836" s="27"/>
      <c r="V1836" s="27"/>
      <c r="W1836" s="27"/>
      <c r="X1836" s="27"/>
      <c r="Y1836" s="27"/>
    </row>
    <row r="1837">
      <c r="A1837" s="32"/>
      <c r="B1837" s="28" t="s">
        <v>29</v>
      </c>
      <c r="C1837" s="29" t="s">
        <v>278</v>
      </c>
      <c r="D1837" s="29" t="s">
        <v>560</v>
      </c>
      <c r="E1837" s="30">
        <v>3500.0</v>
      </c>
      <c r="F1837" s="28">
        <v>0.0</v>
      </c>
      <c r="G1837" s="28" t="s">
        <v>250</v>
      </c>
      <c r="H1837" s="28">
        <f t="array" ref="H1837">INDEX(CC!C:C,MATCH(1,(CC!A:A=G1837)*(CC!B:B=I1837),0))</f>
        <v>1402</v>
      </c>
      <c r="I1837" s="28" t="s">
        <v>25</v>
      </c>
      <c r="J1837" s="31">
        <v>3500.0</v>
      </c>
      <c r="K1837" s="28" t="str">
        <f>IFERROR(__xludf.DUMMYFUNCTION("IFERROR(
INDEX(
FILTER(
MAP(
reglas!$B$2:$B$240,
reglas!$C$2:$C$240,
reglas!$D$2:$D$240,
reglas!$E$2:$E$240,
LAMBDA(rEmisor,rPatron,rConcepto,rTipo,
IF(
AND(
OR(
UPPER(TRIM(rEmisor))=UPPER(TRIM(C1837)),
UPPER(TRIM(rEmisor))=""CUALQUIERA""
),
OR(
UPPER(TRI"&amp;"M(rTipo))=""SOLO EMISOR"",
AND(
UPPER(TRIM(rTipo))=""EXACTA"",
UPPER(TRIM(AG1837))=UPPER(TRIM(rPatron))
),
AND(
OR(
UPPER(TRIM(rTipo))=""CONTIENE"",
UPPER(TRIM(rTipo))=""COINCIDENCIA""
),
ISNUMBER(SEARCH(UPPER(TRIM(rPatron)),UPPER(TRIM(D1837))))
)
)
),
rC"&amp;"oncepto,
""""
)
)
),
MAP(
reglas!$B$2:$B$240,
reglas!$C$2:$C$240,
reglas!$D$2:$D$240,
reglas!$E$2:$E$240,
LAMBDA(rEmisor,rPatron,rConcepto,rTipo,
IF(
AND(
OR(
UPPER(TRIM(rEmisor))=UPPER(TRIM(C1837)),
UPPER(TRIM(rEmisor))=""CUALQUIERA""
),
OR(
UPPER(TRIM(r"&amp;"Tipo))=""SOLO EMISOR"",
AND(
UPPER(TRIM(rTipo))=""EXACTA"",
UPPER(TRIM(D1837))=UPPER(TRIM(rPatron))
),
AND(
OR(
UPPER(TRIM(rTipo))=""CONTIENE"",
UPPER(TRIM(rTipo))=""COINCIDENCIA""
),
ISNUMBER(SEARCH(UPPER(TRIM(rPatron)),UPPER(TRIM(D1837))))
)
)
),
rConce"&amp;"pto,
""""
)
)
)&lt;&gt;""""
),
1
),
""""
)"),"MANIOBRAS")</f>
        <v>MANIOBRAS</v>
      </c>
      <c r="L1837" s="27"/>
      <c r="M1837" s="27"/>
      <c r="N1837" s="27"/>
      <c r="O1837" s="27"/>
      <c r="P1837" s="27"/>
      <c r="Q1837" s="27"/>
      <c r="R1837" s="27"/>
      <c r="S1837" s="27"/>
      <c r="T1837" s="27"/>
      <c r="U1837" s="27"/>
      <c r="V1837" s="27"/>
      <c r="W1837" s="27"/>
      <c r="X1837" s="27"/>
      <c r="Y1837" s="27"/>
    </row>
    <row r="1838">
      <c r="A1838" s="32"/>
      <c r="B1838" s="28" t="s">
        <v>29</v>
      </c>
      <c r="C1838" s="29" t="s">
        <v>331</v>
      </c>
      <c r="D1838" s="29" t="s">
        <v>33</v>
      </c>
      <c r="E1838" s="28">
        <v>0.01</v>
      </c>
      <c r="F1838" s="28">
        <v>0.0</v>
      </c>
      <c r="G1838" s="28" t="s">
        <v>385</v>
      </c>
      <c r="H1838" s="28">
        <f t="array" ref="H1838">INDEX(CC!C:C,MATCH(1,(CC!A:A=G1838)*(CC!B:B=I1838),0))</f>
        <v>502</v>
      </c>
      <c r="I1838" s="28" t="s">
        <v>25</v>
      </c>
      <c r="J1838" s="31">
        <v>0.01</v>
      </c>
      <c r="K1838" s="28" t="str">
        <f>IFERROR(__xludf.DUMMYFUNCTION("IFERROR(
INDEX(
FILTER(
MAP(
reglas!$B$2:$B$240,
reglas!$C$2:$C$240,
reglas!$D$2:$D$240,
reglas!$E$2:$E$240,
LAMBDA(rEmisor,rPatron,rConcepto,rTipo,
IF(
AND(
OR(
UPPER(TRIM(rEmisor))=UPPER(TRIM(C1838)),
UPPER(TRIM(rEmisor))=""CUALQUIERA""
),
OR(
UPPER(TRI"&amp;"M(rTipo))=""SOLO EMISOR"",
AND(
UPPER(TRIM(rTipo))=""EXACTA"",
UPPER(TRIM(AG1838))=UPPER(TRIM(rPatron))
),
AND(
OR(
UPPER(TRIM(rTipo))=""CONTIENE"",
UPPER(TRIM(rTipo))=""COINCIDENCIA""
),
ISNUMBER(SEARCH(UPPER(TRIM(rPatron)),UPPER(TRIM(D1838))))
)
)
),
rC"&amp;"oncepto,
""""
)
)
),
MAP(
reglas!$B$2:$B$240,
reglas!$C$2:$C$240,
reglas!$D$2:$D$240,
reglas!$E$2:$E$240,
LAMBDA(rEmisor,rPatron,rConcepto,rTipo,
IF(
AND(
OR(
UPPER(TRIM(rEmisor))=UPPER(TRIM(C1838)),
UPPER(TRIM(rEmisor))=""CUALQUIERA""
),
OR(
UPPER(TRIM(r"&amp;"Tipo))=""SOLO EMISOR"",
AND(
UPPER(TRIM(rTipo))=""EXACTA"",
UPPER(TRIM(D1838))=UPPER(TRIM(rPatron))
),
AND(
OR(
UPPER(TRIM(rTipo))=""CONTIENE"",
UPPER(TRIM(rTipo))=""COINCIDENCIA""
),
ISNUMBER(SEARCH(UPPER(TRIM(rPatron)),UPPER(TRIM(D1838))))
)
)
),
rConce"&amp;"pto,
""""
)
)
)&lt;&gt;""""
),
1
),
""""
)"),"N/A")</f>
        <v>N/A</v>
      </c>
      <c r="L1838" s="27"/>
      <c r="M1838" s="27"/>
      <c r="N1838" s="27"/>
      <c r="O1838" s="27"/>
      <c r="P1838" s="27"/>
      <c r="Q1838" s="27"/>
      <c r="R1838" s="27"/>
      <c r="S1838" s="27"/>
      <c r="T1838" s="27"/>
      <c r="U1838" s="27"/>
      <c r="V1838" s="27"/>
      <c r="W1838" s="27"/>
      <c r="X1838" s="27"/>
      <c r="Y1838" s="27"/>
    </row>
    <row r="1839">
      <c r="A1839" s="32"/>
      <c r="B1839" s="28" t="s">
        <v>29</v>
      </c>
      <c r="C1839" s="29" t="s">
        <v>185</v>
      </c>
      <c r="D1839" s="29" t="s">
        <v>1506</v>
      </c>
      <c r="E1839" s="30">
        <v>5743.96</v>
      </c>
      <c r="F1839" s="28">
        <v>0.0</v>
      </c>
      <c r="G1839" s="28" t="s">
        <v>225</v>
      </c>
      <c r="H1839" s="28">
        <f t="array" ref="H1839">INDEX(CC!C:C,MATCH(1,(CC!A:A=G1839)*(CC!B:B=I1839),0))</f>
        <v>102</v>
      </c>
      <c r="I1839" s="28" t="s">
        <v>25</v>
      </c>
      <c r="J1839" s="31">
        <v>5743.96</v>
      </c>
      <c r="K1839" s="28" t="str">
        <f>IFERROR(__xludf.DUMMYFUNCTION("IFERROR(
INDEX(
FILTER(
MAP(
reglas!$B$2:$B$240,
reglas!$C$2:$C$240,
reglas!$D$2:$D$240,
reglas!$E$2:$E$240,
LAMBDA(rEmisor,rPatron,rConcepto,rTipo,
IF(
AND(
OR(
UPPER(TRIM(rEmisor))=UPPER(TRIM(C1839)),
UPPER(TRIM(rEmisor))=""CUALQUIERA""
),
OR(
UPPER(TRI"&amp;"M(rTipo))=""SOLO EMISOR"",
AND(
UPPER(TRIM(rTipo))=""EXACTA"",
UPPER(TRIM(AG1839))=UPPER(TRIM(rPatron))
),
AND(
OR(
UPPER(TRIM(rTipo))=""CONTIENE"",
UPPER(TRIM(rTipo))=""COINCIDENCIA""
),
ISNUMBER(SEARCH(UPPER(TRIM(rPatron)),UPPER(TRIM(D1839))))
)
)
),
rC"&amp;"oncepto,
""""
)
)
),
MAP(
reglas!$B$2:$B$240,
reglas!$C$2:$C$240,
reglas!$D$2:$D$240,
reglas!$E$2:$E$240,
LAMBDA(rEmisor,rPatron,rConcepto,rTipo,
IF(
AND(
OR(
UPPER(TRIM(rEmisor))=UPPER(TRIM(C1839)),
UPPER(TRIM(rEmisor))=""CUALQUIERA""
),
OR(
UPPER(TRIM(r"&amp;"Tipo))=""SOLO EMISOR"",
AND(
UPPER(TRIM(rTipo))=""EXACTA"",
UPPER(TRIM(D1839))=UPPER(TRIM(rPatron))
),
AND(
OR(
UPPER(TRIM(rTipo))=""CONTIENE"",
UPPER(TRIM(rTipo))=""COINCIDENCIA""
),
ISNUMBER(SEARCH(UPPER(TRIM(rPatron)),UPPER(TRIM(D1839))))
)
)
),
rConce"&amp;"pto,
""""
)
)
)&lt;&gt;""""
),
1
),
""""
)"),"TELEFONIA MOVIL")</f>
        <v>TELEFONIA MOVIL</v>
      </c>
      <c r="L1839" s="27"/>
      <c r="M1839" s="27"/>
      <c r="N1839" s="27"/>
      <c r="O1839" s="27"/>
      <c r="P1839" s="27"/>
      <c r="Q1839" s="27"/>
      <c r="R1839" s="27"/>
      <c r="S1839" s="27"/>
      <c r="T1839" s="27"/>
      <c r="U1839" s="27"/>
      <c r="V1839" s="27"/>
      <c r="W1839" s="27"/>
      <c r="X1839" s="27"/>
      <c r="Y1839" s="27"/>
    </row>
    <row r="1840">
      <c r="A1840" s="32"/>
      <c r="B1840" s="32"/>
      <c r="C1840" s="32"/>
      <c r="D1840" s="29" t="s">
        <v>2026</v>
      </c>
      <c r="E1840" s="30">
        <v>2892.11</v>
      </c>
      <c r="F1840" s="30">
        <v>2892.11</v>
      </c>
      <c r="G1840" s="28" t="s">
        <v>225</v>
      </c>
      <c r="H1840" s="28">
        <f t="array" ref="H1840">INDEX(CC!C:C,MATCH(1,(CC!A:A=G1840)*(CC!B:B=I1840),0))</f>
        <v>102</v>
      </c>
      <c r="I1840" s="28" t="s">
        <v>25</v>
      </c>
      <c r="J1840" s="31">
        <v>0.0</v>
      </c>
      <c r="K1840" s="28" t="str">
        <f>IFERROR(__xludf.DUMMYFUNCTION("IFERROR(
INDEX(
FILTER(
MAP(
reglas!$B$2:$B$240,
reglas!$C$2:$C$240,
reglas!$D$2:$D$240,
reglas!$E$2:$E$240,
LAMBDA(rEmisor,rPatron,rConcepto,rTipo,
IF(
AND(
OR(
UPPER(TRIM(rEmisor))=UPPER(TRIM(C1840)),
UPPER(TRIM(rEmisor))=""CUALQUIERA""
),
OR(
UPPER(TRI"&amp;"M(rTipo))=""SOLO EMISOR"",
AND(
UPPER(TRIM(rTipo))=""EXACTA"",
UPPER(TRIM(AG1840))=UPPER(TRIM(rPatron))
),
AND(
OR(
UPPER(TRIM(rTipo))=""CONTIENE"",
UPPER(TRIM(rTipo))=""COINCIDENCIA""
),
ISNUMBER(SEARCH(UPPER(TRIM(rPatron)),UPPER(TRIM(D1840))))
)
)
),
rC"&amp;"oncepto,
""""
)
)
),
MAP(
reglas!$B$2:$B$240,
reglas!$C$2:$C$240,
reglas!$D$2:$D$240,
reglas!$E$2:$E$240,
LAMBDA(rEmisor,rPatron,rConcepto,rTipo,
IF(
AND(
OR(
UPPER(TRIM(rEmisor))=UPPER(TRIM(C1840)),
UPPER(TRIM(rEmisor))=""CUALQUIERA""
),
OR(
UPPER(TRIM(r"&amp;"Tipo))=""SOLO EMISOR"",
AND(
UPPER(TRIM(rTipo))=""EXACTA"",
UPPER(TRIM(D1840))=UPPER(TRIM(rPatron))
),
AND(
OR(
UPPER(TRIM(rTipo))=""CONTIENE"",
UPPER(TRIM(rTipo))=""COINCIDENCIA""
),
ISNUMBER(SEARCH(UPPER(TRIM(rPatron)),UPPER(TRIM(D1840))))
)
)
),
rConce"&amp;"pto,
""""
)
)
)&lt;&gt;""""
),
1
),
""""
)"),"")</f>
        <v/>
      </c>
      <c r="L1840" s="27"/>
      <c r="M1840" s="27"/>
      <c r="N1840" s="27"/>
      <c r="O1840" s="27"/>
      <c r="P1840" s="27"/>
      <c r="Q1840" s="27"/>
      <c r="R1840" s="27"/>
      <c r="S1840" s="27"/>
      <c r="T1840" s="27"/>
      <c r="U1840" s="27"/>
      <c r="V1840" s="27"/>
      <c r="W1840" s="27"/>
      <c r="X1840" s="27"/>
      <c r="Y1840" s="27"/>
    </row>
    <row r="1841">
      <c r="A1841" s="28">
        <v>1.0</v>
      </c>
      <c r="B1841" s="28" t="s">
        <v>29</v>
      </c>
      <c r="C1841" s="29" t="s">
        <v>271</v>
      </c>
      <c r="D1841" s="29" t="s">
        <v>585</v>
      </c>
      <c r="E1841" s="28">
        <v>620.47</v>
      </c>
      <c r="F1841" s="28">
        <v>0.0</v>
      </c>
      <c r="G1841" s="28" t="s">
        <v>84</v>
      </c>
      <c r="H1841" s="28">
        <f t="array" ref="H1841">INDEX(CC!C:C,MATCH(1,(CC!A:A=G1841)*(CC!B:B=I1841),0))</f>
        <v>1002</v>
      </c>
      <c r="I1841" s="28" t="s">
        <v>25</v>
      </c>
      <c r="J1841" s="31">
        <v>620.47</v>
      </c>
      <c r="K1841" s="28" t="str">
        <f>IFERROR(__xludf.DUMMYFUNCTION("IFERROR(
INDEX(
FILTER(
MAP(
reglas!$B$2:$B$240,
reglas!$C$2:$C$240,
reglas!$D$2:$D$240,
reglas!$E$2:$E$240,
LAMBDA(rEmisor,rPatron,rConcepto,rTipo,
IF(
AND(
OR(
UPPER(TRIM(rEmisor))=UPPER(TRIM(C1841)),
UPPER(TRIM(rEmisor))=""CUALQUIERA""
),
OR(
UPPER(TRI"&amp;"M(rTipo))=""SOLO EMISOR"",
AND(
UPPER(TRIM(rTipo))=""EXACTA"",
UPPER(TRIM(AG1841))=UPPER(TRIM(rPatron))
),
AND(
OR(
UPPER(TRIM(rTipo))=""CONTIENE"",
UPPER(TRIM(rTipo))=""COINCIDENCIA""
),
ISNUMBER(SEARCH(UPPER(TRIM(rPatron)),UPPER(TRIM(D1841))))
)
)
),
rC"&amp;"oncepto,
""""
)
)
),
MAP(
reglas!$B$2:$B$240,
reglas!$C$2:$C$240,
reglas!$D$2:$D$240,
reglas!$E$2:$E$240,
LAMBDA(rEmisor,rPatron,rConcepto,rTipo,
IF(
AND(
OR(
UPPER(TRIM(rEmisor))=UPPER(TRIM(C1841)),
UPPER(TRIM(rEmisor))=""CUALQUIERA""
),
OR(
UPPER(TRIM(r"&amp;"Tipo))=""SOLO EMISOR"",
AND(
UPPER(TRIM(rTipo))=""EXACTA"",
UPPER(TRIM(D1841))=UPPER(TRIM(rPatron))
),
AND(
OR(
UPPER(TRIM(rTipo))=""CONTIENE"",
UPPER(TRIM(rTipo))=""COINCIDENCIA""
),
ISNUMBER(SEARCH(UPPER(TRIM(rPatron)),UPPER(TRIM(D1841))))
)
)
),
rConce"&amp;"pto,
""""
)
)
)&lt;&gt;""""
),
1
),
""""
)"),"MANIOBRAS")</f>
        <v>MANIOBRAS</v>
      </c>
      <c r="L1841" s="27"/>
      <c r="M1841" s="27"/>
      <c r="N1841" s="27"/>
      <c r="O1841" s="27"/>
      <c r="P1841" s="27"/>
      <c r="Q1841" s="27"/>
      <c r="R1841" s="27"/>
      <c r="S1841" s="27"/>
      <c r="T1841" s="27"/>
      <c r="U1841" s="27"/>
      <c r="V1841" s="27"/>
      <c r="W1841" s="27"/>
      <c r="X1841" s="27"/>
      <c r="Y1841" s="27"/>
    </row>
    <row r="1842">
      <c r="A1842" s="32"/>
      <c r="B1842" s="32"/>
      <c r="C1842" s="29" t="s">
        <v>271</v>
      </c>
      <c r="D1842" s="29" t="s">
        <v>587</v>
      </c>
      <c r="E1842" s="28">
        <v>567.69</v>
      </c>
      <c r="F1842" s="28">
        <v>0.0</v>
      </c>
      <c r="G1842" s="28" t="s">
        <v>84</v>
      </c>
      <c r="H1842" s="28">
        <f t="array" ref="H1842">INDEX(CC!C:C,MATCH(1,(CC!A:A=G1842)*(CC!B:B=I1842),0))</f>
        <v>1002</v>
      </c>
      <c r="I1842" s="28" t="s">
        <v>25</v>
      </c>
      <c r="J1842" s="31">
        <v>567.69</v>
      </c>
      <c r="K1842" s="28" t="str">
        <f>IFERROR(__xludf.DUMMYFUNCTION("IFERROR(
INDEX(
FILTER(
MAP(
reglas!$B$2:$B$240,
reglas!$C$2:$C$240,
reglas!$D$2:$D$240,
reglas!$E$2:$E$240,
LAMBDA(rEmisor,rPatron,rConcepto,rTipo,
IF(
AND(
OR(
UPPER(TRIM(rEmisor))=UPPER(TRIM(C1842)),
UPPER(TRIM(rEmisor))=""CUALQUIERA""
),
OR(
UPPER(TRI"&amp;"M(rTipo))=""SOLO EMISOR"",
AND(
UPPER(TRIM(rTipo))=""EXACTA"",
UPPER(TRIM(AG1842))=UPPER(TRIM(rPatron))
),
AND(
OR(
UPPER(TRIM(rTipo))=""CONTIENE"",
UPPER(TRIM(rTipo))=""COINCIDENCIA""
),
ISNUMBER(SEARCH(UPPER(TRIM(rPatron)),UPPER(TRIM(D1842))))
)
)
),
rC"&amp;"oncepto,
""""
)
)
),
MAP(
reglas!$B$2:$B$240,
reglas!$C$2:$C$240,
reglas!$D$2:$D$240,
reglas!$E$2:$E$240,
LAMBDA(rEmisor,rPatron,rConcepto,rTipo,
IF(
AND(
OR(
UPPER(TRIM(rEmisor))=UPPER(TRIM(C1842)),
UPPER(TRIM(rEmisor))=""CUALQUIERA""
),
OR(
UPPER(TRIM(r"&amp;"Tipo))=""SOLO EMISOR"",
AND(
UPPER(TRIM(rTipo))=""EXACTA"",
UPPER(TRIM(D1842))=UPPER(TRIM(rPatron))
),
AND(
OR(
UPPER(TRIM(rTipo))=""CONTIENE"",
UPPER(TRIM(rTipo))=""COINCIDENCIA""
),
ISNUMBER(SEARCH(UPPER(TRIM(rPatron)),UPPER(TRIM(D1842))))
)
)
),
rConce"&amp;"pto,
""""
)
)
)&lt;&gt;""""
),
1
),
""""
)"),"MANIOBRAS")</f>
        <v>MANIOBRAS</v>
      </c>
      <c r="L1842" s="27"/>
      <c r="M1842" s="27"/>
      <c r="N1842" s="27"/>
      <c r="O1842" s="27"/>
      <c r="P1842" s="27"/>
      <c r="Q1842" s="27"/>
      <c r="R1842" s="27"/>
      <c r="S1842" s="27"/>
      <c r="T1842" s="27"/>
      <c r="U1842" s="27"/>
      <c r="V1842" s="27"/>
      <c r="W1842" s="27"/>
      <c r="X1842" s="27"/>
      <c r="Y1842" s="27"/>
    </row>
    <row r="1843">
      <c r="A1843" s="32"/>
      <c r="B1843" s="32"/>
      <c r="C1843" s="29" t="s">
        <v>271</v>
      </c>
      <c r="D1843" s="29" t="s">
        <v>586</v>
      </c>
      <c r="E1843" s="28">
        <v>620.81</v>
      </c>
      <c r="F1843" s="28">
        <v>0.0</v>
      </c>
      <c r="G1843" s="28" t="s">
        <v>84</v>
      </c>
      <c r="H1843" s="28">
        <f t="array" ref="H1843">INDEX(CC!C:C,MATCH(1,(CC!A:A=G1843)*(CC!B:B=I1843),0))</f>
        <v>1002</v>
      </c>
      <c r="I1843" s="28" t="s">
        <v>25</v>
      </c>
      <c r="J1843" s="31">
        <v>620.81</v>
      </c>
      <c r="K1843" s="28" t="str">
        <f>IFERROR(__xludf.DUMMYFUNCTION("IFERROR(
INDEX(
FILTER(
MAP(
reglas!$B$2:$B$240,
reglas!$C$2:$C$240,
reglas!$D$2:$D$240,
reglas!$E$2:$E$240,
LAMBDA(rEmisor,rPatron,rConcepto,rTipo,
IF(
AND(
OR(
UPPER(TRIM(rEmisor))=UPPER(TRIM(C1843)),
UPPER(TRIM(rEmisor))=""CUALQUIERA""
),
OR(
UPPER(TRI"&amp;"M(rTipo))=""SOLO EMISOR"",
AND(
UPPER(TRIM(rTipo))=""EXACTA"",
UPPER(TRIM(AG1843))=UPPER(TRIM(rPatron))
),
AND(
OR(
UPPER(TRIM(rTipo))=""CONTIENE"",
UPPER(TRIM(rTipo))=""COINCIDENCIA""
),
ISNUMBER(SEARCH(UPPER(TRIM(rPatron)),UPPER(TRIM(D1843))))
)
)
),
rC"&amp;"oncepto,
""""
)
)
),
MAP(
reglas!$B$2:$B$240,
reglas!$C$2:$C$240,
reglas!$D$2:$D$240,
reglas!$E$2:$E$240,
LAMBDA(rEmisor,rPatron,rConcepto,rTipo,
IF(
AND(
OR(
UPPER(TRIM(rEmisor))=UPPER(TRIM(C1843)),
UPPER(TRIM(rEmisor))=""CUALQUIERA""
),
OR(
UPPER(TRIM(r"&amp;"Tipo))=""SOLO EMISOR"",
AND(
UPPER(TRIM(rTipo))=""EXACTA"",
UPPER(TRIM(D1843))=UPPER(TRIM(rPatron))
),
AND(
OR(
UPPER(TRIM(rTipo))=""CONTIENE"",
UPPER(TRIM(rTipo))=""COINCIDENCIA""
),
ISNUMBER(SEARCH(UPPER(TRIM(rPatron)),UPPER(TRIM(D1843))))
)
)
),
rConce"&amp;"pto,
""""
)
)
)&lt;&gt;""""
),
1
),
""""
)"),"MANIOBRAS")</f>
        <v>MANIOBRAS</v>
      </c>
      <c r="L1843" s="27"/>
      <c r="M1843" s="27"/>
      <c r="N1843" s="27"/>
      <c r="O1843" s="27"/>
      <c r="P1843" s="27"/>
      <c r="Q1843" s="27"/>
      <c r="R1843" s="27"/>
      <c r="S1843" s="27"/>
      <c r="T1843" s="27"/>
      <c r="U1843" s="27"/>
      <c r="V1843" s="27"/>
      <c r="W1843" s="27"/>
      <c r="X1843" s="27"/>
      <c r="Y1843" s="27"/>
    </row>
    <row r="1844">
      <c r="A1844" s="32"/>
      <c r="B1844" s="32"/>
      <c r="C1844" s="29" t="s">
        <v>271</v>
      </c>
      <c r="D1844" s="29" t="s">
        <v>589</v>
      </c>
      <c r="E1844" s="28">
        <v>620.81</v>
      </c>
      <c r="F1844" s="28">
        <v>0.0</v>
      </c>
      <c r="G1844" s="28" t="s">
        <v>84</v>
      </c>
      <c r="H1844" s="28">
        <f t="array" ref="H1844">INDEX(CC!C:C,MATCH(1,(CC!A:A=G1844)*(CC!B:B=I1844),0))</f>
        <v>1002</v>
      </c>
      <c r="I1844" s="28" t="s">
        <v>25</v>
      </c>
      <c r="J1844" s="31">
        <v>620.81</v>
      </c>
      <c r="K1844" s="28" t="str">
        <f>IFERROR(__xludf.DUMMYFUNCTION("IFERROR(
INDEX(
FILTER(
MAP(
reglas!$B$2:$B$240,
reglas!$C$2:$C$240,
reglas!$D$2:$D$240,
reglas!$E$2:$E$240,
LAMBDA(rEmisor,rPatron,rConcepto,rTipo,
IF(
AND(
OR(
UPPER(TRIM(rEmisor))=UPPER(TRIM(C1844)),
UPPER(TRIM(rEmisor))=""CUALQUIERA""
),
OR(
UPPER(TRI"&amp;"M(rTipo))=""SOLO EMISOR"",
AND(
UPPER(TRIM(rTipo))=""EXACTA"",
UPPER(TRIM(AG1844))=UPPER(TRIM(rPatron))
),
AND(
OR(
UPPER(TRIM(rTipo))=""CONTIENE"",
UPPER(TRIM(rTipo))=""COINCIDENCIA""
),
ISNUMBER(SEARCH(UPPER(TRIM(rPatron)),UPPER(TRIM(D1844))))
)
)
),
rC"&amp;"oncepto,
""""
)
)
),
MAP(
reglas!$B$2:$B$240,
reglas!$C$2:$C$240,
reglas!$D$2:$D$240,
reglas!$E$2:$E$240,
LAMBDA(rEmisor,rPatron,rConcepto,rTipo,
IF(
AND(
OR(
UPPER(TRIM(rEmisor))=UPPER(TRIM(C1844)),
UPPER(TRIM(rEmisor))=""CUALQUIERA""
),
OR(
UPPER(TRIM(r"&amp;"Tipo))=""SOLO EMISOR"",
AND(
UPPER(TRIM(rTipo))=""EXACTA"",
UPPER(TRIM(D1844))=UPPER(TRIM(rPatron))
),
AND(
OR(
UPPER(TRIM(rTipo))=""CONTIENE"",
UPPER(TRIM(rTipo))=""COINCIDENCIA""
),
ISNUMBER(SEARCH(UPPER(TRIM(rPatron)),UPPER(TRIM(D1844))))
)
)
),
rConce"&amp;"pto,
""""
)
)
)&lt;&gt;""""
),
1
),
""""
)"),"MANIOBRAS")</f>
        <v>MANIOBRAS</v>
      </c>
      <c r="L1844" s="27"/>
      <c r="M1844" s="27"/>
      <c r="N1844" s="27"/>
      <c r="O1844" s="27"/>
      <c r="P1844" s="27"/>
      <c r="Q1844" s="27"/>
      <c r="R1844" s="27"/>
      <c r="S1844" s="27"/>
      <c r="T1844" s="27"/>
      <c r="U1844" s="27"/>
      <c r="V1844" s="27"/>
      <c r="W1844" s="27"/>
      <c r="X1844" s="27"/>
      <c r="Y1844" s="27"/>
    </row>
    <row r="1845">
      <c r="A1845" s="32"/>
      <c r="B1845" s="32"/>
      <c r="C1845" s="29" t="s">
        <v>271</v>
      </c>
      <c r="D1845" s="29" t="s">
        <v>593</v>
      </c>
      <c r="E1845" s="28">
        <v>742.32</v>
      </c>
      <c r="F1845" s="28">
        <v>0.0</v>
      </c>
      <c r="G1845" s="28" t="s">
        <v>84</v>
      </c>
      <c r="H1845" s="28">
        <f t="array" ref="H1845">INDEX(CC!C:C,MATCH(1,(CC!A:A=G1845)*(CC!B:B=I1845),0))</f>
        <v>1002</v>
      </c>
      <c r="I1845" s="28" t="s">
        <v>25</v>
      </c>
      <c r="J1845" s="31">
        <v>742.32</v>
      </c>
      <c r="K1845" s="28" t="str">
        <f>IFERROR(__xludf.DUMMYFUNCTION("IFERROR(
INDEX(
FILTER(
MAP(
reglas!$B$2:$B$240,
reglas!$C$2:$C$240,
reglas!$D$2:$D$240,
reglas!$E$2:$E$240,
LAMBDA(rEmisor,rPatron,rConcepto,rTipo,
IF(
AND(
OR(
UPPER(TRIM(rEmisor))=UPPER(TRIM(C1845)),
UPPER(TRIM(rEmisor))=""CUALQUIERA""
),
OR(
UPPER(TRI"&amp;"M(rTipo))=""SOLO EMISOR"",
AND(
UPPER(TRIM(rTipo))=""EXACTA"",
UPPER(TRIM(AG1845))=UPPER(TRIM(rPatron))
),
AND(
OR(
UPPER(TRIM(rTipo))=""CONTIENE"",
UPPER(TRIM(rTipo))=""COINCIDENCIA""
),
ISNUMBER(SEARCH(UPPER(TRIM(rPatron)),UPPER(TRIM(D1845))))
)
)
),
rC"&amp;"oncepto,
""""
)
)
),
MAP(
reglas!$B$2:$B$240,
reglas!$C$2:$C$240,
reglas!$D$2:$D$240,
reglas!$E$2:$E$240,
LAMBDA(rEmisor,rPatron,rConcepto,rTipo,
IF(
AND(
OR(
UPPER(TRIM(rEmisor))=UPPER(TRIM(C1845)),
UPPER(TRIM(rEmisor))=""CUALQUIERA""
),
OR(
UPPER(TRIM(r"&amp;"Tipo))=""SOLO EMISOR"",
AND(
UPPER(TRIM(rTipo))=""EXACTA"",
UPPER(TRIM(D1845))=UPPER(TRIM(rPatron))
),
AND(
OR(
UPPER(TRIM(rTipo))=""CONTIENE"",
UPPER(TRIM(rTipo))=""COINCIDENCIA""
),
ISNUMBER(SEARCH(UPPER(TRIM(rPatron)),UPPER(TRIM(D1845))))
)
)
),
rConce"&amp;"pto,
""""
)
)
)&lt;&gt;""""
),
1
),
""""
)"),"MANIOBRAS")</f>
        <v>MANIOBRAS</v>
      </c>
      <c r="L1845" s="27"/>
      <c r="M1845" s="27"/>
      <c r="N1845" s="27"/>
      <c r="O1845" s="27"/>
      <c r="P1845" s="27"/>
      <c r="Q1845" s="27"/>
      <c r="R1845" s="27"/>
      <c r="S1845" s="27"/>
      <c r="T1845" s="27"/>
      <c r="U1845" s="27"/>
      <c r="V1845" s="27"/>
      <c r="W1845" s="27"/>
      <c r="X1845" s="27"/>
      <c r="Y1845" s="27"/>
    </row>
    <row r="1846">
      <c r="A1846" s="32"/>
      <c r="B1846" s="32"/>
      <c r="C1846" s="29" t="s">
        <v>271</v>
      </c>
      <c r="D1846" s="29" t="s">
        <v>596</v>
      </c>
      <c r="E1846" s="28">
        <v>651.35</v>
      </c>
      <c r="F1846" s="28">
        <v>0.0</v>
      </c>
      <c r="G1846" s="28" t="s">
        <v>84</v>
      </c>
      <c r="H1846" s="28">
        <f t="array" ref="H1846">INDEX(CC!C:C,MATCH(1,(CC!A:A=G1846)*(CC!B:B=I1846),0))</f>
        <v>1002</v>
      </c>
      <c r="I1846" s="28" t="s">
        <v>25</v>
      </c>
      <c r="J1846" s="31">
        <v>651.35</v>
      </c>
      <c r="K1846" s="28" t="str">
        <f>IFERROR(__xludf.DUMMYFUNCTION("IFERROR(
INDEX(
FILTER(
MAP(
reglas!$B$2:$B$240,
reglas!$C$2:$C$240,
reglas!$D$2:$D$240,
reglas!$E$2:$E$240,
LAMBDA(rEmisor,rPatron,rConcepto,rTipo,
IF(
AND(
OR(
UPPER(TRIM(rEmisor))=UPPER(TRIM(C1846)),
UPPER(TRIM(rEmisor))=""CUALQUIERA""
),
OR(
UPPER(TRI"&amp;"M(rTipo))=""SOLO EMISOR"",
AND(
UPPER(TRIM(rTipo))=""EXACTA"",
UPPER(TRIM(AG1846))=UPPER(TRIM(rPatron))
),
AND(
OR(
UPPER(TRIM(rTipo))=""CONTIENE"",
UPPER(TRIM(rTipo))=""COINCIDENCIA""
),
ISNUMBER(SEARCH(UPPER(TRIM(rPatron)),UPPER(TRIM(D1846))))
)
)
),
rC"&amp;"oncepto,
""""
)
)
),
MAP(
reglas!$B$2:$B$240,
reglas!$C$2:$C$240,
reglas!$D$2:$D$240,
reglas!$E$2:$E$240,
LAMBDA(rEmisor,rPatron,rConcepto,rTipo,
IF(
AND(
OR(
UPPER(TRIM(rEmisor))=UPPER(TRIM(C1846)),
UPPER(TRIM(rEmisor))=""CUALQUIERA""
),
OR(
UPPER(TRIM(r"&amp;"Tipo))=""SOLO EMISOR"",
AND(
UPPER(TRIM(rTipo))=""EXACTA"",
UPPER(TRIM(D1846))=UPPER(TRIM(rPatron))
),
AND(
OR(
UPPER(TRIM(rTipo))=""CONTIENE"",
UPPER(TRIM(rTipo))=""COINCIDENCIA""
),
ISNUMBER(SEARCH(UPPER(TRIM(rPatron)),UPPER(TRIM(D1846))))
)
)
),
rConce"&amp;"pto,
""""
)
)
)&lt;&gt;""""
),
1
),
""""
)"),"MANIOBRAS")</f>
        <v>MANIOBRAS</v>
      </c>
      <c r="L1846" s="27"/>
      <c r="M1846" s="27"/>
      <c r="N1846" s="27"/>
      <c r="O1846" s="27"/>
      <c r="P1846" s="27"/>
      <c r="Q1846" s="27"/>
      <c r="R1846" s="27"/>
      <c r="S1846" s="27"/>
      <c r="T1846" s="27"/>
      <c r="U1846" s="27"/>
      <c r="V1846" s="27"/>
      <c r="W1846" s="27"/>
      <c r="X1846" s="27"/>
      <c r="Y1846" s="27"/>
    </row>
    <row r="1847">
      <c r="A1847" s="32"/>
      <c r="B1847" s="28" t="s">
        <v>29</v>
      </c>
      <c r="C1847" s="29" t="s">
        <v>414</v>
      </c>
      <c r="D1847" s="29" t="s">
        <v>415</v>
      </c>
      <c r="E1847" s="30">
        <v>68291.41</v>
      </c>
      <c r="F1847" s="28">
        <v>0.0</v>
      </c>
      <c r="G1847" s="28" t="s">
        <v>225</v>
      </c>
      <c r="H1847" s="28">
        <f t="array" ref="H1847">INDEX(CC!C:C,MATCH(1,(CC!A:A=G1847)*(CC!B:B=I1847),0))</f>
        <v>102</v>
      </c>
      <c r="I1847" s="28" t="s">
        <v>25</v>
      </c>
      <c r="J1847" s="5"/>
      <c r="K1847" s="28" t="str">
        <f>IFERROR(__xludf.DUMMYFUNCTION("IFERROR(
INDEX(
FILTER(
MAP(
reglas!$B$2:$B$240,
reglas!$C$2:$C$240,
reglas!$D$2:$D$240,
reglas!$E$2:$E$240,
LAMBDA(rEmisor,rPatron,rConcepto,rTipo,
IF(
AND(
OR(
UPPER(TRIM(rEmisor))=UPPER(TRIM(C1847)),
UPPER(TRIM(rEmisor))=""CUALQUIERA""
),
OR(
UPPER(TRI"&amp;"M(rTipo))=""SOLO EMISOR"",
AND(
UPPER(TRIM(rTipo))=""EXACTA"",
UPPER(TRIM(AG1847))=UPPER(TRIM(rPatron))
),
AND(
OR(
UPPER(TRIM(rTipo))=""CONTIENE"",
UPPER(TRIM(rTipo))=""COINCIDENCIA""
),
ISNUMBER(SEARCH(UPPER(TRIM(rPatron)),UPPER(TRIM(D1847))))
)
)
),
rC"&amp;"oncepto,
""""
)
)
),
MAP(
reglas!$B$2:$B$240,
reglas!$C$2:$C$240,
reglas!$D$2:$D$240,
reglas!$E$2:$E$240,
LAMBDA(rEmisor,rPatron,rConcepto,rTipo,
IF(
AND(
OR(
UPPER(TRIM(rEmisor))=UPPER(TRIM(C1847)),
UPPER(TRIM(rEmisor))=""CUALQUIERA""
),
OR(
UPPER(TRIM(r"&amp;"Tipo))=""SOLO EMISOR"",
AND(
UPPER(TRIM(rTipo))=""EXACTA"",
UPPER(TRIM(D1847))=UPPER(TRIM(rPatron))
),
AND(
OR(
UPPER(TRIM(rTipo))=""CONTIENE"",
UPPER(TRIM(rTipo))=""COINCIDENCIA""
),
ISNUMBER(SEARCH(UPPER(TRIM(rPatron)),UPPER(TRIM(D1847))))
)
)
),
rConce"&amp;"pto,
""""
)
)
)&lt;&gt;""""
),
1
),
""""
)"),"N/A")</f>
        <v>N/A</v>
      </c>
      <c r="L1847" s="27"/>
      <c r="M1847" s="27"/>
      <c r="N1847" s="27"/>
      <c r="O1847" s="27"/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</row>
    <row r="1848">
      <c r="A1848" s="32"/>
      <c r="B1848" s="32"/>
      <c r="C1848" s="29" t="s">
        <v>414</v>
      </c>
      <c r="D1848" s="29" t="s">
        <v>416</v>
      </c>
      <c r="E1848" s="30">
        <v>1653.21</v>
      </c>
      <c r="F1848" s="28">
        <v>0.0</v>
      </c>
      <c r="G1848" s="28" t="s">
        <v>225</v>
      </c>
      <c r="H1848" s="28">
        <f t="array" ref="H1848">INDEX(CC!C:C,MATCH(1,(CC!A:A=G1848)*(CC!B:B=I1848),0))</f>
        <v>102</v>
      </c>
      <c r="I1848" s="28" t="s">
        <v>25</v>
      </c>
      <c r="J1848" s="5"/>
      <c r="K1848" s="28" t="str">
        <f>IFERROR(__xludf.DUMMYFUNCTION("IFERROR(
INDEX(
FILTER(
MAP(
reglas!$B$2:$B$240,
reglas!$C$2:$C$240,
reglas!$D$2:$D$240,
reglas!$E$2:$E$240,
LAMBDA(rEmisor,rPatron,rConcepto,rTipo,
IF(
AND(
OR(
UPPER(TRIM(rEmisor))=UPPER(TRIM(C1848)),
UPPER(TRIM(rEmisor))=""CUALQUIERA""
),
OR(
UPPER(TRI"&amp;"M(rTipo))=""SOLO EMISOR"",
AND(
UPPER(TRIM(rTipo))=""EXACTA"",
UPPER(TRIM(AG1848))=UPPER(TRIM(rPatron))
),
AND(
OR(
UPPER(TRIM(rTipo))=""CONTIENE"",
UPPER(TRIM(rTipo))=""COINCIDENCIA""
),
ISNUMBER(SEARCH(UPPER(TRIM(rPatron)),UPPER(TRIM(D1848))))
)
)
),
rC"&amp;"oncepto,
""""
)
)
),
MAP(
reglas!$B$2:$B$240,
reglas!$C$2:$C$240,
reglas!$D$2:$D$240,
reglas!$E$2:$E$240,
LAMBDA(rEmisor,rPatron,rConcepto,rTipo,
IF(
AND(
OR(
UPPER(TRIM(rEmisor))=UPPER(TRIM(C1848)),
UPPER(TRIM(rEmisor))=""CUALQUIERA""
),
OR(
UPPER(TRIM(r"&amp;"Tipo))=""SOLO EMISOR"",
AND(
UPPER(TRIM(rTipo))=""EXACTA"",
UPPER(TRIM(D1848))=UPPER(TRIM(rPatron))
),
AND(
OR(
UPPER(TRIM(rTipo))=""CONTIENE"",
UPPER(TRIM(rTipo))=""COINCIDENCIA""
),
ISNUMBER(SEARCH(UPPER(TRIM(rPatron)),UPPER(TRIM(D1848))))
)
)
),
rConce"&amp;"pto,
""""
)
)
)&lt;&gt;""""
),
1
),
""""
)"),"N/A")</f>
        <v>N/A</v>
      </c>
      <c r="L1848" s="27"/>
      <c r="M1848" s="27"/>
      <c r="N1848" s="27"/>
      <c r="O1848" s="27"/>
      <c r="P1848" s="27"/>
      <c r="Q1848" s="27"/>
      <c r="R1848" s="27"/>
      <c r="S1848" s="27"/>
      <c r="T1848" s="27"/>
      <c r="U1848" s="27"/>
      <c r="V1848" s="27"/>
      <c r="W1848" s="27"/>
      <c r="X1848" s="27"/>
      <c r="Y1848" s="27"/>
    </row>
    <row r="1849">
      <c r="A1849" s="32"/>
      <c r="B1849" s="32"/>
      <c r="C1849" s="29" t="s">
        <v>414</v>
      </c>
      <c r="D1849" s="29" t="s">
        <v>417</v>
      </c>
      <c r="E1849" s="30">
        <v>14117.88</v>
      </c>
      <c r="F1849" s="28">
        <v>0.0</v>
      </c>
      <c r="G1849" s="28" t="s">
        <v>225</v>
      </c>
      <c r="H1849" s="28">
        <f t="array" ref="H1849">INDEX(CC!C:C,MATCH(1,(CC!A:A=G1849)*(CC!B:B=I1849),0))</f>
        <v>102</v>
      </c>
      <c r="I1849" s="28" t="s">
        <v>25</v>
      </c>
      <c r="J1849" s="5"/>
      <c r="K1849" s="28" t="str">
        <f>IFERROR(__xludf.DUMMYFUNCTION("IFERROR(
INDEX(
FILTER(
MAP(
reglas!$B$2:$B$240,
reglas!$C$2:$C$240,
reglas!$D$2:$D$240,
reglas!$E$2:$E$240,
LAMBDA(rEmisor,rPatron,rConcepto,rTipo,
IF(
AND(
OR(
UPPER(TRIM(rEmisor))=UPPER(TRIM(C1849)),
UPPER(TRIM(rEmisor))=""CUALQUIERA""
),
OR(
UPPER(TRI"&amp;"M(rTipo))=""SOLO EMISOR"",
AND(
UPPER(TRIM(rTipo))=""EXACTA"",
UPPER(TRIM(AG1849))=UPPER(TRIM(rPatron))
),
AND(
OR(
UPPER(TRIM(rTipo))=""CONTIENE"",
UPPER(TRIM(rTipo))=""COINCIDENCIA""
),
ISNUMBER(SEARCH(UPPER(TRIM(rPatron)),UPPER(TRIM(D1849))))
)
)
),
rC"&amp;"oncepto,
""""
)
)
),
MAP(
reglas!$B$2:$B$240,
reglas!$C$2:$C$240,
reglas!$D$2:$D$240,
reglas!$E$2:$E$240,
LAMBDA(rEmisor,rPatron,rConcepto,rTipo,
IF(
AND(
OR(
UPPER(TRIM(rEmisor))=UPPER(TRIM(C1849)),
UPPER(TRIM(rEmisor))=""CUALQUIERA""
),
OR(
UPPER(TRIM(r"&amp;"Tipo))=""SOLO EMISOR"",
AND(
UPPER(TRIM(rTipo))=""EXACTA"",
UPPER(TRIM(D1849))=UPPER(TRIM(rPatron))
),
AND(
OR(
UPPER(TRIM(rTipo))=""CONTIENE"",
UPPER(TRIM(rTipo))=""COINCIDENCIA""
),
ISNUMBER(SEARCH(UPPER(TRIM(rPatron)),UPPER(TRIM(D1849))))
)
)
),
rConce"&amp;"pto,
""""
)
)
)&lt;&gt;""""
),
1
),
""""
)"),"N/A")</f>
        <v>N/A</v>
      </c>
      <c r="L1849" s="27"/>
      <c r="M1849" s="27"/>
      <c r="N1849" s="27"/>
      <c r="O1849" s="27"/>
      <c r="P1849" s="27"/>
      <c r="Q1849" s="27"/>
      <c r="R1849" s="27"/>
      <c r="S1849" s="27"/>
      <c r="T1849" s="27"/>
      <c r="U1849" s="27"/>
      <c r="V1849" s="27"/>
      <c r="W1849" s="27"/>
      <c r="X1849" s="27"/>
      <c r="Y1849" s="27"/>
    </row>
    <row r="1850">
      <c r="A1850" s="32"/>
      <c r="B1850" s="28" t="s">
        <v>29</v>
      </c>
      <c r="C1850" s="29" t="s">
        <v>163</v>
      </c>
      <c r="D1850" s="29" t="s">
        <v>2027</v>
      </c>
      <c r="E1850" s="28">
        <v>262.93</v>
      </c>
      <c r="F1850" s="28">
        <v>0.0</v>
      </c>
      <c r="G1850" s="28" t="s">
        <v>385</v>
      </c>
      <c r="H1850" s="28">
        <f t="array" ref="H1850">INDEX(CC!C:C,MATCH(1,(CC!A:A=G1850)*(CC!B:B=I1850),0))</f>
        <v>502</v>
      </c>
      <c r="I1850" s="28" t="s">
        <v>25</v>
      </c>
      <c r="J1850" s="31">
        <v>262.93</v>
      </c>
      <c r="K1850" s="28" t="str">
        <f>IFERROR(__xludf.DUMMYFUNCTION("IFERROR(
INDEX(
FILTER(
MAP(
reglas!$B$2:$B$240,
reglas!$C$2:$C$240,
reglas!$D$2:$D$240,
reglas!$E$2:$E$240,
LAMBDA(rEmisor,rPatron,rConcepto,rTipo,
IF(
AND(
OR(
UPPER(TRIM(rEmisor))=UPPER(TRIM(C1850)),
UPPER(TRIM(rEmisor))=""CUALQUIERA""
),
OR(
UPPER(TRI"&amp;"M(rTipo))=""SOLO EMISOR"",
AND(
UPPER(TRIM(rTipo))=""EXACTA"",
UPPER(TRIM(AG1850))=UPPER(TRIM(rPatron))
),
AND(
OR(
UPPER(TRIM(rTipo))=""CONTIENE"",
UPPER(TRIM(rTipo))=""COINCIDENCIA""
),
ISNUMBER(SEARCH(UPPER(TRIM(rPatron)),UPPER(TRIM(D1850))))
)
)
),
rC"&amp;"oncepto,
""""
)
)
),
MAP(
reglas!$B$2:$B$240,
reglas!$C$2:$C$240,
reglas!$D$2:$D$240,
reglas!$E$2:$E$240,
LAMBDA(rEmisor,rPatron,rConcepto,rTipo,
IF(
AND(
OR(
UPPER(TRIM(rEmisor))=UPPER(TRIM(C1850)),
UPPER(TRIM(rEmisor))=""CUALQUIERA""
),
OR(
UPPER(TRIM(r"&amp;"Tipo))=""SOLO EMISOR"",
AND(
UPPER(TRIM(rTipo))=""EXACTA"",
UPPER(TRIM(D1850))=UPPER(TRIM(rPatron))
),
AND(
OR(
UPPER(TRIM(rTipo))=""CONTIENE"",
UPPER(TRIM(rTipo))=""COINCIDENCIA""
),
ISNUMBER(SEARCH(UPPER(TRIM(rPatron)),UPPER(TRIM(D1850))))
)
)
),
rConce"&amp;"pto,
""""
)
)
)&lt;&gt;""""
),
1
),
""""
)"),"PATIO REGULADOR")</f>
        <v>PATIO REGULADOR</v>
      </c>
      <c r="L1850" s="27"/>
      <c r="M1850" s="27"/>
      <c r="N1850" s="27"/>
      <c r="O1850" s="27"/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</row>
    <row r="1851">
      <c r="A1851" s="32"/>
      <c r="B1851" s="28" t="s">
        <v>29</v>
      </c>
      <c r="C1851" s="29" t="s">
        <v>331</v>
      </c>
      <c r="D1851" s="29" t="s">
        <v>33</v>
      </c>
      <c r="E1851" s="28">
        <v>0.01</v>
      </c>
      <c r="F1851" s="28">
        <v>0.0</v>
      </c>
      <c r="G1851" s="28" t="s">
        <v>385</v>
      </c>
      <c r="H1851" s="28">
        <f t="array" ref="H1851">INDEX(CC!C:C,MATCH(1,(CC!A:A=G1851)*(CC!B:B=I1851),0))</f>
        <v>502</v>
      </c>
      <c r="I1851" s="28" t="s">
        <v>25</v>
      </c>
      <c r="J1851" s="31">
        <v>0.01</v>
      </c>
      <c r="K1851" s="28" t="str">
        <f>IFERROR(__xludf.DUMMYFUNCTION("IFERROR(
INDEX(
FILTER(
MAP(
reglas!$B$2:$B$240,
reglas!$C$2:$C$240,
reglas!$D$2:$D$240,
reglas!$E$2:$E$240,
LAMBDA(rEmisor,rPatron,rConcepto,rTipo,
IF(
AND(
OR(
UPPER(TRIM(rEmisor))=UPPER(TRIM(C1851)),
UPPER(TRIM(rEmisor))=""CUALQUIERA""
),
OR(
UPPER(TRI"&amp;"M(rTipo))=""SOLO EMISOR"",
AND(
UPPER(TRIM(rTipo))=""EXACTA"",
UPPER(TRIM(AG1851))=UPPER(TRIM(rPatron))
),
AND(
OR(
UPPER(TRIM(rTipo))=""CONTIENE"",
UPPER(TRIM(rTipo))=""COINCIDENCIA""
),
ISNUMBER(SEARCH(UPPER(TRIM(rPatron)),UPPER(TRIM(D1851))))
)
)
),
rC"&amp;"oncepto,
""""
)
)
),
MAP(
reglas!$B$2:$B$240,
reglas!$C$2:$C$240,
reglas!$D$2:$D$240,
reglas!$E$2:$E$240,
LAMBDA(rEmisor,rPatron,rConcepto,rTipo,
IF(
AND(
OR(
UPPER(TRIM(rEmisor))=UPPER(TRIM(C1851)),
UPPER(TRIM(rEmisor))=""CUALQUIERA""
),
OR(
UPPER(TRIM(r"&amp;"Tipo))=""SOLO EMISOR"",
AND(
UPPER(TRIM(rTipo))=""EXACTA"",
UPPER(TRIM(D1851))=UPPER(TRIM(rPatron))
),
AND(
OR(
UPPER(TRIM(rTipo))=""CONTIENE"",
UPPER(TRIM(rTipo))=""COINCIDENCIA""
),
ISNUMBER(SEARCH(UPPER(TRIM(rPatron)),UPPER(TRIM(D1851))))
)
)
),
rConce"&amp;"pto,
""""
)
)
)&lt;&gt;""""
),
1
),
""""
)"),"N/A")</f>
        <v>N/A</v>
      </c>
      <c r="L1851" s="27"/>
      <c r="M1851" s="27"/>
      <c r="N1851" s="27"/>
      <c r="O1851" s="27"/>
      <c r="P1851" s="27"/>
      <c r="Q1851" s="27"/>
      <c r="R1851" s="27"/>
      <c r="S1851" s="27"/>
      <c r="T1851" s="27"/>
      <c r="U1851" s="27"/>
      <c r="V1851" s="27"/>
      <c r="W1851" s="27"/>
      <c r="X1851" s="27"/>
      <c r="Y1851" s="27"/>
    </row>
    <row r="1852">
      <c r="A1852" s="32"/>
      <c r="B1852" s="28" t="s">
        <v>29</v>
      </c>
      <c r="C1852" s="29" t="s">
        <v>217</v>
      </c>
      <c r="D1852" s="29" t="s">
        <v>2028</v>
      </c>
      <c r="E1852" s="30">
        <v>6000.0</v>
      </c>
      <c r="F1852" s="28">
        <v>0.0</v>
      </c>
      <c r="G1852" s="28" t="s">
        <v>581</v>
      </c>
      <c r="H1852" s="28">
        <f t="array" ref="H1852">INDEX(CC!C:C,MATCH(1,(CC!A:A=G1852)*(CC!B:B=I1852),0))</f>
        <v>202</v>
      </c>
      <c r="I1852" s="28" t="s">
        <v>25</v>
      </c>
      <c r="J1852" s="31">
        <v>6000.0</v>
      </c>
      <c r="K1852" s="28" t="str">
        <f>IFERROR(__xludf.DUMMYFUNCTION("IFERROR(
INDEX(
FILTER(
MAP(
reglas!$B$2:$B$240,
reglas!$C$2:$C$240,
reglas!$D$2:$D$240,
reglas!$E$2:$E$240,
LAMBDA(rEmisor,rPatron,rConcepto,rTipo,
IF(
AND(
OR(
UPPER(TRIM(rEmisor))=UPPER(TRIM(C1852)),
UPPER(TRIM(rEmisor))=""CUALQUIERA""
),
OR(
UPPER(TRI"&amp;"M(rTipo))=""SOLO EMISOR"",
AND(
UPPER(TRIM(rTipo))=""EXACTA"",
UPPER(TRIM(AG1852))=UPPER(TRIM(rPatron))
),
AND(
OR(
UPPER(TRIM(rTipo))=""CONTIENE"",
UPPER(TRIM(rTipo))=""COINCIDENCIA""
),
ISNUMBER(SEARCH(UPPER(TRIM(rPatron)),UPPER(TRIM(D1852))))
)
)
),
rC"&amp;"oncepto,
""""
)
)
),
MAP(
reglas!$B$2:$B$240,
reglas!$C$2:$C$240,
reglas!$D$2:$D$240,
reglas!$E$2:$E$240,
LAMBDA(rEmisor,rPatron,rConcepto,rTipo,
IF(
AND(
OR(
UPPER(TRIM(rEmisor))=UPPER(TRIM(C1852)),
UPPER(TRIM(rEmisor))=""CUALQUIERA""
),
OR(
UPPER(TRIM(r"&amp;"Tipo))=""SOLO EMISOR"",
AND(
UPPER(TRIM(rTipo))=""EXACTA"",
UPPER(TRIM(D1852))=UPPER(TRIM(rPatron))
),
AND(
OR(
UPPER(TRIM(rTipo))=""CONTIENE"",
UPPER(TRIM(rTipo))=""COINCIDENCIA""
),
ISNUMBER(SEARCH(UPPER(TRIM(rPatron)),UPPER(TRIM(D1852))))
)
)
),
rConce"&amp;"pto,
""""
)
)
)&lt;&gt;""""
),
1
),
""""
)"),"ARRENDAMIENTO EQUIPO DE TRANSPORTE")</f>
        <v>ARRENDAMIENTO EQUIPO DE TRANSPORTE</v>
      </c>
      <c r="L1852" s="27"/>
      <c r="M1852" s="27"/>
      <c r="N1852" s="27"/>
      <c r="O1852" s="27"/>
      <c r="P1852" s="27"/>
      <c r="Q1852" s="27"/>
      <c r="R1852" s="27"/>
      <c r="S1852" s="27"/>
      <c r="T1852" s="27"/>
      <c r="U1852" s="27"/>
      <c r="V1852" s="27"/>
      <c r="W1852" s="27"/>
      <c r="X1852" s="27"/>
      <c r="Y1852" s="27"/>
    </row>
    <row r="1853">
      <c r="A1853" s="32"/>
      <c r="B1853" s="32"/>
      <c r="C1853" s="29" t="s">
        <v>217</v>
      </c>
      <c r="D1853" s="29" t="s">
        <v>2029</v>
      </c>
      <c r="E1853" s="30">
        <v>5300.0</v>
      </c>
      <c r="F1853" s="28">
        <v>0.0</v>
      </c>
      <c r="G1853" s="28" t="s">
        <v>581</v>
      </c>
      <c r="H1853" s="28">
        <f t="array" ref="H1853">INDEX(CC!C:C,MATCH(1,(CC!A:A=G1853)*(CC!B:B=I1853),0))</f>
        <v>202</v>
      </c>
      <c r="I1853" s="28" t="s">
        <v>25</v>
      </c>
      <c r="J1853" s="31">
        <v>5300.0</v>
      </c>
      <c r="K1853" s="28" t="str">
        <f>IFERROR(__xludf.DUMMYFUNCTION("IFERROR(
INDEX(
FILTER(
MAP(
reglas!$B$2:$B$240,
reglas!$C$2:$C$240,
reglas!$D$2:$D$240,
reglas!$E$2:$E$240,
LAMBDA(rEmisor,rPatron,rConcepto,rTipo,
IF(
AND(
OR(
UPPER(TRIM(rEmisor))=UPPER(TRIM(C1853)),
UPPER(TRIM(rEmisor))=""CUALQUIERA""
),
OR(
UPPER(TRI"&amp;"M(rTipo))=""SOLO EMISOR"",
AND(
UPPER(TRIM(rTipo))=""EXACTA"",
UPPER(TRIM(AG1853))=UPPER(TRIM(rPatron))
),
AND(
OR(
UPPER(TRIM(rTipo))=""CONTIENE"",
UPPER(TRIM(rTipo))=""COINCIDENCIA""
),
ISNUMBER(SEARCH(UPPER(TRIM(rPatron)),UPPER(TRIM(D1853))))
)
)
),
rC"&amp;"oncepto,
""""
)
)
),
MAP(
reglas!$B$2:$B$240,
reglas!$C$2:$C$240,
reglas!$D$2:$D$240,
reglas!$E$2:$E$240,
LAMBDA(rEmisor,rPatron,rConcepto,rTipo,
IF(
AND(
OR(
UPPER(TRIM(rEmisor))=UPPER(TRIM(C1853)),
UPPER(TRIM(rEmisor))=""CUALQUIERA""
),
OR(
UPPER(TRIM(r"&amp;"Tipo))=""SOLO EMISOR"",
AND(
UPPER(TRIM(rTipo))=""EXACTA"",
UPPER(TRIM(D1853))=UPPER(TRIM(rPatron))
),
AND(
OR(
UPPER(TRIM(rTipo))=""CONTIENE"",
UPPER(TRIM(rTipo))=""COINCIDENCIA""
),
ISNUMBER(SEARCH(UPPER(TRIM(rPatron)),UPPER(TRIM(D1853))))
)
)
),
rConce"&amp;"pto,
""""
)
)
)&lt;&gt;""""
),
1
),
""""
)"),"ARRENDAMIENTO EQUIPO DE TRANSPORTE")</f>
        <v>ARRENDAMIENTO EQUIPO DE TRANSPORTE</v>
      </c>
      <c r="L1853" s="27"/>
      <c r="M1853" s="27"/>
      <c r="N1853" s="27"/>
      <c r="O1853" s="27"/>
      <c r="P1853" s="27"/>
      <c r="Q1853" s="27"/>
      <c r="R1853" s="27"/>
      <c r="S1853" s="27"/>
      <c r="T1853" s="27"/>
      <c r="U1853" s="27"/>
      <c r="V1853" s="27"/>
      <c r="W1853" s="27"/>
      <c r="X1853" s="27"/>
      <c r="Y1853" s="27"/>
    </row>
    <row r="1854">
      <c r="A1854" s="32"/>
      <c r="B1854" s="32"/>
      <c r="C1854" s="29" t="s">
        <v>217</v>
      </c>
      <c r="D1854" s="29" t="s">
        <v>1950</v>
      </c>
      <c r="E1854" s="30">
        <v>3200.0</v>
      </c>
      <c r="F1854" s="28">
        <v>0.0</v>
      </c>
      <c r="G1854" s="28" t="s">
        <v>581</v>
      </c>
      <c r="H1854" s="28">
        <f t="array" ref="H1854">INDEX(CC!C:C,MATCH(1,(CC!A:A=G1854)*(CC!B:B=I1854),0))</f>
        <v>202</v>
      </c>
      <c r="I1854" s="28" t="s">
        <v>25</v>
      </c>
      <c r="J1854" s="31">
        <v>3200.0</v>
      </c>
      <c r="K1854" s="28" t="str">
        <f>IFERROR(__xludf.DUMMYFUNCTION("IFERROR(
INDEX(
FILTER(
MAP(
reglas!$B$2:$B$240,
reglas!$C$2:$C$240,
reglas!$D$2:$D$240,
reglas!$E$2:$E$240,
LAMBDA(rEmisor,rPatron,rConcepto,rTipo,
IF(
AND(
OR(
UPPER(TRIM(rEmisor))=UPPER(TRIM(C1854)),
UPPER(TRIM(rEmisor))=""CUALQUIERA""
),
OR(
UPPER(TRI"&amp;"M(rTipo))=""SOLO EMISOR"",
AND(
UPPER(TRIM(rTipo))=""EXACTA"",
UPPER(TRIM(AG1854))=UPPER(TRIM(rPatron))
),
AND(
OR(
UPPER(TRIM(rTipo))=""CONTIENE"",
UPPER(TRIM(rTipo))=""COINCIDENCIA""
),
ISNUMBER(SEARCH(UPPER(TRIM(rPatron)),UPPER(TRIM(D1854))))
)
)
),
rC"&amp;"oncepto,
""""
)
)
),
MAP(
reglas!$B$2:$B$240,
reglas!$C$2:$C$240,
reglas!$D$2:$D$240,
reglas!$E$2:$E$240,
LAMBDA(rEmisor,rPatron,rConcepto,rTipo,
IF(
AND(
OR(
UPPER(TRIM(rEmisor))=UPPER(TRIM(C1854)),
UPPER(TRIM(rEmisor))=""CUALQUIERA""
),
OR(
UPPER(TRIM(r"&amp;"Tipo))=""SOLO EMISOR"",
AND(
UPPER(TRIM(rTipo))=""EXACTA"",
UPPER(TRIM(D1854))=UPPER(TRIM(rPatron))
),
AND(
OR(
UPPER(TRIM(rTipo))=""CONTIENE"",
UPPER(TRIM(rTipo))=""COINCIDENCIA""
),
ISNUMBER(SEARCH(UPPER(TRIM(rPatron)),UPPER(TRIM(D1854))))
)
)
),
rConce"&amp;"pto,
""""
)
)
)&lt;&gt;""""
),
1
),
""""
)"),"ARRENDAMIENTO EQUIPO DE TRANSPORTE")</f>
        <v>ARRENDAMIENTO EQUIPO DE TRANSPORTE</v>
      </c>
      <c r="L1854" s="27"/>
      <c r="M1854" s="27"/>
      <c r="N1854" s="27"/>
      <c r="O1854" s="27"/>
      <c r="P1854" s="27"/>
      <c r="Q1854" s="27"/>
      <c r="R1854" s="27"/>
      <c r="S1854" s="27"/>
      <c r="T1854" s="27"/>
      <c r="U1854" s="27"/>
      <c r="V1854" s="27"/>
      <c r="W1854" s="27"/>
      <c r="X1854" s="27"/>
      <c r="Y1854" s="27"/>
    </row>
    <row r="1855">
      <c r="A1855" s="32"/>
      <c r="B1855" s="32"/>
      <c r="C1855" s="29" t="s">
        <v>217</v>
      </c>
      <c r="D1855" s="29" t="s">
        <v>2030</v>
      </c>
      <c r="E1855" s="30">
        <v>3763.15</v>
      </c>
      <c r="F1855" s="28">
        <v>0.0</v>
      </c>
      <c r="G1855" s="28" t="s">
        <v>581</v>
      </c>
      <c r="H1855" s="28">
        <f t="array" ref="H1855">INDEX(CC!C:C,MATCH(1,(CC!A:A=G1855)*(CC!B:B=I1855),0))</f>
        <v>202</v>
      </c>
      <c r="I1855" s="28" t="s">
        <v>25</v>
      </c>
      <c r="J1855" s="31">
        <v>3763.15</v>
      </c>
      <c r="K1855" s="28" t="str">
        <f>IFERROR(__xludf.DUMMYFUNCTION("IFERROR(
INDEX(
FILTER(
MAP(
reglas!$B$2:$B$240,
reglas!$C$2:$C$240,
reglas!$D$2:$D$240,
reglas!$E$2:$E$240,
LAMBDA(rEmisor,rPatron,rConcepto,rTipo,
IF(
AND(
OR(
UPPER(TRIM(rEmisor))=UPPER(TRIM(C1855)),
UPPER(TRIM(rEmisor))=""CUALQUIERA""
),
OR(
UPPER(TRI"&amp;"M(rTipo))=""SOLO EMISOR"",
AND(
UPPER(TRIM(rTipo))=""EXACTA"",
UPPER(TRIM(AG1855))=UPPER(TRIM(rPatron))
),
AND(
OR(
UPPER(TRIM(rTipo))=""CONTIENE"",
UPPER(TRIM(rTipo))=""COINCIDENCIA""
),
ISNUMBER(SEARCH(UPPER(TRIM(rPatron)),UPPER(TRIM(D1855))))
)
)
),
rC"&amp;"oncepto,
""""
)
)
),
MAP(
reglas!$B$2:$B$240,
reglas!$C$2:$C$240,
reglas!$D$2:$D$240,
reglas!$E$2:$E$240,
LAMBDA(rEmisor,rPatron,rConcepto,rTipo,
IF(
AND(
OR(
UPPER(TRIM(rEmisor))=UPPER(TRIM(C1855)),
UPPER(TRIM(rEmisor))=""CUALQUIERA""
),
OR(
UPPER(TRIM(r"&amp;"Tipo))=""SOLO EMISOR"",
AND(
UPPER(TRIM(rTipo))=""EXACTA"",
UPPER(TRIM(D1855))=UPPER(TRIM(rPatron))
),
AND(
OR(
UPPER(TRIM(rTipo))=""CONTIENE"",
UPPER(TRIM(rTipo))=""COINCIDENCIA""
),
ISNUMBER(SEARCH(UPPER(TRIM(rPatron)),UPPER(TRIM(D1855))))
)
)
),
rConce"&amp;"pto,
""""
)
)
)&lt;&gt;""""
),
1
),
""""
)"),"ARRENDAMIENTO EQUIPO DE TRANSPORTE")</f>
        <v>ARRENDAMIENTO EQUIPO DE TRANSPORTE</v>
      </c>
      <c r="L1855" s="27"/>
      <c r="M1855" s="27"/>
      <c r="N1855" s="27"/>
      <c r="O1855" s="27"/>
      <c r="P1855" s="27"/>
      <c r="Q1855" s="27"/>
      <c r="R1855" s="27"/>
      <c r="S1855" s="27"/>
      <c r="T1855" s="27"/>
      <c r="U1855" s="27"/>
      <c r="V1855" s="27"/>
      <c r="W1855" s="27"/>
      <c r="X1855" s="27"/>
      <c r="Y1855" s="27"/>
    </row>
    <row r="1856">
      <c r="A1856" s="32"/>
      <c r="B1856" s="28" t="s">
        <v>29</v>
      </c>
      <c r="C1856" s="29" t="s">
        <v>239</v>
      </c>
      <c r="D1856" s="29" t="s">
        <v>1847</v>
      </c>
      <c r="E1856" s="28">
        <v>288.0</v>
      </c>
      <c r="F1856" s="28">
        <v>0.0</v>
      </c>
      <c r="G1856" s="28" t="s">
        <v>225</v>
      </c>
      <c r="H1856" s="28">
        <f t="array" ref="H1856">INDEX(CC!C:C,MATCH(1,(CC!A:A=G1856)*(CC!B:B=I1856),0))</f>
        <v>102</v>
      </c>
      <c r="I1856" s="28" t="s">
        <v>25</v>
      </c>
      <c r="J1856" s="31">
        <v>288.0</v>
      </c>
      <c r="K1856" s="28" t="str">
        <f>IFERROR(__xludf.DUMMYFUNCTION("IFERROR(
INDEX(
FILTER(
MAP(
reglas!$B$2:$B$240,
reglas!$C$2:$C$240,
reglas!$D$2:$D$240,
reglas!$E$2:$E$240,
LAMBDA(rEmisor,rPatron,rConcepto,rTipo,
IF(
AND(
OR(
UPPER(TRIM(rEmisor))=UPPER(TRIM(C1856)),
UPPER(TRIM(rEmisor))=""CUALQUIERA""
),
OR(
UPPER(TRI"&amp;"M(rTipo))=""SOLO EMISOR"",
AND(
UPPER(TRIM(rTipo))=""EXACTA"",
UPPER(TRIM(AG1856))=UPPER(TRIM(rPatron))
),
AND(
OR(
UPPER(TRIM(rTipo))=""CONTIENE"",
UPPER(TRIM(rTipo))=""COINCIDENCIA""
),
ISNUMBER(SEARCH(UPPER(TRIM(rPatron)),UPPER(TRIM(D1856))))
)
)
),
rC"&amp;"oncepto,
""""
)
)
),
MAP(
reglas!$B$2:$B$240,
reglas!$C$2:$C$240,
reglas!$D$2:$D$240,
reglas!$E$2:$E$240,
LAMBDA(rEmisor,rPatron,rConcepto,rTipo,
IF(
AND(
OR(
UPPER(TRIM(rEmisor))=UPPER(TRIM(C1856)),
UPPER(TRIM(rEmisor))=""CUALQUIERA""
),
OR(
UPPER(TRIM(r"&amp;"Tipo))=""SOLO EMISOR"",
AND(
UPPER(TRIM(rTipo))=""EXACTA"",
UPPER(TRIM(D1856))=UPPER(TRIM(rPatron))
),
AND(
OR(
UPPER(TRIM(rTipo))=""CONTIENE"",
UPPER(TRIM(rTipo))=""COINCIDENCIA""
),
ISNUMBER(SEARCH(UPPER(TRIM(rPatron)),UPPER(TRIM(D1856))))
)
)
),
rConce"&amp;"pto,
""""
)
)
)&lt;&gt;""""
),
1
),
""""
)"),"INSUMOS DE OFICINA")</f>
        <v>INSUMOS DE OFICINA</v>
      </c>
      <c r="L1856" s="27"/>
      <c r="M1856" s="27"/>
      <c r="N1856" s="27"/>
      <c r="O1856" s="27"/>
      <c r="P1856" s="27"/>
      <c r="Q1856" s="27"/>
      <c r="R1856" s="27"/>
      <c r="S1856" s="27"/>
      <c r="T1856" s="27"/>
      <c r="U1856" s="27"/>
      <c r="V1856" s="27"/>
      <c r="W1856" s="27"/>
      <c r="X1856" s="27"/>
      <c r="Y1856" s="27"/>
    </row>
    <row r="1857">
      <c r="A1857" s="32"/>
      <c r="B1857" s="28" t="s">
        <v>29</v>
      </c>
      <c r="C1857" s="29" t="s">
        <v>202</v>
      </c>
      <c r="D1857" s="29" t="s">
        <v>2031</v>
      </c>
      <c r="E1857" s="30">
        <v>22500.0</v>
      </c>
      <c r="F1857" s="28">
        <v>0.0</v>
      </c>
      <c r="G1857" s="28" t="s">
        <v>225</v>
      </c>
      <c r="H1857" s="28">
        <f t="array" ref="H1857">INDEX(CC!C:C,MATCH(1,(CC!A:A=G1857)*(CC!B:B=I1857),0))</f>
        <v>102</v>
      </c>
      <c r="I1857" s="28" t="s">
        <v>25</v>
      </c>
      <c r="J1857" s="31">
        <v>22500.0</v>
      </c>
      <c r="K1857" s="28" t="str">
        <f>IFERROR(__xludf.DUMMYFUNCTION("IFERROR(
INDEX(
FILTER(
MAP(
reglas!$B$2:$B$240,
reglas!$C$2:$C$240,
reglas!$D$2:$D$240,
reglas!$E$2:$E$240,
LAMBDA(rEmisor,rPatron,rConcepto,rTipo,
IF(
AND(
OR(
UPPER(TRIM(rEmisor))=UPPER(TRIM(C1857)),
UPPER(TRIM(rEmisor))=""CUALQUIERA""
),
OR(
UPPER(TRI"&amp;"M(rTipo))=""SOLO EMISOR"",
AND(
UPPER(TRIM(rTipo))=""EXACTA"",
UPPER(TRIM(AG1857))=UPPER(TRIM(rPatron))
),
AND(
OR(
UPPER(TRIM(rTipo))=""CONTIENE"",
UPPER(TRIM(rTipo))=""COINCIDENCIA""
),
ISNUMBER(SEARCH(UPPER(TRIM(rPatron)),UPPER(TRIM(D1857))))
)
)
),
rC"&amp;"oncepto,
""""
)
)
),
MAP(
reglas!$B$2:$B$240,
reglas!$C$2:$C$240,
reglas!$D$2:$D$240,
reglas!$E$2:$E$240,
LAMBDA(rEmisor,rPatron,rConcepto,rTipo,
IF(
AND(
OR(
UPPER(TRIM(rEmisor))=UPPER(TRIM(C1857)),
UPPER(TRIM(rEmisor))=""CUALQUIERA""
),
OR(
UPPER(TRIM(r"&amp;"Tipo))=""SOLO EMISOR"",
AND(
UPPER(TRIM(rTipo))=""EXACTA"",
UPPER(TRIM(D1857))=UPPER(TRIM(rPatron))
),
AND(
OR(
UPPER(TRIM(rTipo))=""CONTIENE"",
UPPER(TRIM(rTipo))=""COINCIDENCIA""
),
ISNUMBER(SEARCH(UPPER(TRIM(rPatron)),UPPER(TRIM(D1857))))
)
)
),
rConce"&amp;"pto,
""""
)
)
)&lt;&gt;""""
),
1
),
""""
)"),"ASESORIA CONTABLE")</f>
        <v>ASESORIA CONTABLE</v>
      </c>
      <c r="L1857" s="27"/>
      <c r="M1857" s="27"/>
      <c r="N1857" s="27"/>
      <c r="O1857" s="27"/>
      <c r="P1857" s="27"/>
      <c r="Q1857" s="27"/>
      <c r="R1857" s="27"/>
      <c r="S1857" s="27"/>
      <c r="T1857" s="27"/>
      <c r="U1857" s="27"/>
      <c r="V1857" s="27"/>
      <c r="W1857" s="27"/>
      <c r="X1857" s="27"/>
      <c r="Y1857" s="27"/>
    </row>
    <row r="1858">
      <c r="A1858" s="32"/>
      <c r="B1858" s="28" t="s">
        <v>29</v>
      </c>
      <c r="C1858" s="29" t="s">
        <v>217</v>
      </c>
      <c r="D1858" s="29" t="s">
        <v>2032</v>
      </c>
      <c r="E1858" s="30">
        <v>6000.0</v>
      </c>
      <c r="F1858" s="28">
        <v>0.0</v>
      </c>
      <c r="G1858" s="28" t="s">
        <v>601</v>
      </c>
      <c r="H1858" s="28">
        <f t="array" ref="H1858">INDEX(CC!C:C,MATCH(1,(CC!A:A=G1858)*(CC!B:B=I1858),0))</f>
        <v>402</v>
      </c>
      <c r="I1858" s="28" t="s">
        <v>25</v>
      </c>
      <c r="J1858" s="31">
        <v>6000.0</v>
      </c>
      <c r="K1858" s="28" t="str">
        <f>IFERROR(__xludf.DUMMYFUNCTION("IFERROR(
INDEX(
FILTER(
MAP(
reglas!$B$2:$B$240,
reglas!$C$2:$C$240,
reglas!$D$2:$D$240,
reglas!$E$2:$E$240,
LAMBDA(rEmisor,rPatron,rConcepto,rTipo,
IF(
AND(
OR(
UPPER(TRIM(rEmisor))=UPPER(TRIM(C1858)),
UPPER(TRIM(rEmisor))=""CUALQUIERA""
),
OR(
UPPER(TRI"&amp;"M(rTipo))=""SOLO EMISOR"",
AND(
UPPER(TRIM(rTipo))=""EXACTA"",
UPPER(TRIM(AG1858))=UPPER(TRIM(rPatron))
),
AND(
OR(
UPPER(TRIM(rTipo))=""CONTIENE"",
UPPER(TRIM(rTipo))=""COINCIDENCIA""
),
ISNUMBER(SEARCH(UPPER(TRIM(rPatron)),UPPER(TRIM(D1858))))
)
)
),
rC"&amp;"oncepto,
""""
)
)
),
MAP(
reglas!$B$2:$B$240,
reglas!$C$2:$C$240,
reglas!$D$2:$D$240,
reglas!$E$2:$E$240,
LAMBDA(rEmisor,rPatron,rConcepto,rTipo,
IF(
AND(
OR(
UPPER(TRIM(rEmisor))=UPPER(TRIM(C1858)),
UPPER(TRIM(rEmisor))=""CUALQUIERA""
),
OR(
UPPER(TRIM(r"&amp;"Tipo))=""SOLO EMISOR"",
AND(
UPPER(TRIM(rTipo))=""EXACTA"",
UPPER(TRIM(D1858))=UPPER(TRIM(rPatron))
),
AND(
OR(
UPPER(TRIM(rTipo))=""CONTIENE"",
UPPER(TRIM(rTipo))=""COINCIDENCIA""
),
ISNUMBER(SEARCH(UPPER(TRIM(rPatron)),UPPER(TRIM(D1858))))
)
)
),
rConce"&amp;"pto,
""""
)
)
)&lt;&gt;""""
),
1
),
""""
)"),"ARRENDAMIENTO EQUIPO DE TRANSPORTE")</f>
        <v>ARRENDAMIENTO EQUIPO DE TRANSPORTE</v>
      </c>
      <c r="L1858" s="27"/>
      <c r="M1858" s="27"/>
      <c r="N1858" s="27"/>
      <c r="O1858" s="27"/>
      <c r="P1858" s="27"/>
      <c r="Q1858" s="27"/>
      <c r="R1858" s="27"/>
      <c r="S1858" s="27"/>
      <c r="T1858" s="27"/>
      <c r="U1858" s="27"/>
      <c r="V1858" s="27"/>
      <c r="W1858" s="27"/>
      <c r="X1858" s="27"/>
      <c r="Y1858" s="27"/>
    </row>
    <row r="1859">
      <c r="A1859" s="32"/>
      <c r="B1859" s="32"/>
      <c r="C1859" s="29" t="s">
        <v>217</v>
      </c>
      <c r="D1859" s="29" t="s">
        <v>2033</v>
      </c>
      <c r="E1859" s="30">
        <v>2308.88</v>
      </c>
      <c r="F1859" s="28">
        <v>0.0</v>
      </c>
      <c r="G1859" s="28" t="s">
        <v>601</v>
      </c>
      <c r="H1859" s="28">
        <f t="array" ref="H1859">INDEX(CC!C:C,MATCH(1,(CC!A:A=G1859)*(CC!B:B=I1859),0))</f>
        <v>402</v>
      </c>
      <c r="I1859" s="28" t="s">
        <v>25</v>
      </c>
      <c r="J1859" s="31">
        <v>2308.88</v>
      </c>
      <c r="K1859" s="28" t="str">
        <f>IFERROR(__xludf.DUMMYFUNCTION("IFERROR(
INDEX(
FILTER(
MAP(
reglas!$B$2:$B$240,
reglas!$C$2:$C$240,
reglas!$D$2:$D$240,
reglas!$E$2:$E$240,
LAMBDA(rEmisor,rPatron,rConcepto,rTipo,
IF(
AND(
OR(
UPPER(TRIM(rEmisor))=UPPER(TRIM(C1859)),
UPPER(TRIM(rEmisor))=""CUALQUIERA""
),
OR(
UPPER(TRI"&amp;"M(rTipo))=""SOLO EMISOR"",
AND(
UPPER(TRIM(rTipo))=""EXACTA"",
UPPER(TRIM(AG1859))=UPPER(TRIM(rPatron))
),
AND(
OR(
UPPER(TRIM(rTipo))=""CONTIENE"",
UPPER(TRIM(rTipo))=""COINCIDENCIA""
),
ISNUMBER(SEARCH(UPPER(TRIM(rPatron)),UPPER(TRIM(D1859))))
)
)
),
rC"&amp;"oncepto,
""""
)
)
),
MAP(
reglas!$B$2:$B$240,
reglas!$C$2:$C$240,
reglas!$D$2:$D$240,
reglas!$E$2:$E$240,
LAMBDA(rEmisor,rPatron,rConcepto,rTipo,
IF(
AND(
OR(
UPPER(TRIM(rEmisor))=UPPER(TRIM(C1859)),
UPPER(TRIM(rEmisor))=""CUALQUIERA""
),
OR(
UPPER(TRIM(r"&amp;"Tipo))=""SOLO EMISOR"",
AND(
UPPER(TRIM(rTipo))=""EXACTA"",
UPPER(TRIM(D1859))=UPPER(TRIM(rPatron))
),
AND(
OR(
UPPER(TRIM(rTipo))=""CONTIENE"",
UPPER(TRIM(rTipo))=""COINCIDENCIA""
),
ISNUMBER(SEARCH(UPPER(TRIM(rPatron)),UPPER(TRIM(D1859))))
)
)
),
rConce"&amp;"pto,
""""
)
)
)&lt;&gt;""""
),
1
),
""""
)"),"ARRENDAMIENTO EQUIPO DE TRANSPORTE")</f>
        <v>ARRENDAMIENTO EQUIPO DE TRANSPORTE</v>
      </c>
      <c r="L1859" s="27"/>
      <c r="M1859" s="27"/>
      <c r="N1859" s="27"/>
      <c r="O1859" s="27"/>
      <c r="P1859" s="27"/>
      <c r="Q1859" s="27"/>
      <c r="R1859" s="27"/>
      <c r="S1859" s="27"/>
      <c r="T1859" s="27"/>
      <c r="U1859" s="27"/>
      <c r="V1859" s="27"/>
      <c r="W1859" s="27"/>
      <c r="X1859" s="27"/>
      <c r="Y1859" s="27"/>
    </row>
    <row r="1860">
      <c r="A1860" s="32"/>
      <c r="B1860" s="32"/>
      <c r="C1860" s="29" t="s">
        <v>217</v>
      </c>
      <c r="D1860" s="29" t="s">
        <v>1950</v>
      </c>
      <c r="E1860" s="30">
        <v>1200.0</v>
      </c>
      <c r="F1860" s="28">
        <v>0.0</v>
      </c>
      <c r="G1860" s="28" t="s">
        <v>601</v>
      </c>
      <c r="H1860" s="28">
        <f t="array" ref="H1860">INDEX(CC!C:C,MATCH(1,(CC!A:A=G1860)*(CC!B:B=I1860),0))</f>
        <v>402</v>
      </c>
      <c r="I1860" s="28" t="s">
        <v>25</v>
      </c>
      <c r="J1860" s="31">
        <v>1200.0</v>
      </c>
      <c r="K1860" s="28" t="str">
        <f>IFERROR(__xludf.DUMMYFUNCTION("IFERROR(
INDEX(
FILTER(
MAP(
reglas!$B$2:$B$240,
reglas!$C$2:$C$240,
reglas!$D$2:$D$240,
reglas!$E$2:$E$240,
LAMBDA(rEmisor,rPatron,rConcepto,rTipo,
IF(
AND(
OR(
UPPER(TRIM(rEmisor))=UPPER(TRIM(C1860)),
UPPER(TRIM(rEmisor))=""CUALQUIERA""
),
OR(
UPPER(TRI"&amp;"M(rTipo))=""SOLO EMISOR"",
AND(
UPPER(TRIM(rTipo))=""EXACTA"",
UPPER(TRIM(AG1860))=UPPER(TRIM(rPatron))
),
AND(
OR(
UPPER(TRIM(rTipo))=""CONTIENE"",
UPPER(TRIM(rTipo))=""COINCIDENCIA""
),
ISNUMBER(SEARCH(UPPER(TRIM(rPatron)),UPPER(TRIM(D1860))))
)
)
),
rC"&amp;"oncepto,
""""
)
)
),
MAP(
reglas!$B$2:$B$240,
reglas!$C$2:$C$240,
reglas!$D$2:$D$240,
reglas!$E$2:$E$240,
LAMBDA(rEmisor,rPatron,rConcepto,rTipo,
IF(
AND(
OR(
UPPER(TRIM(rEmisor))=UPPER(TRIM(C1860)),
UPPER(TRIM(rEmisor))=""CUALQUIERA""
),
OR(
UPPER(TRIM(r"&amp;"Tipo))=""SOLO EMISOR"",
AND(
UPPER(TRIM(rTipo))=""EXACTA"",
UPPER(TRIM(D1860))=UPPER(TRIM(rPatron))
),
AND(
OR(
UPPER(TRIM(rTipo))=""CONTIENE"",
UPPER(TRIM(rTipo))=""COINCIDENCIA""
),
ISNUMBER(SEARCH(UPPER(TRIM(rPatron)),UPPER(TRIM(D1860))))
)
)
),
rConce"&amp;"pto,
""""
)
)
)&lt;&gt;""""
),
1
),
""""
)"),"ARRENDAMIENTO EQUIPO DE TRANSPORTE")</f>
        <v>ARRENDAMIENTO EQUIPO DE TRANSPORTE</v>
      </c>
      <c r="L1860" s="27"/>
      <c r="M1860" s="27"/>
      <c r="N1860" s="27"/>
      <c r="O1860" s="27"/>
      <c r="P1860" s="27"/>
      <c r="Q1860" s="27"/>
      <c r="R1860" s="27"/>
      <c r="S1860" s="27"/>
      <c r="T1860" s="27"/>
      <c r="U1860" s="27"/>
      <c r="V1860" s="27"/>
      <c r="W1860" s="27"/>
      <c r="X1860" s="27"/>
      <c r="Y1860" s="27"/>
    </row>
    <row r="1861">
      <c r="A1861" s="32"/>
      <c r="B1861" s="32"/>
      <c r="C1861" s="29" t="s">
        <v>217</v>
      </c>
      <c r="D1861" s="29" t="s">
        <v>2030</v>
      </c>
      <c r="E1861" s="28">
        <v>330.0</v>
      </c>
      <c r="F1861" s="28">
        <v>0.0</v>
      </c>
      <c r="G1861" s="28" t="s">
        <v>601</v>
      </c>
      <c r="H1861" s="28">
        <f t="array" ref="H1861">INDEX(CC!C:C,MATCH(1,(CC!A:A=G1861)*(CC!B:B=I1861),0))</f>
        <v>402</v>
      </c>
      <c r="I1861" s="28" t="s">
        <v>25</v>
      </c>
      <c r="J1861" s="31">
        <v>330.0</v>
      </c>
      <c r="K1861" s="28" t="str">
        <f>IFERROR(__xludf.DUMMYFUNCTION("IFERROR(
INDEX(
FILTER(
MAP(
reglas!$B$2:$B$240,
reglas!$C$2:$C$240,
reglas!$D$2:$D$240,
reglas!$E$2:$E$240,
LAMBDA(rEmisor,rPatron,rConcepto,rTipo,
IF(
AND(
OR(
UPPER(TRIM(rEmisor))=UPPER(TRIM(C1861)),
UPPER(TRIM(rEmisor))=""CUALQUIERA""
),
OR(
UPPER(TRI"&amp;"M(rTipo))=""SOLO EMISOR"",
AND(
UPPER(TRIM(rTipo))=""EXACTA"",
UPPER(TRIM(AG1861))=UPPER(TRIM(rPatron))
),
AND(
OR(
UPPER(TRIM(rTipo))=""CONTIENE"",
UPPER(TRIM(rTipo))=""COINCIDENCIA""
),
ISNUMBER(SEARCH(UPPER(TRIM(rPatron)),UPPER(TRIM(D1861))))
)
)
),
rC"&amp;"oncepto,
""""
)
)
),
MAP(
reglas!$B$2:$B$240,
reglas!$C$2:$C$240,
reglas!$D$2:$D$240,
reglas!$E$2:$E$240,
LAMBDA(rEmisor,rPatron,rConcepto,rTipo,
IF(
AND(
OR(
UPPER(TRIM(rEmisor))=UPPER(TRIM(C1861)),
UPPER(TRIM(rEmisor))=""CUALQUIERA""
),
OR(
UPPER(TRIM(r"&amp;"Tipo))=""SOLO EMISOR"",
AND(
UPPER(TRIM(rTipo))=""EXACTA"",
UPPER(TRIM(D1861))=UPPER(TRIM(rPatron))
),
AND(
OR(
UPPER(TRIM(rTipo))=""CONTIENE"",
UPPER(TRIM(rTipo))=""COINCIDENCIA""
),
ISNUMBER(SEARCH(UPPER(TRIM(rPatron)),UPPER(TRIM(D1861))))
)
)
),
rConce"&amp;"pto,
""""
)
)
)&lt;&gt;""""
),
1
),
""""
)"),"ARRENDAMIENTO EQUIPO DE TRANSPORTE")</f>
        <v>ARRENDAMIENTO EQUIPO DE TRANSPORTE</v>
      </c>
      <c r="L1861" s="27"/>
      <c r="M1861" s="27"/>
      <c r="N1861" s="27"/>
      <c r="O1861" s="27"/>
      <c r="P1861" s="27"/>
      <c r="Q1861" s="27"/>
      <c r="R1861" s="27"/>
      <c r="S1861" s="27"/>
      <c r="T1861" s="27"/>
      <c r="U1861" s="27"/>
      <c r="V1861" s="27"/>
      <c r="W1861" s="27"/>
      <c r="X1861" s="27"/>
      <c r="Y1861" s="27"/>
    </row>
    <row r="1862">
      <c r="A1862" s="32"/>
      <c r="B1862" s="28" t="s">
        <v>29</v>
      </c>
      <c r="C1862" s="29" t="s">
        <v>172</v>
      </c>
      <c r="D1862" s="29" t="s">
        <v>1463</v>
      </c>
      <c r="E1862" s="30">
        <v>11500.0</v>
      </c>
      <c r="F1862" s="28">
        <v>0.0</v>
      </c>
      <c r="G1862" s="28" t="s">
        <v>250</v>
      </c>
      <c r="H1862" s="28">
        <f t="array" ref="H1862">INDEX(CC!C:C,MATCH(1,(CC!A:A=G1862)*(CC!B:B=I1862),0))</f>
        <v>1402</v>
      </c>
      <c r="I1862" s="28" t="s">
        <v>25</v>
      </c>
      <c r="J1862" s="31">
        <v>11500.0</v>
      </c>
      <c r="K1862" s="28" t="str">
        <f>IFERROR(__xludf.DUMMYFUNCTION("IFERROR(
INDEX(
FILTER(
MAP(
reglas!$B$2:$B$240,
reglas!$C$2:$C$240,
reglas!$D$2:$D$240,
reglas!$E$2:$E$240,
LAMBDA(rEmisor,rPatron,rConcepto,rTipo,
IF(
AND(
OR(
UPPER(TRIM(rEmisor))=UPPER(TRIM(C1862)),
UPPER(TRIM(rEmisor))=""CUALQUIERA""
),
OR(
UPPER(TRI"&amp;"M(rTipo))=""SOLO EMISOR"",
AND(
UPPER(TRIM(rTipo))=""EXACTA"",
UPPER(TRIM(AG1862))=UPPER(TRIM(rPatron))
),
AND(
OR(
UPPER(TRIM(rTipo))=""CONTIENE"",
UPPER(TRIM(rTipo))=""COINCIDENCIA""
),
ISNUMBER(SEARCH(UPPER(TRIM(rPatron)),UPPER(TRIM(D1862))))
)
)
),
rC"&amp;"oncepto,
""""
)
)
),
MAP(
reglas!$B$2:$B$240,
reglas!$C$2:$C$240,
reglas!$D$2:$D$240,
reglas!$E$2:$E$240,
LAMBDA(rEmisor,rPatron,rConcepto,rTipo,
IF(
AND(
OR(
UPPER(TRIM(rEmisor))=UPPER(TRIM(C1862)),
UPPER(TRIM(rEmisor))=""CUALQUIERA""
),
OR(
UPPER(TRIM(r"&amp;"Tipo))=""SOLO EMISOR"",
AND(
UPPER(TRIM(rTipo))=""EXACTA"",
UPPER(TRIM(D1862))=UPPER(TRIM(rPatron))
),
AND(
OR(
UPPER(TRIM(rTipo))=""CONTIENE"",
UPPER(TRIM(rTipo))=""COINCIDENCIA""
),
ISNUMBER(SEARCH(UPPER(TRIM(rPatron)),UPPER(TRIM(D1862))))
)
)
),
rConce"&amp;"pto,
""""
)
)
)&lt;&gt;""""
),
1
),
""""
)"),"TRANSPORTE")</f>
        <v>TRANSPORTE</v>
      </c>
      <c r="L1862" s="27"/>
      <c r="M1862" s="27"/>
      <c r="N1862" s="27"/>
      <c r="O1862" s="27"/>
      <c r="P1862" s="27"/>
      <c r="Q1862" s="27"/>
      <c r="R1862" s="27"/>
      <c r="S1862" s="27"/>
      <c r="T1862" s="27"/>
      <c r="U1862" s="27"/>
      <c r="V1862" s="27"/>
      <c r="W1862" s="27"/>
      <c r="X1862" s="27"/>
      <c r="Y1862" s="27"/>
    </row>
    <row r="1863">
      <c r="A1863" s="32"/>
      <c r="B1863" s="28" t="s">
        <v>29</v>
      </c>
      <c r="C1863" s="29" t="s">
        <v>172</v>
      </c>
      <c r="D1863" s="29" t="s">
        <v>2034</v>
      </c>
      <c r="E1863" s="30">
        <v>11500.0</v>
      </c>
      <c r="F1863" s="28">
        <v>0.0</v>
      </c>
      <c r="G1863" s="28" t="s">
        <v>250</v>
      </c>
      <c r="H1863" s="28">
        <f t="array" ref="H1863">INDEX(CC!C:C,MATCH(1,(CC!A:A=G1863)*(CC!B:B=I1863),0))</f>
        <v>1402</v>
      </c>
      <c r="I1863" s="28" t="s">
        <v>25</v>
      </c>
      <c r="J1863" s="31">
        <v>11500.0</v>
      </c>
      <c r="K1863" s="28" t="str">
        <f>IFERROR(__xludf.DUMMYFUNCTION("IFERROR(
INDEX(
FILTER(
MAP(
reglas!$B$2:$B$240,
reglas!$C$2:$C$240,
reglas!$D$2:$D$240,
reglas!$E$2:$E$240,
LAMBDA(rEmisor,rPatron,rConcepto,rTipo,
IF(
AND(
OR(
UPPER(TRIM(rEmisor))=UPPER(TRIM(C1863)),
UPPER(TRIM(rEmisor))=""CUALQUIERA""
),
OR(
UPPER(TRI"&amp;"M(rTipo))=""SOLO EMISOR"",
AND(
UPPER(TRIM(rTipo))=""EXACTA"",
UPPER(TRIM(AG1863))=UPPER(TRIM(rPatron))
),
AND(
OR(
UPPER(TRIM(rTipo))=""CONTIENE"",
UPPER(TRIM(rTipo))=""COINCIDENCIA""
),
ISNUMBER(SEARCH(UPPER(TRIM(rPatron)),UPPER(TRIM(D1863))))
)
)
),
rC"&amp;"oncepto,
""""
)
)
),
MAP(
reglas!$B$2:$B$240,
reglas!$C$2:$C$240,
reglas!$D$2:$D$240,
reglas!$E$2:$E$240,
LAMBDA(rEmisor,rPatron,rConcepto,rTipo,
IF(
AND(
OR(
UPPER(TRIM(rEmisor))=UPPER(TRIM(C1863)),
UPPER(TRIM(rEmisor))=""CUALQUIERA""
),
OR(
UPPER(TRIM(r"&amp;"Tipo))=""SOLO EMISOR"",
AND(
UPPER(TRIM(rTipo))=""EXACTA"",
UPPER(TRIM(D1863))=UPPER(TRIM(rPatron))
),
AND(
OR(
UPPER(TRIM(rTipo))=""CONTIENE"",
UPPER(TRIM(rTipo))=""COINCIDENCIA""
),
ISNUMBER(SEARCH(UPPER(TRIM(rPatron)),UPPER(TRIM(D1863))))
)
)
),
rConce"&amp;"pto,
""""
)
)
)&lt;&gt;""""
),
1
),
""""
)"),"TRANSPORTE")</f>
        <v>TRANSPORTE</v>
      </c>
      <c r="L1863" s="27"/>
      <c r="M1863" s="27"/>
      <c r="N1863" s="27"/>
      <c r="O1863" s="27"/>
      <c r="P1863" s="27"/>
      <c r="Q1863" s="27"/>
      <c r="R1863" s="27"/>
      <c r="S1863" s="27"/>
      <c r="T1863" s="27"/>
      <c r="U1863" s="27"/>
      <c r="V1863" s="27"/>
      <c r="W1863" s="27"/>
      <c r="X1863" s="27"/>
      <c r="Y1863" s="27"/>
    </row>
    <row r="1864">
      <c r="A1864" s="32"/>
      <c r="B1864" s="28" t="s">
        <v>29</v>
      </c>
      <c r="C1864" s="29" t="s">
        <v>487</v>
      </c>
      <c r="D1864" s="29" t="s">
        <v>2035</v>
      </c>
      <c r="E1864" s="30">
        <v>15000.0</v>
      </c>
      <c r="F1864" s="28">
        <v>0.0</v>
      </c>
      <c r="G1864" s="28" t="s">
        <v>225</v>
      </c>
      <c r="H1864" s="28">
        <f t="array" ref="H1864">INDEX(CC!C:C,MATCH(1,(CC!A:A=G1864)*(CC!B:B=I1864),0))</f>
        <v>102</v>
      </c>
      <c r="I1864" s="28" t="s">
        <v>25</v>
      </c>
      <c r="J1864" s="31">
        <v>15000.0</v>
      </c>
      <c r="K1864" s="28" t="str">
        <f>IFERROR(__xludf.DUMMYFUNCTION("IFERROR(
INDEX(
FILTER(
MAP(
reglas!$B$2:$B$240,
reglas!$C$2:$C$240,
reglas!$D$2:$D$240,
reglas!$E$2:$E$240,
LAMBDA(rEmisor,rPatron,rConcepto,rTipo,
IF(
AND(
OR(
UPPER(TRIM(rEmisor))=UPPER(TRIM(C1864)),
UPPER(TRIM(rEmisor))=""CUALQUIERA""
),
OR(
UPPER(TRI"&amp;"M(rTipo))=""SOLO EMISOR"",
AND(
UPPER(TRIM(rTipo))=""EXACTA"",
UPPER(TRIM(AG1864))=UPPER(TRIM(rPatron))
),
AND(
OR(
UPPER(TRIM(rTipo))=""CONTIENE"",
UPPER(TRIM(rTipo))=""COINCIDENCIA""
),
ISNUMBER(SEARCH(UPPER(TRIM(rPatron)),UPPER(TRIM(D1864))))
)
)
),
rC"&amp;"oncepto,
""""
)
)
),
MAP(
reglas!$B$2:$B$240,
reglas!$C$2:$C$240,
reglas!$D$2:$D$240,
reglas!$E$2:$E$240,
LAMBDA(rEmisor,rPatron,rConcepto,rTipo,
IF(
AND(
OR(
UPPER(TRIM(rEmisor))=UPPER(TRIM(C1864)),
UPPER(TRIM(rEmisor))=""CUALQUIERA""
),
OR(
UPPER(TRIM(r"&amp;"Tipo))=""SOLO EMISOR"",
AND(
UPPER(TRIM(rTipo))=""EXACTA"",
UPPER(TRIM(D1864))=UPPER(TRIM(rPatron))
),
AND(
OR(
UPPER(TRIM(rTipo))=""CONTIENE"",
UPPER(TRIM(rTipo))=""COINCIDENCIA""
),
ISNUMBER(SEARCH(UPPER(TRIM(rPatron)),UPPER(TRIM(D1864))))
)
)
),
rConce"&amp;"pto,
""""
)
)
)&lt;&gt;""""
),
1
),
""""
)"),"RECLUTAMIENTO")</f>
        <v>RECLUTAMIENTO</v>
      </c>
      <c r="L1864" s="27"/>
      <c r="M1864" s="27"/>
      <c r="N1864" s="27"/>
      <c r="O1864" s="27"/>
      <c r="P1864" s="27"/>
      <c r="Q1864" s="27"/>
      <c r="R1864" s="27"/>
      <c r="S1864" s="27"/>
      <c r="T1864" s="27"/>
      <c r="U1864" s="27"/>
      <c r="V1864" s="27"/>
      <c r="W1864" s="27"/>
      <c r="X1864" s="27"/>
      <c r="Y1864" s="27"/>
    </row>
    <row r="1865">
      <c r="A1865" s="32"/>
      <c r="B1865" s="28" t="s">
        <v>29</v>
      </c>
      <c r="C1865" s="29" t="s">
        <v>172</v>
      </c>
      <c r="D1865" s="29" t="s">
        <v>2034</v>
      </c>
      <c r="E1865" s="30">
        <v>11500.0</v>
      </c>
      <c r="F1865" s="28">
        <v>0.0</v>
      </c>
      <c r="G1865" s="28" t="s">
        <v>250</v>
      </c>
      <c r="H1865" s="28">
        <f t="array" ref="H1865">INDEX(CC!C:C,MATCH(1,(CC!A:A=G1865)*(CC!B:B=I1865),0))</f>
        <v>1402</v>
      </c>
      <c r="I1865" s="28" t="s">
        <v>25</v>
      </c>
      <c r="J1865" s="31">
        <v>11500.0</v>
      </c>
      <c r="K1865" s="28" t="str">
        <f>IFERROR(__xludf.DUMMYFUNCTION("IFERROR(
INDEX(
FILTER(
MAP(
reglas!$B$2:$B$240,
reglas!$C$2:$C$240,
reglas!$D$2:$D$240,
reglas!$E$2:$E$240,
LAMBDA(rEmisor,rPatron,rConcepto,rTipo,
IF(
AND(
OR(
UPPER(TRIM(rEmisor))=UPPER(TRIM(C1865)),
UPPER(TRIM(rEmisor))=""CUALQUIERA""
),
OR(
UPPER(TRI"&amp;"M(rTipo))=""SOLO EMISOR"",
AND(
UPPER(TRIM(rTipo))=""EXACTA"",
UPPER(TRIM(AG1865))=UPPER(TRIM(rPatron))
),
AND(
OR(
UPPER(TRIM(rTipo))=""CONTIENE"",
UPPER(TRIM(rTipo))=""COINCIDENCIA""
),
ISNUMBER(SEARCH(UPPER(TRIM(rPatron)),UPPER(TRIM(D1865))))
)
)
),
rC"&amp;"oncepto,
""""
)
)
),
MAP(
reglas!$B$2:$B$240,
reglas!$C$2:$C$240,
reglas!$D$2:$D$240,
reglas!$E$2:$E$240,
LAMBDA(rEmisor,rPatron,rConcepto,rTipo,
IF(
AND(
OR(
UPPER(TRIM(rEmisor))=UPPER(TRIM(C1865)),
UPPER(TRIM(rEmisor))=""CUALQUIERA""
),
OR(
UPPER(TRIM(r"&amp;"Tipo))=""SOLO EMISOR"",
AND(
UPPER(TRIM(rTipo))=""EXACTA"",
UPPER(TRIM(D1865))=UPPER(TRIM(rPatron))
),
AND(
OR(
UPPER(TRIM(rTipo))=""CONTIENE"",
UPPER(TRIM(rTipo))=""COINCIDENCIA""
),
ISNUMBER(SEARCH(UPPER(TRIM(rPatron)),UPPER(TRIM(D1865))))
)
)
),
rConce"&amp;"pto,
""""
)
)
)&lt;&gt;""""
),
1
),
""""
)"),"TRANSPORTE")</f>
        <v>TRANSPORTE</v>
      </c>
      <c r="L1865" s="27"/>
      <c r="M1865" s="27"/>
      <c r="N1865" s="27"/>
      <c r="O1865" s="27"/>
      <c r="P1865" s="27"/>
      <c r="Q1865" s="27"/>
      <c r="R1865" s="27"/>
      <c r="S1865" s="27"/>
      <c r="T1865" s="27"/>
      <c r="U1865" s="27"/>
      <c r="V1865" s="27"/>
      <c r="W1865" s="27"/>
      <c r="X1865" s="27"/>
      <c r="Y1865" s="27"/>
    </row>
    <row r="1866">
      <c r="A1866" s="32"/>
      <c r="B1866" s="28" t="s">
        <v>29</v>
      </c>
      <c r="C1866" s="29" t="s">
        <v>278</v>
      </c>
      <c r="D1866" s="29" t="s">
        <v>560</v>
      </c>
      <c r="E1866" s="30">
        <v>3500.0</v>
      </c>
      <c r="F1866" s="28">
        <v>0.0</v>
      </c>
      <c r="G1866" s="28" t="s">
        <v>250</v>
      </c>
      <c r="H1866" s="28">
        <f t="array" ref="H1866">INDEX(CC!C:C,MATCH(1,(CC!A:A=G1866)*(CC!B:B=I1866),0))</f>
        <v>1402</v>
      </c>
      <c r="I1866" s="28" t="s">
        <v>25</v>
      </c>
      <c r="J1866" s="31">
        <v>3500.0</v>
      </c>
      <c r="K1866" s="28" t="str">
        <f>IFERROR(__xludf.DUMMYFUNCTION("IFERROR(
INDEX(
FILTER(
MAP(
reglas!$B$2:$B$240,
reglas!$C$2:$C$240,
reglas!$D$2:$D$240,
reglas!$E$2:$E$240,
LAMBDA(rEmisor,rPatron,rConcepto,rTipo,
IF(
AND(
OR(
UPPER(TRIM(rEmisor))=UPPER(TRIM(C1866)),
UPPER(TRIM(rEmisor))=""CUALQUIERA""
),
OR(
UPPER(TRI"&amp;"M(rTipo))=""SOLO EMISOR"",
AND(
UPPER(TRIM(rTipo))=""EXACTA"",
UPPER(TRIM(AG1866))=UPPER(TRIM(rPatron))
),
AND(
OR(
UPPER(TRIM(rTipo))=""CONTIENE"",
UPPER(TRIM(rTipo))=""COINCIDENCIA""
),
ISNUMBER(SEARCH(UPPER(TRIM(rPatron)),UPPER(TRIM(D1866))))
)
)
),
rC"&amp;"oncepto,
""""
)
)
),
MAP(
reglas!$B$2:$B$240,
reglas!$C$2:$C$240,
reglas!$D$2:$D$240,
reglas!$E$2:$E$240,
LAMBDA(rEmisor,rPatron,rConcepto,rTipo,
IF(
AND(
OR(
UPPER(TRIM(rEmisor))=UPPER(TRIM(C1866)),
UPPER(TRIM(rEmisor))=""CUALQUIERA""
),
OR(
UPPER(TRIM(r"&amp;"Tipo))=""SOLO EMISOR"",
AND(
UPPER(TRIM(rTipo))=""EXACTA"",
UPPER(TRIM(D1866))=UPPER(TRIM(rPatron))
),
AND(
OR(
UPPER(TRIM(rTipo))=""CONTIENE"",
UPPER(TRIM(rTipo))=""COINCIDENCIA""
),
ISNUMBER(SEARCH(UPPER(TRIM(rPatron)),UPPER(TRIM(D1866))))
)
)
),
rConce"&amp;"pto,
""""
)
)
)&lt;&gt;""""
),
1
),
""""
)"),"MANIOBRAS")</f>
        <v>MANIOBRAS</v>
      </c>
      <c r="L1866" s="27"/>
      <c r="M1866" s="27"/>
      <c r="N1866" s="27"/>
      <c r="O1866" s="27"/>
      <c r="P1866" s="27"/>
      <c r="Q1866" s="27"/>
      <c r="R1866" s="27"/>
      <c r="S1866" s="27"/>
      <c r="T1866" s="27"/>
      <c r="U1866" s="27"/>
      <c r="V1866" s="27"/>
      <c r="W1866" s="27"/>
      <c r="X1866" s="27"/>
      <c r="Y1866" s="27"/>
    </row>
    <row r="1867">
      <c r="A1867" s="32"/>
      <c r="B1867" s="28" t="s">
        <v>29</v>
      </c>
      <c r="C1867" s="29" t="s">
        <v>172</v>
      </c>
      <c r="D1867" s="29" t="s">
        <v>2034</v>
      </c>
      <c r="E1867" s="30">
        <v>11500.0</v>
      </c>
      <c r="F1867" s="28">
        <v>0.0</v>
      </c>
      <c r="G1867" s="28" t="s">
        <v>250</v>
      </c>
      <c r="H1867" s="28">
        <f t="array" ref="H1867">INDEX(CC!C:C,MATCH(1,(CC!A:A=G1867)*(CC!B:B=I1867),0))</f>
        <v>1402</v>
      </c>
      <c r="I1867" s="28" t="s">
        <v>25</v>
      </c>
      <c r="J1867" s="31">
        <v>11500.0</v>
      </c>
      <c r="K1867" s="28" t="str">
        <f>IFERROR(__xludf.DUMMYFUNCTION("IFERROR(
INDEX(
FILTER(
MAP(
reglas!$B$2:$B$240,
reglas!$C$2:$C$240,
reglas!$D$2:$D$240,
reglas!$E$2:$E$240,
LAMBDA(rEmisor,rPatron,rConcepto,rTipo,
IF(
AND(
OR(
UPPER(TRIM(rEmisor))=UPPER(TRIM(C1867)),
UPPER(TRIM(rEmisor))=""CUALQUIERA""
),
OR(
UPPER(TRI"&amp;"M(rTipo))=""SOLO EMISOR"",
AND(
UPPER(TRIM(rTipo))=""EXACTA"",
UPPER(TRIM(AG1867))=UPPER(TRIM(rPatron))
),
AND(
OR(
UPPER(TRIM(rTipo))=""CONTIENE"",
UPPER(TRIM(rTipo))=""COINCIDENCIA""
),
ISNUMBER(SEARCH(UPPER(TRIM(rPatron)),UPPER(TRIM(D1867))))
)
)
),
rC"&amp;"oncepto,
""""
)
)
),
MAP(
reglas!$B$2:$B$240,
reglas!$C$2:$C$240,
reglas!$D$2:$D$240,
reglas!$E$2:$E$240,
LAMBDA(rEmisor,rPatron,rConcepto,rTipo,
IF(
AND(
OR(
UPPER(TRIM(rEmisor))=UPPER(TRIM(C1867)),
UPPER(TRIM(rEmisor))=""CUALQUIERA""
),
OR(
UPPER(TRIM(r"&amp;"Tipo))=""SOLO EMISOR"",
AND(
UPPER(TRIM(rTipo))=""EXACTA"",
UPPER(TRIM(D1867))=UPPER(TRIM(rPatron))
),
AND(
OR(
UPPER(TRIM(rTipo))=""CONTIENE"",
UPPER(TRIM(rTipo))=""COINCIDENCIA""
),
ISNUMBER(SEARCH(UPPER(TRIM(rPatron)),UPPER(TRIM(D1867))))
)
)
),
rConce"&amp;"pto,
""""
)
)
)&lt;&gt;""""
),
1
),
""""
)"),"TRANSPORTE")</f>
        <v>TRANSPORTE</v>
      </c>
      <c r="L1867" s="27"/>
      <c r="M1867" s="27"/>
      <c r="N1867" s="27"/>
      <c r="O1867" s="27"/>
      <c r="P1867" s="27"/>
      <c r="Q1867" s="27"/>
      <c r="R1867" s="27"/>
      <c r="S1867" s="27"/>
      <c r="T1867" s="27"/>
      <c r="U1867" s="27"/>
      <c r="V1867" s="27"/>
      <c r="W1867" s="27"/>
      <c r="X1867" s="27"/>
      <c r="Y1867" s="27"/>
    </row>
    <row r="1868">
      <c r="A1868" s="32"/>
      <c r="B1868" s="28" t="s">
        <v>29</v>
      </c>
      <c r="C1868" s="29" t="s">
        <v>217</v>
      </c>
      <c r="D1868" s="29" t="s">
        <v>2036</v>
      </c>
      <c r="E1868" s="30">
        <v>6000.0</v>
      </c>
      <c r="F1868" s="28">
        <v>0.0</v>
      </c>
      <c r="G1868" s="28" t="s">
        <v>601</v>
      </c>
      <c r="H1868" s="28">
        <f t="array" ref="H1868">INDEX(CC!C:C,MATCH(1,(CC!A:A=G1868)*(CC!B:B=I1868),0))</f>
        <v>402</v>
      </c>
      <c r="I1868" s="28" t="s">
        <v>25</v>
      </c>
      <c r="J1868" s="31">
        <v>6000.0</v>
      </c>
      <c r="K1868" s="28" t="str">
        <f>IFERROR(__xludf.DUMMYFUNCTION("IFERROR(
INDEX(
FILTER(
MAP(
reglas!$B$2:$B$240,
reglas!$C$2:$C$240,
reglas!$D$2:$D$240,
reglas!$E$2:$E$240,
LAMBDA(rEmisor,rPatron,rConcepto,rTipo,
IF(
AND(
OR(
UPPER(TRIM(rEmisor))=UPPER(TRIM(C1868)),
UPPER(TRIM(rEmisor))=""CUALQUIERA""
),
OR(
UPPER(TRI"&amp;"M(rTipo))=""SOLO EMISOR"",
AND(
UPPER(TRIM(rTipo))=""EXACTA"",
UPPER(TRIM(AG1868))=UPPER(TRIM(rPatron))
),
AND(
OR(
UPPER(TRIM(rTipo))=""CONTIENE"",
UPPER(TRIM(rTipo))=""COINCIDENCIA""
),
ISNUMBER(SEARCH(UPPER(TRIM(rPatron)),UPPER(TRIM(D1868))))
)
)
),
rC"&amp;"oncepto,
""""
)
)
),
MAP(
reglas!$B$2:$B$240,
reglas!$C$2:$C$240,
reglas!$D$2:$D$240,
reglas!$E$2:$E$240,
LAMBDA(rEmisor,rPatron,rConcepto,rTipo,
IF(
AND(
OR(
UPPER(TRIM(rEmisor))=UPPER(TRIM(C1868)),
UPPER(TRIM(rEmisor))=""CUALQUIERA""
),
OR(
UPPER(TRIM(r"&amp;"Tipo))=""SOLO EMISOR"",
AND(
UPPER(TRIM(rTipo))=""EXACTA"",
UPPER(TRIM(D1868))=UPPER(TRIM(rPatron))
),
AND(
OR(
UPPER(TRIM(rTipo))=""CONTIENE"",
UPPER(TRIM(rTipo))=""COINCIDENCIA""
),
ISNUMBER(SEARCH(UPPER(TRIM(rPatron)),UPPER(TRIM(D1868))))
)
)
),
rConce"&amp;"pto,
""""
)
)
)&lt;&gt;""""
),
1
),
""""
)"),"ARRENDAMIENTO EQUIPO DE TRANSPORTE")</f>
        <v>ARRENDAMIENTO EQUIPO DE TRANSPORTE</v>
      </c>
      <c r="L1868" s="27"/>
      <c r="M1868" s="27"/>
      <c r="N1868" s="27"/>
      <c r="O1868" s="27"/>
      <c r="P1868" s="27"/>
      <c r="Q1868" s="27"/>
      <c r="R1868" s="27"/>
      <c r="S1868" s="27"/>
      <c r="T1868" s="27"/>
      <c r="U1868" s="27"/>
      <c r="V1868" s="27"/>
      <c r="W1868" s="27"/>
      <c r="X1868" s="27"/>
      <c r="Y1868" s="27"/>
    </row>
    <row r="1869">
      <c r="A1869" s="32"/>
      <c r="B1869" s="32"/>
      <c r="C1869" s="29" t="s">
        <v>217</v>
      </c>
      <c r="D1869" s="29" t="s">
        <v>2033</v>
      </c>
      <c r="E1869" s="30">
        <v>2308.88</v>
      </c>
      <c r="F1869" s="28">
        <v>0.0</v>
      </c>
      <c r="G1869" s="28" t="s">
        <v>601</v>
      </c>
      <c r="H1869" s="28">
        <f t="array" ref="H1869">INDEX(CC!C:C,MATCH(1,(CC!A:A=G1869)*(CC!B:B=I1869),0))</f>
        <v>402</v>
      </c>
      <c r="I1869" s="28" t="s">
        <v>25</v>
      </c>
      <c r="J1869" s="31">
        <v>2308.88</v>
      </c>
      <c r="K1869" s="28" t="str">
        <f>IFERROR(__xludf.DUMMYFUNCTION("IFERROR(
INDEX(
FILTER(
MAP(
reglas!$B$2:$B$240,
reglas!$C$2:$C$240,
reglas!$D$2:$D$240,
reglas!$E$2:$E$240,
LAMBDA(rEmisor,rPatron,rConcepto,rTipo,
IF(
AND(
OR(
UPPER(TRIM(rEmisor))=UPPER(TRIM(C1869)),
UPPER(TRIM(rEmisor))=""CUALQUIERA""
),
OR(
UPPER(TRI"&amp;"M(rTipo))=""SOLO EMISOR"",
AND(
UPPER(TRIM(rTipo))=""EXACTA"",
UPPER(TRIM(AG1869))=UPPER(TRIM(rPatron))
),
AND(
OR(
UPPER(TRIM(rTipo))=""CONTIENE"",
UPPER(TRIM(rTipo))=""COINCIDENCIA""
),
ISNUMBER(SEARCH(UPPER(TRIM(rPatron)),UPPER(TRIM(D1869))))
)
)
),
rC"&amp;"oncepto,
""""
)
)
),
MAP(
reglas!$B$2:$B$240,
reglas!$C$2:$C$240,
reglas!$D$2:$D$240,
reglas!$E$2:$E$240,
LAMBDA(rEmisor,rPatron,rConcepto,rTipo,
IF(
AND(
OR(
UPPER(TRIM(rEmisor))=UPPER(TRIM(C1869)),
UPPER(TRIM(rEmisor))=""CUALQUIERA""
),
OR(
UPPER(TRIM(r"&amp;"Tipo))=""SOLO EMISOR"",
AND(
UPPER(TRIM(rTipo))=""EXACTA"",
UPPER(TRIM(D1869))=UPPER(TRIM(rPatron))
),
AND(
OR(
UPPER(TRIM(rTipo))=""CONTIENE"",
UPPER(TRIM(rTipo))=""COINCIDENCIA""
),
ISNUMBER(SEARCH(UPPER(TRIM(rPatron)),UPPER(TRIM(D1869))))
)
)
),
rConce"&amp;"pto,
""""
)
)
)&lt;&gt;""""
),
1
),
""""
)"),"ARRENDAMIENTO EQUIPO DE TRANSPORTE")</f>
        <v>ARRENDAMIENTO EQUIPO DE TRANSPORTE</v>
      </c>
      <c r="L1869" s="27"/>
      <c r="M1869" s="27"/>
      <c r="N1869" s="27"/>
      <c r="O1869" s="27"/>
      <c r="P1869" s="27"/>
      <c r="Q1869" s="27"/>
      <c r="R1869" s="27"/>
      <c r="S1869" s="27"/>
      <c r="T1869" s="27"/>
      <c r="U1869" s="27"/>
      <c r="V1869" s="27"/>
      <c r="W1869" s="27"/>
      <c r="X1869" s="27"/>
      <c r="Y1869" s="27"/>
    </row>
    <row r="1870">
      <c r="A1870" s="32"/>
      <c r="B1870" s="32"/>
      <c r="C1870" s="29" t="s">
        <v>217</v>
      </c>
      <c r="D1870" s="29" t="s">
        <v>1950</v>
      </c>
      <c r="E1870" s="30">
        <v>1200.0</v>
      </c>
      <c r="F1870" s="28">
        <v>0.0</v>
      </c>
      <c r="G1870" s="28" t="s">
        <v>601</v>
      </c>
      <c r="H1870" s="28">
        <f t="array" ref="H1870">INDEX(CC!C:C,MATCH(1,(CC!A:A=G1870)*(CC!B:B=I1870),0))</f>
        <v>402</v>
      </c>
      <c r="I1870" s="28" t="s">
        <v>25</v>
      </c>
      <c r="J1870" s="31">
        <v>1200.0</v>
      </c>
      <c r="K1870" s="28" t="str">
        <f>IFERROR(__xludf.DUMMYFUNCTION("IFERROR(
INDEX(
FILTER(
MAP(
reglas!$B$2:$B$240,
reglas!$C$2:$C$240,
reglas!$D$2:$D$240,
reglas!$E$2:$E$240,
LAMBDA(rEmisor,rPatron,rConcepto,rTipo,
IF(
AND(
OR(
UPPER(TRIM(rEmisor))=UPPER(TRIM(C1870)),
UPPER(TRIM(rEmisor))=""CUALQUIERA""
),
OR(
UPPER(TRI"&amp;"M(rTipo))=""SOLO EMISOR"",
AND(
UPPER(TRIM(rTipo))=""EXACTA"",
UPPER(TRIM(AG1870))=UPPER(TRIM(rPatron))
),
AND(
OR(
UPPER(TRIM(rTipo))=""CONTIENE"",
UPPER(TRIM(rTipo))=""COINCIDENCIA""
),
ISNUMBER(SEARCH(UPPER(TRIM(rPatron)),UPPER(TRIM(D1870))))
)
)
),
rC"&amp;"oncepto,
""""
)
)
),
MAP(
reglas!$B$2:$B$240,
reglas!$C$2:$C$240,
reglas!$D$2:$D$240,
reglas!$E$2:$E$240,
LAMBDA(rEmisor,rPatron,rConcepto,rTipo,
IF(
AND(
OR(
UPPER(TRIM(rEmisor))=UPPER(TRIM(C1870)),
UPPER(TRIM(rEmisor))=""CUALQUIERA""
),
OR(
UPPER(TRIM(r"&amp;"Tipo))=""SOLO EMISOR"",
AND(
UPPER(TRIM(rTipo))=""EXACTA"",
UPPER(TRIM(D1870))=UPPER(TRIM(rPatron))
),
AND(
OR(
UPPER(TRIM(rTipo))=""CONTIENE"",
UPPER(TRIM(rTipo))=""COINCIDENCIA""
),
ISNUMBER(SEARCH(UPPER(TRIM(rPatron)),UPPER(TRIM(D1870))))
)
)
),
rConce"&amp;"pto,
""""
)
)
)&lt;&gt;""""
),
1
),
""""
)"),"ARRENDAMIENTO EQUIPO DE TRANSPORTE")</f>
        <v>ARRENDAMIENTO EQUIPO DE TRANSPORTE</v>
      </c>
      <c r="L1870" s="27"/>
      <c r="M1870" s="27"/>
      <c r="N1870" s="27"/>
      <c r="O1870" s="27"/>
      <c r="P1870" s="27"/>
      <c r="Q1870" s="27"/>
      <c r="R1870" s="27"/>
      <c r="S1870" s="27"/>
      <c r="T1870" s="27"/>
      <c r="U1870" s="27"/>
      <c r="V1870" s="27"/>
      <c r="W1870" s="27"/>
      <c r="X1870" s="27"/>
      <c r="Y1870" s="27"/>
    </row>
    <row r="1871">
      <c r="A1871" s="32"/>
      <c r="B1871" s="32"/>
      <c r="C1871" s="29" t="s">
        <v>217</v>
      </c>
      <c r="D1871" s="29" t="s">
        <v>2030</v>
      </c>
      <c r="E1871" s="28">
        <v>330.0</v>
      </c>
      <c r="F1871" s="28">
        <v>0.0</v>
      </c>
      <c r="G1871" s="28" t="s">
        <v>601</v>
      </c>
      <c r="H1871" s="28">
        <f t="array" ref="H1871">INDEX(CC!C:C,MATCH(1,(CC!A:A=G1871)*(CC!B:B=I1871),0))</f>
        <v>402</v>
      </c>
      <c r="I1871" s="28" t="s">
        <v>25</v>
      </c>
      <c r="J1871" s="31">
        <v>330.0</v>
      </c>
      <c r="K1871" s="28" t="str">
        <f>IFERROR(__xludf.DUMMYFUNCTION("IFERROR(
INDEX(
FILTER(
MAP(
reglas!$B$2:$B$240,
reglas!$C$2:$C$240,
reglas!$D$2:$D$240,
reglas!$E$2:$E$240,
LAMBDA(rEmisor,rPatron,rConcepto,rTipo,
IF(
AND(
OR(
UPPER(TRIM(rEmisor))=UPPER(TRIM(C1871)),
UPPER(TRIM(rEmisor))=""CUALQUIERA""
),
OR(
UPPER(TRI"&amp;"M(rTipo))=""SOLO EMISOR"",
AND(
UPPER(TRIM(rTipo))=""EXACTA"",
UPPER(TRIM(AG1871))=UPPER(TRIM(rPatron))
),
AND(
OR(
UPPER(TRIM(rTipo))=""CONTIENE"",
UPPER(TRIM(rTipo))=""COINCIDENCIA""
),
ISNUMBER(SEARCH(UPPER(TRIM(rPatron)),UPPER(TRIM(D1871))))
)
)
),
rC"&amp;"oncepto,
""""
)
)
),
MAP(
reglas!$B$2:$B$240,
reglas!$C$2:$C$240,
reglas!$D$2:$D$240,
reglas!$E$2:$E$240,
LAMBDA(rEmisor,rPatron,rConcepto,rTipo,
IF(
AND(
OR(
UPPER(TRIM(rEmisor))=UPPER(TRIM(C1871)),
UPPER(TRIM(rEmisor))=""CUALQUIERA""
),
OR(
UPPER(TRIM(r"&amp;"Tipo))=""SOLO EMISOR"",
AND(
UPPER(TRIM(rTipo))=""EXACTA"",
UPPER(TRIM(D1871))=UPPER(TRIM(rPatron))
),
AND(
OR(
UPPER(TRIM(rTipo))=""CONTIENE"",
UPPER(TRIM(rTipo))=""COINCIDENCIA""
),
ISNUMBER(SEARCH(UPPER(TRIM(rPatron)),UPPER(TRIM(D1871))))
)
)
),
rConce"&amp;"pto,
""""
)
)
)&lt;&gt;""""
),
1
),
""""
)"),"ARRENDAMIENTO EQUIPO DE TRANSPORTE")</f>
        <v>ARRENDAMIENTO EQUIPO DE TRANSPORTE</v>
      </c>
      <c r="L1871" s="27"/>
      <c r="M1871" s="27"/>
      <c r="N1871" s="27"/>
      <c r="O1871" s="27"/>
      <c r="P1871" s="27"/>
      <c r="Q1871" s="27"/>
      <c r="R1871" s="27"/>
      <c r="S1871" s="27"/>
      <c r="T1871" s="27"/>
      <c r="U1871" s="27"/>
      <c r="V1871" s="27"/>
      <c r="W1871" s="27"/>
      <c r="X1871" s="27"/>
      <c r="Y1871" s="27"/>
    </row>
    <row r="1872">
      <c r="A1872" s="32"/>
      <c r="B1872" s="28" t="s">
        <v>29</v>
      </c>
      <c r="C1872" s="29" t="s">
        <v>259</v>
      </c>
      <c r="D1872" s="29" t="s">
        <v>697</v>
      </c>
      <c r="E1872" s="28">
        <v>259.37</v>
      </c>
      <c r="F1872" s="28">
        <v>0.0</v>
      </c>
      <c r="G1872" s="28" t="s">
        <v>581</v>
      </c>
      <c r="H1872" s="28">
        <f t="array" ref="H1872">INDEX(CC!C:C,MATCH(1,(CC!A:A=G1872)*(CC!B:B=I1872),0))</f>
        <v>202</v>
      </c>
      <c r="I1872" s="28" t="s">
        <v>25</v>
      </c>
      <c r="J1872" s="5"/>
      <c r="K1872" s="28" t="str">
        <f>IFERROR(__xludf.DUMMYFUNCTION("IFERROR(
INDEX(
FILTER(
MAP(
reglas!$B$2:$B$240,
reglas!$C$2:$C$240,
reglas!$D$2:$D$240,
reglas!$E$2:$E$240,
LAMBDA(rEmisor,rPatron,rConcepto,rTipo,
IF(
AND(
OR(
UPPER(TRIM(rEmisor))=UPPER(TRIM(C1872)),
UPPER(TRIM(rEmisor))=""CUALQUIERA""
),
OR(
UPPER(TRI"&amp;"M(rTipo))=""SOLO EMISOR"",
AND(
UPPER(TRIM(rTipo))=""EXACTA"",
UPPER(TRIM(AG1872))=UPPER(TRIM(rPatron))
),
AND(
OR(
UPPER(TRIM(rTipo))=""CONTIENE"",
UPPER(TRIM(rTipo))=""COINCIDENCIA""
),
ISNUMBER(SEARCH(UPPER(TRIM(rPatron)),UPPER(TRIM(D1872))))
)
)
),
rC"&amp;"oncepto,
""""
)
)
),
MAP(
reglas!$B$2:$B$240,
reglas!$C$2:$C$240,
reglas!$D$2:$D$240,
reglas!$E$2:$E$240,
LAMBDA(rEmisor,rPatron,rConcepto,rTipo,
IF(
AND(
OR(
UPPER(TRIM(rEmisor))=UPPER(TRIM(C1872)),
UPPER(TRIM(rEmisor))=""CUALQUIERA""
),
OR(
UPPER(TRIM(r"&amp;"Tipo))=""SOLO EMISOR"",
AND(
UPPER(TRIM(rTipo))=""EXACTA"",
UPPER(TRIM(D1872))=UPPER(TRIM(rPatron))
),
AND(
OR(
UPPER(TRIM(rTipo))=""CONTIENE"",
UPPER(TRIM(rTipo))=""COINCIDENCIA""
),
ISNUMBER(SEARCH(UPPER(TRIM(rPatron)),UPPER(TRIM(D1872))))
)
)
),
rConce"&amp;"pto,
""""
)
)
)&lt;&gt;""""
),
1
),
""""
)"),"COMBUSTIBLES Y LUBRICANTES")</f>
        <v>COMBUSTIBLES Y LUBRICANTES</v>
      </c>
      <c r="L1872" s="27"/>
      <c r="M1872" s="27"/>
      <c r="N1872" s="27"/>
      <c r="O1872" s="27"/>
      <c r="P1872" s="27"/>
      <c r="Q1872" s="27"/>
      <c r="R1872" s="27"/>
      <c r="S1872" s="27"/>
      <c r="T1872" s="27"/>
      <c r="U1872" s="27"/>
      <c r="V1872" s="27"/>
      <c r="W1872" s="27"/>
      <c r="X1872" s="27"/>
      <c r="Y1872" s="27"/>
    </row>
    <row r="1873">
      <c r="A1873" s="32"/>
      <c r="B1873" s="32"/>
      <c r="C1873" s="29" t="s">
        <v>259</v>
      </c>
      <c r="D1873" s="29" t="s">
        <v>636</v>
      </c>
      <c r="E1873" s="28">
        <v>432.78</v>
      </c>
      <c r="F1873" s="28">
        <v>0.0</v>
      </c>
      <c r="G1873" s="28" t="s">
        <v>581</v>
      </c>
      <c r="H1873" s="28">
        <f t="array" ref="H1873">INDEX(CC!C:C,MATCH(1,(CC!A:A=G1873)*(CC!B:B=I1873),0))</f>
        <v>202</v>
      </c>
      <c r="I1873" s="28" t="s">
        <v>25</v>
      </c>
      <c r="J1873" s="5"/>
      <c r="K1873" s="28" t="str">
        <f>IFERROR(__xludf.DUMMYFUNCTION("IFERROR(
INDEX(
FILTER(
MAP(
reglas!$B$2:$B$240,
reglas!$C$2:$C$240,
reglas!$D$2:$D$240,
reglas!$E$2:$E$240,
LAMBDA(rEmisor,rPatron,rConcepto,rTipo,
IF(
AND(
OR(
UPPER(TRIM(rEmisor))=UPPER(TRIM(C1873)),
UPPER(TRIM(rEmisor))=""CUALQUIERA""
),
OR(
UPPER(TRI"&amp;"M(rTipo))=""SOLO EMISOR"",
AND(
UPPER(TRIM(rTipo))=""EXACTA"",
UPPER(TRIM(AG1873))=UPPER(TRIM(rPatron))
),
AND(
OR(
UPPER(TRIM(rTipo))=""CONTIENE"",
UPPER(TRIM(rTipo))=""COINCIDENCIA""
),
ISNUMBER(SEARCH(UPPER(TRIM(rPatron)),UPPER(TRIM(D1873))))
)
)
),
rC"&amp;"oncepto,
""""
)
)
),
MAP(
reglas!$B$2:$B$240,
reglas!$C$2:$C$240,
reglas!$D$2:$D$240,
reglas!$E$2:$E$240,
LAMBDA(rEmisor,rPatron,rConcepto,rTipo,
IF(
AND(
OR(
UPPER(TRIM(rEmisor))=UPPER(TRIM(C1873)),
UPPER(TRIM(rEmisor))=""CUALQUIERA""
),
OR(
UPPER(TRIM(r"&amp;"Tipo))=""SOLO EMISOR"",
AND(
UPPER(TRIM(rTipo))=""EXACTA"",
UPPER(TRIM(D1873))=UPPER(TRIM(rPatron))
),
AND(
OR(
UPPER(TRIM(rTipo))=""CONTIENE"",
UPPER(TRIM(rTipo))=""COINCIDENCIA""
),
ISNUMBER(SEARCH(UPPER(TRIM(rPatron)),UPPER(TRIM(D1873))))
)
)
),
rConce"&amp;"pto,
""""
)
)
)&lt;&gt;""""
),
1
),
""""
)"),"COMBUSTIBLES Y LUBRICANTES")</f>
        <v>COMBUSTIBLES Y LUBRICANTES</v>
      </c>
      <c r="L1873" s="27"/>
      <c r="M1873" s="27"/>
      <c r="N1873" s="27"/>
      <c r="O1873" s="27"/>
      <c r="P1873" s="27"/>
      <c r="Q1873" s="27"/>
      <c r="R1873" s="27"/>
      <c r="S1873" s="27"/>
      <c r="T1873" s="27"/>
      <c r="U1873" s="27"/>
      <c r="V1873" s="27"/>
      <c r="W1873" s="27"/>
      <c r="X1873" s="27"/>
      <c r="Y1873" s="27"/>
    </row>
    <row r="1874">
      <c r="A1874" s="32"/>
      <c r="B1874" s="32"/>
      <c r="C1874" s="29" t="s">
        <v>259</v>
      </c>
      <c r="D1874" s="29" t="s">
        <v>697</v>
      </c>
      <c r="E1874" s="28">
        <v>432.3</v>
      </c>
      <c r="F1874" s="28">
        <v>0.0</v>
      </c>
      <c r="G1874" s="28" t="s">
        <v>581</v>
      </c>
      <c r="H1874" s="28">
        <f t="array" ref="H1874">INDEX(CC!C:C,MATCH(1,(CC!A:A=G1874)*(CC!B:B=I1874),0))</f>
        <v>202</v>
      </c>
      <c r="I1874" s="28" t="s">
        <v>25</v>
      </c>
      <c r="J1874" s="5"/>
      <c r="K1874" s="28" t="str">
        <f>IFERROR(__xludf.DUMMYFUNCTION("IFERROR(
INDEX(
FILTER(
MAP(
reglas!$B$2:$B$240,
reglas!$C$2:$C$240,
reglas!$D$2:$D$240,
reglas!$E$2:$E$240,
LAMBDA(rEmisor,rPatron,rConcepto,rTipo,
IF(
AND(
OR(
UPPER(TRIM(rEmisor))=UPPER(TRIM(C1874)),
UPPER(TRIM(rEmisor))=""CUALQUIERA""
),
OR(
UPPER(TRI"&amp;"M(rTipo))=""SOLO EMISOR"",
AND(
UPPER(TRIM(rTipo))=""EXACTA"",
UPPER(TRIM(AG1874))=UPPER(TRIM(rPatron))
),
AND(
OR(
UPPER(TRIM(rTipo))=""CONTIENE"",
UPPER(TRIM(rTipo))=""COINCIDENCIA""
),
ISNUMBER(SEARCH(UPPER(TRIM(rPatron)),UPPER(TRIM(D1874))))
)
)
),
rC"&amp;"oncepto,
""""
)
)
),
MAP(
reglas!$B$2:$B$240,
reglas!$C$2:$C$240,
reglas!$D$2:$D$240,
reglas!$E$2:$E$240,
LAMBDA(rEmisor,rPatron,rConcepto,rTipo,
IF(
AND(
OR(
UPPER(TRIM(rEmisor))=UPPER(TRIM(C1874)),
UPPER(TRIM(rEmisor))=""CUALQUIERA""
),
OR(
UPPER(TRIM(r"&amp;"Tipo))=""SOLO EMISOR"",
AND(
UPPER(TRIM(rTipo))=""EXACTA"",
UPPER(TRIM(D1874))=UPPER(TRIM(rPatron))
),
AND(
OR(
UPPER(TRIM(rTipo))=""CONTIENE"",
UPPER(TRIM(rTipo))=""COINCIDENCIA""
),
ISNUMBER(SEARCH(UPPER(TRIM(rPatron)),UPPER(TRIM(D1874))))
)
)
),
rConce"&amp;"pto,
""""
)
)
)&lt;&gt;""""
),
1
),
""""
)"),"COMBUSTIBLES Y LUBRICANTES")</f>
        <v>COMBUSTIBLES Y LUBRICANTES</v>
      </c>
      <c r="L1874" s="27"/>
      <c r="M1874" s="27"/>
      <c r="N1874" s="27"/>
      <c r="O1874" s="27"/>
      <c r="P1874" s="27"/>
      <c r="Q1874" s="27"/>
      <c r="R1874" s="27"/>
      <c r="S1874" s="27"/>
      <c r="T1874" s="27"/>
      <c r="U1874" s="27"/>
      <c r="V1874" s="27"/>
      <c r="W1874" s="27"/>
      <c r="X1874" s="27"/>
      <c r="Y1874" s="27"/>
    </row>
    <row r="1875">
      <c r="A1875" s="32"/>
      <c r="B1875" s="32"/>
      <c r="C1875" s="29" t="s">
        <v>259</v>
      </c>
      <c r="D1875" s="29" t="s">
        <v>636</v>
      </c>
      <c r="E1875" s="28">
        <v>432.78</v>
      </c>
      <c r="F1875" s="28">
        <v>0.0</v>
      </c>
      <c r="G1875" s="28" t="s">
        <v>581</v>
      </c>
      <c r="H1875" s="28">
        <f t="array" ref="H1875">INDEX(CC!C:C,MATCH(1,(CC!A:A=G1875)*(CC!B:B=I1875),0))</f>
        <v>202</v>
      </c>
      <c r="I1875" s="28" t="s">
        <v>25</v>
      </c>
      <c r="J1875" s="5"/>
      <c r="K1875" s="28" t="str">
        <f>IFERROR(__xludf.DUMMYFUNCTION("IFERROR(
INDEX(
FILTER(
MAP(
reglas!$B$2:$B$240,
reglas!$C$2:$C$240,
reglas!$D$2:$D$240,
reglas!$E$2:$E$240,
LAMBDA(rEmisor,rPatron,rConcepto,rTipo,
IF(
AND(
OR(
UPPER(TRIM(rEmisor))=UPPER(TRIM(C1875)),
UPPER(TRIM(rEmisor))=""CUALQUIERA""
),
OR(
UPPER(TRI"&amp;"M(rTipo))=""SOLO EMISOR"",
AND(
UPPER(TRIM(rTipo))=""EXACTA"",
UPPER(TRIM(AG1875))=UPPER(TRIM(rPatron))
),
AND(
OR(
UPPER(TRIM(rTipo))=""CONTIENE"",
UPPER(TRIM(rTipo))=""COINCIDENCIA""
),
ISNUMBER(SEARCH(UPPER(TRIM(rPatron)),UPPER(TRIM(D1875))))
)
)
),
rC"&amp;"oncepto,
""""
)
)
),
MAP(
reglas!$B$2:$B$240,
reglas!$C$2:$C$240,
reglas!$D$2:$D$240,
reglas!$E$2:$E$240,
LAMBDA(rEmisor,rPatron,rConcepto,rTipo,
IF(
AND(
OR(
UPPER(TRIM(rEmisor))=UPPER(TRIM(C1875)),
UPPER(TRIM(rEmisor))=""CUALQUIERA""
),
OR(
UPPER(TRIM(r"&amp;"Tipo))=""SOLO EMISOR"",
AND(
UPPER(TRIM(rTipo))=""EXACTA"",
UPPER(TRIM(D1875))=UPPER(TRIM(rPatron))
),
AND(
OR(
UPPER(TRIM(rTipo))=""CONTIENE"",
UPPER(TRIM(rTipo))=""COINCIDENCIA""
),
ISNUMBER(SEARCH(UPPER(TRIM(rPatron)),UPPER(TRIM(D1875))))
)
)
),
rConce"&amp;"pto,
""""
)
)
)&lt;&gt;""""
),
1
),
""""
)"),"COMBUSTIBLES Y LUBRICANTES")</f>
        <v>COMBUSTIBLES Y LUBRICANTES</v>
      </c>
      <c r="L1875" s="27"/>
      <c r="M1875" s="27"/>
      <c r="N1875" s="27"/>
      <c r="O1875" s="27"/>
      <c r="P1875" s="27"/>
      <c r="Q1875" s="27"/>
      <c r="R1875" s="27"/>
      <c r="S1875" s="27"/>
      <c r="T1875" s="27"/>
      <c r="U1875" s="27"/>
      <c r="V1875" s="27"/>
      <c r="W1875" s="27"/>
      <c r="X1875" s="27"/>
      <c r="Y1875" s="27"/>
    </row>
    <row r="1876">
      <c r="A1876" s="32"/>
      <c r="B1876" s="32"/>
      <c r="C1876" s="29" t="s">
        <v>259</v>
      </c>
      <c r="D1876" s="29" t="s">
        <v>697</v>
      </c>
      <c r="E1876" s="28">
        <v>432.3</v>
      </c>
      <c r="F1876" s="28">
        <v>0.0</v>
      </c>
      <c r="G1876" s="28" t="s">
        <v>581</v>
      </c>
      <c r="H1876" s="28">
        <f t="array" ref="H1876">INDEX(CC!C:C,MATCH(1,(CC!A:A=G1876)*(CC!B:B=I1876),0))</f>
        <v>202</v>
      </c>
      <c r="I1876" s="28" t="s">
        <v>25</v>
      </c>
      <c r="J1876" s="5"/>
      <c r="K1876" s="28" t="str">
        <f>IFERROR(__xludf.DUMMYFUNCTION("IFERROR(
INDEX(
FILTER(
MAP(
reglas!$B$2:$B$240,
reglas!$C$2:$C$240,
reglas!$D$2:$D$240,
reglas!$E$2:$E$240,
LAMBDA(rEmisor,rPatron,rConcepto,rTipo,
IF(
AND(
OR(
UPPER(TRIM(rEmisor))=UPPER(TRIM(C1876)),
UPPER(TRIM(rEmisor))=""CUALQUIERA""
),
OR(
UPPER(TRI"&amp;"M(rTipo))=""SOLO EMISOR"",
AND(
UPPER(TRIM(rTipo))=""EXACTA"",
UPPER(TRIM(AG1876))=UPPER(TRIM(rPatron))
),
AND(
OR(
UPPER(TRIM(rTipo))=""CONTIENE"",
UPPER(TRIM(rTipo))=""COINCIDENCIA""
),
ISNUMBER(SEARCH(UPPER(TRIM(rPatron)),UPPER(TRIM(D1876))))
)
)
),
rC"&amp;"oncepto,
""""
)
)
),
MAP(
reglas!$B$2:$B$240,
reglas!$C$2:$C$240,
reglas!$D$2:$D$240,
reglas!$E$2:$E$240,
LAMBDA(rEmisor,rPatron,rConcepto,rTipo,
IF(
AND(
OR(
UPPER(TRIM(rEmisor))=UPPER(TRIM(C1876)),
UPPER(TRIM(rEmisor))=""CUALQUIERA""
),
OR(
UPPER(TRIM(r"&amp;"Tipo))=""SOLO EMISOR"",
AND(
UPPER(TRIM(rTipo))=""EXACTA"",
UPPER(TRIM(D1876))=UPPER(TRIM(rPatron))
),
AND(
OR(
UPPER(TRIM(rTipo))=""CONTIENE"",
UPPER(TRIM(rTipo))=""COINCIDENCIA""
),
ISNUMBER(SEARCH(UPPER(TRIM(rPatron)),UPPER(TRIM(D1876))))
)
)
),
rConce"&amp;"pto,
""""
)
)
)&lt;&gt;""""
),
1
),
""""
)"),"COMBUSTIBLES Y LUBRICANTES")</f>
        <v>COMBUSTIBLES Y LUBRICANTES</v>
      </c>
      <c r="L1876" s="27"/>
      <c r="M1876" s="27"/>
      <c r="N1876" s="27"/>
      <c r="O1876" s="27"/>
      <c r="P1876" s="27"/>
      <c r="Q1876" s="27"/>
      <c r="R1876" s="27"/>
      <c r="S1876" s="27"/>
      <c r="T1876" s="27"/>
      <c r="U1876" s="27"/>
      <c r="V1876" s="27"/>
      <c r="W1876" s="27"/>
      <c r="X1876" s="27"/>
      <c r="Y1876" s="27"/>
    </row>
    <row r="1877">
      <c r="A1877" s="32"/>
      <c r="B1877" s="32"/>
      <c r="C1877" s="29" t="s">
        <v>259</v>
      </c>
      <c r="D1877" s="29" t="s">
        <v>636</v>
      </c>
      <c r="E1877" s="28">
        <v>605.87</v>
      </c>
      <c r="F1877" s="28">
        <v>0.0</v>
      </c>
      <c r="G1877" s="28" t="s">
        <v>581</v>
      </c>
      <c r="H1877" s="28">
        <f t="array" ref="H1877">INDEX(CC!C:C,MATCH(1,(CC!A:A=G1877)*(CC!B:B=I1877),0))</f>
        <v>202</v>
      </c>
      <c r="I1877" s="28" t="s">
        <v>25</v>
      </c>
      <c r="J1877" s="5"/>
      <c r="K1877" s="28" t="str">
        <f>IFERROR(__xludf.DUMMYFUNCTION("IFERROR(
INDEX(
FILTER(
MAP(
reglas!$B$2:$B$240,
reglas!$C$2:$C$240,
reglas!$D$2:$D$240,
reglas!$E$2:$E$240,
LAMBDA(rEmisor,rPatron,rConcepto,rTipo,
IF(
AND(
OR(
UPPER(TRIM(rEmisor))=UPPER(TRIM(C1877)),
UPPER(TRIM(rEmisor))=""CUALQUIERA""
),
OR(
UPPER(TRI"&amp;"M(rTipo))=""SOLO EMISOR"",
AND(
UPPER(TRIM(rTipo))=""EXACTA"",
UPPER(TRIM(AG1877))=UPPER(TRIM(rPatron))
),
AND(
OR(
UPPER(TRIM(rTipo))=""CONTIENE"",
UPPER(TRIM(rTipo))=""COINCIDENCIA""
),
ISNUMBER(SEARCH(UPPER(TRIM(rPatron)),UPPER(TRIM(D1877))))
)
)
),
rC"&amp;"oncepto,
""""
)
)
),
MAP(
reglas!$B$2:$B$240,
reglas!$C$2:$C$240,
reglas!$D$2:$D$240,
reglas!$E$2:$E$240,
LAMBDA(rEmisor,rPatron,rConcepto,rTipo,
IF(
AND(
OR(
UPPER(TRIM(rEmisor))=UPPER(TRIM(C1877)),
UPPER(TRIM(rEmisor))=""CUALQUIERA""
),
OR(
UPPER(TRIM(r"&amp;"Tipo))=""SOLO EMISOR"",
AND(
UPPER(TRIM(rTipo))=""EXACTA"",
UPPER(TRIM(D1877))=UPPER(TRIM(rPatron))
),
AND(
OR(
UPPER(TRIM(rTipo))=""CONTIENE"",
UPPER(TRIM(rTipo))=""COINCIDENCIA""
),
ISNUMBER(SEARCH(UPPER(TRIM(rPatron)),UPPER(TRIM(D1877))))
)
)
),
rConce"&amp;"pto,
""""
)
)
)&lt;&gt;""""
),
1
),
""""
)"),"COMBUSTIBLES Y LUBRICANTES")</f>
        <v>COMBUSTIBLES Y LUBRICANTES</v>
      </c>
      <c r="L1877" s="27"/>
      <c r="M1877" s="27"/>
      <c r="N1877" s="27"/>
      <c r="O1877" s="27"/>
      <c r="P1877" s="27"/>
      <c r="Q1877" s="27"/>
      <c r="R1877" s="27"/>
      <c r="S1877" s="27"/>
      <c r="T1877" s="27"/>
      <c r="U1877" s="27"/>
      <c r="V1877" s="27"/>
      <c r="W1877" s="27"/>
      <c r="X1877" s="27"/>
      <c r="Y1877" s="27"/>
    </row>
    <row r="1878">
      <c r="A1878" s="32"/>
      <c r="B1878" s="32"/>
      <c r="C1878" s="29" t="s">
        <v>259</v>
      </c>
      <c r="D1878" s="29" t="s">
        <v>636</v>
      </c>
      <c r="E1878" s="28">
        <v>432.78</v>
      </c>
      <c r="F1878" s="28">
        <v>0.0</v>
      </c>
      <c r="G1878" s="28" t="s">
        <v>581</v>
      </c>
      <c r="H1878" s="28">
        <f t="array" ref="H1878">INDEX(CC!C:C,MATCH(1,(CC!A:A=G1878)*(CC!B:B=I1878),0))</f>
        <v>202</v>
      </c>
      <c r="I1878" s="28" t="s">
        <v>25</v>
      </c>
      <c r="J1878" s="5"/>
      <c r="K1878" s="28" t="str">
        <f>IFERROR(__xludf.DUMMYFUNCTION("IFERROR(
INDEX(
FILTER(
MAP(
reglas!$B$2:$B$240,
reglas!$C$2:$C$240,
reglas!$D$2:$D$240,
reglas!$E$2:$E$240,
LAMBDA(rEmisor,rPatron,rConcepto,rTipo,
IF(
AND(
OR(
UPPER(TRIM(rEmisor))=UPPER(TRIM(C1878)),
UPPER(TRIM(rEmisor))=""CUALQUIERA""
),
OR(
UPPER(TRI"&amp;"M(rTipo))=""SOLO EMISOR"",
AND(
UPPER(TRIM(rTipo))=""EXACTA"",
UPPER(TRIM(AG1878))=UPPER(TRIM(rPatron))
),
AND(
OR(
UPPER(TRIM(rTipo))=""CONTIENE"",
UPPER(TRIM(rTipo))=""COINCIDENCIA""
),
ISNUMBER(SEARCH(UPPER(TRIM(rPatron)),UPPER(TRIM(D1878))))
)
)
),
rC"&amp;"oncepto,
""""
)
)
),
MAP(
reglas!$B$2:$B$240,
reglas!$C$2:$C$240,
reglas!$D$2:$D$240,
reglas!$E$2:$E$240,
LAMBDA(rEmisor,rPatron,rConcepto,rTipo,
IF(
AND(
OR(
UPPER(TRIM(rEmisor))=UPPER(TRIM(C1878)),
UPPER(TRIM(rEmisor))=""CUALQUIERA""
),
OR(
UPPER(TRIM(r"&amp;"Tipo))=""SOLO EMISOR"",
AND(
UPPER(TRIM(rTipo))=""EXACTA"",
UPPER(TRIM(D1878))=UPPER(TRIM(rPatron))
),
AND(
OR(
UPPER(TRIM(rTipo))=""CONTIENE"",
UPPER(TRIM(rTipo))=""COINCIDENCIA""
),
ISNUMBER(SEARCH(UPPER(TRIM(rPatron)),UPPER(TRIM(D1878))))
)
)
),
rConce"&amp;"pto,
""""
)
)
)&lt;&gt;""""
),
1
),
""""
)"),"COMBUSTIBLES Y LUBRICANTES")</f>
        <v>COMBUSTIBLES Y LUBRICANTES</v>
      </c>
      <c r="L1878" s="27"/>
      <c r="M1878" s="27"/>
      <c r="N1878" s="27"/>
      <c r="O1878" s="27"/>
      <c r="P1878" s="27"/>
      <c r="Q1878" s="27"/>
      <c r="R1878" s="27"/>
      <c r="S1878" s="27"/>
      <c r="T1878" s="27"/>
      <c r="U1878" s="27"/>
      <c r="V1878" s="27"/>
      <c r="W1878" s="27"/>
      <c r="X1878" s="27"/>
      <c r="Y1878" s="27"/>
    </row>
    <row r="1879">
      <c r="A1879" s="32"/>
      <c r="B1879" s="32"/>
      <c r="C1879" s="29" t="s">
        <v>259</v>
      </c>
      <c r="D1879" s="29" t="s">
        <v>636</v>
      </c>
      <c r="E1879" s="28">
        <v>346.21</v>
      </c>
      <c r="F1879" s="28">
        <v>0.0</v>
      </c>
      <c r="G1879" s="28" t="s">
        <v>581</v>
      </c>
      <c r="H1879" s="28">
        <f t="array" ref="H1879">INDEX(CC!C:C,MATCH(1,(CC!A:A=G1879)*(CC!B:B=I1879),0))</f>
        <v>202</v>
      </c>
      <c r="I1879" s="28" t="s">
        <v>25</v>
      </c>
      <c r="J1879" s="5"/>
      <c r="K1879" s="28" t="str">
        <f>IFERROR(__xludf.DUMMYFUNCTION("IFERROR(
INDEX(
FILTER(
MAP(
reglas!$B$2:$B$240,
reglas!$C$2:$C$240,
reglas!$D$2:$D$240,
reglas!$E$2:$E$240,
LAMBDA(rEmisor,rPatron,rConcepto,rTipo,
IF(
AND(
OR(
UPPER(TRIM(rEmisor))=UPPER(TRIM(C1879)),
UPPER(TRIM(rEmisor))=""CUALQUIERA""
),
OR(
UPPER(TRI"&amp;"M(rTipo))=""SOLO EMISOR"",
AND(
UPPER(TRIM(rTipo))=""EXACTA"",
UPPER(TRIM(AG1879))=UPPER(TRIM(rPatron))
),
AND(
OR(
UPPER(TRIM(rTipo))=""CONTIENE"",
UPPER(TRIM(rTipo))=""COINCIDENCIA""
),
ISNUMBER(SEARCH(UPPER(TRIM(rPatron)),UPPER(TRIM(D1879))))
)
)
),
rC"&amp;"oncepto,
""""
)
)
),
MAP(
reglas!$B$2:$B$240,
reglas!$C$2:$C$240,
reglas!$D$2:$D$240,
reglas!$E$2:$E$240,
LAMBDA(rEmisor,rPatron,rConcepto,rTipo,
IF(
AND(
OR(
UPPER(TRIM(rEmisor))=UPPER(TRIM(C1879)),
UPPER(TRIM(rEmisor))=""CUALQUIERA""
),
OR(
UPPER(TRIM(r"&amp;"Tipo))=""SOLO EMISOR"",
AND(
UPPER(TRIM(rTipo))=""EXACTA"",
UPPER(TRIM(D1879))=UPPER(TRIM(rPatron))
),
AND(
OR(
UPPER(TRIM(rTipo))=""CONTIENE"",
UPPER(TRIM(rTipo))=""COINCIDENCIA""
),
ISNUMBER(SEARCH(UPPER(TRIM(rPatron)),UPPER(TRIM(D1879))))
)
)
),
rConce"&amp;"pto,
""""
)
)
)&lt;&gt;""""
),
1
),
""""
)"),"COMBUSTIBLES Y LUBRICANTES")</f>
        <v>COMBUSTIBLES Y LUBRICANTES</v>
      </c>
      <c r="L1879" s="27"/>
      <c r="M1879" s="27"/>
      <c r="N1879" s="27"/>
      <c r="O1879" s="27"/>
      <c r="P1879" s="27"/>
      <c r="Q1879" s="27"/>
      <c r="R1879" s="27"/>
      <c r="S1879" s="27"/>
      <c r="T1879" s="27"/>
      <c r="U1879" s="27"/>
      <c r="V1879" s="27"/>
      <c r="W1879" s="27"/>
      <c r="X1879" s="27"/>
      <c r="Y1879" s="27"/>
    </row>
    <row r="1880">
      <c r="A1880" s="32"/>
      <c r="B1880" s="32"/>
      <c r="C1880" s="29" t="s">
        <v>259</v>
      </c>
      <c r="D1880" s="29" t="s">
        <v>697</v>
      </c>
      <c r="E1880" s="28">
        <v>345.84</v>
      </c>
      <c r="F1880" s="28">
        <v>0.0</v>
      </c>
      <c r="G1880" s="28" t="s">
        <v>581</v>
      </c>
      <c r="H1880" s="28">
        <f t="array" ref="H1880">INDEX(CC!C:C,MATCH(1,(CC!A:A=G1880)*(CC!B:B=I1880),0))</f>
        <v>202</v>
      </c>
      <c r="I1880" s="28" t="s">
        <v>25</v>
      </c>
      <c r="J1880" s="5"/>
      <c r="K1880" s="28" t="str">
        <f>IFERROR(__xludf.DUMMYFUNCTION("IFERROR(
INDEX(
FILTER(
MAP(
reglas!$B$2:$B$240,
reglas!$C$2:$C$240,
reglas!$D$2:$D$240,
reglas!$E$2:$E$240,
LAMBDA(rEmisor,rPatron,rConcepto,rTipo,
IF(
AND(
OR(
UPPER(TRIM(rEmisor))=UPPER(TRIM(C1880)),
UPPER(TRIM(rEmisor))=""CUALQUIERA""
),
OR(
UPPER(TRI"&amp;"M(rTipo))=""SOLO EMISOR"",
AND(
UPPER(TRIM(rTipo))=""EXACTA"",
UPPER(TRIM(AG1880))=UPPER(TRIM(rPatron))
),
AND(
OR(
UPPER(TRIM(rTipo))=""CONTIENE"",
UPPER(TRIM(rTipo))=""COINCIDENCIA""
),
ISNUMBER(SEARCH(UPPER(TRIM(rPatron)),UPPER(TRIM(D1880))))
)
)
),
rC"&amp;"oncepto,
""""
)
)
),
MAP(
reglas!$B$2:$B$240,
reglas!$C$2:$C$240,
reglas!$D$2:$D$240,
reglas!$E$2:$E$240,
LAMBDA(rEmisor,rPatron,rConcepto,rTipo,
IF(
AND(
OR(
UPPER(TRIM(rEmisor))=UPPER(TRIM(C1880)),
UPPER(TRIM(rEmisor))=""CUALQUIERA""
),
OR(
UPPER(TRIM(r"&amp;"Tipo))=""SOLO EMISOR"",
AND(
UPPER(TRIM(rTipo))=""EXACTA"",
UPPER(TRIM(D1880))=UPPER(TRIM(rPatron))
),
AND(
OR(
UPPER(TRIM(rTipo))=""CONTIENE"",
UPPER(TRIM(rTipo))=""COINCIDENCIA""
),
ISNUMBER(SEARCH(UPPER(TRIM(rPatron)),UPPER(TRIM(D1880))))
)
)
),
rConce"&amp;"pto,
""""
)
)
)&lt;&gt;""""
),
1
),
""""
)"),"COMBUSTIBLES Y LUBRICANTES")</f>
        <v>COMBUSTIBLES Y LUBRICANTES</v>
      </c>
      <c r="L1880" s="27"/>
      <c r="M1880" s="27"/>
      <c r="N1880" s="27"/>
      <c r="O1880" s="27"/>
      <c r="P1880" s="27"/>
      <c r="Q1880" s="27"/>
      <c r="R1880" s="27"/>
      <c r="S1880" s="27"/>
      <c r="T1880" s="27"/>
      <c r="U1880" s="27"/>
      <c r="V1880" s="27"/>
      <c r="W1880" s="27"/>
      <c r="X1880" s="27"/>
      <c r="Y1880" s="27"/>
    </row>
    <row r="1881">
      <c r="A1881" s="32"/>
      <c r="B1881" s="32"/>
      <c r="C1881" s="29" t="s">
        <v>259</v>
      </c>
      <c r="D1881" s="29" t="s">
        <v>636</v>
      </c>
      <c r="E1881" s="28">
        <v>432.78</v>
      </c>
      <c r="F1881" s="28">
        <v>0.0</v>
      </c>
      <c r="G1881" s="28" t="s">
        <v>581</v>
      </c>
      <c r="H1881" s="28">
        <f t="array" ref="H1881">INDEX(CC!C:C,MATCH(1,(CC!A:A=G1881)*(CC!B:B=I1881),0))</f>
        <v>202</v>
      </c>
      <c r="I1881" s="28" t="s">
        <v>25</v>
      </c>
      <c r="J1881" s="5"/>
      <c r="K1881" s="28" t="str">
        <f>IFERROR(__xludf.DUMMYFUNCTION("IFERROR(
INDEX(
FILTER(
MAP(
reglas!$B$2:$B$240,
reglas!$C$2:$C$240,
reglas!$D$2:$D$240,
reglas!$E$2:$E$240,
LAMBDA(rEmisor,rPatron,rConcepto,rTipo,
IF(
AND(
OR(
UPPER(TRIM(rEmisor))=UPPER(TRIM(C1881)),
UPPER(TRIM(rEmisor))=""CUALQUIERA""
),
OR(
UPPER(TRI"&amp;"M(rTipo))=""SOLO EMISOR"",
AND(
UPPER(TRIM(rTipo))=""EXACTA"",
UPPER(TRIM(AG1881))=UPPER(TRIM(rPatron))
),
AND(
OR(
UPPER(TRIM(rTipo))=""CONTIENE"",
UPPER(TRIM(rTipo))=""COINCIDENCIA""
),
ISNUMBER(SEARCH(UPPER(TRIM(rPatron)),UPPER(TRIM(D1881))))
)
)
),
rC"&amp;"oncepto,
""""
)
)
),
MAP(
reglas!$B$2:$B$240,
reglas!$C$2:$C$240,
reglas!$D$2:$D$240,
reglas!$E$2:$E$240,
LAMBDA(rEmisor,rPatron,rConcepto,rTipo,
IF(
AND(
OR(
UPPER(TRIM(rEmisor))=UPPER(TRIM(C1881)),
UPPER(TRIM(rEmisor))=""CUALQUIERA""
),
OR(
UPPER(TRIM(r"&amp;"Tipo))=""SOLO EMISOR"",
AND(
UPPER(TRIM(rTipo))=""EXACTA"",
UPPER(TRIM(D1881))=UPPER(TRIM(rPatron))
),
AND(
OR(
UPPER(TRIM(rTipo))=""CONTIENE"",
UPPER(TRIM(rTipo))=""COINCIDENCIA""
),
ISNUMBER(SEARCH(UPPER(TRIM(rPatron)),UPPER(TRIM(D1881))))
)
)
),
rConce"&amp;"pto,
""""
)
)
)&lt;&gt;""""
),
1
),
""""
)"),"COMBUSTIBLES Y LUBRICANTES")</f>
        <v>COMBUSTIBLES Y LUBRICANTES</v>
      </c>
      <c r="L1881" s="27"/>
      <c r="M1881" s="27"/>
      <c r="N1881" s="27"/>
      <c r="O1881" s="27"/>
      <c r="P1881" s="27"/>
      <c r="Q1881" s="27"/>
      <c r="R1881" s="27"/>
      <c r="S1881" s="27"/>
      <c r="T1881" s="27"/>
      <c r="U1881" s="27"/>
      <c r="V1881" s="27"/>
      <c r="W1881" s="27"/>
      <c r="X1881" s="27"/>
      <c r="Y1881" s="27"/>
    </row>
    <row r="1882">
      <c r="A1882" s="32"/>
      <c r="B1882" s="32"/>
      <c r="C1882" s="29" t="s">
        <v>259</v>
      </c>
      <c r="D1882" s="29" t="s">
        <v>636</v>
      </c>
      <c r="E1882" s="28">
        <v>173.12</v>
      </c>
      <c r="F1882" s="28">
        <v>0.0</v>
      </c>
      <c r="G1882" s="28" t="s">
        <v>581</v>
      </c>
      <c r="H1882" s="28">
        <f t="array" ref="H1882">INDEX(CC!C:C,MATCH(1,(CC!A:A=G1882)*(CC!B:B=I1882),0))</f>
        <v>202</v>
      </c>
      <c r="I1882" s="28" t="s">
        <v>25</v>
      </c>
      <c r="J1882" s="5"/>
      <c r="K1882" s="28" t="str">
        <f>IFERROR(__xludf.DUMMYFUNCTION("IFERROR(
INDEX(
FILTER(
MAP(
reglas!$B$2:$B$240,
reglas!$C$2:$C$240,
reglas!$D$2:$D$240,
reglas!$E$2:$E$240,
LAMBDA(rEmisor,rPatron,rConcepto,rTipo,
IF(
AND(
OR(
UPPER(TRIM(rEmisor))=UPPER(TRIM(C1882)),
UPPER(TRIM(rEmisor))=""CUALQUIERA""
),
OR(
UPPER(TRI"&amp;"M(rTipo))=""SOLO EMISOR"",
AND(
UPPER(TRIM(rTipo))=""EXACTA"",
UPPER(TRIM(AG1882))=UPPER(TRIM(rPatron))
),
AND(
OR(
UPPER(TRIM(rTipo))=""CONTIENE"",
UPPER(TRIM(rTipo))=""COINCIDENCIA""
),
ISNUMBER(SEARCH(UPPER(TRIM(rPatron)),UPPER(TRIM(D1882))))
)
)
),
rC"&amp;"oncepto,
""""
)
)
),
MAP(
reglas!$B$2:$B$240,
reglas!$C$2:$C$240,
reglas!$D$2:$D$240,
reglas!$E$2:$E$240,
LAMBDA(rEmisor,rPatron,rConcepto,rTipo,
IF(
AND(
OR(
UPPER(TRIM(rEmisor))=UPPER(TRIM(C1882)),
UPPER(TRIM(rEmisor))=""CUALQUIERA""
),
OR(
UPPER(TRIM(r"&amp;"Tipo))=""SOLO EMISOR"",
AND(
UPPER(TRIM(rTipo))=""EXACTA"",
UPPER(TRIM(D1882))=UPPER(TRIM(rPatron))
),
AND(
OR(
UPPER(TRIM(rTipo))=""CONTIENE"",
UPPER(TRIM(rTipo))=""COINCIDENCIA""
),
ISNUMBER(SEARCH(UPPER(TRIM(rPatron)),UPPER(TRIM(D1882))))
)
)
),
rConce"&amp;"pto,
""""
)
)
)&lt;&gt;""""
),
1
),
""""
)"),"COMBUSTIBLES Y LUBRICANTES")</f>
        <v>COMBUSTIBLES Y LUBRICANTES</v>
      </c>
      <c r="L1882" s="27"/>
      <c r="M1882" s="27"/>
      <c r="N1882" s="27"/>
      <c r="O1882" s="27"/>
      <c r="P1882" s="27"/>
      <c r="Q1882" s="27"/>
      <c r="R1882" s="27"/>
      <c r="S1882" s="27"/>
      <c r="T1882" s="27"/>
      <c r="U1882" s="27"/>
      <c r="V1882" s="27"/>
      <c r="W1882" s="27"/>
      <c r="X1882" s="27"/>
      <c r="Y1882" s="27"/>
    </row>
    <row r="1883">
      <c r="A1883" s="32"/>
      <c r="B1883" s="32"/>
      <c r="C1883" s="29" t="s">
        <v>259</v>
      </c>
      <c r="D1883" s="29" t="s">
        <v>697</v>
      </c>
      <c r="E1883" s="28">
        <v>345.84</v>
      </c>
      <c r="F1883" s="28">
        <v>0.0</v>
      </c>
      <c r="G1883" s="28" t="s">
        <v>581</v>
      </c>
      <c r="H1883" s="28">
        <f t="array" ref="H1883">INDEX(CC!C:C,MATCH(1,(CC!A:A=G1883)*(CC!B:B=I1883),0))</f>
        <v>202</v>
      </c>
      <c r="I1883" s="28" t="s">
        <v>25</v>
      </c>
      <c r="J1883" s="5"/>
      <c r="K1883" s="28" t="str">
        <f>IFERROR(__xludf.DUMMYFUNCTION("IFERROR(
INDEX(
FILTER(
MAP(
reglas!$B$2:$B$240,
reglas!$C$2:$C$240,
reglas!$D$2:$D$240,
reglas!$E$2:$E$240,
LAMBDA(rEmisor,rPatron,rConcepto,rTipo,
IF(
AND(
OR(
UPPER(TRIM(rEmisor))=UPPER(TRIM(C1883)),
UPPER(TRIM(rEmisor))=""CUALQUIERA""
),
OR(
UPPER(TRI"&amp;"M(rTipo))=""SOLO EMISOR"",
AND(
UPPER(TRIM(rTipo))=""EXACTA"",
UPPER(TRIM(AG1883))=UPPER(TRIM(rPatron))
),
AND(
OR(
UPPER(TRIM(rTipo))=""CONTIENE"",
UPPER(TRIM(rTipo))=""COINCIDENCIA""
),
ISNUMBER(SEARCH(UPPER(TRIM(rPatron)),UPPER(TRIM(D1883))))
)
)
),
rC"&amp;"oncepto,
""""
)
)
),
MAP(
reglas!$B$2:$B$240,
reglas!$C$2:$C$240,
reglas!$D$2:$D$240,
reglas!$E$2:$E$240,
LAMBDA(rEmisor,rPatron,rConcepto,rTipo,
IF(
AND(
OR(
UPPER(TRIM(rEmisor))=UPPER(TRIM(C1883)),
UPPER(TRIM(rEmisor))=""CUALQUIERA""
),
OR(
UPPER(TRIM(r"&amp;"Tipo))=""SOLO EMISOR"",
AND(
UPPER(TRIM(rTipo))=""EXACTA"",
UPPER(TRIM(D1883))=UPPER(TRIM(rPatron))
),
AND(
OR(
UPPER(TRIM(rTipo))=""CONTIENE"",
UPPER(TRIM(rTipo))=""COINCIDENCIA""
),
ISNUMBER(SEARCH(UPPER(TRIM(rPatron)),UPPER(TRIM(D1883))))
)
)
),
rConce"&amp;"pto,
""""
)
)
)&lt;&gt;""""
),
1
),
""""
)"),"COMBUSTIBLES Y LUBRICANTES")</f>
        <v>COMBUSTIBLES Y LUBRICANTES</v>
      </c>
      <c r="L1883" s="27"/>
      <c r="M1883" s="27"/>
      <c r="N1883" s="27"/>
      <c r="O1883" s="27"/>
      <c r="P1883" s="27"/>
      <c r="Q1883" s="27"/>
      <c r="R1883" s="27"/>
      <c r="S1883" s="27"/>
      <c r="T1883" s="27"/>
      <c r="U1883" s="27"/>
      <c r="V1883" s="27"/>
      <c r="W1883" s="27"/>
      <c r="X1883" s="27"/>
      <c r="Y1883" s="27"/>
    </row>
    <row r="1884">
      <c r="A1884" s="32"/>
      <c r="B1884" s="32"/>
      <c r="C1884" s="29" t="s">
        <v>259</v>
      </c>
      <c r="D1884" s="29" t="s">
        <v>636</v>
      </c>
      <c r="E1884" s="28">
        <v>346.21</v>
      </c>
      <c r="F1884" s="28">
        <v>0.0</v>
      </c>
      <c r="G1884" s="28" t="s">
        <v>581</v>
      </c>
      <c r="H1884" s="28">
        <f t="array" ref="H1884">INDEX(CC!C:C,MATCH(1,(CC!A:A=G1884)*(CC!B:B=I1884),0))</f>
        <v>202</v>
      </c>
      <c r="I1884" s="28" t="s">
        <v>25</v>
      </c>
      <c r="J1884" s="5"/>
      <c r="K1884" s="28" t="str">
        <f>IFERROR(__xludf.DUMMYFUNCTION("IFERROR(
INDEX(
FILTER(
MAP(
reglas!$B$2:$B$240,
reglas!$C$2:$C$240,
reglas!$D$2:$D$240,
reglas!$E$2:$E$240,
LAMBDA(rEmisor,rPatron,rConcepto,rTipo,
IF(
AND(
OR(
UPPER(TRIM(rEmisor))=UPPER(TRIM(C1884)),
UPPER(TRIM(rEmisor))=""CUALQUIERA""
),
OR(
UPPER(TRI"&amp;"M(rTipo))=""SOLO EMISOR"",
AND(
UPPER(TRIM(rTipo))=""EXACTA"",
UPPER(TRIM(AG1884))=UPPER(TRIM(rPatron))
),
AND(
OR(
UPPER(TRIM(rTipo))=""CONTIENE"",
UPPER(TRIM(rTipo))=""COINCIDENCIA""
),
ISNUMBER(SEARCH(UPPER(TRIM(rPatron)),UPPER(TRIM(D1884))))
)
)
),
rC"&amp;"oncepto,
""""
)
)
),
MAP(
reglas!$B$2:$B$240,
reglas!$C$2:$C$240,
reglas!$D$2:$D$240,
reglas!$E$2:$E$240,
LAMBDA(rEmisor,rPatron,rConcepto,rTipo,
IF(
AND(
OR(
UPPER(TRIM(rEmisor))=UPPER(TRIM(C1884)),
UPPER(TRIM(rEmisor))=""CUALQUIERA""
),
OR(
UPPER(TRIM(r"&amp;"Tipo))=""SOLO EMISOR"",
AND(
UPPER(TRIM(rTipo))=""EXACTA"",
UPPER(TRIM(D1884))=UPPER(TRIM(rPatron))
),
AND(
OR(
UPPER(TRIM(rTipo))=""CONTIENE"",
UPPER(TRIM(rTipo))=""COINCIDENCIA""
),
ISNUMBER(SEARCH(UPPER(TRIM(rPatron)),UPPER(TRIM(D1884))))
)
)
),
rConce"&amp;"pto,
""""
)
)
)&lt;&gt;""""
),
1
),
""""
)"),"COMBUSTIBLES Y LUBRICANTES")</f>
        <v>COMBUSTIBLES Y LUBRICANTES</v>
      </c>
      <c r="L1884" s="27"/>
      <c r="M1884" s="27"/>
      <c r="N1884" s="27"/>
      <c r="O1884" s="27"/>
      <c r="P1884" s="27"/>
      <c r="Q1884" s="27"/>
      <c r="R1884" s="27"/>
      <c r="S1884" s="27"/>
      <c r="T1884" s="27"/>
      <c r="U1884" s="27"/>
      <c r="V1884" s="27"/>
      <c r="W1884" s="27"/>
      <c r="X1884" s="27"/>
      <c r="Y1884" s="27"/>
    </row>
    <row r="1885">
      <c r="A1885" s="32"/>
      <c r="B1885" s="32"/>
      <c r="C1885" s="29" t="s">
        <v>259</v>
      </c>
      <c r="D1885" s="29" t="s">
        <v>636</v>
      </c>
      <c r="E1885" s="28">
        <v>173.12</v>
      </c>
      <c r="F1885" s="28">
        <v>0.0</v>
      </c>
      <c r="G1885" s="28" t="s">
        <v>581</v>
      </c>
      <c r="H1885" s="28">
        <f t="array" ref="H1885">INDEX(CC!C:C,MATCH(1,(CC!A:A=G1885)*(CC!B:B=I1885),0))</f>
        <v>202</v>
      </c>
      <c r="I1885" s="28" t="s">
        <v>25</v>
      </c>
      <c r="J1885" s="5"/>
      <c r="K1885" s="28" t="str">
        <f>IFERROR(__xludf.DUMMYFUNCTION("IFERROR(
INDEX(
FILTER(
MAP(
reglas!$B$2:$B$240,
reglas!$C$2:$C$240,
reglas!$D$2:$D$240,
reglas!$E$2:$E$240,
LAMBDA(rEmisor,rPatron,rConcepto,rTipo,
IF(
AND(
OR(
UPPER(TRIM(rEmisor))=UPPER(TRIM(C1885)),
UPPER(TRIM(rEmisor))=""CUALQUIERA""
),
OR(
UPPER(TRI"&amp;"M(rTipo))=""SOLO EMISOR"",
AND(
UPPER(TRIM(rTipo))=""EXACTA"",
UPPER(TRIM(AG1885))=UPPER(TRIM(rPatron))
),
AND(
OR(
UPPER(TRIM(rTipo))=""CONTIENE"",
UPPER(TRIM(rTipo))=""COINCIDENCIA""
),
ISNUMBER(SEARCH(UPPER(TRIM(rPatron)),UPPER(TRIM(D1885))))
)
)
),
rC"&amp;"oncepto,
""""
)
)
),
MAP(
reglas!$B$2:$B$240,
reglas!$C$2:$C$240,
reglas!$D$2:$D$240,
reglas!$E$2:$E$240,
LAMBDA(rEmisor,rPatron,rConcepto,rTipo,
IF(
AND(
OR(
UPPER(TRIM(rEmisor))=UPPER(TRIM(C1885)),
UPPER(TRIM(rEmisor))=""CUALQUIERA""
),
OR(
UPPER(TRIM(r"&amp;"Tipo))=""SOLO EMISOR"",
AND(
UPPER(TRIM(rTipo))=""EXACTA"",
UPPER(TRIM(D1885))=UPPER(TRIM(rPatron))
),
AND(
OR(
UPPER(TRIM(rTipo))=""CONTIENE"",
UPPER(TRIM(rTipo))=""COINCIDENCIA""
),
ISNUMBER(SEARCH(UPPER(TRIM(rPatron)),UPPER(TRIM(D1885))))
)
)
),
rConce"&amp;"pto,
""""
)
)
)&lt;&gt;""""
),
1
),
""""
)"),"COMBUSTIBLES Y LUBRICANTES")</f>
        <v>COMBUSTIBLES Y LUBRICANTES</v>
      </c>
      <c r="L1885" s="27"/>
      <c r="M1885" s="27"/>
      <c r="N1885" s="27"/>
      <c r="O1885" s="27"/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</row>
    <row r="1886">
      <c r="A1886" s="32"/>
      <c r="B1886" s="28" t="s">
        <v>29</v>
      </c>
      <c r="C1886" s="29" t="s">
        <v>224</v>
      </c>
      <c r="D1886" s="29" t="s">
        <v>1725</v>
      </c>
      <c r="E1886" s="30">
        <v>1181.25</v>
      </c>
      <c r="F1886" s="28">
        <v>0.0</v>
      </c>
      <c r="G1886" s="28" t="s">
        <v>40</v>
      </c>
      <c r="H1886" s="28">
        <f t="array" ref="H1886">INDEX(CC!C:C,MATCH(1,(CC!A:A=G1886)*(CC!B:B=I1886),0))</f>
        <v>602</v>
      </c>
      <c r="I1886" s="28" t="s">
        <v>25</v>
      </c>
      <c r="J1886" s="31">
        <v>1181.25</v>
      </c>
      <c r="K1886" s="28" t="str">
        <f>IFERROR(__xludf.DUMMYFUNCTION("IFERROR(
INDEX(
FILTER(
MAP(
reglas!$B$2:$B$240,
reglas!$C$2:$C$240,
reglas!$D$2:$D$240,
reglas!$E$2:$E$240,
LAMBDA(rEmisor,rPatron,rConcepto,rTipo,
IF(
AND(
OR(
UPPER(TRIM(rEmisor))=UPPER(TRIM(C1886)),
UPPER(TRIM(rEmisor))=""CUALQUIERA""
),
OR(
UPPER(TRI"&amp;"M(rTipo))=""SOLO EMISOR"",
AND(
UPPER(TRIM(rTipo))=""EXACTA"",
UPPER(TRIM(AG1886))=UPPER(TRIM(rPatron))
),
AND(
OR(
UPPER(TRIM(rTipo))=""CONTIENE"",
UPPER(TRIM(rTipo))=""COINCIDENCIA""
),
ISNUMBER(SEARCH(UPPER(TRIM(rPatron)),UPPER(TRIM(D1886))))
)
)
),
rC"&amp;"oncepto,
""""
)
)
),
MAP(
reglas!$B$2:$B$240,
reglas!$C$2:$C$240,
reglas!$D$2:$D$240,
reglas!$E$2:$E$240,
LAMBDA(rEmisor,rPatron,rConcepto,rTipo,
IF(
AND(
OR(
UPPER(TRIM(rEmisor))=UPPER(TRIM(C1886)),
UPPER(TRIM(rEmisor))=""CUALQUIERA""
),
OR(
UPPER(TRIM(r"&amp;"Tipo))=""SOLO EMISOR"",
AND(
UPPER(TRIM(rTipo))=""EXACTA"",
UPPER(TRIM(D1886))=UPPER(TRIM(rPatron))
),
AND(
OR(
UPPER(TRIM(rTipo))=""CONTIENE"",
UPPER(TRIM(rTipo))=""COINCIDENCIA""
),
ISNUMBER(SEARCH(UPPER(TRIM(rPatron)),UPPER(TRIM(D1886))))
)
)
),
rConce"&amp;"pto,
""""
)
)
)&lt;&gt;""""
),
1
),
""""
)"),"COMISIONES")</f>
        <v>COMISIONES</v>
      </c>
      <c r="L1886" s="27"/>
      <c r="M1886" s="27"/>
      <c r="N1886" s="27"/>
      <c r="O1886" s="27"/>
      <c r="P1886" s="27"/>
      <c r="Q1886" s="27"/>
      <c r="R1886" s="27"/>
      <c r="S1886" s="27"/>
      <c r="T1886" s="27"/>
      <c r="U1886" s="27"/>
      <c r="V1886" s="27"/>
      <c r="W1886" s="27"/>
      <c r="X1886" s="27"/>
      <c r="Y1886" s="27"/>
    </row>
    <row r="1887">
      <c r="A1887" s="32"/>
      <c r="B1887" s="28" t="s">
        <v>29</v>
      </c>
      <c r="C1887" s="29" t="s">
        <v>278</v>
      </c>
      <c r="D1887" s="29" t="s">
        <v>560</v>
      </c>
      <c r="E1887" s="30">
        <v>3500.0</v>
      </c>
      <c r="F1887" s="28">
        <v>0.0</v>
      </c>
      <c r="G1887" s="28" t="s">
        <v>250</v>
      </c>
      <c r="H1887" s="28">
        <f t="array" ref="H1887">INDEX(CC!C:C,MATCH(1,(CC!A:A=G1887)*(CC!B:B=I1887),0))</f>
        <v>1402</v>
      </c>
      <c r="I1887" s="28" t="s">
        <v>25</v>
      </c>
      <c r="J1887" s="31">
        <v>3500.0</v>
      </c>
      <c r="K1887" s="28" t="str">
        <f>IFERROR(__xludf.DUMMYFUNCTION("IFERROR(
INDEX(
FILTER(
MAP(
reglas!$B$2:$B$240,
reglas!$C$2:$C$240,
reglas!$D$2:$D$240,
reglas!$E$2:$E$240,
LAMBDA(rEmisor,rPatron,rConcepto,rTipo,
IF(
AND(
OR(
UPPER(TRIM(rEmisor))=UPPER(TRIM(C1887)),
UPPER(TRIM(rEmisor))=""CUALQUIERA""
),
OR(
UPPER(TRI"&amp;"M(rTipo))=""SOLO EMISOR"",
AND(
UPPER(TRIM(rTipo))=""EXACTA"",
UPPER(TRIM(AG1887))=UPPER(TRIM(rPatron))
),
AND(
OR(
UPPER(TRIM(rTipo))=""CONTIENE"",
UPPER(TRIM(rTipo))=""COINCIDENCIA""
),
ISNUMBER(SEARCH(UPPER(TRIM(rPatron)),UPPER(TRIM(D1887))))
)
)
),
rC"&amp;"oncepto,
""""
)
)
),
MAP(
reglas!$B$2:$B$240,
reglas!$C$2:$C$240,
reglas!$D$2:$D$240,
reglas!$E$2:$E$240,
LAMBDA(rEmisor,rPatron,rConcepto,rTipo,
IF(
AND(
OR(
UPPER(TRIM(rEmisor))=UPPER(TRIM(C1887)),
UPPER(TRIM(rEmisor))=""CUALQUIERA""
),
OR(
UPPER(TRIM(r"&amp;"Tipo))=""SOLO EMISOR"",
AND(
UPPER(TRIM(rTipo))=""EXACTA"",
UPPER(TRIM(D1887))=UPPER(TRIM(rPatron))
),
AND(
OR(
UPPER(TRIM(rTipo))=""CONTIENE"",
UPPER(TRIM(rTipo))=""COINCIDENCIA""
),
ISNUMBER(SEARCH(UPPER(TRIM(rPatron)),UPPER(TRIM(D1887))))
)
)
),
rConce"&amp;"pto,
""""
)
)
)&lt;&gt;""""
),
1
),
""""
)"),"MANIOBRAS")</f>
        <v>MANIOBRAS</v>
      </c>
      <c r="L1887" s="27"/>
      <c r="M1887" s="27"/>
      <c r="N1887" s="27"/>
      <c r="O1887" s="27"/>
      <c r="P1887" s="27"/>
      <c r="Q1887" s="27"/>
      <c r="R1887" s="27"/>
      <c r="S1887" s="27"/>
      <c r="T1887" s="27"/>
      <c r="U1887" s="27"/>
      <c r="V1887" s="27"/>
      <c r="W1887" s="27"/>
      <c r="X1887" s="27"/>
      <c r="Y1887" s="27"/>
    </row>
    <row r="1888">
      <c r="A1888" s="32"/>
      <c r="B1888" s="28" t="s">
        <v>29</v>
      </c>
      <c r="C1888" s="29" t="s">
        <v>331</v>
      </c>
      <c r="D1888" s="29" t="s">
        <v>33</v>
      </c>
      <c r="E1888" s="28">
        <v>0.01</v>
      </c>
      <c r="F1888" s="28">
        <v>0.0</v>
      </c>
      <c r="G1888" s="28" t="s">
        <v>385</v>
      </c>
      <c r="H1888" s="28">
        <f t="array" ref="H1888">INDEX(CC!C:C,MATCH(1,(CC!A:A=G1888)*(CC!B:B=I1888),0))</f>
        <v>502</v>
      </c>
      <c r="I1888" s="28" t="s">
        <v>25</v>
      </c>
      <c r="J1888" s="31">
        <v>0.01</v>
      </c>
      <c r="K1888" s="28" t="str">
        <f>IFERROR(__xludf.DUMMYFUNCTION("IFERROR(
INDEX(
FILTER(
MAP(
reglas!$B$2:$B$240,
reglas!$C$2:$C$240,
reglas!$D$2:$D$240,
reglas!$E$2:$E$240,
LAMBDA(rEmisor,rPatron,rConcepto,rTipo,
IF(
AND(
OR(
UPPER(TRIM(rEmisor))=UPPER(TRIM(C1888)),
UPPER(TRIM(rEmisor))=""CUALQUIERA""
),
OR(
UPPER(TRI"&amp;"M(rTipo))=""SOLO EMISOR"",
AND(
UPPER(TRIM(rTipo))=""EXACTA"",
UPPER(TRIM(AG1888))=UPPER(TRIM(rPatron))
),
AND(
OR(
UPPER(TRIM(rTipo))=""CONTIENE"",
UPPER(TRIM(rTipo))=""COINCIDENCIA""
),
ISNUMBER(SEARCH(UPPER(TRIM(rPatron)),UPPER(TRIM(D1888))))
)
)
),
rC"&amp;"oncepto,
""""
)
)
),
MAP(
reglas!$B$2:$B$240,
reglas!$C$2:$C$240,
reglas!$D$2:$D$240,
reglas!$E$2:$E$240,
LAMBDA(rEmisor,rPatron,rConcepto,rTipo,
IF(
AND(
OR(
UPPER(TRIM(rEmisor))=UPPER(TRIM(C1888)),
UPPER(TRIM(rEmisor))=""CUALQUIERA""
),
OR(
UPPER(TRIM(r"&amp;"Tipo))=""SOLO EMISOR"",
AND(
UPPER(TRIM(rTipo))=""EXACTA"",
UPPER(TRIM(D1888))=UPPER(TRIM(rPatron))
),
AND(
OR(
UPPER(TRIM(rTipo))=""CONTIENE"",
UPPER(TRIM(rTipo))=""COINCIDENCIA""
),
ISNUMBER(SEARCH(UPPER(TRIM(rPatron)),UPPER(TRIM(D1888))))
)
)
),
rConce"&amp;"pto,
""""
)
)
)&lt;&gt;""""
),
1
),
""""
)"),"N/A")</f>
        <v>N/A</v>
      </c>
      <c r="L1888" s="27"/>
      <c r="M1888" s="27"/>
      <c r="N1888" s="27"/>
      <c r="O1888" s="27"/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</row>
    <row r="1889">
      <c r="A1889" s="32"/>
      <c r="B1889" s="28" t="s">
        <v>29</v>
      </c>
      <c r="C1889" s="29" t="s">
        <v>224</v>
      </c>
      <c r="D1889" s="29" t="s">
        <v>2037</v>
      </c>
      <c r="E1889" s="28">
        <v>80.0</v>
      </c>
      <c r="F1889" s="28">
        <v>0.0</v>
      </c>
      <c r="G1889" s="28" t="s">
        <v>40</v>
      </c>
      <c r="H1889" s="28">
        <f t="array" ref="H1889">INDEX(CC!C:C,MATCH(1,(CC!A:A=G1889)*(CC!B:B=I1889),0))</f>
        <v>602</v>
      </c>
      <c r="I1889" s="28" t="s">
        <v>25</v>
      </c>
      <c r="J1889" s="31">
        <v>80.0</v>
      </c>
      <c r="K1889" s="28" t="str">
        <f>IFERROR(__xludf.DUMMYFUNCTION("IFERROR(
INDEX(
FILTER(
MAP(
reglas!$B$2:$B$240,
reglas!$C$2:$C$240,
reglas!$D$2:$D$240,
reglas!$E$2:$E$240,
LAMBDA(rEmisor,rPatron,rConcepto,rTipo,
IF(
AND(
OR(
UPPER(TRIM(rEmisor))=UPPER(TRIM(C1889)),
UPPER(TRIM(rEmisor))=""CUALQUIERA""
),
OR(
UPPER(TRI"&amp;"M(rTipo))=""SOLO EMISOR"",
AND(
UPPER(TRIM(rTipo))=""EXACTA"",
UPPER(TRIM(AG1889))=UPPER(TRIM(rPatron))
),
AND(
OR(
UPPER(TRIM(rTipo))=""CONTIENE"",
UPPER(TRIM(rTipo))=""COINCIDENCIA""
),
ISNUMBER(SEARCH(UPPER(TRIM(rPatron)),UPPER(TRIM(D1889))))
)
)
),
rC"&amp;"oncepto,
""""
)
)
),
MAP(
reglas!$B$2:$B$240,
reglas!$C$2:$C$240,
reglas!$D$2:$D$240,
reglas!$E$2:$E$240,
LAMBDA(rEmisor,rPatron,rConcepto,rTipo,
IF(
AND(
OR(
UPPER(TRIM(rEmisor))=UPPER(TRIM(C1889)),
UPPER(TRIM(rEmisor))=""CUALQUIERA""
),
OR(
UPPER(TRIM(r"&amp;"Tipo))=""SOLO EMISOR"",
AND(
UPPER(TRIM(rTipo))=""EXACTA"",
UPPER(TRIM(D1889))=UPPER(TRIM(rPatron))
),
AND(
OR(
UPPER(TRIM(rTipo))=""CONTIENE"",
UPPER(TRIM(rTipo))=""COINCIDENCIA""
),
ISNUMBER(SEARCH(UPPER(TRIM(rPatron)),UPPER(TRIM(D1889))))
)
)
),
rConce"&amp;"pto,
""""
)
)
)&lt;&gt;""""
),
1
),
""""
)"),"COMISIONES")</f>
        <v>COMISIONES</v>
      </c>
      <c r="L1889" s="27"/>
      <c r="M1889" s="27"/>
      <c r="N1889" s="27"/>
      <c r="O1889" s="27"/>
      <c r="P1889" s="27"/>
      <c r="Q1889" s="27"/>
      <c r="R1889" s="27"/>
      <c r="S1889" s="27"/>
      <c r="T1889" s="27"/>
      <c r="U1889" s="27"/>
      <c r="V1889" s="27"/>
      <c r="W1889" s="27"/>
      <c r="X1889" s="27"/>
      <c r="Y1889" s="27"/>
    </row>
    <row r="1890">
      <c r="A1890" s="32"/>
      <c r="B1890" s="28" t="s">
        <v>29</v>
      </c>
      <c r="C1890" s="29" t="s">
        <v>331</v>
      </c>
      <c r="D1890" s="29" t="s">
        <v>33</v>
      </c>
      <c r="E1890" s="28">
        <v>0.01</v>
      </c>
      <c r="F1890" s="28">
        <v>0.0</v>
      </c>
      <c r="G1890" s="28" t="s">
        <v>385</v>
      </c>
      <c r="H1890" s="28">
        <f t="array" ref="H1890">INDEX(CC!C:C,MATCH(1,(CC!A:A=G1890)*(CC!B:B=I1890),0))</f>
        <v>502</v>
      </c>
      <c r="I1890" s="28" t="s">
        <v>25</v>
      </c>
      <c r="J1890" s="31">
        <v>0.01</v>
      </c>
      <c r="K1890" s="28" t="str">
        <f>IFERROR(__xludf.DUMMYFUNCTION("IFERROR(
INDEX(
FILTER(
MAP(
reglas!$B$2:$B$240,
reglas!$C$2:$C$240,
reglas!$D$2:$D$240,
reglas!$E$2:$E$240,
LAMBDA(rEmisor,rPatron,rConcepto,rTipo,
IF(
AND(
OR(
UPPER(TRIM(rEmisor))=UPPER(TRIM(C1890)),
UPPER(TRIM(rEmisor))=""CUALQUIERA""
),
OR(
UPPER(TRI"&amp;"M(rTipo))=""SOLO EMISOR"",
AND(
UPPER(TRIM(rTipo))=""EXACTA"",
UPPER(TRIM(AG1890))=UPPER(TRIM(rPatron))
),
AND(
OR(
UPPER(TRIM(rTipo))=""CONTIENE"",
UPPER(TRIM(rTipo))=""COINCIDENCIA""
),
ISNUMBER(SEARCH(UPPER(TRIM(rPatron)),UPPER(TRIM(D1890))))
)
)
),
rC"&amp;"oncepto,
""""
)
)
),
MAP(
reglas!$B$2:$B$240,
reglas!$C$2:$C$240,
reglas!$D$2:$D$240,
reglas!$E$2:$E$240,
LAMBDA(rEmisor,rPatron,rConcepto,rTipo,
IF(
AND(
OR(
UPPER(TRIM(rEmisor))=UPPER(TRIM(C1890)),
UPPER(TRIM(rEmisor))=""CUALQUIERA""
),
OR(
UPPER(TRIM(r"&amp;"Tipo))=""SOLO EMISOR"",
AND(
UPPER(TRIM(rTipo))=""EXACTA"",
UPPER(TRIM(D1890))=UPPER(TRIM(rPatron))
),
AND(
OR(
UPPER(TRIM(rTipo))=""CONTIENE"",
UPPER(TRIM(rTipo))=""COINCIDENCIA""
),
ISNUMBER(SEARCH(UPPER(TRIM(rPatron)),UPPER(TRIM(D1890))))
)
)
),
rConce"&amp;"pto,
""""
)
)
)&lt;&gt;""""
),
1
),
""""
)"),"N/A")</f>
        <v>N/A</v>
      </c>
      <c r="L1890" s="27"/>
      <c r="M1890" s="27"/>
      <c r="N1890" s="27"/>
      <c r="O1890" s="27"/>
      <c r="P1890" s="27"/>
      <c r="Q1890" s="27"/>
      <c r="R1890" s="27"/>
      <c r="S1890" s="27"/>
      <c r="T1890" s="27"/>
      <c r="U1890" s="27"/>
      <c r="V1890" s="27"/>
      <c r="W1890" s="27"/>
      <c r="X1890" s="27"/>
      <c r="Y1890" s="27"/>
    </row>
    <row r="1891">
      <c r="A1891" s="32"/>
      <c r="B1891" s="28" t="s">
        <v>29</v>
      </c>
      <c r="C1891" s="29" t="s">
        <v>163</v>
      </c>
      <c r="D1891" s="29" t="s">
        <v>2038</v>
      </c>
      <c r="E1891" s="28">
        <v>571.55</v>
      </c>
      <c r="F1891" s="28">
        <v>0.0</v>
      </c>
      <c r="G1891" s="28" t="s">
        <v>385</v>
      </c>
      <c r="H1891" s="28">
        <f t="array" ref="H1891">INDEX(CC!C:C,MATCH(1,(CC!A:A=G1891)*(CC!B:B=I1891),0))</f>
        <v>502</v>
      </c>
      <c r="I1891" s="28" t="s">
        <v>25</v>
      </c>
      <c r="J1891" s="31">
        <v>571.55</v>
      </c>
      <c r="K1891" s="28" t="str">
        <f>IFERROR(__xludf.DUMMYFUNCTION("IFERROR(
INDEX(
FILTER(
MAP(
reglas!$B$2:$B$240,
reglas!$C$2:$C$240,
reglas!$D$2:$D$240,
reglas!$E$2:$E$240,
LAMBDA(rEmisor,rPatron,rConcepto,rTipo,
IF(
AND(
OR(
UPPER(TRIM(rEmisor))=UPPER(TRIM(C1891)),
UPPER(TRIM(rEmisor))=""CUALQUIERA""
),
OR(
UPPER(TRI"&amp;"M(rTipo))=""SOLO EMISOR"",
AND(
UPPER(TRIM(rTipo))=""EXACTA"",
UPPER(TRIM(AG1891))=UPPER(TRIM(rPatron))
),
AND(
OR(
UPPER(TRIM(rTipo))=""CONTIENE"",
UPPER(TRIM(rTipo))=""COINCIDENCIA""
),
ISNUMBER(SEARCH(UPPER(TRIM(rPatron)),UPPER(TRIM(D1891))))
)
)
),
rC"&amp;"oncepto,
""""
)
)
),
MAP(
reglas!$B$2:$B$240,
reglas!$C$2:$C$240,
reglas!$D$2:$D$240,
reglas!$E$2:$E$240,
LAMBDA(rEmisor,rPatron,rConcepto,rTipo,
IF(
AND(
OR(
UPPER(TRIM(rEmisor))=UPPER(TRIM(C1891)),
UPPER(TRIM(rEmisor))=""CUALQUIERA""
),
OR(
UPPER(TRIM(r"&amp;"Tipo))=""SOLO EMISOR"",
AND(
UPPER(TRIM(rTipo))=""EXACTA"",
UPPER(TRIM(D1891))=UPPER(TRIM(rPatron))
),
AND(
OR(
UPPER(TRIM(rTipo))=""CONTIENE"",
UPPER(TRIM(rTipo))=""COINCIDENCIA""
),
ISNUMBER(SEARCH(UPPER(TRIM(rPatron)),UPPER(TRIM(D1891))))
)
)
),
rConce"&amp;"pto,
""""
)
)
)&lt;&gt;""""
),
1
),
""""
)"),"ESTACIONAMIENTO")</f>
        <v>ESTACIONAMIENTO</v>
      </c>
      <c r="L1891" s="27"/>
      <c r="M1891" s="27"/>
      <c r="N1891" s="27"/>
      <c r="O1891" s="27"/>
      <c r="P1891" s="27"/>
      <c r="Q1891" s="27"/>
      <c r="R1891" s="27"/>
      <c r="S1891" s="27"/>
      <c r="T1891" s="27"/>
      <c r="U1891" s="27"/>
      <c r="V1891" s="27"/>
      <c r="W1891" s="27"/>
      <c r="X1891" s="27"/>
      <c r="Y1891" s="27"/>
    </row>
    <row r="1892">
      <c r="A1892" s="32"/>
      <c r="B1892" s="28" t="s">
        <v>29</v>
      </c>
      <c r="C1892" s="29" t="s">
        <v>163</v>
      </c>
      <c r="D1892" s="29" t="s">
        <v>2039</v>
      </c>
      <c r="E1892" s="28">
        <v>262.93</v>
      </c>
      <c r="F1892" s="28">
        <v>0.0</v>
      </c>
      <c r="G1892" s="28" t="s">
        <v>385</v>
      </c>
      <c r="H1892" s="28">
        <f t="array" ref="H1892">INDEX(CC!C:C,MATCH(1,(CC!A:A=G1892)*(CC!B:B=I1892),0))</f>
        <v>502</v>
      </c>
      <c r="I1892" s="28" t="s">
        <v>25</v>
      </c>
      <c r="J1892" s="31">
        <v>262.93</v>
      </c>
      <c r="K1892" s="28" t="str">
        <f>IFERROR(__xludf.DUMMYFUNCTION("IFERROR(
INDEX(
FILTER(
MAP(
reglas!$B$2:$B$240,
reglas!$C$2:$C$240,
reglas!$D$2:$D$240,
reglas!$E$2:$E$240,
LAMBDA(rEmisor,rPatron,rConcepto,rTipo,
IF(
AND(
OR(
UPPER(TRIM(rEmisor))=UPPER(TRIM(C1892)),
UPPER(TRIM(rEmisor))=""CUALQUIERA""
),
OR(
UPPER(TRI"&amp;"M(rTipo))=""SOLO EMISOR"",
AND(
UPPER(TRIM(rTipo))=""EXACTA"",
UPPER(TRIM(AG1892))=UPPER(TRIM(rPatron))
),
AND(
OR(
UPPER(TRIM(rTipo))=""CONTIENE"",
UPPER(TRIM(rTipo))=""COINCIDENCIA""
),
ISNUMBER(SEARCH(UPPER(TRIM(rPatron)),UPPER(TRIM(D1892))))
)
)
),
rC"&amp;"oncepto,
""""
)
)
),
MAP(
reglas!$B$2:$B$240,
reglas!$C$2:$C$240,
reglas!$D$2:$D$240,
reglas!$E$2:$E$240,
LAMBDA(rEmisor,rPatron,rConcepto,rTipo,
IF(
AND(
OR(
UPPER(TRIM(rEmisor))=UPPER(TRIM(C1892)),
UPPER(TRIM(rEmisor))=""CUALQUIERA""
),
OR(
UPPER(TRIM(r"&amp;"Tipo))=""SOLO EMISOR"",
AND(
UPPER(TRIM(rTipo))=""EXACTA"",
UPPER(TRIM(D1892))=UPPER(TRIM(rPatron))
),
AND(
OR(
UPPER(TRIM(rTipo))=""CONTIENE"",
UPPER(TRIM(rTipo))=""COINCIDENCIA""
),
ISNUMBER(SEARCH(UPPER(TRIM(rPatron)),UPPER(TRIM(D1892))))
)
)
),
rConce"&amp;"pto,
""""
)
)
)&lt;&gt;""""
),
1
),
""""
)"),"PATIO REGULADOR")</f>
        <v>PATIO REGULADOR</v>
      </c>
      <c r="L1892" s="27"/>
      <c r="M1892" s="27"/>
      <c r="N1892" s="27"/>
      <c r="O1892" s="27"/>
      <c r="P1892" s="27"/>
      <c r="Q1892" s="27"/>
      <c r="R1892" s="27"/>
      <c r="S1892" s="27"/>
      <c r="T1892" s="27"/>
      <c r="U1892" s="27"/>
      <c r="V1892" s="27"/>
      <c r="W1892" s="27"/>
      <c r="X1892" s="27"/>
      <c r="Y1892" s="27"/>
    </row>
    <row r="1893">
      <c r="A1893" s="32"/>
      <c r="B1893" s="28" t="s">
        <v>29</v>
      </c>
      <c r="C1893" s="29" t="s">
        <v>239</v>
      </c>
      <c r="D1893" s="29" t="s">
        <v>1847</v>
      </c>
      <c r="E1893" s="28">
        <v>240.0</v>
      </c>
      <c r="F1893" s="28">
        <v>0.0</v>
      </c>
      <c r="G1893" s="28" t="s">
        <v>225</v>
      </c>
      <c r="H1893" s="28">
        <f t="array" ref="H1893">INDEX(CC!C:C,MATCH(1,(CC!A:A=G1893)*(CC!B:B=I1893),0))</f>
        <v>102</v>
      </c>
      <c r="I1893" s="28" t="s">
        <v>25</v>
      </c>
      <c r="J1893" s="31">
        <v>240.0</v>
      </c>
      <c r="K1893" s="28" t="str">
        <f>IFERROR(__xludf.DUMMYFUNCTION("IFERROR(
INDEX(
FILTER(
MAP(
reglas!$B$2:$B$240,
reglas!$C$2:$C$240,
reglas!$D$2:$D$240,
reglas!$E$2:$E$240,
LAMBDA(rEmisor,rPatron,rConcepto,rTipo,
IF(
AND(
OR(
UPPER(TRIM(rEmisor))=UPPER(TRIM(C1893)),
UPPER(TRIM(rEmisor))=""CUALQUIERA""
),
OR(
UPPER(TRI"&amp;"M(rTipo))=""SOLO EMISOR"",
AND(
UPPER(TRIM(rTipo))=""EXACTA"",
UPPER(TRIM(AG1893))=UPPER(TRIM(rPatron))
),
AND(
OR(
UPPER(TRIM(rTipo))=""CONTIENE"",
UPPER(TRIM(rTipo))=""COINCIDENCIA""
),
ISNUMBER(SEARCH(UPPER(TRIM(rPatron)),UPPER(TRIM(D1893))))
)
)
),
rC"&amp;"oncepto,
""""
)
)
),
MAP(
reglas!$B$2:$B$240,
reglas!$C$2:$C$240,
reglas!$D$2:$D$240,
reglas!$E$2:$E$240,
LAMBDA(rEmisor,rPatron,rConcepto,rTipo,
IF(
AND(
OR(
UPPER(TRIM(rEmisor))=UPPER(TRIM(C1893)),
UPPER(TRIM(rEmisor))=""CUALQUIERA""
),
OR(
UPPER(TRIM(r"&amp;"Tipo))=""SOLO EMISOR"",
AND(
UPPER(TRIM(rTipo))=""EXACTA"",
UPPER(TRIM(D1893))=UPPER(TRIM(rPatron))
),
AND(
OR(
UPPER(TRIM(rTipo))=""CONTIENE"",
UPPER(TRIM(rTipo))=""COINCIDENCIA""
),
ISNUMBER(SEARCH(UPPER(TRIM(rPatron)),UPPER(TRIM(D1893))))
)
)
),
rConce"&amp;"pto,
""""
)
)
)&lt;&gt;""""
),
1
),
""""
)"),"INSUMOS DE OFICINA")</f>
        <v>INSUMOS DE OFICINA</v>
      </c>
      <c r="L1893" s="27"/>
      <c r="M1893" s="27"/>
      <c r="N1893" s="27"/>
      <c r="O1893" s="27"/>
      <c r="P1893" s="27"/>
      <c r="Q1893" s="27"/>
      <c r="R1893" s="27"/>
      <c r="S1893" s="27"/>
      <c r="T1893" s="27"/>
      <c r="U1893" s="27"/>
      <c r="V1893" s="27"/>
      <c r="W1893" s="27"/>
      <c r="X1893" s="27"/>
      <c r="Y1893" s="27"/>
    </row>
    <row r="1894">
      <c r="A1894" s="32"/>
      <c r="B1894" s="28" t="s">
        <v>29</v>
      </c>
      <c r="C1894" s="29" t="s">
        <v>414</v>
      </c>
      <c r="D1894" s="29" t="s">
        <v>415</v>
      </c>
      <c r="E1894" s="30">
        <v>68441.57</v>
      </c>
      <c r="F1894" s="28">
        <v>0.0</v>
      </c>
      <c r="G1894" s="28" t="s">
        <v>225</v>
      </c>
      <c r="H1894" s="28">
        <f t="array" ref="H1894">INDEX(CC!C:C,MATCH(1,(CC!A:A=G1894)*(CC!B:B=I1894),0))</f>
        <v>102</v>
      </c>
      <c r="I1894" s="28" t="s">
        <v>25</v>
      </c>
      <c r="J1894" s="5"/>
      <c r="K1894" s="28" t="str">
        <f>IFERROR(__xludf.DUMMYFUNCTION("IFERROR(
INDEX(
FILTER(
MAP(
reglas!$B$2:$B$240,
reglas!$C$2:$C$240,
reglas!$D$2:$D$240,
reglas!$E$2:$E$240,
LAMBDA(rEmisor,rPatron,rConcepto,rTipo,
IF(
AND(
OR(
UPPER(TRIM(rEmisor))=UPPER(TRIM(C1894)),
UPPER(TRIM(rEmisor))=""CUALQUIERA""
),
OR(
UPPER(TRI"&amp;"M(rTipo))=""SOLO EMISOR"",
AND(
UPPER(TRIM(rTipo))=""EXACTA"",
UPPER(TRIM(AG1894))=UPPER(TRIM(rPatron))
),
AND(
OR(
UPPER(TRIM(rTipo))=""CONTIENE"",
UPPER(TRIM(rTipo))=""COINCIDENCIA""
),
ISNUMBER(SEARCH(UPPER(TRIM(rPatron)),UPPER(TRIM(D1894))))
)
)
),
rC"&amp;"oncepto,
""""
)
)
),
MAP(
reglas!$B$2:$B$240,
reglas!$C$2:$C$240,
reglas!$D$2:$D$240,
reglas!$E$2:$E$240,
LAMBDA(rEmisor,rPatron,rConcepto,rTipo,
IF(
AND(
OR(
UPPER(TRIM(rEmisor))=UPPER(TRIM(C1894)),
UPPER(TRIM(rEmisor))=""CUALQUIERA""
),
OR(
UPPER(TRIM(r"&amp;"Tipo))=""SOLO EMISOR"",
AND(
UPPER(TRIM(rTipo))=""EXACTA"",
UPPER(TRIM(D1894))=UPPER(TRIM(rPatron))
),
AND(
OR(
UPPER(TRIM(rTipo))=""CONTIENE"",
UPPER(TRIM(rTipo))=""COINCIDENCIA""
),
ISNUMBER(SEARCH(UPPER(TRIM(rPatron)),UPPER(TRIM(D1894))))
)
)
),
rConce"&amp;"pto,
""""
)
)
)&lt;&gt;""""
),
1
),
""""
)"),"N/A")</f>
        <v>N/A</v>
      </c>
      <c r="L1894" s="27"/>
      <c r="M1894" s="27"/>
      <c r="N1894" s="27"/>
      <c r="O1894" s="27"/>
      <c r="P1894" s="27"/>
      <c r="Q1894" s="27"/>
      <c r="R1894" s="27"/>
      <c r="S1894" s="27"/>
      <c r="T1894" s="27"/>
      <c r="U1894" s="27"/>
      <c r="V1894" s="27"/>
      <c r="W1894" s="27"/>
      <c r="X1894" s="27"/>
      <c r="Y1894" s="27"/>
    </row>
    <row r="1895">
      <c r="A1895" s="32"/>
      <c r="B1895" s="28" t="s">
        <v>29</v>
      </c>
      <c r="C1895" s="29" t="s">
        <v>163</v>
      </c>
      <c r="D1895" s="29" t="s">
        <v>2040</v>
      </c>
      <c r="E1895" s="28">
        <v>262.93</v>
      </c>
      <c r="F1895" s="28">
        <v>0.0</v>
      </c>
      <c r="G1895" s="28" t="s">
        <v>385</v>
      </c>
      <c r="H1895" s="28">
        <f t="array" ref="H1895">INDEX(CC!C:C,MATCH(1,(CC!A:A=G1895)*(CC!B:B=I1895),0))</f>
        <v>502</v>
      </c>
      <c r="I1895" s="28" t="s">
        <v>25</v>
      </c>
      <c r="J1895" s="31">
        <v>262.93</v>
      </c>
      <c r="K1895" s="28" t="str">
        <f>IFERROR(__xludf.DUMMYFUNCTION("IFERROR(
INDEX(
FILTER(
MAP(
reglas!$B$2:$B$240,
reglas!$C$2:$C$240,
reglas!$D$2:$D$240,
reglas!$E$2:$E$240,
LAMBDA(rEmisor,rPatron,rConcepto,rTipo,
IF(
AND(
OR(
UPPER(TRIM(rEmisor))=UPPER(TRIM(C1895)),
UPPER(TRIM(rEmisor))=""CUALQUIERA""
),
OR(
UPPER(TRI"&amp;"M(rTipo))=""SOLO EMISOR"",
AND(
UPPER(TRIM(rTipo))=""EXACTA"",
UPPER(TRIM(AG1895))=UPPER(TRIM(rPatron))
),
AND(
OR(
UPPER(TRIM(rTipo))=""CONTIENE"",
UPPER(TRIM(rTipo))=""COINCIDENCIA""
),
ISNUMBER(SEARCH(UPPER(TRIM(rPatron)),UPPER(TRIM(D1895))))
)
)
),
rC"&amp;"oncepto,
""""
)
)
),
MAP(
reglas!$B$2:$B$240,
reglas!$C$2:$C$240,
reglas!$D$2:$D$240,
reglas!$E$2:$E$240,
LAMBDA(rEmisor,rPatron,rConcepto,rTipo,
IF(
AND(
OR(
UPPER(TRIM(rEmisor))=UPPER(TRIM(C1895)),
UPPER(TRIM(rEmisor))=""CUALQUIERA""
),
OR(
UPPER(TRIM(r"&amp;"Tipo))=""SOLO EMISOR"",
AND(
UPPER(TRIM(rTipo))=""EXACTA"",
UPPER(TRIM(D1895))=UPPER(TRIM(rPatron))
),
AND(
OR(
UPPER(TRIM(rTipo))=""CONTIENE"",
UPPER(TRIM(rTipo))=""COINCIDENCIA""
),
ISNUMBER(SEARCH(UPPER(TRIM(rPatron)),UPPER(TRIM(D1895))))
)
)
),
rConce"&amp;"pto,
""""
)
)
)&lt;&gt;""""
),
1
),
""""
)"),"PATIO REGULADOR")</f>
        <v>PATIO REGULADOR</v>
      </c>
      <c r="L1895" s="27"/>
      <c r="M1895" s="27"/>
      <c r="N1895" s="27"/>
      <c r="O1895" s="27"/>
      <c r="P1895" s="27"/>
      <c r="Q1895" s="27"/>
      <c r="R1895" s="27"/>
      <c r="S1895" s="27"/>
      <c r="T1895" s="27"/>
      <c r="U1895" s="27"/>
      <c r="V1895" s="27"/>
      <c r="W1895" s="27"/>
      <c r="X1895" s="27"/>
      <c r="Y1895" s="27"/>
    </row>
    <row r="1896">
      <c r="A1896" s="32"/>
      <c r="B1896" s="28" t="s">
        <v>29</v>
      </c>
      <c r="C1896" s="29" t="s">
        <v>259</v>
      </c>
      <c r="D1896" s="29" t="s">
        <v>755</v>
      </c>
      <c r="E1896" s="28">
        <v>165.52</v>
      </c>
      <c r="F1896" s="28">
        <v>0.0</v>
      </c>
      <c r="G1896" s="28" t="s">
        <v>581</v>
      </c>
      <c r="H1896" s="28">
        <f t="array" ref="H1896">INDEX(CC!C:C,MATCH(1,(CC!A:A=G1896)*(CC!B:B=I1896),0))</f>
        <v>202</v>
      </c>
      <c r="I1896" s="28" t="s">
        <v>25</v>
      </c>
      <c r="J1896" s="5"/>
      <c r="K1896" s="28" t="str">
        <f>IFERROR(__xludf.DUMMYFUNCTION("IFERROR(
INDEX(
FILTER(
MAP(
reglas!$B$2:$B$240,
reglas!$C$2:$C$240,
reglas!$D$2:$D$240,
reglas!$E$2:$E$240,
LAMBDA(rEmisor,rPatron,rConcepto,rTipo,
IF(
AND(
OR(
UPPER(TRIM(rEmisor))=UPPER(TRIM(C1896)),
UPPER(TRIM(rEmisor))=""CUALQUIERA""
),
OR(
UPPER(TRI"&amp;"M(rTipo))=""SOLO EMISOR"",
AND(
UPPER(TRIM(rTipo))=""EXACTA"",
UPPER(TRIM(AG1896))=UPPER(TRIM(rPatron))
),
AND(
OR(
UPPER(TRIM(rTipo))=""CONTIENE"",
UPPER(TRIM(rTipo))=""COINCIDENCIA""
),
ISNUMBER(SEARCH(UPPER(TRIM(rPatron)),UPPER(TRIM(D1896))))
)
)
),
rC"&amp;"oncepto,
""""
)
)
),
MAP(
reglas!$B$2:$B$240,
reglas!$C$2:$C$240,
reglas!$D$2:$D$240,
reglas!$E$2:$E$240,
LAMBDA(rEmisor,rPatron,rConcepto,rTipo,
IF(
AND(
OR(
UPPER(TRIM(rEmisor))=UPPER(TRIM(C1896)),
UPPER(TRIM(rEmisor))=""CUALQUIERA""
),
OR(
UPPER(TRIM(r"&amp;"Tipo))=""SOLO EMISOR"",
AND(
UPPER(TRIM(rTipo))=""EXACTA"",
UPPER(TRIM(D1896))=UPPER(TRIM(rPatron))
),
AND(
OR(
UPPER(TRIM(rTipo))=""CONTIENE"",
UPPER(TRIM(rTipo))=""COINCIDENCIA""
),
ISNUMBER(SEARCH(UPPER(TRIM(rPatron)),UPPER(TRIM(D1896))))
)
)
),
rConce"&amp;"pto,
""""
)
)
)&lt;&gt;""""
),
1
),
""""
)"),"COMBUSTIBLES Y LUBRICANTES")</f>
        <v>COMBUSTIBLES Y LUBRICANTES</v>
      </c>
      <c r="L1896" s="27"/>
      <c r="M1896" s="27"/>
      <c r="N1896" s="27"/>
      <c r="O1896" s="27"/>
      <c r="P1896" s="27"/>
      <c r="Q1896" s="27"/>
      <c r="R1896" s="27"/>
      <c r="S1896" s="27"/>
      <c r="T1896" s="27"/>
      <c r="U1896" s="27"/>
      <c r="V1896" s="27"/>
      <c r="W1896" s="27"/>
      <c r="X1896" s="27"/>
      <c r="Y1896" s="27"/>
    </row>
    <row r="1897">
      <c r="A1897" s="32"/>
      <c r="B1897" s="28" t="s">
        <v>29</v>
      </c>
      <c r="C1897" s="29" t="s">
        <v>414</v>
      </c>
      <c r="D1897" s="29" t="s">
        <v>415</v>
      </c>
      <c r="E1897" s="30">
        <v>64707.58</v>
      </c>
      <c r="F1897" s="28">
        <v>0.0</v>
      </c>
      <c r="G1897" s="28" t="s">
        <v>225</v>
      </c>
      <c r="H1897" s="28">
        <f t="array" ref="H1897">INDEX(CC!C:C,MATCH(1,(CC!A:A=G1897)*(CC!B:B=I1897),0))</f>
        <v>102</v>
      </c>
      <c r="I1897" s="28" t="s">
        <v>25</v>
      </c>
      <c r="J1897" s="5"/>
      <c r="K1897" s="28" t="str">
        <f>IFERROR(__xludf.DUMMYFUNCTION("IFERROR(
INDEX(
FILTER(
MAP(
reglas!$B$2:$B$240,
reglas!$C$2:$C$240,
reglas!$D$2:$D$240,
reglas!$E$2:$E$240,
LAMBDA(rEmisor,rPatron,rConcepto,rTipo,
IF(
AND(
OR(
UPPER(TRIM(rEmisor))=UPPER(TRIM(C1897)),
UPPER(TRIM(rEmisor))=""CUALQUIERA""
),
OR(
UPPER(TRI"&amp;"M(rTipo))=""SOLO EMISOR"",
AND(
UPPER(TRIM(rTipo))=""EXACTA"",
UPPER(TRIM(AG1897))=UPPER(TRIM(rPatron))
),
AND(
OR(
UPPER(TRIM(rTipo))=""CONTIENE"",
UPPER(TRIM(rTipo))=""COINCIDENCIA""
),
ISNUMBER(SEARCH(UPPER(TRIM(rPatron)),UPPER(TRIM(D1897))))
)
)
),
rC"&amp;"oncepto,
""""
)
)
),
MAP(
reglas!$B$2:$B$240,
reglas!$C$2:$C$240,
reglas!$D$2:$D$240,
reglas!$E$2:$E$240,
LAMBDA(rEmisor,rPatron,rConcepto,rTipo,
IF(
AND(
OR(
UPPER(TRIM(rEmisor))=UPPER(TRIM(C1897)),
UPPER(TRIM(rEmisor))=""CUALQUIERA""
),
OR(
UPPER(TRIM(r"&amp;"Tipo))=""SOLO EMISOR"",
AND(
UPPER(TRIM(rTipo))=""EXACTA"",
UPPER(TRIM(D1897))=UPPER(TRIM(rPatron))
),
AND(
OR(
UPPER(TRIM(rTipo))=""CONTIENE"",
UPPER(TRIM(rTipo))=""COINCIDENCIA""
),
ISNUMBER(SEARCH(UPPER(TRIM(rPatron)),UPPER(TRIM(D1897))))
)
)
),
rConce"&amp;"pto,
""""
)
)
)&lt;&gt;""""
),
1
),
""""
)"),"N/A")</f>
        <v>N/A</v>
      </c>
      <c r="L1897" s="27"/>
      <c r="M1897" s="27"/>
      <c r="N1897" s="27"/>
      <c r="O1897" s="27"/>
      <c r="P1897" s="27"/>
      <c r="Q1897" s="27"/>
      <c r="R1897" s="27"/>
      <c r="S1897" s="27"/>
      <c r="T1897" s="27"/>
      <c r="U1897" s="27"/>
      <c r="V1897" s="27"/>
      <c r="W1897" s="27"/>
      <c r="X1897" s="27"/>
      <c r="Y1897" s="27"/>
    </row>
    <row r="1898">
      <c r="A1898" s="32"/>
      <c r="B1898" s="28" t="s">
        <v>29</v>
      </c>
      <c r="C1898" s="29" t="s">
        <v>163</v>
      </c>
      <c r="D1898" s="29" t="s">
        <v>2041</v>
      </c>
      <c r="E1898" s="28">
        <v>262.93</v>
      </c>
      <c r="F1898" s="28">
        <v>0.0</v>
      </c>
      <c r="G1898" s="28" t="s">
        <v>385</v>
      </c>
      <c r="H1898" s="28">
        <f t="array" ref="H1898">INDEX(CC!C:C,MATCH(1,(CC!A:A=G1898)*(CC!B:B=I1898),0))</f>
        <v>502</v>
      </c>
      <c r="I1898" s="28" t="s">
        <v>25</v>
      </c>
      <c r="J1898" s="31">
        <v>262.93</v>
      </c>
      <c r="K1898" s="28" t="str">
        <f>IFERROR(__xludf.DUMMYFUNCTION("IFERROR(
INDEX(
FILTER(
MAP(
reglas!$B$2:$B$240,
reglas!$C$2:$C$240,
reglas!$D$2:$D$240,
reglas!$E$2:$E$240,
LAMBDA(rEmisor,rPatron,rConcepto,rTipo,
IF(
AND(
OR(
UPPER(TRIM(rEmisor))=UPPER(TRIM(C1898)),
UPPER(TRIM(rEmisor))=""CUALQUIERA""
),
OR(
UPPER(TRI"&amp;"M(rTipo))=""SOLO EMISOR"",
AND(
UPPER(TRIM(rTipo))=""EXACTA"",
UPPER(TRIM(AG1898))=UPPER(TRIM(rPatron))
),
AND(
OR(
UPPER(TRIM(rTipo))=""CONTIENE"",
UPPER(TRIM(rTipo))=""COINCIDENCIA""
),
ISNUMBER(SEARCH(UPPER(TRIM(rPatron)),UPPER(TRIM(D1898))))
)
)
),
rC"&amp;"oncepto,
""""
)
)
),
MAP(
reglas!$B$2:$B$240,
reglas!$C$2:$C$240,
reglas!$D$2:$D$240,
reglas!$E$2:$E$240,
LAMBDA(rEmisor,rPatron,rConcepto,rTipo,
IF(
AND(
OR(
UPPER(TRIM(rEmisor))=UPPER(TRIM(C1898)),
UPPER(TRIM(rEmisor))=""CUALQUIERA""
),
OR(
UPPER(TRIM(r"&amp;"Tipo))=""SOLO EMISOR"",
AND(
UPPER(TRIM(rTipo))=""EXACTA"",
UPPER(TRIM(D1898))=UPPER(TRIM(rPatron))
),
AND(
OR(
UPPER(TRIM(rTipo))=""CONTIENE"",
UPPER(TRIM(rTipo))=""COINCIDENCIA""
),
ISNUMBER(SEARCH(UPPER(TRIM(rPatron)),UPPER(TRIM(D1898))))
)
)
),
rConce"&amp;"pto,
""""
)
)
)&lt;&gt;""""
),
1
),
""""
)"),"PATIO REGULADOR")</f>
        <v>PATIO REGULADOR</v>
      </c>
      <c r="L1898" s="27"/>
      <c r="M1898" s="27"/>
      <c r="N1898" s="27"/>
      <c r="O1898" s="27"/>
      <c r="P1898" s="27"/>
      <c r="Q1898" s="27"/>
      <c r="R1898" s="27"/>
      <c r="S1898" s="27"/>
      <c r="T1898" s="27"/>
      <c r="U1898" s="27"/>
      <c r="V1898" s="27"/>
      <c r="W1898" s="27"/>
      <c r="X1898" s="27"/>
      <c r="Y1898" s="27"/>
    </row>
    <row r="1899">
      <c r="A1899" s="28">
        <v>1.0</v>
      </c>
      <c r="B1899" s="28" t="s">
        <v>29</v>
      </c>
      <c r="C1899" s="29" t="s">
        <v>271</v>
      </c>
      <c r="D1899" s="29" t="s">
        <v>585</v>
      </c>
      <c r="E1899" s="28">
        <v>620.47</v>
      </c>
      <c r="F1899" s="28">
        <v>0.0</v>
      </c>
      <c r="G1899" s="28" t="s">
        <v>84</v>
      </c>
      <c r="H1899" s="28">
        <f t="array" ref="H1899">INDEX(CC!C:C,MATCH(1,(CC!A:A=G1899)*(CC!B:B=I1899),0))</f>
        <v>1002</v>
      </c>
      <c r="I1899" s="28" t="s">
        <v>25</v>
      </c>
      <c r="J1899" s="31">
        <v>620.47</v>
      </c>
      <c r="K1899" s="28" t="str">
        <f>IFERROR(__xludf.DUMMYFUNCTION("IFERROR(
INDEX(
FILTER(
MAP(
reglas!$B$2:$B$240,
reglas!$C$2:$C$240,
reglas!$D$2:$D$240,
reglas!$E$2:$E$240,
LAMBDA(rEmisor,rPatron,rConcepto,rTipo,
IF(
AND(
OR(
UPPER(TRIM(rEmisor))=UPPER(TRIM(C1899)),
UPPER(TRIM(rEmisor))=""CUALQUIERA""
),
OR(
UPPER(TRI"&amp;"M(rTipo))=""SOLO EMISOR"",
AND(
UPPER(TRIM(rTipo))=""EXACTA"",
UPPER(TRIM(AG1899))=UPPER(TRIM(rPatron))
),
AND(
OR(
UPPER(TRIM(rTipo))=""CONTIENE"",
UPPER(TRIM(rTipo))=""COINCIDENCIA""
),
ISNUMBER(SEARCH(UPPER(TRIM(rPatron)),UPPER(TRIM(D1899))))
)
)
),
rC"&amp;"oncepto,
""""
)
)
),
MAP(
reglas!$B$2:$B$240,
reglas!$C$2:$C$240,
reglas!$D$2:$D$240,
reglas!$E$2:$E$240,
LAMBDA(rEmisor,rPatron,rConcepto,rTipo,
IF(
AND(
OR(
UPPER(TRIM(rEmisor))=UPPER(TRIM(C1899)),
UPPER(TRIM(rEmisor))=""CUALQUIERA""
),
OR(
UPPER(TRIM(r"&amp;"Tipo))=""SOLO EMISOR"",
AND(
UPPER(TRIM(rTipo))=""EXACTA"",
UPPER(TRIM(D1899))=UPPER(TRIM(rPatron))
),
AND(
OR(
UPPER(TRIM(rTipo))=""CONTIENE"",
UPPER(TRIM(rTipo))=""COINCIDENCIA""
),
ISNUMBER(SEARCH(UPPER(TRIM(rPatron)),UPPER(TRIM(D1899))))
)
)
),
rConce"&amp;"pto,
""""
)
)
)&lt;&gt;""""
),
1
),
""""
)"),"MANIOBRAS")</f>
        <v>MANIOBRAS</v>
      </c>
      <c r="L1899" s="27"/>
      <c r="M1899" s="27"/>
      <c r="N1899" s="27"/>
      <c r="O1899" s="27"/>
      <c r="P1899" s="27"/>
      <c r="Q1899" s="27"/>
      <c r="R1899" s="27"/>
      <c r="S1899" s="27"/>
      <c r="T1899" s="27"/>
      <c r="U1899" s="27"/>
      <c r="V1899" s="27"/>
      <c r="W1899" s="27"/>
      <c r="X1899" s="27"/>
      <c r="Y1899" s="27"/>
    </row>
    <row r="1900">
      <c r="A1900" s="32"/>
      <c r="B1900" s="32"/>
      <c r="C1900" s="29" t="s">
        <v>271</v>
      </c>
      <c r="D1900" s="29" t="s">
        <v>587</v>
      </c>
      <c r="E1900" s="28">
        <v>567.69</v>
      </c>
      <c r="F1900" s="28">
        <v>0.0</v>
      </c>
      <c r="G1900" s="28" t="s">
        <v>84</v>
      </c>
      <c r="H1900" s="28">
        <f t="array" ref="H1900">INDEX(CC!C:C,MATCH(1,(CC!A:A=G1900)*(CC!B:B=I1900),0))</f>
        <v>1002</v>
      </c>
      <c r="I1900" s="28" t="s">
        <v>25</v>
      </c>
      <c r="J1900" s="31">
        <v>567.69</v>
      </c>
      <c r="K1900" s="28" t="str">
        <f>IFERROR(__xludf.DUMMYFUNCTION("IFERROR(
INDEX(
FILTER(
MAP(
reglas!$B$2:$B$240,
reglas!$C$2:$C$240,
reglas!$D$2:$D$240,
reglas!$E$2:$E$240,
LAMBDA(rEmisor,rPatron,rConcepto,rTipo,
IF(
AND(
OR(
UPPER(TRIM(rEmisor))=UPPER(TRIM(C1900)),
UPPER(TRIM(rEmisor))=""CUALQUIERA""
),
OR(
UPPER(TRI"&amp;"M(rTipo))=""SOLO EMISOR"",
AND(
UPPER(TRIM(rTipo))=""EXACTA"",
UPPER(TRIM(AG1900))=UPPER(TRIM(rPatron))
),
AND(
OR(
UPPER(TRIM(rTipo))=""CONTIENE"",
UPPER(TRIM(rTipo))=""COINCIDENCIA""
),
ISNUMBER(SEARCH(UPPER(TRIM(rPatron)),UPPER(TRIM(D1900))))
)
)
),
rC"&amp;"oncepto,
""""
)
)
),
MAP(
reglas!$B$2:$B$240,
reglas!$C$2:$C$240,
reglas!$D$2:$D$240,
reglas!$E$2:$E$240,
LAMBDA(rEmisor,rPatron,rConcepto,rTipo,
IF(
AND(
OR(
UPPER(TRIM(rEmisor))=UPPER(TRIM(C1900)),
UPPER(TRIM(rEmisor))=""CUALQUIERA""
),
OR(
UPPER(TRIM(r"&amp;"Tipo))=""SOLO EMISOR"",
AND(
UPPER(TRIM(rTipo))=""EXACTA"",
UPPER(TRIM(D1900))=UPPER(TRIM(rPatron))
),
AND(
OR(
UPPER(TRIM(rTipo))=""CONTIENE"",
UPPER(TRIM(rTipo))=""COINCIDENCIA""
),
ISNUMBER(SEARCH(UPPER(TRIM(rPatron)),UPPER(TRIM(D1900))))
)
)
),
rConce"&amp;"pto,
""""
)
)
)&lt;&gt;""""
),
1
),
""""
)"),"MANIOBRAS")</f>
        <v>MANIOBRAS</v>
      </c>
      <c r="L1900" s="27"/>
      <c r="M1900" s="27"/>
      <c r="N1900" s="27"/>
      <c r="O1900" s="27"/>
      <c r="P1900" s="27"/>
      <c r="Q1900" s="27"/>
      <c r="R1900" s="27"/>
      <c r="S1900" s="27"/>
      <c r="T1900" s="27"/>
      <c r="U1900" s="27"/>
      <c r="V1900" s="27"/>
      <c r="W1900" s="27"/>
      <c r="X1900" s="27"/>
      <c r="Y1900" s="27"/>
    </row>
    <row r="1901">
      <c r="A1901" s="32"/>
      <c r="B1901" s="32"/>
      <c r="C1901" s="29" t="s">
        <v>271</v>
      </c>
      <c r="D1901" s="29" t="s">
        <v>589</v>
      </c>
      <c r="E1901" s="28">
        <v>620.81</v>
      </c>
      <c r="F1901" s="28">
        <v>0.0</v>
      </c>
      <c r="G1901" s="28" t="s">
        <v>84</v>
      </c>
      <c r="H1901" s="28">
        <f t="array" ref="H1901">INDEX(CC!C:C,MATCH(1,(CC!A:A=G1901)*(CC!B:B=I1901),0))</f>
        <v>1002</v>
      </c>
      <c r="I1901" s="28" t="s">
        <v>25</v>
      </c>
      <c r="J1901" s="31">
        <v>620.81</v>
      </c>
      <c r="K1901" s="28" t="str">
        <f>IFERROR(__xludf.DUMMYFUNCTION("IFERROR(
INDEX(
FILTER(
MAP(
reglas!$B$2:$B$240,
reglas!$C$2:$C$240,
reglas!$D$2:$D$240,
reglas!$E$2:$E$240,
LAMBDA(rEmisor,rPatron,rConcepto,rTipo,
IF(
AND(
OR(
UPPER(TRIM(rEmisor))=UPPER(TRIM(C1901)),
UPPER(TRIM(rEmisor))=""CUALQUIERA""
),
OR(
UPPER(TRI"&amp;"M(rTipo))=""SOLO EMISOR"",
AND(
UPPER(TRIM(rTipo))=""EXACTA"",
UPPER(TRIM(AG1901))=UPPER(TRIM(rPatron))
),
AND(
OR(
UPPER(TRIM(rTipo))=""CONTIENE"",
UPPER(TRIM(rTipo))=""COINCIDENCIA""
),
ISNUMBER(SEARCH(UPPER(TRIM(rPatron)),UPPER(TRIM(D1901))))
)
)
),
rC"&amp;"oncepto,
""""
)
)
),
MAP(
reglas!$B$2:$B$240,
reglas!$C$2:$C$240,
reglas!$D$2:$D$240,
reglas!$E$2:$E$240,
LAMBDA(rEmisor,rPatron,rConcepto,rTipo,
IF(
AND(
OR(
UPPER(TRIM(rEmisor))=UPPER(TRIM(C1901)),
UPPER(TRIM(rEmisor))=""CUALQUIERA""
),
OR(
UPPER(TRIM(r"&amp;"Tipo))=""SOLO EMISOR"",
AND(
UPPER(TRIM(rTipo))=""EXACTA"",
UPPER(TRIM(D1901))=UPPER(TRIM(rPatron))
),
AND(
OR(
UPPER(TRIM(rTipo))=""CONTIENE"",
UPPER(TRIM(rTipo))=""COINCIDENCIA""
),
ISNUMBER(SEARCH(UPPER(TRIM(rPatron)),UPPER(TRIM(D1901))))
)
)
),
rConce"&amp;"pto,
""""
)
)
)&lt;&gt;""""
),
1
),
""""
)"),"MANIOBRAS")</f>
        <v>MANIOBRAS</v>
      </c>
      <c r="L1901" s="27"/>
      <c r="M1901" s="27"/>
      <c r="N1901" s="27"/>
      <c r="O1901" s="27"/>
      <c r="P1901" s="27"/>
      <c r="Q1901" s="27"/>
      <c r="R1901" s="27"/>
      <c r="S1901" s="27"/>
      <c r="T1901" s="27"/>
      <c r="U1901" s="27"/>
      <c r="V1901" s="27"/>
      <c r="W1901" s="27"/>
      <c r="X1901" s="27"/>
      <c r="Y1901" s="27"/>
    </row>
    <row r="1902">
      <c r="A1902" s="32"/>
      <c r="B1902" s="32"/>
      <c r="C1902" s="29" t="s">
        <v>271</v>
      </c>
      <c r="D1902" s="29" t="s">
        <v>596</v>
      </c>
      <c r="E1902" s="28">
        <v>651.35</v>
      </c>
      <c r="F1902" s="28">
        <v>0.0</v>
      </c>
      <c r="G1902" s="28" t="s">
        <v>84</v>
      </c>
      <c r="H1902" s="28">
        <f t="array" ref="H1902">INDEX(CC!C:C,MATCH(1,(CC!A:A=G1902)*(CC!B:B=I1902),0))</f>
        <v>1002</v>
      </c>
      <c r="I1902" s="28" t="s">
        <v>25</v>
      </c>
      <c r="J1902" s="31">
        <v>651.35</v>
      </c>
      <c r="K1902" s="28" t="str">
        <f>IFERROR(__xludf.DUMMYFUNCTION("IFERROR(
INDEX(
FILTER(
MAP(
reglas!$B$2:$B$240,
reglas!$C$2:$C$240,
reglas!$D$2:$D$240,
reglas!$E$2:$E$240,
LAMBDA(rEmisor,rPatron,rConcepto,rTipo,
IF(
AND(
OR(
UPPER(TRIM(rEmisor))=UPPER(TRIM(C1902)),
UPPER(TRIM(rEmisor))=""CUALQUIERA""
),
OR(
UPPER(TRI"&amp;"M(rTipo))=""SOLO EMISOR"",
AND(
UPPER(TRIM(rTipo))=""EXACTA"",
UPPER(TRIM(AG1902))=UPPER(TRIM(rPatron))
),
AND(
OR(
UPPER(TRIM(rTipo))=""CONTIENE"",
UPPER(TRIM(rTipo))=""COINCIDENCIA""
),
ISNUMBER(SEARCH(UPPER(TRIM(rPatron)),UPPER(TRIM(D1902))))
)
)
),
rC"&amp;"oncepto,
""""
)
)
),
MAP(
reglas!$B$2:$B$240,
reglas!$C$2:$C$240,
reglas!$D$2:$D$240,
reglas!$E$2:$E$240,
LAMBDA(rEmisor,rPatron,rConcepto,rTipo,
IF(
AND(
OR(
UPPER(TRIM(rEmisor))=UPPER(TRIM(C1902)),
UPPER(TRIM(rEmisor))=""CUALQUIERA""
),
OR(
UPPER(TRIM(r"&amp;"Tipo))=""SOLO EMISOR"",
AND(
UPPER(TRIM(rTipo))=""EXACTA"",
UPPER(TRIM(D1902))=UPPER(TRIM(rPatron))
),
AND(
OR(
UPPER(TRIM(rTipo))=""CONTIENE"",
UPPER(TRIM(rTipo))=""COINCIDENCIA""
),
ISNUMBER(SEARCH(UPPER(TRIM(rPatron)),UPPER(TRIM(D1902))))
)
)
),
rConce"&amp;"pto,
""""
)
)
)&lt;&gt;""""
),
1
),
""""
)"),"MANIOBRAS")</f>
        <v>MANIOBRAS</v>
      </c>
      <c r="L1902" s="27"/>
      <c r="M1902" s="27"/>
      <c r="N1902" s="27"/>
      <c r="O1902" s="27"/>
      <c r="P1902" s="27"/>
      <c r="Q1902" s="27"/>
      <c r="R1902" s="27"/>
      <c r="S1902" s="27"/>
      <c r="T1902" s="27"/>
      <c r="U1902" s="27"/>
      <c r="V1902" s="27"/>
      <c r="W1902" s="27"/>
      <c r="X1902" s="27"/>
      <c r="Y1902" s="27"/>
    </row>
    <row r="1903">
      <c r="A1903" s="32"/>
      <c r="B1903" s="28" t="s">
        <v>29</v>
      </c>
      <c r="C1903" s="29" t="s">
        <v>278</v>
      </c>
      <c r="D1903" s="29" t="s">
        <v>560</v>
      </c>
      <c r="E1903" s="30">
        <v>3500.0</v>
      </c>
      <c r="F1903" s="28">
        <v>0.0</v>
      </c>
      <c r="G1903" s="28" t="s">
        <v>250</v>
      </c>
      <c r="H1903" s="28">
        <f t="array" ref="H1903">INDEX(CC!C:C,MATCH(1,(CC!A:A=G1903)*(CC!B:B=I1903),0))</f>
        <v>1402</v>
      </c>
      <c r="I1903" s="28" t="s">
        <v>25</v>
      </c>
      <c r="J1903" s="31">
        <v>3500.0</v>
      </c>
      <c r="K1903" s="28" t="str">
        <f>IFERROR(__xludf.DUMMYFUNCTION("IFERROR(
INDEX(
FILTER(
MAP(
reglas!$B$2:$B$240,
reglas!$C$2:$C$240,
reglas!$D$2:$D$240,
reglas!$E$2:$E$240,
LAMBDA(rEmisor,rPatron,rConcepto,rTipo,
IF(
AND(
OR(
UPPER(TRIM(rEmisor))=UPPER(TRIM(C1903)),
UPPER(TRIM(rEmisor))=""CUALQUIERA""
),
OR(
UPPER(TRI"&amp;"M(rTipo))=""SOLO EMISOR"",
AND(
UPPER(TRIM(rTipo))=""EXACTA"",
UPPER(TRIM(AG1903))=UPPER(TRIM(rPatron))
),
AND(
OR(
UPPER(TRIM(rTipo))=""CONTIENE"",
UPPER(TRIM(rTipo))=""COINCIDENCIA""
),
ISNUMBER(SEARCH(UPPER(TRIM(rPatron)),UPPER(TRIM(D1903))))
)
)
),
rC"&amp;"oncepto,
""""
)
)
),
MAP(
reglas!$B$2:$B$240,
reglas!$C$2:$C$240,
reglas!$D$2:$D$240,
reglas!$E$2:$E$240,
LAMBDA(rEmisor,rPatron,rConcepto,rTipo,
IF(
AND(
OR(
UPPER(TRIM(rEmisor))=UPPER(TRIM(C1903)),
UPPER(TRIM(rEmisor))=""CUALQUIERA""
),
OR(
UPPER(TRIM(r"&amp;"Tipo))=""SOLO EMISOR"",
AND(
UPPER(TRIM(rTipo))=""EXACTA"",
UPPER(TRIM(D1903))=UPPER(TRIM(rPatron))
),
AND(
OR(
UPPER(TRIM(rTipo))=""CONTIENE"",
UPPER(TRIM(rTipo))=""COINCIDENCIA""
),
ISNUMBER(SEARCH(UPPER(TRIM(rPatron)),UPPER(TRIM(D1903))))
)
)
),
rConce"&amp;"pto,
""""
)
)
)&lt;&gt;""""
),
1
),
""""
)"),"MANIOBRAS")</f>
        <v>MANIOBRAS</v>
      </c>
      <c r="L1903" s="27"/>
      <c r="M1903" s="27"/>
      <c r="N1903" s="27"/>
      <c r="O1903" s="27"/>
      <c r="P1903" s="27"/>
      <c r="Q1903" s="27"/>
      <c r="R1903" s="27"/>
      <c r="S1903" s="27"/>
      <c r="T1903" s="27"/>
      <c r="U1903" s="27"/>
      <c r="V1903" s="27"/>
      <c r="W1903" s="27"/>
      <c r="X1903" s="27"/>
      <c r="Y1903" s="27"/>
    </row>
    <row r="1904">
      <c r="A1904" s="32"/>
      <c r="B1904" s="28" t="s">
        <v>29</v>
      </c>
      <c r="C1904" s="29" t="s">
        <v>259</v>
      </c>
      <c r="D1904" s="29" t="s">
        <v>697</v>
      </c>
      <c r="E1904" s="28">
        <v>432.3</v>
      </c>
      <c r="F1904" s="28">
        <v>0.0</v>
      </c>
      <c r="G1904" s="28" t="s">
        <v>581</v>
      </c>
      <c r="H1904" s="28">
        <f t="array" ref="H1904">INDEX(CC!C:C,MATCH(1,(CC!A:A=G1904)*(CC!B:B=I1904),0))</f>
        <v>202</v>
      </c>
      <c r="I1904" s="28" t="s">
        <v>25</v>
      </c>
      <c r="J1904" s="5"/>
      <c r="K1904" s="28" t="str">
        <f>IFERROR(__xludf.DUMMYFUNCTION("IFERROR(
INDEX(
FILTER(
MAP(
reglas!$B$2:$B$240,
reglas!$C$2:$C$240,
reglas!$D$2:$D$240,
reglas!$E$2:$E$240,
LAMBDA(rEmisor,rPatron,rConcepto,rTipo,
IF(
AND(
OR(
UPPER(TRIM(rEmisor))=UPPER(TRIM(C1904)),
UPPER(TRIM(rEmisor))=""CUALQUIERA""
),
OR(
UPPER(TRI"&amp;"M(rTipo))=""SOLO EMISOR"",
AND(
UPPER(TRIM(rTipo))=""EXACTA"",
UPPER(TRIM(AG1904))=UPPER(TRIM(rPatron))
),
AND(
OR(
UPPER(TRIM(rTipo))=""CONTIENE"",
UPPER(TRIM(rTipo))=""COINCIDENCIA""
),
ISNUMBER(SEARCH(UPPER(TRIM(rPatron)),UPPER(TRIM(D1904))))
)
)
),
rC"&amp;"oncepto,
""""
)
)
),
MAP(
reglas!$B$2:$B$240,
reglas!$C$2:$C$240,
reglas!$D$2:$D$240,
reglas!$E$2:$E$240,
LAMBDA(rEmisor,rPatron,rConcepto,rTipo,
IF(
AND(
OR(
UPPER(TRIM(rEmisor))=UPPER(TRIM(C1904)),
UPPER(TRIM(rEmisor))=""CUALQUIERA""
),
OR(
UPPER(TRIM(r"&amp;"Tipo))=""SOLO EMISOR"",
AND(
UPPER(TRIM(rTipo))=""EXACTA"",
UPPER(TRIM(D1904))=UPPER(TRIM(rPatron))
),
AND(
OR(
UPPER(TRIM(rTipo))=""CONTIENE"",
UPPER(TRIM(rTipo))=""COINCIDENCIA""
),
ISNUMBER(SEARCH(UPPER(TRIM(rPatron)),UPPER(TRIM(D1904))))
)
)
),
rConce"&amp;"pto,
""""
)
)
)&lt;&gt;""""
),
1
),
""""
)"),"COMBUSTIBLES Y LUBRICANTES")</f>
        <v>COMBUSTIBLES Y LUBRICANTES</v>
      </c>
      <c r="L1904" s="27"/>
      <c r="M1904" s="27"/>
      <c r="N1904" s="27"/>
      <c r="O1904" s="27"/>
      <c r="P1904" s="27"/>
      <c r="Q1904" s="27"/>
      <c r="R1904" s="27"/>
      <c r="S1904" s="27"/>
      <c r="T1904" s="27"/>
      <c r="U1904" s="27"/>
      <c r="V1904" s="27"/>
      <c r="W1904" s="27"/>
      <c r="X1904" s="27"/>
      <c r="Y1904" s="27"/>
    </row>
    <row r="1905">
      <c r="A1905" s="32"/>
      <c r="B1905" s="32"/>
      <c r="C1905" s="29" t="s">
        <v>259</v>
      </c>
      <c r="D1905" s="29" t="s">
        <v>636</v>
      </c>
      <c r="E1905" s="28">
        <v>432.78</v>
      </c>
      <c r="F1905" s="28">
        <v>0.0</v>
      </c>
      <c r="G1905" s="28" t="s">
        <v>581</v>
      </c>
      <c r="H1905" s="28">
        <f t="array" ref="H1905">INDEX(CC!C:C,MATCH(1,(CC!A:A=G1905)*(CC!B:B=I1905),0))</f>
        <v>202</v>
      </c>
      <c r="I1905" s="28" t="s">
        <v>25</v>
      </c>
      <c r="J1905" s="5"/>
      <c r="K1905" s="28" t="str">
        <f>IFERROR(__xludf.DUMMYFUNCTION("IFERROR(
INDEX(
FILTER(
MAP(
reglas!$B$2:$B$240,
reglas!$C$2:$C$240,
reglas!$D$2:$D$240,
reglas!$E$2:$E$240,
LAMBDA(rEmisor,rPatron,rConcepto,rTipo,
IF(
AND(
OR(
UPPER(TRIM(rEmisor))=UPPER(TRIM(C1905)),
UPPER(TRIM(rEmisor))=""CUALQUIERA""
),
OR(
UPPER(TRI"&amp;"M(rTipo))=""SOLO EMISOR"",
AND(
UPPER(TRIM(rTipo))=""EXACTA"",
UPPER(TRIM(AG1905))=UPPER(TRIM(rPatron))
),
AND(
OR(
UPPER(TRIM(rTipo))=""CONTIENE"",
UPPER(TRIM(rTipo))=""COINCIDENCIA""
),
ISNUMBER(SEARCH(UPPER(TRIM(rPatron)),UPPER(TRIM(D1905))))
)
)
),
rC"&amp;"oncepto,
""""
)
)
),
MAP(
reglas!$B$2:$B$240,
reglas!$C$2:$C$240,
reglas!$D$2:$D$240,
reglas!$E$2:$E$240,
LAMBDA(rEmisor,rPatron,rConcepto,rTipo,
IF(
AND(
OR(
UPPER(TRIM(rEmisor))=UPPER(TRIM(C1905)),
UPPER(TRIM(rEmisor))=""CUALQUIERA""
),
OR(
UPPER(TRIM(r"&amp;"Tipo))=""SOLO EMISOR"",
AND(
UPPER(TRIM(rTipo))=""EXACTA"",
UPPER(TRIM(D1905))=UPPER(TRIM(rPatron))
),
AND(
OR(
UPPER(TRIM(rTipo))=""CONTIENE"",
UPPER(TRIM(rTipo))=""COINCIDENCIA""
),
ISNUMBER(SEARCH(UPPER(TRIM(rPatron)),UPPER(TRIM(D1905))))
)
)
),
rConce"&amp;"pto,
""""
)
)
)&lt;&gt;""""
),
1
),
""""
)"),"COMBUSTIBLES Y LUBRICANTES")</f>
        <v>COMBUSTIBLES Y LUBRICANTES</v>
      </c>
      <c r="L1905" s="27"/>
      <c r="M1905" s="27"/>
      <c r="N1905" s="27"/>
      <c r="O1905" s="27"/>
      <c r="P1905" s="27"/>
      <c r="Q1905" s="27"/>
      <c r="R1905" s="27"/>
      <c r="S1905" s="27"/>
      <c r="T1905" s="27"/>
      <c r="U1905" s="27"/>
      <c r="V1905" s="27"/>
      <c r="W1905" s="27"/>
      <c r="X1905" s="27"/>
      <c r="Y1905" s="27"/>
    </row>
    <row r="1906">
      <c r="A1906" s="32"/>
      <c r="B1906" s="32"/>
      <c r="C1906" s="29" t="s">
        <v>259</v>
      </c>
      <c r="D1906" s="29" t="s">
        <v>755</v>
      </c>
      <c r="E1906" s="28">
        <v>82.76</v>
      </c>
      <c r="F1906" s="28">
        <v>0.0</v>
      </c>
      <c r="G1906" s="28" t="s">
        <v>581</v>
      </c>
      <c r="H1906" s="28">
        <f t="array" ref="H1906">INDEX(CC!C:C,MATCH(1,(CC!A:A=G1906)*(CC!B:B=I1906),0))</f>
        <v>202</v>
      </c>
      <c r="I1906" s="28" t="s">
        <v>25</v>
      </c>
      <c r="J1906" s="5"/>
      <c r="K1906" s="28" t="str">
        <f>IFERROR(__xludf.DUMMYFUNCTION("IFERROR(
INDEX(
FILTER(
MAP(
reglas!$B$2:$B$240,
reglas!$C$2:$C$240,
reglas!$D$2:$D$240,
reglas!$E$2:$E$240,
LAMBDA(rEmisor,rPatron,rConcepto,rTipo,
IF(
AND(
OR(
UPPER(TRIM(rEmisor))=UPPER(TRIM(C1906)),
UPPER(TRIM(rEmisor))=""CUALQUIERA""
),
OR(
UPPER(TRI"&amp;"M(rTipo))=""SOLO EMISOR"",
AND(
UPPER(TRIM(rTipo))=""EXACTA"",
UPPER(TRIM(AG1906))=UPPER(TRIM(rPatron))
),
AND(
OR(
UPPER(TRIM(rTipo))=""CONTIENE"",
UPPER(TRIM(rTipo))=""COINCIDENCIA""
),
ISNUMBER(SEARCH(UPPER(TRIM(rPatron)),UPPER(TRIM(D1906))))
)
)
),
rC"&amp;"oncepto,
""""
)
)
),
MAP(
reglas!$B$2:$B$240,
reglas!$C$2:$C$240,
reglas!$D$2:$D$240,
reglas!$E$2:$E$240,
LAMBDA(rEmisor,rPatron,rConcepto,rTipo,
IF(
AND(
OR(
UPPER(TRIM(rEmisor))=UPPER(TRIM(C1906)),
UPPER(TRIM(rEmisor))=""CUALQUIERA""
),
OR(
UPPER(TRIM(r"&amp;"Tipo))=""SOLO EMISOR"",
AND(
UPPER(TRIM(rTipo))=""EXACTA"",
UPPER(TRIM(D1906))=UPPER(TRIM(rPatron))
),
AND(
OR(
UPPER(TRIM(rTipo))=""CONTIENE"",
UPPER(TRIM(rTipo))=""COINCIDENCIA""
),
ISNUMBER(SEARCH(UPPER(TRIM(rPatron)),UPPER(TRIM(D1906))))
)
)
),
rConce"&amp;"pto,
""""
)
)
)&lt;&gt;""""
),
1
),
""""
)"),"COMBUSTIBLES Y LUBRICANTES")</f>
        <v>COMBUSTIBLES Y LUBRICANTES</v>
      </c>
      <c r="L1906" s="27"/>
      <c r="M1906" s="27"/>
      <c r="N1906" s="27"/>
      <c r="O1906" s="27"/>
      <c r="P1906" s="27"/>
      <c r="Q1906" s="27"/>
      <c r="R1906" s="27"/>
      <c r="S1906" s="27"/>
      <c r="T1906" s="27"/>
      <c r="U1906" s="27"/>
      <c r="V1906" s="27"/>
      <c r="W1906" s="27"/>
      <c r="X1906" s="27"/>
      <c r="Y1906" s="27"/>
    </row>
    <row r="1907">
      <c r="A1907" s="32"/>
      <c r="B1907" s="32"/>
      <c r="C1907" s="29" t="s">
        <v>259</v>
      </c>
      <c r="D1907" s="29" t="s">
        <v>697</v>
      </c>
      <c r="E1907" s="28">
        <v>432.3</v>
      </c>
      <c r="F1907" s="28">
        <v>0.0</v>
      </c>
      <c r="G1907" s="28" t="s">
        <v>581</v>
      </c>
      <c r="H1907" s="28">
        <f t="array" ref="H1907">INDEX(CC!C:C,MATCH(1,(CC!A:A=G1907)*(CC!B:B=I1907),0))</f>
        <v>202</v>
      </c>
      <c r="I1907" s="28" t="s">
        <v>25</v>
      </c>
      <c r="J1907" s="5"/>
      <c r="K1907" s="28" t="str">
        <f>IFERROR(__xludf.DUMMYFUNCTION("IFERROR(
INDEX(
FILTER(
MAP(
reglas!$B$2:$B$240,
reglas!$C$2:$C$240,
reglas!$D$2:$D$240,
reglas!$E$2:$E$240,
LAMBDA(rEmisor,rPatron,rConcepto,rTipo,
IF(
AND(
OR(
UPPER(TRIM(rEmisor))=UPPER(TRIM(C1907)),
UPPER(TRIM(rEmisor))=""CUALQUIERA""
),
OR(
UPPER(TRI"&amp;"M(rTipo))=""SOLO EMISOR"",
AND(
UPPER(TRIM(rTipo))=""EXACTA"",
UPPER(TRIM(AG1907))=UPPER(TRIM(rPatron))
),
AND(
OR(
UPPER(TRIM(rTipo))=""CONTIENE"",
UPPER(TRIM(rTipo))=""COINCIDENCIA""
),
ISNUMBER(SEARCH(UPPER(TRIM(rPatron)),UPPER(TRIM(D1907))))
)
)
),
rC"&amp;"oncepto,
""""
)
)
),
MAP(
reglas!$B$2:$B$240,
reglas!$C$2:$C$240,
reglas!$D$2:$D$240,
reglas!$E$2:$E$240,
LAMBDA(rEmisor,rPatron,rConcepto,rTipo,
IF(
AND(
OR(
UPPER(TRIM(rEmisor))=UPPER(TRIM(C1907)),
UPPER(TRIM(rEmisor))=""CUALQUIERA""
),
OR(
UPPER(TRIM(r"&amp;"Tipo))=""SOLO EMISOR"",
AND(
UPPER(TRIM(rTipo))=""EXACTA"",
UPPER(TRIM(D1907))=UPPER(TRIM(rPatron))
),
AND(
OR(
UPPER(TRIM(rTipo))=""CONTIENE"",
UPPER(TRIM(rTipo))=""COINCIDENCIA""
),
ISNUMBER(SEARCH(UPPER(TRIM(rPatron)),UPPER(TRIM(D1907))))
)
)
),
rConce"&amp;"pto,
""""
)
)
)&lt;&gt;""""
),
1
),
""""
)"),"COMBUSTIBLES Y LUBRICANTES")</f>
        <v>COMBUSTIBLES Y LUBRICANTES</v>
      </c>
      <c r="L1907" s="27"/>
      <c r="M1907" s="27"/>
      <c r="N1907" s="27"/>
      <c r="O1907" s="27"/>
      <c r="P1907" s="27"/>
      <c r="Q1907" s="27"/>
      <c r="R1907" s="27"/>
      <c r="S1907" s="27"/>
      <c r="T1907" s="27"/>
      <c r="U1907" s="27"/>
      <c r="V1907" s="27"/>
      <c r="W1907" s="27"/>
      <c r="X1907" s="27"/>
      <c r="Y1907" s="27"/>
    </row>
    <row r="1908">
      <c r="A1908" s="32"/>
      <c r="B1908" s="32"/>
      <c r="C1908" s="29" t="s">
        <v>259</v>
      </c>
      <c r="D1908" s="29" t="s">
        <v>636</v>
      </c>
      <c r="E1908" s="28">
        <v>630.79</v>
      </c>
      <c r="F1908" s="28">
        <v>0.0</v>
      </c>
      <c r="G1908" s="28" t="s">
        <v>581</v>
      </c>
      <c r="H1908" s="28">
        <f t="array" ref="H1908">INDEX(CC!C:C,MATCH(1,(CC!A:A=G1908)*(CC!B:B=I1908),0))</f>
        <v>202</v>
      </c>
      <c r="I1908" s="28" t="s">
        <v>25</v>
      </c>
      <c r="J1908" s="5"/>
      <c r="K1908" s="28" t="str">
        <f>IFERROR(__xludf.DUMMYFUNCTION("IFERROR(
INDEX(
FILTER(
MAP(
reglas!$B$2:$B$240,
reglas!$C$2:$C$240,
reglas!$D$2:$D$240,
reglas!$E$2:$E$240,
LAMBDA(rEmisor,rPatron,rConcepto,rTipo,
IF(
AND(
OR(
UPPER(TRIM(rEmisor))=UPPER(TRIM(C1908)),
UPPER(TRIM(rEmisor))=""CUALQUIERA""
),
OR(
UPPER(TRI"&amp;"M(rTipo))=""SOLO EMISOR"",
AND(
UPPER(TRIM(rTipo))=""EXACTA"",
UPPER(TRIM(AG1908))=UPPER(TRIM(rPatron))
),
AND(
OR(
UPPER(TRIM(rTipo))=""CONTIENE"",
UPPER(TRIM(rTipo))=""COINCIDENCIA""
),
ISNUMBER(SEARCH(UPPER(TRIM(rPatron)),UPPER(TRIM(D1908))))
)
)
),
rC"&amp;"oncepto,
""""
)
)
),
MAP(
reglas!$B$2:$B$240,
reglas!$C$2:$C$240,
reglas!$D$2:$D$240,
reglas!$E$2:$E$240,
LAMBDA(rEmisor,rPatron,rConcepto,rTipo,
IF(
AND(
OR(
UPPER(TRIM(rEmisor))=UPPER(TRIM(C1908)),
UPPER(TRIM(rEmisor))=""CUALQUIERA""
),
OR(
UPPER(TRIM(r"&amp;"Tipo))=""SOLO EMISOR"",
AND(
UPPER(TRIM(rTipo))=""EXACTA"",
UPPER(TRIM(D1908))=UPPER(TRIM(rPatron))
),
AND(
OR(
UPPER(TRIM(rTipo))=""CONTIENE"",
UPPER(TRIM(rTipo))=""COINCIDENCIA""
),
ISNUMBER(SEARCH(UPPER(TRIM(rPatron)),UPPER(TRIM(D1908))))
)
)
),
rConce"&amp;"pto,
""""
)
)
)&lt;&gt;""""
),
1
),
""""
)"),"COMBUSTIBLES Y LUBRICANTES")</f>
        <v>COMBUSTIBLES Y LUBRICANTES</v>
      </c>
      <c r="L1908" s="27"/>
      <c r="M1908" s="27"/>
      <c r="N1908" s="27"/>
      <c r="O1908" s="27"/>
      <c r="P1908" s="27"/>
      <c r="Q1908" s="27"/>
      <c r="R1908" s="27"/>
      <c r="S1908" s="27"/>
      <c r="T1908" s="27"/>
      <c r="U1908" s="27"/>
      <c r="V1908" s="27"/>
      <c r="W1908" s="27"/>
      <c r="X1908" s="27"/>
      <c r="Y1908" s="27"/>
    </row>
    <row r="1909">
      <c r="A1909" s="32"/>
      <c r="B1909" s="32"/>
      <c r="C1909" s="29" t="s">
        <v>259</v>
      </c>
      <c r="D1909" s="29" t="s">
        <v>636</v>
      </c>
      <c r="E1909" s="28">
        <v>432.78</v>
      </c>
      <c r="F1909" s="28">
        <v>0.0</v>
      </c>
      <c r="G1909" s="28" t="s">
        <v>581</v>
      </c>
      <c r="H1909" s="28">
        <f t="array" ref="H1909">INDEX(CC!C:C,MATCH(1,(CC!A:A=G1909)*(CC!B:B=I1909),0))</f>
        <v>202</v>
      </c>
      <c r="I1909" s="28" t="s">
        <v>25</v>
      </c>
      <c r="J1909" s="5"/>
      <c r="K1909" s="28" t="str">
        <f>IFERROR(__xludf.DUMMYFUNCTION("IFERROR(
INDEX(
FILTER(
MAP(
reglas!$B$2:$B$240,
reglas!$C$2:$C$240,
reglas!$D$2:$D$240,
reglas!$E$2:$E$240,
LAMBDA(rEmisor,rPatron,rConcepto,rTipo,
IF(
AND(
OR(
UPPER(TRIM(rEmisor))=UPPER(TRIM(C1909)),
UPPER(TRIM(rEmisor))=""CUALQUIERA""
),
OR(
UPPER(TRI"&amp;"M(rTipo))=""SOLO EMISOR"",
AND(
UPPER(TRIM(rTipo))=""EXACTA"",
UPPER(TRIM(AG1909))=UPPER(TRIM(rPatron))
),
AND(
OR(
UPPER(TRIM(rTipo))=""CONTIENE"",
UPPER(TRIM(rTipo))=""COINCIDENCIA""
),
ISNUMBER(SEARCH(UPPER(TRIM(rPatron)),UPPER(TRIM(D1909))))
)
)
),
rC"&amp;"oncepto,
""""
)
)
),
MAP(
reglas!$B$2:$B$240,
reglas!$C$2:$C$240,
reglas!$D$2:$D$240,
reglas!$E$2:$E$240,
LAMBDA(rEmisor,rPatron,rConcepto,rTipo,
IF(
AND(
OR(
UPPER(TRIM(rEmisor))=UPPER(TRIM(C1909)),
UPPER(TRIM(rEmisor))=""CUALQUIERA""
),
OR(
UPPER(TRIM(r"&amp;"Tipo))=""SOLO EMISOR"",
AND(
UPPER(TRIM(rTipo))=""EXACTA"",
UPPER(TRIM(D1909))=UPPER(TRIM(rPatron))
),
AND(
OR(
UPPER(TRIM(rTipo))=""CONTIENE"",
UPPER(TRIM(rTipo))=""COINCIDENCIA""
),
ISNUMBER(SEARCH(UPPER(TRIM(rPatron)),UPPER(TRIM(D1909))))
)
)
),
rConce"&amp;"pto,
""""
)
)
)&lt;&gt;""""
),
1
),
""""
)"),"COMBUSTIBLES Y LUBRICANTES")</f>
        <v>COMBUSTIBLES Y LUBRICANTES</v>
      </c>
      <c r="L1909" s="27"/>
      <c r="M1909" s="27"/>
      <c r="N1909" s="27"/>
      <c r="O1909" s="27"/>
      <c r="P1909" s="27"/>
      <c r="Q1909" s="27"/>
      <c r="R1909" s="27"/>
      <c r="S1909" s="27"/>
      <c r="T1909" s="27"/>
      <c r="U1909" s="27"/>
      <c r="V1909" s="27"/>
      <c r="W1909" s="27"/>
      <c r="X1909" s="27"/>
      <c r="Y1909" s="27"/>
    </row>
    <row r="1910">
      <c r="A1910" s="32"/>
      <c r="B1910" s="32"/>
      <c r="C1910" s="29" t="s">
        <v>259</v>
      </c>
      <c r="D1910" s="29" t="s">
        <v>697</v>
      </c>
      <c r="E1910" s="28">
        <v>259.37</v>
      </c>
      <c r="F1910" s="28">
        <v>0.0</v>
      </c>
      <c r="G1910" s="28" t="s">
        <v>581</v>
      </c>
      <c r="H1910" s="28">
        <f t="array" ref="H1910">INDEX(CC!C:C,MATCH(1,(CC!A:A=G1910)*(CC!B:B=I1910),0))</f>
        <v>202</v>
      </c>
      <c r="I1910" s="28" t="s">
        <v>25</v>
      </c>
      <c r="J1910" s="5"/>
      <c r="K1910" s="28" t="str">
        <f>IFERROR(__xludf.DUMMYFUNCTION("IFERROR(
INDEX(
FILTER(
MAP(
reglas!$B$2:$B$240,
reglas!$C$2:$C$240,
reglas!$D$2:$D$240,
reglas!$E$2:$E$240,
LAMBDA(rEmisor,rPatron,rConcepto,rTipo,
IF(
AND(
OR(
UPPER(TRIM(rEmisor))=UPPER(TRIM(C1910)),
UPPER(TRIM(rEmisor))=""CUALQUIERA""
),
OR(
UPPER(TRI"&amp;"M(rTipo))=""SOLO EMISOR"",
AND(
UPPER(TRIM(rTipo))=""EXACTA"",
UPPER(TRIM(AG1910))=UPPER(TRIM(rPatron))
),
AND(
OR(
UPPER(TRIM(rTipo))=""CONTIENE"",
UPPER(TRIM(rTipo))=""COINCIDENCIA""
),
ISNUMBER(SEARCH(UPPER(TRIM(rPatron)),UPPER(TRIM(D1910))))
)
)
),
rC"&amp;"oncepto,
""""
)
)
),
MAP(
reglas!$B$2:$B$240,
reglas!$C$2:$C$240,
reglas!$D$2:$D$240,
reglas!$E$2:$E$240,
LAMBDA(rEmisor,rPatron,rConcepto,rTipo,
IF(
AND(
OR(
UPPER(TRIM(rEmisor))=UPPER(TRIM(C1910)),
UPPER(TRIM(rEmisor))=""CUALQUIERA""
),
OR(
UPPER(TRIM(r"&amp;"Tipo))=""SOLO EMISOR"",
AND(
UPPER(TRIM(rTipo))=""EXACTA"",
UPPER(TRIM(D1910))=UPPER(TRIM(rPatron))
),
AND(
OR(
UPPER(TRIM(rTipo))=""CONTIENE"",
UPPER(TRIM(rTipo))=""COINCIDENCIA""
),
ISNUMBER(SEARCH(UPPER(TRIM(rPatron)),UPPER(TRIM(D1910))))
)
)
),
rConce"&amp;"pto,
""""
)
)
)&lt;&gt;""""
),
1
),
""""
)"),"COMBUSTIBLES Y LUBRICANTES")</f>
        <v>COMBUSTIBLES Y LUBRICANTES</v>
      </c>
      <c r="L1910" s="27"/>
      <c r="M1910" s="27"/>
      <c r="N1910" s="27"/>
      <c r="O1910" s="27"/>
      <c r="P1910" s="27"/>
      <c r="Q1910" s="27"/>
      <c r="R1910" s="27"/>
      <c r="S1910" s="27"/>
      <c r="T1910" s="27"/>
      <c r="U1910" s="27"/>
      <c r="V1910" s="27"/>
      <c r="W1910" s="27"/>
      <c r="X1910" s="27"/>
      <c r="Y1910" s="27"/>
    </row>
    <row r="1911">
      <c r="A1911" s="32"/>
      <c r="B1911" s="32"/>
      <c r="C1911" s="29" t="s">
        <v>259</v>
      </c>
      <c r="D1911" s="29" t="s">
        <v>636</v>
      </c>
      <c r="E1911" s="28">
        <v>346.21</v>
      </c>
      <c r="F1911" s="28">
        <v>0.0</v>
      </c>
      <c r="G1911" s="28" t="s">
        <v>581</v>
      </c>
      <c r="H1911" s="28">
        <f t="array" ref="H1911">INDEX(CC!C:C,MATCH(1,(CC!A:A=G1911)*(CC!B:B=I1911),0))</f>
        <v>202</v>
      </c>
      <c r="I1911" s="28" t="s">
        <v>25</v>
      </c>
      <c r="J1911" s="5"/>
      <c r="K1911" s="28" t="str">
        <f>IFERROR(__xludf.DUMMYFUNCTION("IFERROR(
INDEX(
FILTER(
MAP(
reglas!$B$2:$B$240,
reglas!$C$2:$C$240,
reglas!$D$2:$D$240,
reglas!$E$2:$E$240,
LAMBDA(rEmisor,rPatron,rConcepto,rTipo,
IF(
AND(
OR(
UPPER(TRIM(rEmisor))=UPPER(TRIM(C1911)),
UPPER(TRIM(rEmisor))=""CUALQUIERA""
),
OR(
UPPER(TRI"&amp;"M(rTipo))=""SOLO EMISOR"",
AND(
UPPER(TRIM(rTipo))=""EXACTA"",
UPPER(TRIM(AG1911))=UPPER(TRIM(rPatron))
),
AND(
OR(
UPPER(TRIM(rTipo))=""CONTIENE"",
UPPER(TRIM(rTipo))=""COINCIDENCIA""
),
ISNUMBER(SEARCH(UPPER(TRIM(rPatron)),UPPER(TRIM(D1911))))
)
)
),
rC"&amp;"oncepto,
""""
)
)
),
MAP(
reglas!$B$2:$B$240,
reglas!$C$2:$C$240,
reglas!$D$2:$D$240,
reglas!$E$2:$E$240,
LAMBDA(rEmisor,rPatron,rConcepto,rTipo,
IF(
AND(
OR(
UPPER(TRIM(rEmisor))=UPPER(TRIM(C1911)),
UPPER(TRIM(rEmisor))=""CUALQUIERA""
),
OR(
UPPER(TRIM(r"&amp;"Tipo))=""SOLO EMISOR"",
AND(
UPPER(TRIM(rTipo))=""EXACTA"",
UPPER(TRIM(D1911))=UPPER(TRIM(rPatron))
),
AND(
OR(
UPPER(TRIM(rTipo))=""CONTIENE"",
UPPER(TRIM(rTipo))=""COINCIDENCIA""
),
ISNUMBER(SEARCH(UPPER(TRIM(rPatron)),UPPER(TRIM(D1911))))
)
)
),
rConce"&amp;"pto,
""""
)
)
)&lt;&gt;""""
),
1
),
""""
)"),"COMBUSTIBLES Y LUBRICANTES")</f>
        <v>COMBUSTIBLES Y LUBRICANTES</v>
      </c>
      <c r="L1911" s="27"/>
      <c r="M1911" s="27"/>
      <c r="N1911" s="27"/>
      <c r="O1911" s="27"/>
      <c r="P1911" s="27"/>
      <c r="Q1911" s="27"/>
      <c r="R1911" s="27"/>
      <c r="S1911" s="27"/>
      <c r="T1911" s="27"/>
      <c r="U1911" s="27"/>
      <c r="V1911" s="27"/>
      <c r="W1911" s="27"/>
      <c r="X1911" s="27"/>
      <c r="Y1911" s="27"/>
    </row>
    <row r="1912">
      <c r="A1912" s="32"/>
      <c r="B1912" s="32"/>
      <c r="C1912" s="29" t="s">
        <v>259</v>
      </c>
      <c r="D1912" s="29" t="s">
        <v>636</v>
      </c>
      <c r="E1912" s="28">
        <v>346.21</v>
      </c>
      <c r="F1912" s="28">
        <v>0.0</v>
      </c>
      <c r="G1912" s="28" t="s">
        <v>581</v>
      </c>
      <c r="H1912" s="28">
        <f t="array" ref="H1912">INDEX(CC!C:C,MATCH(1,(CC!A:A=G1912)*(CC!B:B=I1912),0))</f>
        <v>202</v>
      </c>
      <c r="I1912" s="28" t="s">
        <v>25</v>
      </c>
      <c r="J1912" s="5"/>
      <c r="K1912" s="28" t="str">
        <f>IFERROR(__xludf.DUMMYFUNCTION("IFERROR(
INDEX(
FILTER(
MAP(
reglas!$B$2:$B$240,
reglas!$C$2:$C$240,
reglas!$D$2:$D$240,
reglas!$E$2:$E$240,
LAMBDA(rEmisor,rPatron,rConcepto,rTipo,
IF(
AND(
OR(
UPPER(TRIM(rEmisor))=UPPER(TRIM(C1912)),
UPPER(TRIM(rEmisor))=""CUALQUIERA""
),
OR(
UPPER(TRI"&amp;"M(rTipo))=""SOLO EMISOR"",
AND(
UPPER(TRIM(rTipo))=""EXACTA"",
UPPER(TRIM(AG1912))=UPPER(TRIM(rPatron))
),
AND(
OR(
UPPER(TRIM(rTipo))=""CONTIENE"",
UPPER(TRIM(rTipo))=""COINCIDENCIA""
),
ISNUMBER(SEARCH(UPPER(TRIM(rPatron)),UPPER(TRIM(D1912))))
)
)
),
rC"&amp;"oncepto,
""""
)
)
),
MAP(
reglas!$B$2:$B$240,
reglas!$C$2:$C$240,
reglas!$D$2:$D$240,
reglas!$E$2:$E$240,
LAMBDA(rEmisor,rPatron,rConcepto,rTipo,
IF(
AND(
OR(
UPPER(TRIM(rEmisor))=UPPER(TRIM(C1912)),
UPPER(TRIM(rEmisor))=""CUALQUIERA""
),
OR(
UPPER(TRIM(r"&amp;"Tipo))=""SOLO EMISOR"",
AND(
UPPER(TRIM(rTipo))=""EXACTA"",
UPPER(TRIM(D1912))=UPPER(TRIM(rPatron))
),
AND(
OR(
UPPER(TRIM(rTipo))=""CONTIENE"",
UPPER(TRIM(rTipo))=""COINCIDENCIA""
),
ISNUMBER(SEARCH(UPPER(TRIM(rPatron)),UPPER(TRIM(D1912))))
)
)
),
rConce"&amp;"pto,
""""
)
)
)&lt;&gt;""""
),
1
),
""""
)"),"COMBUSTIBLES Y LUBRICANTES")</f>
        <v>COMBUSTIBLES Y LUBRICANTES</v>
      </c>
      <c r="L1912" s="27"/>
      <c r="M1912" s="27"/>
      <c r="N1912" s="27"/>
      <c r="O1912" s="27"/>
      <c r="P1912" s="27"/>
      <c r="Q1912" s="27"/>
      <c r="R1912" s="27"/>
      <c r="S1912" s="27"/>
      <c r="T1912" s="27"/>
      <c r="U1912" s="27"/>
      <c r="V1912" s="27"/>
      <c r="W1912" s="27"/>
      <c r="X1912" s="27"/>
      <c r="Y1912" s="27"/>
    </row>
    <row r="1913">
      <c r="A1913" s="32"/>
      <c r="B1913" s="32"/>
      <c r="C1913" s="29" t="s">
        <v>259</v>
      </c>
      <c r="D1913" s="29" t="s">
        <v>636</v>
      </c>
      <c r="E1913" s="28">
        <v>432.78</v>
      </c>
      <c r="F1913" s="28">
        <v>0.0</v>
      </c>
      <c r="G1913" s="28" t="s">
        <v>581</v>
      </c>
      <c r="H1913" s="28">
        <f t="array" ref="H1913">INDEX(CC!C:C,MATCH(1,(CC!A:A=G1913)*(CC!B:B=I1913),0))</f>
        <v>202</v>
      </c>
      <c r="I1913" s="28" t="s">
        <v>25</v>
      </c>
      <c r="J1913" s="5"/>
      <c r="K1913" s="28" t="str">
        <f>IFERROR(__xludf.DUMMYFUNCTION("IFERROR(
INDEX(
FILTER(
MAP(
reglas!$B$2:$B$240,
reglas!$C$2:$C$240,
reglas!$D$2:$D$240,
reglas!$E$2:$E$240,
LAMBDA(rEmisor,rPatron,rConcepto,rTipo,
IF(
AND(
OR(
UPPER(TRIM(rEmisor))=UPPER(TRIM(C1913)),
UPPER(TRIM(rEmisor))=""CUALQUIERA""
),
OR(
UPPER(TRI"&amp;"M(rTipo))=""SOLO EMISOR"",
AND(
UPPER(TRIM(rTipo))=""EXACTA"",
UPPER(TRIM(AG1913))=UPPER(TRIM(rPatron))
),
AND(
OR(
UPPER(TRIM(rTipo))=""CONTIENE"",
UPPER(TRIM(rTipo))=""COINCIDENCIA""
),
ISNUMBER(SEARCH(UPPER(TRIM(rPatron)),UPPER(TRIM(D1913))))
)
)
),
rC"&amp;"oncepto,
""""
)
)
),
MAP(
reglas!$B$2:$B$240,
reglas!$C$2:$C$240,
reglas!$D$2:$D$240,
reglas!$E$2:$E$240,
LAMBDA(rEmisor,rPatron,rConcepto,rTipo,
IF(
AND(
OR(
UPPER(TRIM(rEmisor))=UPPER(TRIM(C1913)),
UPPER(TRIM(rEmisor))=""CUALQUIERA""
),
OR(
UPPER(TRIM(r"&amp;"Tipo))=""SOLO EMISOR"",
AND(
UPPER(TRIM(rTipo))=""EXACTA"",
UPPER(TRIM(D1913))=UPPER(TRIM(rPatron))
),
AND(
OR(
UPPER(TRIM(rTipo))=""CONTIENE"",
UPPER(TRIM(rTipo))=""COINCIDENCIA""
),
ISNUMBER(SEARCH(UPPER(TRIM(rPatron)),UPPER(TRIM(D1913))))
)
)
),
rConce"&amp;"pto,
""""
)
)
)&lt;&gt;""""
),
1
),
""""
)"),"COMBUSTIBLES Y LUBRICANTES")</f>
        <v>COMBUSTIBLES Y LUBRICANTES</v>
      </c>
      <c r="L1913" s="27"/>
      <c r="M1913" s="27"/>
      <c r="N1913" s="27"/>
      <c r="O1913" s="27"/>
      <c r="P1913" s="27"/>
      <c r="Q1913" s="27"/>
      <c r="R1913" s="27"/>
      <c r="S1913" s="27"/>
      <c r="T1913" s="27"/>
      <c r="U1913" s="27"/>
      <c r="V1913" s="27"/>
      <c r="W1913" s="27"/>
      <c r="X1913" s="27"/>
      <c r="Y1913" s="27"/>
    </row>
    <row r="1914">
      <c r="A1914" s="32"/>
      <c r="B1914" s="32"/>
      <c r="C1914" s="29" t="s">
        <v>259</v>
      </c>
      <c r="D1914" s="29" t="s">
        <v>755</v>
      </c>
      <c r="E1914" s="28">
        <v>165.52</v>
      </c>
      <c r="F1914" s="28">
        <v>0.0</v>
      </c>
      <c r="G1914" s="28" t="s">
        <v>581</v>
      </c>
      <c r="H1914" s="28">
        <f t="array" ref="H1914">INDEX(CC!C:C,MATCH(1,(CC!A:A=G1914)*(CC!B:B=I1914),0))</f>
        <v>202</v>
      </c>
      <c r="I1914" s="28" t="s">
        <v>25</v>
      </c>
      <c r="J1914" s="5"/>
      <c r="K1914" s="28" t="str">
        <f>IFERROR(__xludf.DUMMYFUNCTION("IFERROR(
INDEX(
FILTER(
MAP(
reglas!$B$2:$B$240,
reglas!$C$2:$C$240,
reglas!$D$2:$D$240,
reglas!$E$2:$E$240,
LAMBDA(rEmisor,rPatron,rConcepto,rTipo,
IF(
AND(
OR(
UPPER(TRIM(rEmisor))=UPPER(TRIM(C1914)),
UPPER(TRIM(rEmisor))=""CUALQUIERA""
),
OR(
UPPER(TRI"&amp;"M(rTipo))=""SOLO EMISOR"",
AND(
UPPER(TRIM(rTipo))=""EXACTA"",
UPPER(TRIM(AG1914))=UPPER(TRIM(rPatron))
),
AND(
OR(
UPPER(TRIM(rTipo))=""CONTIENE"",
UPPER(TRIM(rTipo))=""COINCIDENCIA""
),
ISNUMBER(SEARCH(UPPER(TRIM(rPatron)),UPPER(TRIM(D1914))))
)
)
),
rC"&amp;"oncepto,
""""
)
)
),
MAP(
reglas!$B$2:$B$240,
reglas!$C$2:$C$240,
reglas!$D$2:$D$240,
reglas!$E$2:$E$240,
LAMBDA(rEmisor,rPatron,rConcepto,rTipo,
IF(
AND(
OR(
UPPER(TRIM(rEmisor))=UPPER(TRIM(C1914)),
UPPER(TRIM(rEmisor))=""CUALQUIERA""
),
OR(
UPPER(TRIM(r"&amp;"Tipo))=""SOLO EMISOR"",
AND(
UPPER(TRIM(rTipo))=""EXACTA"",
UPPER(TRIM(D1914))=UPPER(TRIM(rPatron))
),
AND(
OR(
UPPER(TRIM(rTipo))=""CONTIENE"",
UPPER(TRIM(rTipo))=""COINCIDENCIA""
),
ISNUMBER(SEARCH(UPPER(TRIM(rPatron)),UPPER(TRIM(D1914))))
)
)
),
rConce"&amp;"pto,
""""
)
)
)&lt;&gt;""""
),
1
),
""""
)"),"COMBUSTIBLES Y LUBRICANTES")</f>
        <v>COMBUSTIBLES Y LUBRICANTES</v>
      </c>
      <c r="L1914" s="27"/>
      <c r="M1914" s="27"/>
      <c r="N1914" s="27"/>
      <c r="O1914" s="27"/>
      <c r="P1914" s="27"/>
      <c r="Q1914" s="27"/>
      <c r="R1914" s="27"/>
      <c r="S1914" s="27"/>
      <c r="T1914" s="27"/>
      <c r="U1914" s="27"/>
      <c r="V1914" s="27"/>
      <c r="W1914" s="27"/>
      <c r="X1914" s="27"/>
      <c r="Y1914" s="27"/>
    </row>
    <row r="1915">
      <c r="A1915" s="32"/>
      <c r="B1915" s="32"/>
      <c r="C1915" s="29" t="s">
        <v>259</v>
      </c>
      <c r="D1915" s="29" t="s">
        <v>636</v>
      </c>
      <c r="E1915" s="28">
        <v>705.78</v>
      </c>
      <c r="F1915" s="28">
        <v>0.0</v>
      </c>
      <c r="G1915" s="28" t="s">
        <v>581</v>
      </c>
      <c r="H1915" s="28">
        <f t="array" ref="H1915">INDEX(CC!C:C,MATCH(1,(CC!A:A=G1915)*(CC!B:B=I1915),0))</f>
        <v>202</v>
      </c>
      <c r="I1915" s="28" t="s">
        <v>25</v>
      </c>
      <c r="J1915" s="5"/>
      <c r="K1915" s="28" t="str">
        <f>IFERROR(__xludf.DUMMYFUNCTION("IFERROR(
INDEX(
FILTER(
MAP(
reglas!$B$2:$B$240,
reglas!$C$2:$C$240,
reglas!$D$2:$D$240,
reglas!$E$2:$E$240,
LAMBDA(rEmisor,rPatron,rConcepto,rTipo,
IF(
AND(
OR(
UPPER(TRIM(rEmisor))=UPPER(TRIM(C1915)),
UPPER(TRIM(rEmisor))=""CUALQUIERA""
),
OR(
UPPER(TRI"&amp;"M(rTipo))=""SOLO EMISOR"",
AND(
UPPER(TRIM(rTipo))=""EXACTA"",
UPPER(TRIM(AG1915))=UPPER(TRIM(rPatron))
),
AND(
OR(
UPPER(TRIM(rTipo))=""CONTIENE"",
UPPER(TRIM(rTipo))=""COINCIDENCIA""
),
ISNUMBER(SEARCH(UPPER(TRIM(rPatron)),UPPER(TRIM(D1915))))
)
)
),
rC"&amp;"oncepto,
""""
)
)
),
MAP(
reglas!$B$2:$B$240,
reglas!$C$2:$C$240,
reglas!$D$2:$D$240,
reglas!$E$2:$E$240,
LAMBDA(rEmisor,rPatron,rConcepto,rTipo,
IF(
AND(
OR(
UPPER(TRIM(rEmisor))=UPPER(TRIM(C1915)),
UPPER(TRIM(rEmisor))=""CUALQUIERA""
),
OR(
UPPER(TRIM(r"&amp;"Tipo))=""SOLO EMISOR"",
AND(
UPPER(TRIM(rTipo))=""EXACTA"",
UPPER(TRIM(D1915))=UPPER(TRIM(rPatron))
),
AND(
OR(
UPPER(TRIM(rTipo))=""CONTIENE"",
UPPER(TRIM(rTipo))=""COINCIDENCIA""
),
ISNUMBER(SEARCH(UPPER(TRIM(rPatron)),UPPER(TRIM(D1915))))
)
)
),
rConce"&amp;"pto,
""""
)
)
)&lt;&gt;""""
),
1
),
""""
)"),"COMBUSTIBLES Y LUBRICANTES")</f>
        <v>COMBUSTIBLES Y LUBRICANTES</v>
      </c>
      <c r="L1915" s="27"/>
      <c r="M1915" s="27"/>
      <c r="N1915" s="27"/>
      <c r="O1915" s="27"/>
      <c r="P1915" s="27"/>
      <c r="Q1915" s="27"/>
      <c r="R1915" s="27"/>
      <c r="S1915" s="27"/>
      <c r="T1915" s="27"/>
      <c r="U1915" s="27"/>
      <c r="V1915" s="27"/>
      <c r="W1915" s="27"/>
      <c r="X1915" s="27"/>
      <c r="Y1915" s="27"/>
    </row>
    <row r="1916">
      <c r="A1916" s="32"/>
      <c r="B1916" s="32"/>
      <c r="C1916" s="29" t="s">
        <v>259</v>
      </c>
      <c r="D1916" s="29" t="s">
        <v>2042</v>
      </c>
      <c r="E1916" s="28">
        <v>174.14</v>
      </c>
      <c r="F1916" s="28">
        <v>0.0</v>
      </c>
      <c r="G1916" s="28" t="s">
        <v>581</v>
      </c>
      <c r="H1916" s="28">
        <f t="array" ref="H1916">INDEX(CC!C:C,MATCH(1,(CC!A:A=G1916)*(CC!B:B=I1916),0))</f>
        <v>202</v>
      </c>
      <c r="I1916" s="28" t="s">
        <v>25</v>
      </c>
      <c r="J1916" s="5"/>
      <c r="K1916" s="28" t="str">
        <f>IFERROR(__xludf.DUMMYFUNCTION("IFERROR(
INDEX(
FILTER(
MAP(
reglas!$B$2:$B$240,
reglas!$C$2:$C$240,
reglas!$D$2:$D$240,
reglas!$E$2:$E$240,
LAMBDA(rEmisor,rPatron,rConcepto,rTipo,
IF(
AND(
OR(
UPPER(TRIM(rEmisor))=UPPER(TRIM(C1916)),
UPPER(TRIM(rEmisor))=""CUALQUIERA""
),
OR(
UPPER(TRI"&amp;"M(rTipo))=""SOLO EMISOR"",
AND(
UPPER(TRIM(rTipo))=""EXACTA"",
UPPER(TRIM(AG1916))=UPPER(TRIM(rPatron))
),
AND(
OR(
UPPER(TRIM(rTipo))=""CONTIENE"",
UPPER(TRIM(rTipo))=""COINCIDENCIA""
),
ISNUMBER(SEARCH(UPPER(TRIM(rPatron)),UPPER(TRIM(D1916))))
)
)
),
rC"&amp;"oncepto,
""""
)
)
),
MAP(
reglas!$B$2:$B$240,
reglas!$C$2:$C$240,
reglas!$D$2:$D$240,
reglas!$E$2:$E$240,
LAMBDA(rEmisor,rPatron,rConcepto,rTipo,
IF(
AND(
OR(
UPPER(TRIM(rEmisor))=UPPER(TRIM(C1916)),
UPPER(TRIM(rEmisor))=""CUALQUIERA""
),
OR(
UPPER(TRIM(r"&amp;"Tipo))=""SOLO EMISOR"",
AND(
UPPER(TRIM(rTipo))=""EXACTA"",
UPPER(TRIM(D1916))=UPPER(TRIM(rPatron))
),
AND(
OR(
UPPER(TRIM(rTipo))=""CONTIENE"",
UPPER(TRIM(rTipo))=""COINCIDENCIA""
),
ISNUMBER(SEARCH(UPPER(TRIM(rPatron)),UPPER(TRIM(D1916))))
)
)
),
rConce"&amp;"pto,
""""
)
)
)&lt;&gt;""""
),
1
),
""""
)"),"COMBUSTIBLES Y LUBRICANTES")</f>
        <v>COMBUSTIBLES Y LUBRICANTES</v>
      </c>
      <c r="L1916" s="27"/>
      <c r="M1916" s="27"/>
      <c r="N1916" s="27"/>
      <c r="O1916" s="27"/>
      <c r="P1916" s="27"/>
      <c r="Q1916" s="27"/>
      <c r="R1916" s="27"/>
      <c r="S1916" s="27"/>
      <c r="T1916" s="27"/>
      <c r="U1916" s="27"/>
      <c r="V1916" s="27"/>
      <c r="W1916" s="27"/>
      <c r="X1916" s="27"/>
      <c r="Y1916" s="27"/>
    </row>
    <row r="1917">
      <c r="A1917" s="32"/>
      <c r="B1917" s="32"/>
      <c r="C1917" s="29" t="s">
        <v>259</v>
      </c>
      <c r="D1917" s="29" t="s">
        <v>636</v>
      </c>
      <c r="E1917" s="28">
        <v>473.82</v>
      </c>
      <c r="F1917" s="28">
        <v>0.0</v>
      </c>
      <c r="G1917" s="28" t="s">
        <v>581</v>
      </c>
      <c r="H1917" s="28">
        <f t="array" ref="H1917">INDEX(CC!C:C,MATCH(1,(CC!A:A=G1917)*(CC!B:B=I1917),0))</f>
        <v>202</v>
      </c>
      <c r="I1917" s="28" t="s">
        <v>25</v>
      </c>
      <c r="J1917" s="5"/>
      <c r="K1917" s="28" t="str">
        <f>IFERROR(__xludf.DUMMYFUNCTION("IFERROR(
INDEX(
FILTER(
MAP(
reglas!$B$2:$B$240,
reglas!$C$2:$C$240,
reglas!$D$2:$D$240,
reglas!$E$2:$E$240,
LAMBDA(rEmisor,rPatron,rConcepto,rTipo,
IF(
AND(
OR(
UPPER(TRIM(rEmisor))=UPPER(TRIM(C1917)),
UPPER(TRIM(rEmisor))=""CUALQUIERA""
),
OR(
UPPER(TRI"&amp;"M(rTipo))=""SOLO EMISOR"",
AND(
UPPER(TRIM(rTipo))=""EXACTA"",
UPPER(TRIM(AG1917))=UPPER(TRIM(rPatron))
),
AND(
OR(
UPPER(TRIM(rTipo))=""CONTIENE"",
UPPER(TRIM(rTipo))=""COINCIDENCIA""
),
ISNUMBER(SEARCH(UPPER(TRIM(rPatron)),UPPER(TRIM(D1917))))
)
)
),
rC"&amp;"oncepto,
""""
)
)
),
MAP(
reglas!$B$2:$B$240,
reglas!$C$2:$C$240,
reglas!$D$2:$D$240,
reglas!$E$2:$E$240,
LAMBDA(rEmisor,rPatron,rConcepto,rTipo,
IF(
AND(
OR(
UPPER(TRIM(rEmisor))=UPPER(TRIM(C1917)),
UPPER(TRIM(rEmisor))=""CUALQUIERA""
),
OR(
UPPER(TRIM(r"&amp;"Tipo))=""SOLO EMISOR"",
AND(
UPPER(TRIM(rTipo))=""EXACTA"",
UPPER(TRIM(D1917))=UPPER(TRIM(rPatron))
),
AND(
OR(
UPPER(TRIM(rTipo))=""CONTIENE"",
UPPER(TRIM(rTipo))=""COINCIDENCIA""
),
ISNUMBER(SEARCH(UPPER(TRIM(rPatron)),UPPER(TRIM(D1917))))
)
)
),
rConce"&amp;"pto,
""""
)
)
)&lt;&gt;""""
),
1
),
""""
)"),"COMBUSTIBLES Y LUBRICANTES")</f>
        <v>COMBUSTIBLES Y LUBRICANTES</v>
      </c>
      <c r="L1917" s="27"/>
      <c r="M1917" s="27"/>
      <c r="N1917" s="27"/>
      <c r="O1917" s="27"/>
      <c r="P1917" s="27"/>
      <c r="Q1917" s="27"/>
      <c r="R1917" s="27"/>
      <c r="S1917" s="27"/>
      <c r="T1917" s="27"/>
      <c r="U1917" s="27"/>
      <c r="V1917" s="27"/>
      <c r="W1917" s="27"/>
      <c r="X1917" s="27"/>
      <c r="Y1917" s="27"/>
    </row>
    <row r="1918">
      <c r="A1918" s="32"/>
      <c r="B1918" s="32"/>
      <c r="C1918" s="29" t="s">
        <v>259</v>
      </c>
      <c r="D1918" s="29" t="s">
        <v>755</v>
      </c>
      <c r="E1918" s="28">
        <v>165.52</v>
      </c>
      <c r="F1918" s="28">
        <v>0.0</v>
      </c>
      <c r="G1918" s="28" t="s">
        <v>581</v>
      </c>
      <c r="H1918" s="28">
        <f t="array" ref="H1918">INDEX(CC!C:C,MATCH(1,(CC!A:A=G1918)*(CC!B:B=I1918),0))</f>
        <v>202</v>
      </c>
      <c r="I1918" s="28" t="s">
        <v>25</v>
      </c>
      <c r="J1918" s="5"/>
      <c r="K1918" s="28" t="str">
        <f>IFERROR(__xludf.DUMMYFUNCTION("IFERROR(
INDEX(
FILTER(
MAP(
reglas!$B$2:$B$240,
reglas!$C$2:$C$240,
reglas!$D$2:$D$240,
reglas!$E$2:$E$240,
LAMBDA(rEmisor,rPatron,rConcepto,rTipo,
IF(
AND(
OR(
UPPER(TRIM(rEmisor))=UPPER(TRIM(C1918)),
UPPER(TRIM(rEmisor))=""CUALQUIERA""
),
OR(
UPPER(TRI"&amp;"M(rTipo))=""SOLO EMISOR"",
AND(
UPPER(TRIM(rTipo))=""EXACTA"",
UPPER(TRIM(AG1918))=UPPER(TRIM(rPatron))
),
AND(
OR(
UPPER(TRIM(rTipo))=""CONTIENE"",
UPPER(TRIM(rTipo))=""COINCIDENCIA""
),
ISNUMBER(SEARCH(UPPER(TRIM(rPatron)),UPPER(TRIM(D1918))))
)
)
),
rC"&amp;"oncepto,
""""
)
)
),
MAP(
reglas!$B$2:$B$240,
reglas!$C$2:$C$240,
reglas!$D$2:$D$240,
reglas!$E$2:$E$240,
LAMBDA(rEmisor,rPatron,rConcepto,rTipo,
IF(
AND(
OR(
UPPER(TRIM(rEmisor))=UPPER(TRIM(C1918)),
UPPER(TRIM(rEmisor))=""CUALQUIERA""
),
OR(
UPPER(TRIM(r"&amp;"Tipo))=""SOLO EMISOR"",
AND(
UPPER(TRIM(rTipo))=""EXACTA"",
UPPER(TRIM(D1918))=UPPER(TRIM(rPatron))
),
AND(
OR(
UPPER(TRIM(rTipo))=""CONTIENE"",
UPPER(TRIM(rTipo))=""COINCIDENCIA""
),
ISNUMBER(SEARCH(UPPER(TRIM(rPatron)),UPPER(TRIM(D1918))))
)
)
),
rConce"&amp;"pto,
""""
)
)
)&lt;&gt;""""
),
1
),
""""
)"),"COMBUSTIBLES Y LUBRICANTES")</f>
        <v>COMBUSTIBLES Y LUBRICANTES</v>
      </c>
      <c r="L1918" s="27"/>
      <c r="M1918" s="27"/>
      <c r="N1918" s="27"/>
      <c r="O1918" s="27"/>
      <c r="P1918" s="27"/>
      <c r="Q1918" s="27"/>
      <c r="R1918" s="27"/>
      <c r="S1918" s="27"/>
      <c r="T1918" s="27"/>
      <c r="U1918" s="27"/>
      <c r="V1918" s="27"/>
      <c r="W1918" s="27"/>
      <c r="X1918" s="27"/>
      <c r="Y1918" s="27"/>
    </row>
    <row r="1919">
      <c r="A1919" s="32"/>
      <c r="B1919" s="32"/>
      <c r="C1919" s="29" t="s">
        <v>259</v>
      </c>
      <c r="D1919" s="29" t="s">
        <v>636</v>
      </c>
      <c r="E1919" s="28">
        <v>606.52</v>
      </c>
      <c r="F1919" s="28">
        <v>0.0</v>
      </c>
      <c r="G1919" s="28" t="s">
        <v>581</v>
      </c>
      <c r="H1919" s="28">
        <f t="array" ref="H1919">INDEX(CC!C:C,MATCH(1,(CC!A:A=G1919)*(CC!B:B=I1919),0))</f>
        <v>202</v>
      </c>
      <c r="I1919" s="28" t="s">
        <v>25</v>
      </c>
      <c r="J1919" s="5"/>
      <c r="K1919" s="28" t="str">
        <f>IFERROR(__xludf.DUMMYFUNCTION("IFERROR(
INDEX(
FILTER(
MAP(
reglas!$B$2:$B$240,
reglas!$C$2:$C$240,
reglas!$D$2:$D$240,
reglas!$E$2:$E$240,
LAMBDA(rEmisor,rPatron,rConcepto,rTipo,
IF(
AND(
OR(
UPPER(TRIM(rEmisor))=UPPER(TRIM(C1919)),
UPPER(TRIM(rEmisor))=""CUALQUIERA""
),
OR(
UPPER(TRI"&amp;"M(rTipo))=""SOLO EMISOR"",
AND(
UPPER(TRIM(rTipo))=""EXACTA"",
UPPER(TRIM(AG1919))=UPPER(TRIM(rPatron))
),
AND(
OR(
UPPER(TRIM(rTipo))=""CONTIENE"",
UPPER(TRIM(rTipo))=""COINCIDENCIA""
),
ISNUMBER(SEARCH(UPPER(TRIM(rPatron)),UPPER(TRIM(D1919))))
)
)
),
rC"&amp;"oncepto,
""""
)
)
),
MAP(
reglas!$B$2:$B$240,
reglas!$C$2:$C$240,
reglas!$D$2:$D$240,
reglas!$E$2:$E$240,
LAMBDA(rEmisor,rPatron,rConcepto,rTipo,
IF(
AND(
OR(
UPPER(TRIM(rEmisor))=UPPER(TRIM(C1919)),
UPPER(TRIM(rEmisor))=""CUALQUIERA""
),
OR(
UPPER(TRIM(r"&amp;"Tipo))=""SOLO EMISOR"",
AND(
UPPER(TRIM(rTipo))=""EXACTA"",
UPPER(TRIM(D1919))=UPPER(TRIM(rPatron))
),
AND(
OR(
UPPER(TRIM(rTipo))=""CONTIENE"",
UPPER(TRIM(rTipo))=""COINCIDENCIA""
),
ISNUMBER(SEARCH(UPPER(TRIM(rPatron)),UPPER(TRIM(D1919))))
)
)
),
rConce"&amp;"pto,
""""
)
)
)&lt;&gt;""""
),
1
),
""""
)"),"COMBUSTIBLES Y LUBRICANTES")</f>
        <v>COMBUSTIBLES Y LUBRICANTES</v>
      </c>
      <c r="L1919" s="27"/>
      <c r="M1919" s="27"/>
      <c r="N1919" s="27"/>
      <c r="O1919" s="27"/>
      <c r="P1919" s="27"/>
      <c r="Q1919" s="27"/>
      <c r="R1919" s="27"/>
      <c r="S1919" s="27"/>
      <c r="T1919" s="27"/>
      <c r="U1919" s="27"/>
      <c r="V1919" s="27"/>
      <c r="W1919" s="27"/>
      <c r="X1919" s="27"/>
      <c r="Y1919" s="27"/>
    </row>
    <row r="1920">
      <c r="A1920" s="32"/>
      <c r="B1920" s="32"/>
      <c r="C1920" s="29" t="s">
        <v>259</v>
      </c>
      <c r="D1920" s="29" t="s">
        <v>2043</v>
      </c>
      <c r="E1920" s="28">
        <v>379.31</v>
      </c>
      <c r="F1920" s="28">
        <v>0.0</v>
      </c>
      <c r="G1920" s="28" t="s">
        <v>581</v>
      </c>
      <c r="H1920" s="28">
        <f t="array" ref="H1920">INDEX(CC!C:C,MATCH(1,(CC!A:A=G1920)*(CC!B:B=I1920),0))</f>
        <v>202</v>
      </c>
      <c r="I1920" s="28" t="s">
        <v>25</v>
      </c>
      <c r="J1920" s="5"/>
      <c r="K1920" s="28" t="str">
        <f>IFERROR(__xludf.DUMMYFUNCTION("IFERROR(
INDEX(
FILTER(
MAP(
reglas!$B$2:$B$240,
reglas!$C$2:$C$240,
reglas!$D$2:$D$240,
reglas!$E$2:$E$240,
LAMBDA(rEmisor,rPatron,rConcepto,rTipo,
IF(
AND(
OR(
UPPER(TRIM(rEmisor))=UPPER(TRIM(C1920)),
UPPER(TRIM(rEmisor))=""CUALQUIERA""
),
OR(
UPPER(TRI"&amp;"M(rTipo))=""SOLO EMISOR"",
AND(
UPPER(TRIM(rTipo))=""EXACTA"",
UPPER(TRIM(AG1920))=UPPER(TRIM(rPatron))
),
AND(
OR(
UPPER(TRIM(rTipo))=""CONTIENE"",
UPPER(TRIM(rTipo))=""COINCIDENCIA""
),
ISNUMBER(SEARCH(UPPER(TRIM(rPatron)),UPPER(TRIM(D1920))))
)
)
),
rC"&amp;"oncepto,
""""
)
)
),
MAP(
reglas!$B$2:$B$240,
reglas!$C$2:$C$240,
reglas!$D$2:$D$240,
reglas!$E$2:$E$240,
LAMBDA(rEmisor,rPatron,rConcepto,rTipo,
IF(
AND(
OR(
UPPER(TRIM(rEmisor))=UPPER(TRIM(C1920)),
UPPER(TRIM(rEmisor))=""CUALQUIERA""
),
OR(
UPPER(TRIM(r"&amp;"Tipo))=""SOLO EMISOR"",
AND(
UPPER(TRIM(rTipo))=""EXACTA"",
UPPER(TRIM(D1920))=UPPER(TRIM(rPatron))
),
AND(
OR(
UPPER(TRIM(rTipo))=""CONTIENE"",
UPPER(TRIM(rTipo))=""COINCIDENCIA""
),
ISNUMBER(SEARCH(UPPER(TRIM(rPatron)),UPPER(TRIM(D1920))))
)
)
),
rConce"&amp;"pto,
""""
)
)
)&lt;&gt;""""
),
1
),
""""
)"),"COMBUSTIBLES Y LUBRICANTES")</f>
        <v>COMBUSTIBLES Y LUBRICANTES</v>
      </c>
      <c r="L1920" s="27"/>
      <c r="M1920" s="27"/>
      <c r="N1920" s="27"/>
      <c r="O1920" s="27"/>
      <c r="P1920" s="27"/>
      <c r="Q1920" s="27"/>
      <c r="R1920" s="27"/>
      <c r="S1920" s="27"/>
      <c r="T1920" s="27"/>
      <c r="U1920" s="27"/>
      <c r="V1920" s="27"/>
      <c r="W1920" s="27"/>
      <c r="X1920" s="27"/>
      <c r="Y1920" s="27"/>
    </row>
    <row r="1921">
      <c r="A1921" s="32"/>
      <c r="B1921" s="32"/>
      <c r="C1921" s="29" t="s">
        <v>259</v>
      </c>
      <c r="D1921" s="29" t="s">
        <v>2044</v>
      </c>
      <c r="E1921" s="28">
        <v>41.38</v>
      </c>
      <c r="F1921" s="28">
        <v>0.0</v>
      </c>
      <c r="G1921" s="28" t="s">
        <v>581</v>
      </c>
      <c r="H1921" s="28">
        <f t="array" ref="H1921">INDEX(CC!C:C,MATCH(1,(CC!A:A=G1921)*(CC!B:B=I1921),0))</f>
        <v>202</v>
      </c>
      <c r="I1921" s="28" t="s">
        <v>25</v>
      </c>
      <c r="J1921" s="5"/>
      <c r="K1921" s="28" t="str">
        <f>IFERROR(__xludf.DUMMYFUNCTION("IFERROR(
INDEX(
FILTER(
MAP(
reglas!$B$2:$B$240,
reglas!$C$2:$C$240,
reglas!$D$2:$D$240,
reglas!$E$2:$E$240,
LAMBDA(rEmisor,rPatron,rConcepto,rTipo,
IF(
AND(
OR(
UPPER(TRIM(rEmisor))=UPPER(TRIM(C1921)),
UPPER(TRIM(rEmisor))=""CUALQUIERA""
),
OR(
UPPER(TRI"&amp;"M(rTipo))=""SOLO EMISOR"",
AND(
UPPER(TRIM(rTipo))=""EXACTA"",
UPPER(TRIM(AG1921))=UPPER(TRIM(rPatron))
),
AND(
OR(
UPPER(TRIM(rTipo))=""CONTIENE"",
UPPER(TRIM(rTipo))=""COINCIDENCIA""
),
ISNUMBER(SEARCH(UPPER(TRIM(rPatron)),UPPER(TRIM(D1921))))
)
)
),
rC"&amp;"oncepto,
""""
)
)
),
MAP(
reglas!$B$2:$B$240,
reglas!$C$2:$C$240,
reglas!$D$2:$D$240,
reglas!$E$2:$E$240,
LAMBDA(rEmisor,rPatron,rConcepto,rTipo,
IF(
AND(
OR(
UPPER(TRIM(rEmisor))=UPPER(TRIM(C1921)),
UPPER(TRIM(rEmisor))=""CUALQUIERA""
),
OR(
UPPER(TRIM(r"&amp;"Tipo))=""SOLO EMISOR"",
AND(
UPPER(TRIM(rTipo))=""EXACTA"",
UPPER(TRIM(D1921))=UPPER(TRIM(rPatron))
),
AND(
OR(
UPPER(TRIM(rTipo))=""CONTIENE"",
UPPER(TRIM(rTipo))=""COINCIDENCIA""
),
ISNUMBER(SEARCH(UPPER(TRIM(rPatron)),UPPER(TRIM(D1921))))
)
)
),
rConce"&amp;"pto,
""""
)
)
)&lt;&gt;""""
),
1
),
""""
)"),"COMBUSTIBLES Y LUBRICANTES")</f>
        <v>COMBUSTIBLES Y LUBRICANTES</v>
      </c>
      <c r="L1921" s="27"/>
      <c r="M1921" s="27"/>
      <c r="N1921" s="27"/>
      <c r="O1921" s="27"/>
      <c r="P1921" s="27"/>
      <c r="Q1921" s="27"/>
      <c r="R1921" s="27"/>
      <c r="S1921" s="27"/>
      <c r="T1921" s="27"/>
      <c r="U1921" s="27"/>
      <c r="V1921" s="27"/>
      <c r="W1921" s="27"/>
      <c r="X1921" s="27"/>
      <c r="Y1921" s="27"/>
    </row>
    <row r="1922">
      <c r="A1922" s="32"/>
      <c r="B1922" s="32"/>
      <c r="C1922" s="29" t="s">
        <v>259</v>
      </c>
      <c r="D1922" s="29" t="s">
        <v>636</v>
      </c>
      <c r="E1922" s="28">
        <v>207.73</v>
      </c>
      <c r="F1922" s="28">
        <v>0.0</v>
      </c>
      <c r="G1922" s="28" t="s">
        <v>581</v>
      </c>
      <c r="H1922" s="28">
        <f t="array" ref="H1922">INDEX(CC!C:C,MATCH(1,(CC!A:A=G1922)*(CC!B:B=I1922),0))</f>
        <v>202</v>
      </c>
      <c r="I1922" s="28" t="s">
        <v>25</v>
      </c>
      <c r="J1922" s="5"/>
      <c r="K1922" s="28" t="str">
        <f>IFERROR(__xludf.DUMMYFUNCTION("IFERROR(
INDEX(
FILTER(
MAP(
reglas!$B$2:$B$240,
reglas!$C$2:$C$240,
reglas!$D$2:$D$240,
reglas!$E$2:$E$240,
LAMBDA(rEmisor,rPatron,rConcepto,rTipo,
IF(
AND(
OR(
UPPER(TRIM(rEmisor))=UPPER(TRIM(C1922)),
UPPER(TRIM(rEmisor))=""CUALQUIERA""
),
OR(
UPPER(TRI"&amp;"M(rTipo))=""SOLO EMISOR"",
AND(
UPPER(TRIM(rTipo))=""EXACTA"",
UPPER(TRIM(AG1922))=UPPER(TRIM(rPatron))
),
AND(
OR(
UPPER(TRIM(rTipo))=""CONTIENE"",
UPPER(TRIM(rTipo))=""COINCIDENCIA""
),
ISNUMBER(SEARCH(UPPER(TRIM(rPatron)),UPPER(TRIM(D1922))))
)
)
),
rC"&amp;"oncepto,
""""
)
)
),
MAP(
reglas!$B$2:$B$240,
reglas!$C$2:$C$240,
reglas!$D$2:$D$240,
reglas!$E$2:$E$240,
LAMBDA(rEmisor,rPatron,rConcepto,rTipo,
IF(
AND(
OR(
UPPER(TRIM(rEmisor))=UPPER(TRIM(C1922)),
UPPER(TRIM(rEmisor))=""CUALQUIERA""
),
OR(
UPPER(TRIM(r"&amp;"Tipo))=""SOLO EMISOR"",
AND(
UPPER(TRIM(rTipo))=""EXACTA"",
UPPER(TRIM(D1922))=UPPER(TRIM(rPatron))
),
AND(
OR(
UPPER(TRIM(rTipo))=""CONTIENE"",
UPPER(TRIM(rTipo))=""COINCIDENCIA""
),
ISNUMBER(SEARCH(UPPER(TRIM(rPatron)),UPPER(TRIM(D1922))))
)
)
),
rConce"&amp;"pto,
""""
)
)
)&lt;&gt;""""
),
1
),
""""
)"),"COMBUSTIBLES Y LUBRICANTES")</f>
        <v>COMBUSTIBLES Y LUBRICANTES</v>
      </c>
      <c r="L1922" s="27"/>
      <c r="M1922" s="27"/>
      <c r="N1922" s="27"/>
      <c r="O1922" s="27"/>
      <c r="P1922" s="27"/>
      <c r="Q1922" s="27"/>
      <c r="R1922" s="27"/>
      <c r="S1922" s="27"/>
      <c r="T1922" s="27"/>
      <c r="U1922" s="27"/>
      <c r="V1922" s="27"/>
      <c r="W1922" s="27"/>
      <c r="X1922" s="27"/>
      <c r="Y1922" s="27"/>
    </row>
    <row r="1923">
      <c r="A1923" s="32"/>
      <c r="B1923" s="28" t="s">
        <v>29</v>
      </c>
      <c r="C1923" s="29" t="s">
        <v>172</v>
      </c>
      <c r="D1923" s="29" t="s">
        <v>1463</v>
      </c>
      <c r="E1923" s="30">
        <v>11500.0</v>
      </c>
      <c r="F1923" s="28">
        <v>0.0</v>
      </c>
      <c r="G1923" s="28" t="s">
        <v>250</v>
      </c>
      <c r="H1923" s="28">
        <f t="array" ref="H1923">INDEX(CC!C:C,MATCH(1,(CC!A:A=G1923)*(CC!B:B=I1923),0))</f>
        <v>1402</v>
      </c>
      <c r="I1923" s="28" t="s">
        <v>25</v>
      </c>
      <c r="J1923" s="31">
        <v>11500.0</v>
      </c>
      <c r="K1923" s="28" t="str">
        <f>IFERROR(__xludf.DUMMYFUNCTION("IFERROR(
INDEX(
FILTER(
MAP(
reglas!$B$2:$B$240,
reglas!$C$2:$C$240,
reglas!$D$2:$D$240,
reglas!$E$2:$E$240,
LAMBDA(rEmisor,rPatron,rConcepto,rTipo,
IF(
AND(
OR(
UPPER(TRIM(rEmisor))=UPPER(TRIM(C1923)),
UPPER(TRIM(rEmisor))=""CUALQUIERA""
),
OR(
UPPER(TRI"&amp;"M(rTipo))=""SOLO EMISOR"",
AND(
UPPER(TRIM(rTipo))=""EXACTA"",
UPPER(TRIM(AG1923))=UPPER(TRIM(rPatron))
),
AND(
OR(
UPPER(TRIM(rTipo))=""CONTIENE"",
UPPER(TRIM(rTipo))=""COINCIDENCIA""
),
ISNUMBER(SEARCH(UPPER(TRIM(rPatron)),UPPER(TRIM(D1923))))
)
)
),
rC"&amp;"oncepto,
""""
)
)
),
MAP(
reglas!$B$2:$B$240,
reglas!$C$2:$C$240,
reglas!$D$2:$D$240,
reglas!$E$2:$E$240,
LAMBDA(rEmisor,rPatron,rConcepto,rTipo,
IF(
AND(
OR(
UPPER(TRIM(rEmisor))=UPPER(TRIM(C1923)),
UPPER(TRIM(rEmisor))=""CUALQUIERA""
),
OR(
UPPER(TRIM(r"&amp;"Tipo))=""SOLO EMISOR"",
AND(
UPPER(TRIM(rTipo))=""EXACTA"",
UPPER(TRIM(D1923))=UPPER(TRIM(rPatron))
),
AND(
OR(
UPPER(TRIM(rTipo))=""CONTIENE"",
UPPER(TRIM(rTipo))=""COINCIDENCIA""
),
ISNUMBER(SEARCH(UPPER(TRIM(rPatron)),UPPER(TRIM(D1923))))
)
)
),
rConce"&amp;"pto,
""""
)
)
)&lt;&gt;""""
),
1
),
""""
)"),"TRANSPORTE")</f>
        <v>TRANSPORTE</v>
      </c>
      <c r="L1923" s="27"/>
      <c r="M1923" s="27"/>
      <c r="N1923" s="27"/>
      <c r="O1923" s="27"/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</row>
    <row r="1924">
      <c r="A1924" s="28">
        <v>1.0</v>
      </c>
      <c r="B1924" s="28" t="s">
        <v>29</v>
      </c>
      <c r="C1924" s="29" t="s">
        <v>222</v>
      </c>
      <c r="D1924" s="29" t="s">
        <v>2045</v>
      </c>
      <c r="E1924" s="28">
        <v>208.62</v>
      </c>
      <c r="F1924" s="28">
        <v>0.0</v>
      </c>
      <c r="G1924" s="28" t="s">
        <v>385</v>
      </c>
      <c r="H1924" s="28">
        <f t="array" ref="H1924">INDEX(CC!C:C,MATCH(1,(CC!A:A=G1924)*(CC!B:B=I1924),0))</f>
        <v>502</v>
      </c>
      <c r="I1924" s="28" t="s">
        <v>25</v>
      </c>
      <c r="J1924" s="31">
        <v>10152.0</v>
      </c>
      <c r="K1924" s="28" t="str">
        <f>IFERROR(__xludf.DUMMYFUNCTION("IFERROR(
INDEX(
FILTER(
MAP(
reglas!$B$2:$B$240,
reglas!$C$2:$C$240,
reglas!$D$2:$D$240,
reglas!$E$2:$E$240,
LAMBDA(rEmisor,rPatron,rConcepto,rTipo,
IF(
AND(
OR(
UPPER(TRIM(rEmisor))=UPPER(TRIM(C1924)),
UPPER(TRIM(rEmisor))=""CUALQUIERA""
),
OR(
UPPER(TRI"&amp;"M(rTipo))=""SOLO EMISOR"",
AND(
UPPER(TRIM(rTipo))=""EXACTA"",
UPPER(TRIM(AG1924))=UPPER(TRIM(rPatron))
),
AND(
OR(
UPPER(TRIM(rTipo))=""CONTIENE"",
UPPER(TRIM(rTipo))=""COINCIDENCIA""
),
ISNUMBER(SEARCH(UPPER(TRIM(rPatron)),UPPER(TRIM(D1924))))
)
)
),
rC"&amp;"oncepto,
""""
)
)
),
MAP(
reglas!$B$2:$B$240,
reglas!$C$2:$C$240,
reglas!$D$2:$D$240,
reglas!$E$2:$E$240,
LAMBDA(rEmisor,rPatron,rConcepto,rTipo,
IF(
AND(
OR(
UPPER(TRIM(rEmisor))=UPPER(TRIM(C1924)),
UPPER(TRIM(rEmisor))=""CUALQUIERA""
),
OR(
UPPER(TRIM(r"&amp;"Tipo))=""SOLO EMISOR"",
AND(
UPPER(TRIM(rTipo))=""EXACTA"",
UPPER(TRIM(D1924))=UPPER(TRIM(rPatron))
),
AND(
OR(
UPPER(TRIM(rTipo))=""CONTIENE"",
UPPER(TRIM(rTipo))=""COINCIDENCIA""
),
ISNUMBER(SEARCH(UPPER(TRIM(rPatron)),UPPER(TRIM(D1924))))
)
)
),
rConce"&amp;"pto,
""""
)
)
)&lt;&gt;""""
),
1
),
""""
)"),"CASETAS")</f>
        <v>CASETAS</v>
      </c>
      <c r="L1924" s="27"/>
      <c r="M1924" s="27"/>
      <c r="N1924" s="27"/>
      <c r="O1924" s="27"/>
      <c r="P1924" s="27"/>
      <c r="Q1924" s="27"/>
      <c r="R1924" s="27"/>
      <c r="S1924" s="27"/>
      <c r="T1924" s="27"/>
      <c r="U1924" s="27"/>
      <c r="V1924" s="27"/>
      <c r="W1924" s="27"/>
      <c r="X1924" s="27"/>
      <c r="Y1924" s="27"/>
    </row>
    <row r="1925">
      <c r="A1925" s="32"/>
      <c r="B1925" s="32"/>
      <c r="C1925" s="29" t="s">
        <v>222</v>
      </c>
      <c r="D1925" s="29" t="s">
        <v>2046</v>
      </c>
      <c r="E1925" s="28">
        <v>255.17</v>
      </c>
      <c r="F1925" s="28">
        <v>0.0</v>
      </c>
      <c r="G1925" s="28" t="s">
        <v>68</v>
      </c>
      <c r="H1925" s="28">
        <f t="array" ref="H1925">INDEX(CC!C:C,MATCH(1,(CC!A:A=G1925)*(CC!B:B=I1925),0))</f>
        <v>102</v>
      </c>
      <c r="I1925" s="28" t="s">
        <v>25</v>
      </c>
      <c r="J1925" s="31">
        <v>1536.87</v>
      </c>
      <c r="K1925" s="28" t="str">
        <f>IFERROR(__xludf.DUMMYFUNCTION("IFERROR(
INDEX(
FILTER(
MAP(
reglas!$B$2:$B$240,
reglas!$C$2:$C$240,
reglas!$D$2:$D$240,
reglas!$E$2:$E$240,
LAMBDA(rEmisor,rPatron,rConcepto,rTipo,
IF(
AND(
OR(
UPPER(TRIM(rEmisor))=UPPER(TRIM(C1925)),
UPPER(TRIM(rEmisor))=""CUALQUIERA""
),
OR(
UPPER(TRI"&amp;"M(rTipo))=""SOLO EMISOR"",
AND(
UPPER(TRIM(rTipo))=""EXACTA"",
UPPER(TRIM(AG1925))=UPPER(TRIM(rPatron))
),
AND(
OR(
UPPER(TRIM(rTipo))=""CONTIENE"",
UPPER(TRIM(rTipo))=""COINCIDENCIA""
),
ISNUMBER(SEARCH(UPPER(TRIM(rPatron)),UPPER(TRIM(D1925))))
)
)
),
rC"&amp;"oncepto,
""""
)
)
),
MAP(
reglas!$B$2:$B$240,
reglas!$C$2:$C$240,
reglas!$D$2:$D$240,
reglas!$E$2:$E$240,
LAMBDA(rEmisor,rPatron,rConcepto,rTipo,
IF(
AND(
OR(
UPPER(TRIM(rEmisor))=UPPER(TRIM(C1925)),
UPPER(TRIM(rEmisor))=""CUALQUIERA""
),
OR(
UPPER(TRIM(r"&amp;"Tipo))=""SOLO EMISOR"",
AND(
UPPER(TRIM(rTipo))=""EXACTA"",
UPPER(TRIM(D1925))=UPPER(TRIM(rPatron))
),
AND(
OR(
UPPER(TRIM(rTipo))=""CONTIENE"",
UPPER(TRIM(rTipo))=""COINCIDENCIA""
),
ISNUMBER(SEARCH(UPPER(TRIM(rPatron)),UPPER(TRIM(D1925))))
)
)
),
rConce"&amp;"pto,
""""
)
)
)&lt;&gt;""""
),
1
),
""""
)"),"CASETAS")</f>
        <v>CASETAS</v>
      </c>
      <c r="L1925" s="27"/>
      <c r="M1925" s="27"/>
      <c r="N1925" s="27"/>
      <c r="O1925" s="27"/>
      <c r="P1925" s="27"/>
      <c r="Q1925" s="27"/>
      <c r="R1925" s="27"/>
      <c r="S1925" s="27"/>
      <c r="T1925" s="27"/>
      <c r="U1925" s="27"/>
      <c r="V1925" s="27"/>
      <c r="W1925" s="27"/>
      <c r="X1925" s="27"/>
      <c r="Y1925" s="27"/>
    </row>
    <row r="1926">
      <c r="A1926" s="32"/>
      <c r="B1926" s="32"/>
      <c r="C1926" s="29" t="s">
        <v>222</v>
      </c>
      <c r="D1926" s="29" t="s">
        <v>2047</v>
      </c>
      <c r="E1926" s="28">
        <v>173.28</v>
      </c>
      <c r="F1926" s="28">
        <v>0.0</v>
      </c>
      <c r="G1926" s="28" t="s">
        <v>2048</v>
      </c>
      <c r="H1926" s="28">
        <f t="array" ref="H1926">INDEX(CC!C:C,MATCH(1,(CC!A:A=G1926)*(CC!B:B=I1926),0))</f>
        <v>602</v>
      </c>
      <c r="I1926" s="28" t="s">
        <v>25</v>
      </c>
      <c r="J1926" s="31">
        <v>11874.14</v>
      </c>
      <c r="K1926" s="28" t="str">
        <f>IFERROR(__xludf.DUMMYFUNCTION("IFERROR(
INDEX(
FILTER(
MAP(
reglas!$B$2:$B$240,
reglas!$C$2:$C$240,
reglas!$D$2:$D$240,
reglas!$E$2:$E$240,
LAMBDA(rEmisor,rPatron,rConcepto,rTipo,
IF(
AND(
OR(
UPPER(TRIM(rEmisor))=UPPER(TRIM(C1926)),
UPPER(TRIM(rEmisor))=""CUALQUIERA""
),
OR(
UPPER(TRI"&amp;"M(rTipo))=""SOLO EMISOR"",
AND(
UPPER(TRIM(rTipo))=""EXACTA"",
UPPER(TRIM(AG1926))=UPPER(TRIM(rPatron))
),
AND(
OR(
UPPER(TRIM(rTipo))=""CONTIENE"",
UPPER(TRIM(rTipo))=""COINCIDENCIA""
),
ISNUMBER(SEARCH(UPPER(TRIM(rPatron)),UPPER(TRIM(D1926))))
)
)
),
rC"&amp;"oncepto,
""""
)
)
),
MAP(
reglas!$B$2:$B$240,
reglas!$C$2:$C$240,
reglas!$D$2:$D$240,
reglas!$E$2:$E$240,
LAMBDA(rEmisor,rPatron,rConcepto,rTipo,
IF(
AND(
OR(
UPPER(TRIM(rEmisor))=UPPER(TRIM(C1926)),
UPPER(TRIM(rEmisor))=""CUALQUIERA""
),
OR(
UPPER(TRIM(r"&amp;"Tipo))=""SOLO EMISOR"",
AND(
UPPER(TRIM(rTipo))=""EXACTA"",
UPPER(TRIM(D1926))=UPPER(TRIM(rPatron))
),
AND(
OR(
UPPER(TRIM(rTipo))=""CONTIENE"",
UPPER(TRIM(rTipo))=""COINCIDENCIA""
),
ISNUMBER(SEARCH(UPPER(TRIM(rPatron)),UPPER(TRIM(D1926))))
)
)
),
rConce"&amp;"pto,
""""
)
)
)&lt;&gt;""""
),
1
),
""""
)"),"CASETAS")</f>
        <v>CASETAS</v>
      </c>
      <c r="L1926" s="27"/>
      <c r="M1926" s="27"/>
      <c r="N1926" s="27"/>
      <c r="O1926" s="27"/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</row>
    <row r="1927">
      <c r="A1927" s="32"/>
      <c r="B1927" s="32"/>
      <c r="C1927" s="29" t="s">
        <v>222</v>
      </c>
      <c r="D1927" s="29" t="s">
        <v>2049</v>
      </c>
      <c r="E1927" s="28">
        <v>200.0</v>
      </c>
      <c r="F1927" s="28">
        <v>0.0</v>
      </c>
      <c r="G1927" s="28" t="s">
        <v>332</v>
      </c>
      <c r="H1927" s="28" t="str">
        <f t="array" ref="H1927">INDEX(CC!C:C,MATCH(1,(CC!A:A=G1927)*(CC!B:B=I1927),0))</f>
        <v>#N/A</v>
      </c>
      <c r="I1927" s="28" t="s">
        <v>332</v>
      </c>
      <c r="J1927" s="33"/>
      <c r="K1927" s="28" t="str">
        <f>IFERROR(__xludf.DUMMYFUNCTION("IFERROR(
INDEX(
FILTER(
MAP(
reglas!$B$2:$B$240,
reglas!$C$2:$C$240,
reglas!$D$2:$D$240,
reglas!$E$2:$E$240,
LAMBDA(rEmisor,rPatron,rConcepto,rTipo,
IF(
AND(
OR(
UPPER(TRIM(rEmisor))=UPPER(TRIM(C1927)),
UPPER(TRIM(rEmisor))=""CUALQUIERA""
),
OR(
UPPER(TRI"&amp;"M(rTipo))=""SOLO EMISOR"",
AND(
UPPER(TRIM(rTipo))=""EXACTA"",
UPPER(TRIM(AG1927))=UPPER(TRIM(rPatron))
),
AND(
OR(
UPPER(TRIM(rTipo))=""CONTIENE"",
UPPER(TRIM(rTipo))=""COINCIDENCIA""
),
ISNUMBER(SEARCH(UPPER(TRIM(rPatron)),UPPER(TRIM(D1927))))
)
)
),
rC"&amp;"oncepto,
""""
)
)
),
MAP(
reglas!$B$2:$B$240,
reglas!$C$2:$C$240,
reglas!$D$2:$D$240,
reglas!$E$2:$E$240,
LAMBDA(rEmisor,rPatron,rConcepto,rTipo,
IF(
AND(
OR(
UPPER(TRIM(rEmisor))=UPPER(TRIM(C1927)),
UPPER(TRIM(rEmisor))=""CUALQUIERA""
),
OR(
UPPER(TRIM(r"&amp;"Tipo))=""SOLO EMISOR"",
AND(
UPPER(TRIM(rTipo))=""EXACTA"",
UPPER(TRIM(D1927))=UPPER(TRIM(rPatron))
),
AND(
OR(
UPPER(TRIM(rTipo))=""CONTIENE"",
UPPER(TRIM(rTipo))=""COINCIDENCIA""
),
ISNUMBER(SEARCH(UPPER(TRIM(rPatron)),UPPER(TRIM(D1927))))
)
)
),
rConce"&amp;"pto,
""""
)
)
)&lt;&gt;""""
),
1
),
""""
)"),"CASETAS")</f>
        <v>CASETAS</v>
      </c>
      <c r="L1927" s="27"/>
      <c r="M1927" s="27"/>
      <c r="N1927" s="27"/>
      <c r="O1927" s="27"/>
      <c r="P1927" s="27"/>
      <c r="Q1927" s="27"/>
      <c r="R1927" s="27"/>
      <c r="S1927" s="27"/>
      <c r="T1927" s="27"/>
      <c r="U1927" s="27"/>
      <c r="V1927" s="27"/>
      <c r="W1927" s="27"/>
      <c r="X1927" s="27"/>
      <c r="Y1927" s="27"/>
    </row>
    <row r="1928">
      <c r="A1928" s="32"/>
      <c r="B1928" s="32"/>
      <c r="C1928" s="29" t="s">
        <v>222</v>
      </c>
      <c r="D1928" s="29" t="s">
        <v>2050</v>
      </c>
      <c r="E1928" s="28">
        <v>392.24</v>
      </c>
      <c r="F1928" s="28">
        <v>0.0</v>
      </c>
      <c r="G1928" s="28" t="s">
        <v>332</v>
      </c>
      <c r="H1928" s="28" t="str">
        <f t="array" ref="H1928">INDEX(CC!C:C,MATCH(1,(CC!A:A=G1928)*(CC!B:B=I1928),0))</f>
        <v>#N/A</v>
      </c>
      <c r="I1928" s="28" t="s">
        <v>332</v>
      </c>
      <c r="J1928" s="33"/>
      <c r="K1928" s="28" t="str">
        <f>IFERROR(__xludf.DUMMYFUNCTION("IFERROR(
INDEX(
FILTER(
MAP(
reglas!$B$2:$B$240,
reglas!$C$2:$C$240,
reglas!$D$2:$D$240,
reglas!$E$2:$E$240,
LAMBDA(rEmisor,rPatron,rConcepto,rTipo,
IF(
AND(
OR(
UPPER(TRIM(rEmisor))=UPPER(TRIM(C1928)),
UPPER(TRIM(rEmisor))=""CUALQUIERA""
),
OR(
UPPER(TRI"&amp;"M(rTipo))=""SOLO EMISOR"",
AND(
UPPER(TRIM(rTipo))=""EXACTA"",
UPPER(TRIM(AG1928))=UPPER(TRIM(rPatron))
),
AND(
OR(
UPPER(TRIM(rTipo))=""CONTIENE"",
UPPER(TRIM(rTipo))=""COINCIDENCIA""
),
ISNUMBER(SEARCH(UPPER(TRIM(rPatron)),UPPER(TRIM(D1928))))
)
)
),
rC"&amp;"oncepto,
""""
)
)
),
MAP(
reglas!$B$2:$B$240,
reglas!$C$2:$C$240,
reglas!$D$2:$D$240,
reglas!$E$2:$E$240,
LAMBDA(rEmisor,rPatron,rConcepto,rTipo,
IF(
AND(
OR(
UPPER(TRIM(rEmisor))=UPPER(TRIM(C1928)),
UPPER(TRIM(rEmisor))=""CUALQUIERA""
),
OR(
UPPER(TRIM(r"&amp;"Tipo))=""SOLO EMISOR"",
AND(
UPPER(TRIM(rTipo))=""EXACTA"",
UPPER(TRIM(D1928))=UPPER(TRIM(rPatron))
),
AND(
OR(
UPPER(TRIM(rTipo))=""CONTIENE"",
UPPER(TRIM(rTipo))=""COINCIDENCIA""
),
ISNUMBER(SEARCH(UPPER(TRIM(rPatron)),UPPER(TRIM(D1928))))
)
)
),
rConce"&amp;"pto,
""""
)
)
)&lt;&gt;""""
),
1
),
""""
)"),"CASETAS")</f>
        <v>CASETAS</v>
      </c>
      <c r="L1928" s="27"/>
      <c r="M1928" s="27"/>
      <c r="N1928" s="27"/>
      <c r="O1928" s="27"/>
      <c r="P1928" s="27"/>
      <c r="Q1928" s="27"/>
      <c r="R1928" s="27"/>
      <c r="S1928" s="27"/>
      <c r="T1928" s="27"/>
      <c r="U1928" s="27"/>
      <c r="V1928" s="27"/>
      <c r="W1928" s="27"/>
      <c r="X1928" s="27"/>
      <c r="Y1928" s="27"/>
    </row>
    <row r="1929">
      <c r="A1929" s="32"/>
      <c r="B1929" s="32"/>
      <c r="C1929" s="29" t="s">
        <v>222</v>
      </c>
      <c r="D1929" s="29" t="s">
        <v>2050</v>
      </c>
      <c r="E1929" s="28">
        <v>193.1</v>
      </c>
      <c r="F1929" s="28">
        <v>0.0</v>
      </c>
      <c r="G1929" s="28" t="s">
        <v>332</v>
      </c>
      <c r="H1929" s="28" t="str">
        <f t="array" ref="H1929">INDEX(CC!C:C,MATCH(1,(CC!A:A=G1929)*(CC!B:B=I1929),0))</f>
        <v>#N/A</v>
      </c>
      <c r="I1929" s="28" t="s">
        <v>332</v>
      </c>
      <c r="J1929" s="33"/>
      <c r="K1929" s="28" t="str">
        <f>IFERROR(__xludf.DUMMYFUNCTION("IFERROR(
INDEX(
FILTER(
MAP(
reglas!$B$2:$B$240,
reglas!$C$2:$C$240,
reglas!$D$2:$D$240,
reglas!$E$2:$E$240,
LAMBDA(rEmisor,rPatron,rConcepto,rTipo,
IF(
AND(
OR(
UPPER(TRIM(rEmisor))=UPPER(TRIM(C1929)),
UPPER(TRIM(rEmisor))=""CUALQUIERA""
),
OR(
UPPER(TRI"&amp;"M(rTipo))=""SOLO EMISOR"",
AND(
UPPER(TRIM(rTipo))=""EXACTA"",
UPPER(TRIM(AG1929))=UPPER(TRIM(rPatron))
),
AND(
OR(
UPPER(TRIM(rTipo))=""CONTIENE"",
UPPER(TRIM(rTipo))=""COINCIDENCIA""
),
ISNUMBER(SEARCH(UPPER(TRIM(rPatron)),UPPER(TRIM(D1929))))
)
)
),
rC"&amp;"oncepto,
""""
)
)
),
MAP(
reglas!$B$2:$B$240,
reglas!$C$2:$C$240,
reglas!$D$2:$D$240,
reglas!$E$2:$E$240,
LAMBDA(rEmisor,rPatron,rConcepto,rTipo,
IF(
AND(
OR(
UPPER(TRIM(rEmisor))=UPPER(TRIM(C1929)),
UPPER(TRIM(rEmisor))=""CUALQUIERA""
),
OR(
UPPER(TRIM(r"&amp;"Tipo))=""SOLO EMISOR"",
AND(
UPPER(TRIM(rTipo))=""EXACTA"",
UPPER(TRIM(D1929))=UPPER(TRIM(rPatron))
),
AND(
OR(
UPPER(TRIM(rTipo))=""CONTIENE"",
UPPER(TRIM(rTipo))=""COINCIDENCIA""
),
ISNUMBER(SEARCH(UPPER(TRIM(rPatron)),UPPER(TRIM(D1929))))
)
)
),
rConce"&amp;"pto,
""""
)
)
)&lt;&gt;""""
),
1
),
""""
)"),"CASETAS")</f>
        <v>CASETAS</v>
      </c>
      <c r="L1929" s="27"/>
      <c r="M1929" s="27"/>
      <c r="N1929" s="27"/>
      <c r="O1929" s="27"/>
      <c r="P1929" s="27"/>
      <c r="Q1929" s="27"/>
      <c r="R1929" s="27"/>
      <c r="S1929" s="27"/>
      <c r="T1929" s="27"/>
      <c r="U1929" s="27"/>
      <c r="V1929" s="27"/>
      <c r="W1929" s="27"/>
      <c r="X1929" s="27"/>
      <c r="Y1929" s="27"/>
    </row>
    <row r="1930">
      <c r="A1930" s="32"/>
      <c r="B1930" s="32"/>
      <c r="C1930" s="29" t="s">
        <v>222</v>
      </c>
      <c r="D1930" s="29" t="s">
        <v>2051</v>
      </c>
      <c r="E1930" s="28">
        <v>255.17</v>
      </c>
      <c r="F1930" s="28">
        <v>0.0</v>
      </c>
      <c r="G1930" s="28" t="s">
        <v>332</v>
      </c>
      <c r="H1930" s="28" t="str">
        <f t="array" ref="H1930">INDEX(CC!C:C,MATCH(1,(CC!A:A=G1930)*(CC!B:B=I1930),0))</f>
        <v>#N/A</v>
      </c>
      <c r="I1930" s="28" t="s">
        <v>332</v>
      </c>
      <c r="J1930" s="33"/>
      <c r="K1930" s="28" t="str">
        <f>IFERROR(__xludf.DUMMYFUNCTION("IFERROR(
INDEX(
FILTER(
MAP(
reglas!$B$2:$B$240,
reglas!$C$2:$C$240,
reglas!$D$2:$D$240,
reglas!$E$2:$E$240,
LAMBDA(rEmisor,rPatron,rConcepto,rTipo,
IF(
AND(
OR(
UPPER(TRIM(rEmisor))=UPPER(TRIM(C1930)),
UPPER(TRIM(rEmisor))=""CUALQUIERA""
),
OR(
UPPER(TRI"&amp;"M(rTipo))=""SOLO EMISOR"",
AND(
UPPER(TRIM(rTipo))=""EXACTA"",
UPPER(TRIM(AG1930))=UPPER(TRIM(rPatron))
),
AND(
OR(
UPPER(TRIM(rTipo))=""CONTIENE"",
UPPER(TRIM(rTipo))=""COINCIDENCIA""
),
ISNUMBER(SEARCH(UPPER(TRIM(rPatron)),UPPER(TRIM(D1930))))
)
)
),
rC"&amp;"oncepto,
""""
)
)
),
MAP(
reglas!$B$2:$B$240,
reglas!$C$2:$C$240,
reglas!$D$2:$D$240,
reglas!$E$2:$E$240,
LAMBDA(rEmisor,rPatron,rConcepto,rTipo,
IF(
AND(
OR(
UPPER(TRIM(rEmisor))=UPPER(TRIM(C1930)),
UPPER(TRIM(rEmisor))=""CUALQUIERA""
),
OR(
UPPER(TRIM(r"&amp;"Tipo))=""SOLO EMISOR"",
AND(
UPPER(TRIM(rTipo))=""EXACTA"",
UPPER(TRIM(D1930))=UPPER(TRIM(rPatron))
),
AND(
OR(
UPPER(TRIM(rTipo))=""CONTIENE"",
UPPER(TRIM(rTipo))=""COINCIDENCIA""
),
ISNUMBER(SEARCH(UPPER(TRIM(rPatron)),UPPER(TRIM(D1930))))
)
)
),
rConce"&amp;"pto,
""""
)
)
)&lt;&gt;""""
),
1
),
""""
)"),"CASETAS")</f>
        <v>CASETAS</v>
      </c>
      <c r="L1930" s="27"/>
      <c r="M1930" s="27"/>
      <c r="N1930" s="27"/>
      <c r="O1930" s="27"/>
      <c r="P1930" s="27"/>
      <c r="Q1930" s="27"/>
      <c r="R1930" s="27"/>
      <c r="S1930" s="27"/>
      <c r="T1930" s="27"/>
      <c r="U1930" s="27"/>
      <c r="V1930" s="27"/>
      <c r="W1930" s="27"/>
      <c r="X1930" s="27"/>
      <c r="Y1930" s="27"/>
    </row>
    <row r="1931">
      <c r="A1931" s="32"/>
      <c r="B1931" s="32"/>
      <c r="C1931" s="29" t="s">
        <v>222</v>
      </c>
      <c r="D1931" s="29" t="s">
        <v>1399</v>
      </c>
      <c r="E1931" s="28">
        <v>14.66</v>
      </c>
      <c r="F1931" s="28">
        <v>0.0</v>
      </c>
      <c r="G1931" s="28" t="s">
        <v>332</v>
      </c>
      <c r="H1931" s="28" t="str">
        <f t="array" ref="H1931">INDEX(CC!C:C,MATCH(1,(CC!A:A=G1931)*(CC!B:B=I1931),0))</f>
        <v>#N/A</v>
      </c>
      <c r="I1931" s="28" t="s">
        <v>332</v>
      </c>
      <c r="J1931" s="33"/>
      <c r="K1931" s="28" t="str">
        <f>IFERROR(__xludf.DUMMYFUNCTION("IFERROR(
INDEX(
FILTER(
MAP(
reglas!$B$2:$B$240,
reglas!$C$2:$C$240,
reglas!$D$2:$D$240,
reglas!$E$2:$E$240,
LAMBDA(rEmisor,rPatron,rConcepto,rTipo,
IF(
AND(
OR(
UPPER(TRIM(rEmisor))=UPPER(TRIM(C1931)),
UPPER(TRIM(rEmisor))=""CUALQUIERA""
),
OR(
UPPER(TRI"&amp;"M(rTipo))=""SOLO EMISOR"",
AND(
UPPER(TRIM(rTipo))=""EXACTA"",
UPPER(TRIM(AG1931))=UPPER(TRIM(rPatron))
),
AND(
OR(
UPPER(TRIM(rTipo))=""CONTIENE"",
UPPER(TRIM(rTipo))=""COINCIDENCIA""
),
ISNUMBER(SEARCH(UPPER(TRIM(rPatron)),UPPER(TRIM(D1931))))
)
)
),
rC"&amp;"oncepto,
""""
)
)
),
MAP(
reglas!$B$2:$B$240,
reglas!$C$2:$C$240,
reglas!$D$2:$D$240,
reglas!$E$2:$E$240,
LAMBDA(rEmisor,rPatron,rConcepto,rTipo,
IF(
AND(
OR(
UPPER(TRIM(rEmisor))=UPPER(TRIM(C1931)),
UPPER(TRIM(rEmisor))=""CUALQUIERA""
),
OR(
UPPER(TRIM(r"&amp;"Tipo))=""SOLO EMISOR"",
AND(
UPPER(TRIM(rTipo))=""EXACTA"",
UPPER(TRIM(D1931))=UPPER(TRIM(rPatron))
),
AND(
OR(
UPPER(TRIM(rTipo))=""CONTIENE"",
UPPER(TRIM(rTipo))=""COINCIDENCIA""
),
ISNUMBER(SEARCH(UPPER(TRIM(rPatron)),UPPER(TRIM(D1931))))
)
)
),
rConce"&amp;"pto,
""""
)
)
)&lt;&gt;""""
),
1
),
""""
)"),"CASETAS")</f>
        <v>CASETAS</v>
      </c>
      <c r="L1931" s="27"/>
      <c r="M1931" s="27"/>
      <c r="N1931" s="27"/>
      <c r="O1931" s="27"/>
      <c r="P1931" s="27"/>
      <c r="Q1931" s="27"/>
      <c r="R1931" s="27"/>
      <c r="S1931" s="27"/>
      <c r="T1931" s="27"/>
      <c r="U1931" s="27"/>
      <c r="V1931" s="27"/>
      <c r="W1931" s="27"/>
      <c r="X1931" s="27"/>
      <c r="Y1931" s="27"/>
    </row>
    <row r="1932">
      <c r="A1932" s="32"/>
      <c r="B1932" s="32"/>
      <c r="C1932" s="29" t="s">
        <v>222</v>
      </c>
      <c r="D1932" s="29" t="s">
        <v>1399</v>
      </c>
      <c r="E1932" s="28">
        <v>907.76</v>
      </c>
      <c r="F1932" s="28">
        <v>0.0</v>
      </c>
      <c r="G1932" s="28" t="s">
        <v>332</v>
      </c>
      <c r="H1932" s="28" t="str">
        <f t="array" ref="H1932">INDEX(CC!C:C,MATCH(1,(CC!A:A=G1932)*(CC!B:B=I1932),0))</f>
        <v>#N/A</v>
      </c>
      <c r="I1932" s="28" t="s">
        <v>332</v>
      </c>
      <c r="J1932" s="33"/>
      <c r="K1932" s="28" t="str">
        <f>IFERROR(__xludf.DUMMYFUNCTION("IFERROR(
INDEX(
FILTER(
MAP(
reglas!$B$2:$B$240,
reglas!$C$2:$C$240,
reglas!$D$2:$D$240,
reglas!$E$2:$E$240,
LAMBDA(rEmisor,rPatron,rConcepto,rTipo,
IF(
AND(
OR(
UPPER(TRIM(rEmisor))=UPPER(TRIM(C1932)),
UPPER(TRIM(rEmisor))=""CUALQUIERA""
),
OR(
UPPER(TRI"&amp;"M(rTipo))=""SOLO EMISOR"",
AND(
UPPER(TRIM(rTipo))=""EXACTA"",
UPPER(TRIM(AG1932))=UPPER(TRIM(rPatron))
),
AND(
OR(
UPPER(TRIM(rTipo))=""CONTIENE"",
UPPER(TRIM(rTipo))=""COINCIDENCIA""
),
ISNUMBER(SEARCH(UPPER(TRIM(rPatron)),UPPER(TRIM(D1932))))
)
)
),
rC"&amp;"oncepto,
""""
)
)
),
MAP(
reglas!$B$2:$B$240,
reglas!$C$2:$C$240,
reglas!$D$2:$D$240,
reglas!$E$2:$E$240,
LAMBDA(rEmisor,rPatron,rConcepto,rTipo,
IF(
AND(
OR(
UPPER(TRIM(rEmisor))=UPPER(TRIM(C1932)),
UPPER(TRIM(rEmisor))=""CUALQUIERA""
),
OR(
UPPER(TRIM(r"&amp;"Tipo))=""SOLO EMISOR"",
AND(
UPPER(TRIM(rTipo))=""EXACTA"",
UPPER(TRIM(D1932))=UPPER(TRIM(rPatron))
),
AND(
OR(
UPPER(TRIM(rTipo))=""CONTIENE"",
UPPER(TRIM(rTipo))=""COINCIDENCIA""
),
ISNUMBER(SEARCH(UPPER(TRIM(rPatron)),UPPER(TRIM(D1932))))
)
)
),
rConce"&amp;"pto,
""""
)
)
)&lt;&gt;""""
),
1
),
""""
)"),"CASETAS")</f>
        <v>CASETAS</v>
      </c>
      <c r="L1932" s="27"/>
      <c r="M1932" s="27"/>
      <c r="N1932" s="27"/>
      <c r="O1932" s="27"/>
      <c r="P1932" s="27"/>
      <c r="Q1932" s="27"/>
      <c r="R1932" s="27"/>
      <c r="S1932" s="27"/>
      <c r="T1932" s="27"/>
      <c r="U1932" s="27"/>
      <c r="V1932" s="27"/>
      <c r="W1932" s="27"/>
      <c r="X1932" s="27"/>
      <c r="Y1932" s="27"/>
    </row>
    <row r="1933">
      <c r="A1933" s="32"/>
      <c r="B1933" s="32"/>
      <c r="C1933" s="29" t="s">
        <v>222</v>
      </c>
      <c r="D1933" s="29" t="s">
        <v>1399</v>
      </c>
      <c r="E1933" s="30">
        <v>1860.34</v>
      </c>
      <c r="F1933" s="28">
        <v>0.0</v>
      </c>
      <c r="G1933" s="28" t="s">
        <v>332</v>
      </c>
      <c r="H1933" s="28" t="str">
        <f t="array" ref="H1933">INDEX(CC!C:C,MATCH(1,(CC!A:A=G1933)*(CC!B:B=I1933),0))</f>
        <v>#N/A</v>
      </c>
      <c r="I1933" s="28" t="s">
        <v>332</v>
      </c>
      <c r="J1933" s="33"/>
      <c r="K1933" s="28" t="str">
        <f>IFERROR(__xludf.DUMMYFUNCTION("IFERROR(
INDEX(
FILTER(
MAP(
reglas!$B$2:$B$240,
reglas!$C$2:$C$240,
reglas!$D$2:$D$240,
reglas!$E$2:$E$240,
LAMBDA(rEmisor,rPatron,rConcepto,rTipo,
IF(
AND(
OR(
UPPER(TRIM(rEmisor))=UPPER(TRIM(C1933)),
UPPER(TRIM(rEmisor))=""CUALQUIERA""
),
OR(
UPPER(TRI"&amp;"M(rTipo))=""SOLO EMISOR"",
AND(
UPPER(TRIM(rTipo))=""EXACTA"",
UPPER(TRIM(AG1933))=UPPER(TRIM(rPatron))
),
AND(
OR(
UPPER(TRIM(rTipo))=""CONTIENE"",
UPPER(TRIM(rTipo))=""COINCIDENCIA""
),
ISNUMBER(SEARCH(UPPER(TRIM(rPatron)),UPPER(TRIM(D1933))))
)
)
),
rC"&amp;"oncepto,
""""
)
)
),
MAP(
reglas!$B$2:$B$240,
reglas!$C$2:$C$240,
reglas!$D$2:$D$240,
reglas!$E$2:$E$240,
LAMBDA(rEmisor,rPatron,rConcepto,rTipo,
IF(
AND(
OR(
UPPER(TRIM(rEmisor))=UPPER(TRIM(C1933)),
UPPER(TRIM(rEmisor))=""CUALQUIERA""
),
OR(
UPPER(TRIM(r"&amp;"Tipo))=""SOLO EMISOR"",
AND(
UPPER(TRIM(rTipo))=""EXACTA"",
UPPER(TRIM(D1933))=UPPER(TRIM(rPatron))
),
AND(
OR(
UPPER(TRIM(rTipo))=""CONTIENE"",
UPPER(TRIM(rTipo))=""COINCIDENCIA""
),
ISNUMBER(SEARCH(UPPER(TRIM(rPatron)),UPPER(TRIM(D1933))))
)
)
),
rConce"&amp;"pto,
""""
)
)
)&lt;&gt;""""
),
1
),
""""
)"),"CASETAS")</f>
        <v>CASETAS</v>
      </c>
      <c r="L1933" s="27"/>
      <c r="M1933" s="27"/>
      <c r="N1933" s="27"/>
      <c r="O1933" s="27"/>
      <c r="P1933" s="27"/>
      <c r="Q1933" s="27"/>
      <c r="R1933" s="27"/>
      <c r="S1933" s="27"/>
      <c r="T1933" s="27"/>
      <c r="U1933" s="27"/>
      <c r="V1933" s="27"/>
      <c r="W1933" s="27"/>
      <c r="X1933" s="27"/>
      <c r="Y1933" s="27"/>
    </row>
    <row r="1934">
      <c r="A1934" s="32"/>
      <c r="B1934" s="32"/>
      <c r="C1934" s="29" t="s">
        <v>222</v>
      </c>
      <c r="D1934" s="29" t="s">
        <v>1399</v>
      </c>
      <c r="E1934" s="28">
        <v>704.31</v>
      </c>
      <c r="F1934" s="28">
        <v>0.0</v>
      </c>
      <c r="G1934" s="28" t="s">
        <v>332</v>
      </c>
      <c r="H1934" s="28" t="str">
        <f t="array" ref="H1934">INDEX(CC!C:C,MATCH(1,(CC!A:A=G1934)*(CC!B:B=I1934),0))</f>
        <v>#N/A</v>
      </c>
      <c r="I1934" s="28" t="s">
        <v>332</v>
      </c>
      <c r="J1934" s="33"/>
      <c r="K1934" s="28" t="str">
        <f>IFERROR(__xludf.DUMMYFUNCTION("IFERROR(
INDEX(
FILTER(
MAP(
reglas!$B$2:$B$240,
reglas!$C$2:$C$240,
reglas!$D$2:$D$240,
reglas!$E$2:$E$240,
LAMBDA(rEmisor,rPatron,rConcepto,rTipo,
IF(
AND(
OR(
UPPER(TRIM(rEmisor))=UPPER(TRIM(C1934)),
UPPER(TRIM(rEmisor))=""CUALQUIERA""
),
OR(
UPPER(TRI"&amp;"M(rTipo))=""SOLO EMISOR"",
AND(
UPPER(TRIM(rTipo))=""EXACTA"",
UPPER(TRIM(AG1934))=UPPER(TRIM(rPatron))
),
AND(
OR(
UPPER(TRIM(rTipo))=""CONTIENE"",
UPPER(TRIM(rTipo))=""COINCIDENCIA""
),
ISNUMBER(SEARCH(UPPER(TRIM(rPatron)),UPPER(TRIM(D1934))))
)
)
),
rC"&amp;"oncepto,
""""
)
)
),
MAP(
reglas!$B$2:$B$240,
reglas!$C$2:$C$240,
reglas!$D$2:$D$240,
reglas!$E$2:$E$240,
LAMBDA(rEmisor,rPatron,rConcepto,rTipo,
IF(
AND(
OR(
UPPER(TRIM(rEmisor))=UPPER(TRIM(C1934)),
UPPER(TRIM(rEmisor))=""CUALQUIERA""
),
OR(
UPPER(TRIM(r"&amp;"Tipo))=""SOLO EMISOR"",
AND(
UPPER(TRIM(rTipo))=""EXACTA"",
UPPER(TRIM(D1934))=UPPER(TRIM(rPatron))
),
AND(
OR(
UPPER(TRIM(rTipo))=""CONTIENE"",
UPPER(TRIM(rTipo))=""COINCIDENCIA""
),
ISNUMBER(SEARCH(UPPER(TRIM(rPatron)),UPPER(TRIM(D1934))))
)
)
),
rConce"&amp;"pto,
""""
)
)
)&lt;&gt;""""
),
1
),
""""
)"),"CASETAS")</f>
        <v>CASETAS</v>
      </c>
      <c r="L1934" s="27"/>
      <c r="M1934" s="27"/>
      <c r="N1934" s="27"/>
      <c r="O1934" s="27"/>
      <c r="P1934" s="27"/>
      <c r="Q1934" s="27"/>
      <c r="R1934" s="27"/>
      <c r="S1934" s="27"/>
      <c r="T1934" s="27"/>
      <c r="U1934" s="27"/>
      <c r="V1934" s="27"/>
      <c r="W1934" s="27"/>
      <c r="X1934" s="27"/>
      <c r="Y1934" s="27"/>
    </row>
    <row r="1935">
      <c r="A1935" s="32"/>
      <c r="B1935" s="32"/>
      <c r="C1935" s="29" t="s">
        <v>222</v>
      </c>
      <c r="D1935" s="29" t="s">
        <v>1399</v>
      </c>
      <c r="E1935" s="30">
        <v>1448.28</v>
      </c>
      <c r="F1935" s="28">
        <v>0.0</v>
      </c>
      <c r="G1935" s="28" t="s">
        <v>332</v>
      </c>
      <c r="H1935" s="28" t="str">
        <f t="array" ref="H1935">INDEX(CC!C:C,MATCH(1,(CC!A:A=G1935)*(CC!B:B=I1935),0))</f>
        <v>#N/A</v>
      </c>
      <c r="I1935" s="28" t="s">
        <v>332</v>
      </c>
      <c r="J1935" s="33"/>
      <c r="K1935" s="28" t="str">
        <f>IFERROR(__xludf.DUMMYFUNCTION("IFERROR(
INDEX(
FILTER(
MAP(
reglas!$B$2:$B$240,
reglas!$C$2:$C$240,
reglas!$D$2:$D$240,
reglas!$E$2:$E$240,
LAMBDA(rEmisor,rPatron,rConcepto,rTipo,
IF(
AND(
OR(
UPPER(TRIM(rEmisor))=UPPER(TRIM(C1935)),
UPPER(TRIM(rEmisor))=""CUALQUIERA""
),
OR(
UPPER(TRI"&amp;"M(rTipo))=""SOLO EMISOR"",
AND(
UPPER(TRIM(rTipo))=""EXACTA"",
UPPER(TRIM(AG1935))=UPPER(TRIM(rPatron))
),
AND(
OR(
UPPER(TRIM(rTipo))=""CONTIENE"",
UPPER(TRIM(rTipo))=""COINCIDENCIA""
),
ISNUMBER(SEARCH(UPPER(TRIM(rPatron)),UPPER(TRIM(D1935))))
)
)
),
rC"&amp;"oncepto,
""""
)
)
),
MAP(
reglas!$B$2:$B$240,
reglas!$C$2:$C$240,
reglas!$D$2:$D$240,
reglas!$E$2:$E$240,
LAMBDA(rEmisor,rPatron,rConcepto,rTipo,
IF(
AND(
OR(
UPPER(TRIM(rEmisor))=UPPER(TRIM(C1935)),
UPPER(TRIM(rEmisor))=""CUALQUIERA""
),
OR(
UPPER(TRIM(r"&amp;"Tipo))=""SOLO EMISOR"",
AND(
UPPER(TRIM(rTipo))=""EXACTA"",
UPPER(TRIM(D1935))=UPPER(TRIM(rPatron))
),
AND(
OR(
UPPER(TRIM(rTipo))=""CONTIENE"",
UPPER(TRIM(rTipo))=""COINCIDENCIA""
),
ISNUMBER(SEARCH(UPPER(TRIM(rPatron)),UPPER(TRIM(D1935))))
)
)
),
rConce"&amp;"pto,
""""
)
)
)&lt;&gt;""""
),
1
),
""""
)"),"CASETAS")</f>
        <v>CASETAS</v>
      </c>
      <c r="L1935" s="27"/>
      <c r="M1935" s="27"/>
      <c r="N1935" s="27"/>
      <c r="O1935" s="27"/>
      <c r="P1935" s="27"/>
      <c r="Q1935" s="27"/>
      <c r="R1935" s="27"/>
      <c r="S1935" s="27"/>
      <c r="T1935" s="27"/>
      <c r="U1935" s="27"/>
      <c r="V1935" s="27"/>
      <c r="W1935" s="27"/>
      <c r="X1935" s="27"/>
      <c r="Y1935" s="27"/>
    </row>
    <row r="1936">
      <c r="A1936" s="32"/>
      <c r="B1936" s="32"/>
      <c r="C1936" s="29" t="s">
        <v>222</v>
      </c>
      <c r="D1936" s="29" t="s">
        <v>1399</v>
      </c>
      <c r="E1936" s="28">
        <v>56.9</v>
      </c>
      <c r="F1936" s="28">
        <v>0.0</v>
      </c>
      <c r="G1936" s="28" t="s">
        <v>332</v>
      </c>
      <c r="H1936" s="28" t="str">
        <f t="array" ref="H1936">INDEX(CC!C:C,MATCH(1,(CC!A:A=G1936)*(CC!B:B=I1936),0))</f>
        <v>#N/A</v>
      </c>
      <c r="I1936" s="28" t="s">
        <v>332</v>
      </c>
      <c r="J1936" s="33"/>
      <c r="K1936" s="28" t="str">
        <f>IFERROR(__xludf.DUMMYFUNCTION("IFERROR(
INDEX(
FILTER(
MAP(
reglas!$B$2:$B$240,
reglas!$C$2:$C$240,
reglas!$D$2:$D$240,
reglas!$E$2:$E$240,
LAMBDA(rEmisor,rPatron,rConcepto,rTipo,
IF(
AND(
OR(
UPPER(TRIM(rEmisor))=UPPER(TRIM(C1936)),
UPPER(TRIM(rEmisor))=""CUALQUIERA""
),
OR(
UPPER(TRI"&amp;"M(rTipo))=""SOLO EMISOR"",
AND(
UPPER(TRIM(rTipo))=""EXACTA"",
UPPER(TRIM(AG1936))=UPPER(TRIM(rPatron))
),
AND(
OR(
UPPER(TRIM(rTipo))=""CONTIENE"",
UPPER(TRIM(rTipo))=""COINCIDENCIA""
),
ISNUMBER(SEARCH(UPPER(TRIM(rPatron)),UPPER(TRIM(D1936))))
)
)
),
rC"&amp;"oncepto,
""""
)
)
),
MAP(
reglas!$B$2:$B$240,
reglas!$C$2:$C$240,
reglas!$D$2:$D$240,
reglas!$E$2:$E$240,
LAMBDA(rEmisor,rPatron,rConcepto,rTipo,
IF(
AND(
OR(
UPPER(TRIM(rEmisor))=UPPER(TRIM(C1936)),
UPPER(TRIM(rEmisor))=""CUALQUIERA""
),
OR(
UPPER(TRIM(r"&amp;"Tipo))=""SOLO EMISOR"",
AND(
UPPER(TRIM(rTipo))=""EXACTA"",
UPPER(TRIM(D1936))=UPPER(TRIM(rPatron))
),
AND(
OR(
UPPER(TRIM(rTipo))=""CONTIENE"",
UPPER(TRIM(rTipo))=""COINCIDENCIA""
),
ISNUMBER(SEARCH(UPPER(TRIM(rPatron)),UPPER(TRIM(D1936))))
)
)
),
rConce"&amp;"pto,
""""
)
)
)&lt;&gt;""""
),
1
),
""""
)"),"CASETAS")</f>
        <v>CASETAS</v>
      </c>
      <c r="L1936" s="27"/>
      <c r="M1936" s="27"/>
      <c r="N1936" s="27"/>
      <c r="O1936" s="27"/>
      <c r="P1936" s="27"/>
      <c r="Q1936" s="27"/>
      <c r="R1936" s="27"/>
      <c r="S1936" s="27"/>
      <c r="T1936" s="27"/>
      <c r="U1936" s="27"/>
      <c r="V1936" s="27"/>
      <c r="W1936" s="27"/>
      <c r="X1936" s="27"/>
      <c r="Y1936" s="27"/>
    </row>
    <row r="1937">
      <c r="A1937" s="32"/>
      <c r="B1937" s="32"/>
      <c r="C1937" s="29" t="s">
        <v>222</v>
      </c>
      <c r="D1937" s="29" t="s">
        <v>1399</v>
      </c>
      <c r="E1937" s="28">
        <v>337.93</v>
      </c>
      <c r="F1937" s="28">
        <v>0.0</v>
      </c>
      <c r="G1937" s="28" t="s">
        <v>332</v>
      </c>
      <c r="H1937" s="28" t="str">
        <f t="array" ref="H1937">INDEX(CC!C:C,MATCH(1,(CC!A:A=G1937)*(CC!B:B=I1937),0))</f>
        <v>#N/A</v>
      </c>
      <c r="I1937" s="28" t="s">
        <v>332</v>
      </c>
      <c r="J1937" s="33"/>
      <c r="K1937" s="28" t="str">
        <f>IFERROR(__xludf.DUMMYFUNCTION("IFERROR(
INDEX(
FILTER(
MAP(
reglas!$B$2:$B$240,
reglas!$C$2:$C$240,
reglas!$D$2:$D$240,
reglas!$E$2:$E$240,
LAMBDA(rEmisor,rPatron,rConcepto,rTipo,
IF(
AND(
OR(
UPPER(TRIM(rEmisor))=UPPER(TRIM(C1937)),
UPPER(TRIM(rEmisor))=""CUALQUIERA""
),
OR(
UPPER(TRI"&amp;"M(rTipo))=""SOLO EMISOR"",
AND(
UPPER(TRIM(rTipo))=""EXACTA"",
UPPER(TRIM(AG1937))=UPPER(TRIM(rPatron))
),
AND(
OR(
UPPER(TRIM(rTipo))=""CONTIENE"",
UPPER(TRIM(rTipo))=""COINCIDENCIA""
),
ISNUMBER(SEARCH(UPPER(TRIM(rPatron)),UPPER(TRIM(D1937))))
)
)
),
rC"&amp;"oncepto,
""""
)
)
),
MAP(
reglas!$B$2:$B$240,
reglas!$C$2:$C$240,
reglas!$D$2:$D$240,
reglas!$E$2:$E$240,
LAMBDA(rEmisor,rPatron,rConcepto,rTipo,
IF(
AND(
OR(
UPPER(TRIM(rEmisor))=UPPER(TRIM(C1937)),
UPPER(TRIM(rEmisor))=""CUALQUIERA""
),
OR(
UPPER(TRIM(r"&amp;"Tipo))=""SOLO EMISOR"",
AND(
UPPER(TRIM(rTipo))=""EXACTA"",
UPPER(TRIM(D1937))=UPPER(TRIM(rPatron))
),
AND(
OR(
UPPER(TRIM(rTipo))=""CONTIENE"",
UPPER(TRIM(rTipo))=""COINCIDENCIA""
),
ISNUMBER(SEARCH(UPPER(TRIM(rPatron)),UPPER(TRIM(D1937))))
)
)
),
rConce"&amp;"pto,
""""
)
)
)&lt;&gt;""""
),
1
),
""""
)"),"CASETAS")</f>
        <v>CASETAS</v>
      </c>
      <c r="L1937" s="27"/>
      <c r="M1937" s="27"/>
      <c r="N1937" s="27"/>
      <c r="O1937" s="27"/>
      <c r="P1937" s="27"/>
      <c r="Q1937" s="27"/>
      <c r="R1937" s="27"/>
      <c r="S1937" s="27"/>
      <c r="T1937" s="27"/>
      <c r="U1937" s="27"/>
      <c r="V1937" s="27"/>
      <c r="W1937" s="27"/>
      <c r="X1937" s="27"/>
      <c r="Y1937" s="27"/>
    </row>
    <row r="1938">
      <c r="A1938" s="32"/>
      <c r="B1938" s="32"/>
      <c r="C1938" s="29" t="s">
        <v>222</v>
      </c>
      <c r="D1938" s="29" t="s">
        <v>1399</v>
      </c>
      <c r="E1938" s="30">
        <v>1224.14</v>
      </c>
      <c r="F1938" s="28">
        <v>0.0</v>
      </c>
      <c r="G1938" s="28" t="s">
        <v>332</v>
      </c>
      <c r="H1938" s="28" t="str">
        <f t="array" ref="H1938">INDEX(CC!C:C,MATCH(1,(CC!A:A=G1938)*(CC!B:B=I1938),0))</f>
        <v>#N/A</v>
      </c>
      <c r="I1938" s="28" t="s">
        <v>332</v>
      </c>
      <c r="J1938" s="33"/>
      <c r="K1938" s="28" t="str">
        <f>IFERROR(__xludf.DUMMYFUNCTION("IFERROR(
INDEX(
FILTER(
MAP(
reglas!$B$2:$B$240,
reglas!$C$2:$C$240,
reglas!$D$2:$D$240,
reglas!$E$2:$E$240,
LAMBDA(rEmisor,rPatron,rConcepto,rTipo,
IF(
AND(
OR(
UPPER(TRIM(rEmisor))=UPPER(TRIM(C1938)),
UPPER(TRIM(rEmisor))=""CUALQUIERA""
),
OR(
UPPER(TRI"&amp;"M(rTipo))=""SOLO EMISOR"",
AND(
UPPER(TRIM(rTipo))=""EXACTA"",
UPPER(TRIM(AG1938))=UPPER(TRIM(rPatron))
),
AND(
OR(
UPPER(TRIM(rTipo))=""CONTIENE"",
UPPER(TRIM(rTipo))=""COINCIDENCIA""
),
ISNUMBER(SEARCH(UPPER(TRIM(rPatron)),UPPER(TRIM(D1938))))
)
)
),
rC"&amp;"oncepto,
""""
)
)
),
MAP(
reglas!$B$2:$B$240,
reglas!$C$2:$C$240,
reglas!$D$2:$D$240,
reglas!$E$2:$E$240,
LAMBDA(rEmisor,rPatron,rConcepto,rTipo,
IF(
AND(
OR(
UPPER(TRIM(rEmisor))=UPPER(TRIM(C1938)),
UPPER(TRIM(rEmisor))=""CUALQUIERA""
),
OR(
UPPER(TRIM(r"&amp;"Tipo))=""SOLO EMISOR"",
AND(
UPPER(TRIM(rTipo))=""EXACTA"",
UPPER(TRIM(D1938))=UPPER(TRIM(rPatron))
),
AND(
OR(
UPPER(TRIM(rTipo))=""CONTIENE"",
UPPER(TRIM(rTipo))=""COINCIDENCIA""
),
ISNUMBER(SEARCH(UPPER(TRIM(rPatron)),UPPER(TRIM(D1938))))
)
)
),
rConce"&amp;"pto,
""""
)
)
)&lt;&gt;""""
),
1
),
""""
)"),"CASETAS")</f>
        <v>CASETAS</v>
      </c>
      <c r="L1938" s="27"/>
      <c r="M1938" s="27"/>
      <c r="N1938" s="27"/>
      <c r="O1938" s="27"/>
      <c r="P1938" s="27"/>
      <c r="Q1938" s="27"/>
      <c r="R1938" s="27"/>
      <c r="S1938" s="27"/>
      <c r="T1938" s="27"/>
      <c r="U1938" s="27"/>
      <c r="V1938" s="27"/>
      <c r="W1938" s="27"/>
      <c r="X1938" s="27"/>
      <c r="Y1938" s="27"/>
    </row>
    <row r="1939">
      <c r="A1939" s="32"/>
      <c r="B1939" s="32"/>
      <c r="C1939" s="29" t="s">
        <v>222</v>
      </c>
      <c r="D1939" s="29" t="s">
        <v>1399</v>
      </c>
      <c r="E1939" s="28">
        <v>329.31</v>
      </c>
      <c r="F1939" s="28">
        <v>0.0</v>
      </c>
      <c r="G1939" s="28" t="s">
        <v>332</v>
      </c>
      <c r="H1939" s="28" t="str">
        <f t="array" ref="H1939">INDEX(CC!C:C,MATCH(1,(CC!A:A=G1939)*(CC!B:B=I1939),0))</f>
        <v>#N/A</v>
      </c>
      <c r="I1939" s="28" t="s">
        <v>332</v>
      </c>
      <c r="J1939" s="33"/>
      <c r="K1939" s="28" t="str">
        <f>IFERROR(__xludf.DUMMYFUNCTION("IFERROR(
INDEX(
FILTER(
MAP(
reglas!$B$2:$B$240,
reglas!$C$2:$C$240,
reglas!$D$2:$D$240,
reglas!$E$2:$E$240,
LAMBDA(rEmisor,rPatron,rConcepto,rTipo,
IF(
AND(
OR(
UPPER(TRIM(rEmisor))=UPPER(TRIM(C1939)),
UPPER(TRIM(rEmisor))=""CUALQUIERA""
),
OR(
UPPER(TRI"&amp;"M(rTipo))=""SOLO EMISOR"",
AND(
UPPER(TRIM(rTipo))=""EXACTA"",
UPPER(TRIM(AG1939))=UPPER(TRIM(rPatron))
),
AND(
OR(
UPPER(TRIM(rTipo))=""CONTIENE"",
UPPER(TRIM(rTipo))=""COINCIDENCIA""
),
ISNUMBER(SEARCH(UPPER(TRIM(rPatron)),UPPER(TRIM(D1939))))
)
)
),
rC"&amp;"oncepto,
""""
)
)
),
MAP(
reglas!$B$2:$B$240,
reglas!$C$2:$C$240,
reglas!$D$2:$D$240,
reglas!$E$2:$E$240,
LAMBDA(rEmisor,rPatron,rConcepto,rTipo,
IF(
AND(
OR(
UPPER(TRIM(rEmisor))=UPPER(TRIM(C1939)),
UPPER(TRIM(rEmisor))=""CUALQUIERA""
),
OR(
UPPER(TRIM(r"&amp;"Tipo))=""SOLO EMISOR"",
AND(
UPPER(TRIM(rTipo))=""EXACTA"",
UPPER(TRIM(D1939))=UPPER(TRIM(rPatron))
),
AND(
OR(
UPPER(TRIM(rTipo))=""CONTIENE"",
UPPER(TRIM(rTipo))=""COINCIDENCIA""
),
ISNUMBER(SEARCH(UPPER(TRIM(rPatron)),UPPER(TRIM(D1939))))
)
)
),
rConce"&amp;"pto,
""""
)
)
)&lt;&gt;""""
),
1
),
""""
)"),"CASETAS")</f>
        <v>CASETAS</v>
      </c>
      <c r="L1939" s="27"/>
      <c r="M1939" s="27"/>
      <c r="N1939" s="27"/>
      <c r="O1939" s="27"/>
      <c r="P1939" s="27"/>
      <c r="Q1939" s="27"/>
      <c r="R1939" s="27"/>
      <c r="S1939" s="27"/>
      <c r="T1939" s="27"/>
      <c r="U1939" s="27"/>
      <c r="V1939" s="27"/>
      <c r="W1939" s="27"/>
      <c r="X1939" s="27"/>
      <c r="Y1939" s="27"/>
    </row>
    <row r="1940">
      <c r="A1940" s="32"/>
      <c r="B1940" s="32"/>
      <c r="C1940" s="29" t="s">
        <v>222</v>
      </c>
      <c r="D1940" s="29" t="s">
        <v>1399</v>
      </c>
      <c r="E1940" s="28">
        <v>693.1</v>
      </c>
      <c r="F1940" s="28">
        <v>0.0</v>
      </c>
      <c r="G1940" s="28" t="s">
        <v>332</v>
      </c>
      <c r="H1940" s="28" t="str">
        <f t="array" ref="H1940">INDEX(CC!C:C,MATCH(1,(CC!A:A=G1940)*(CC!B:B=I1940),0))</f>
        <v>#N/A</v>
      </c>
      <c r="I1940" s="28" t="s">
        <v>332</v>
      </c>
      <c r="J1940" s="33"/>
      <c r="K1940" s="28" t="str">
        <f>IFERROR(__xludf.DUMMYFUNCTION("IFERROR(
INDEX(
FILTER(
MAP(
reglas!$B$2:$B$240,
reglas!$C$2:$C$240,
reglas!$D$2:$D$240,
reglas!$E$2:$E$240,
LAMBDA(rEmisor,rPatron,rConcepto,rTipo,
IF(
AND(
OR(
UPPER(TRIM(rEmisor))=UPPER(TRIM(C1940)),
UPPER(TRIM(rEmisor))=""CUALQUIERA""
),
OR(
UPPER(TRI"&amp;"M(rTipo))=""SOLO EMISOR"",
AND(
UPPER(TRIM(rTipo))=""EXACTA"",
UPPER(TRIM(AG1940))=UPPER(TRIM(rPatron))
),
AND(
OR(
UPPER(TRIM(rTipo))=""CONTIENE"",
UPPER(TRIM(rTipo))=""COINCIDENCIA""
),
ISNUMBER(SEARCH(UPPER(TRIM(rPatron)),UPPER(TRIM(D1940))))
)
)
),
rC"&amp;"oncepto,
""""
)
)
),
MAP(
reglas!$B$2:$B$240,
reglas!$C$2:$C$240,
reglas!$D$2:$D$240,
reglas!$E$2:$E$240,
LAMBDA(rEmisor,rPatron,rConcepto,rTipo,
IF(
AND(
OR(
UPPER(TRIM(rEmisor))=UPPER(TRIM(C1940)),
UPPER(TRIM(rEmisor))=""CUALQUIERA""
),
OR(
UPPER(TRIM(r"&amp;"Tipo))=""SOLO EMISOR"",
AND(
UPPER(TRIM(rTipo))=""EXACTA"",
UPPER(TRIM(D1940))=UPPER(TRIM(rPatron))
),
AND(
OR(
UPPER(TRIM(rTipo))=""CONTIENE"",
UPPER(TRIM(rTipo))=""COINCIDENCIA""
),
ISNUMBER(SEARCH(UPPER(TRIM(rPatron)),UPPER(TRIM(D1940))))
)
)
),
rConce"&amp;"pto,
""""
)
)
)&lt;&gt;""""
),
1
),
""""
)"),"CASETAS")</f>
        <v>CASETAS</v>
      </c>
      <c r="L1940" s="27"/>
      <c r="M1940" s="27"/>
      <c r="N1940" s="27"/>
      <c r="O1940" s="27"/>
      <c r="P1940" s="27"/>
      <c r="Q1940" s="27"/>
      <c r="R1940" s="27"/>
      <c r="S1940" s="27"/>
      <c r="T1940" s="27"/>
      <c r="U1940" s="27"/>
      <c r="V1940" s="27"/>
      <c r="W1940" s="27"/>
      <c r="X1940" s="27"/>
      <c r="Y1940" s="27"/>
    </row>
    <row r="1941">
      <c r="A1941" s="32"/>
      <c r="B1941" s="32"/>
      <c r="C1941" s="29" t="s">
        <v>222</v>
      </c>
      <c r="D1941" s="29" t="s">
        <v>1399</v>
      </c>
      <c r="E1941" s="28">
        <v>172.41</v>
      </c>
      <c r="F1941" s="28">
        <v>0.0</v>
      </c>
      <c r="G1941" s="28" t="s">
        <v>332</v>
      </c>
      <c r="H1941" s="28" t="str">
        <f t="array" ref="H1941">INDEX(CC!C:C,MATCH(1,(CC!A:A=G1941)*(CC!B:B=I1941),0))</f>
        <v>#N/A</v>
      </c>
      <c r="I1941" s="28" t="s">
        <v>332</v>
      </c>
      <c r="J1941" s="33"/>
      <c r="K1941" s="28" t="str">
        <f>IFERROR(__xludf.DUMMYFUNCTION("IFERROR(
INDEX(
FILTER(
MAP(
reglas!$B$2:$B$240,
reglas!$C$2:$C$240,
reglas!$D$2:$D$240,
reglas!$E$2:$E$240,
LAMBDA(rEmisor,rPatron,rConcepto,rTipo,
IF(
AND(
OR(
UPPER(TRIM(rEmisor))=UPPER(TRIM(C1941)),
UPPER(TRIM(rEmisor))=""CUALQUIERA""
),
OR(
UPPER(TRI"&amp;"M(rTipo))=""SOLO EMISOR"",
AND(
UPPER(TRIM(rTipo))=""EXACTA"",
UPPER(TRIM(AG1941))=UPPER(TRIM(rPatron))
),
AND(
OR(
UPPER(TRIM(rTipo))=""CONTIENE"",
UPPER(TRIM(rTipo))=""COINCIDENCIA""
),
ISNUMBER(SEARCH(UPPER(TRIM(rPatron)),UPPER(TRIM(D1941))))
)
)
),
rC"&amp;"oncepto,
""""
)
)
),
MAP(
reglas!$B$2:$B$240,
reglas!$C$2:$C$240,
reglas!$D$2:$D$240,
reglas!$E$2:$E$240,
LAMBDA(rEmisor,rPatron,rConcepto,rTipo,
IF(
AND(
OR(
UPPER(TRIM(rEmisor))=UPPER(TRIM(C1941)),
UPPER(TRIM(rEmisor))=""CUALQUIERA""
),
OR(
UPPER(TRIM(r"&amp;"Tipo))=""SOLO EMISOR"",
AND(
UPPER(TRIM(rTipo))=""EXACTA"",
UPPER(TRIM(D1941))=UPPER(TRIM(rPatron))
),
AND(
OR(
UPPER(TRIM(rTipo))=""CONTIENE"",
UPPER(TRIM(rTipo))=""COINCIDENCIA""
),
ISNUMBER(SEARCH(UPPER(TRIM(rPatron)),UPPER(TRIM(D1941))))
)
)
),
rConce"&amp;"pto,
""""
)
)
)&lt;&gt;""""
),
1
),
""""
)"),"CASETAS")</f>
        <v>CASETAS</v>
      </c>
      <c r="L1941" s="27"/>
      <c r="M1941" s="27"/>
      <c r="N1941" s="27"/>
      <c r="O1941" s="27"/>
      <c r="P1941" s="27"/>
      <c r="Q1941" s="27"/>
      <c r="R1941" s="27"/>
      <c r="S1941" s="27"/>
      <c r="T1941" s="27"/>
      <c r="U1941" s="27"/>
      <c r="V1941" s="27"/>
      <c r="W1941" s="27"/>
      <c r="X1941" s="27"/>
      <c r="Y1941" s="27"/>
    </row>
    <row r="1942">
      <c r="A1942" s="32"/>
      <c r="B1942" s="32"/>
      <c r="C1942" s="29" t="s">
        <v>222</v>
      </c>
      <c r="D1942" s="29" t="s">
        <v>2052</v>
      </c>
      <c r="E1942" s="28">
        <v>282.76</v>
      </c>
      <c r="F1942" s="28">
        <v>0.0</v>
      </c>
      <c r="G1942" s="28" t="s">
        <v>332</v>
      </c>
      <c r="H1942" s="28" t="str">
        <f t="array" ref="H1942">INDEX(CC!C:C,MATCH(1,(CC!A:A=G1942)*(CC!B:B=I1942),0))</f>
        <v>#N/A</v>
      </c>
      <c r="I1942" s="28" t="s">
        <v>332</v>
      </c>
      <c r="J1942" s="33"/>
      <c r="K1942" s="28" t="str">
        <f>IFERROR(__xludf.DUMMYFUNCTION("IFERROR(
INDEX(
FILTER(
MAP(
reglas!$B$2:$B$240,
reglas!$C$2:$C$240,
reglas!$D$2:$D$240,
reglas!$E$2:$E$240,
LAMBDA(rEmisor,rPatron,rConcepto,rTipo,
IF(
AND(
OR(
UPPER(TRIM(rEmisor))=UPPER(TRIM(C1942)),
UPPER(TRIM(rEmisor))=""CUALQUIERA""
),
OR(
UPPER(TRI"&amp;"M(rTipo))=""SOLO EMISOR"",
AND(
UPPER(TRIM(rTipo))=""EXACTA"",
UPPER(TRIM(AG1942))=UPPER(TRIM(rPatron))
),
AND(
OR(
UPPER(TRIM(rTipo))=""CONTIENE"",
UPPER(TRIM(rTipo))=""COINCIDENCIA""
),
ISNUMBER(SEARCH(UPPER(TRIM(rPatron)),UPPER(TRIM(D1942))))
)
)
),
rC"&amp;"oncepto,
""""
)
)
),
MAP(
reglas!$B$2:$B$240,
reglas!$C$2:$C$240,
reglas!$D$2:$D$240,
reglas!$E$2:$E$240,
LAMBDA(rEmisor,rPatron,rConcepto,rTipo,
IF(
AND(
OR(
UPPER(TRIM(rEmisor))=UPPER(TRIM(C1942)),
UPPER(TRIM(rEmisor))=""CUALQUIERA""
),
OR(
UPPER(TRIM(r"&amp;"Tipo))=""SOLO EMISOR"",
AND(
UPPER(TRIM(rTipo))=""EXACTA"",
UPPER(TRIM(D1942))=UPPER(TRIM(rPatron))
),
AND(
OR(
UPPER(TRIM(rTipo))=""CONTIENE"",
UPPER(TRIM(rTipo))=""COINCIDENCIA""
),
ISNUMBER(SEARCH(UPPER(TRIM(rPatron)),UPPER(TRIM(D1942))))
)
)
),
rConce"&amp;"pto,
""""
)
)
)&lt;&gt;""""
),
1
),
""""
)"),"CASETAS")</f>
        <v>CASETAS</v>
      </c>
      <c r="L1942" s="27"/>
      <c r="M1942" s="27"/>
      <c r="N1942" s="27"/>
      <c r="O1942" s="27"/>
      <c r="P1942" s="27"/>
      <c r="Q1942" s="27"/>
      <c r="R1942" s="27"/>
      <c r="S1942" s="27"/>
      <c r="T1942" s="27"/>
      <c r="U1942" s="27"/>
      <c r="V1942" s="27"/>
      <c r="W1942" s="27"/>
      <c r="X1942" s="27"/>
      <c r="Y1942" s="27"/>
    </row>
    <row r="1943">
      <c r="A1943" s="32"/>
      <c r="B1943" s="32"/>
      <c r="C1943" s="29" t="s">
        <v>222</v>
      </c>
      <c r="D1943" s="29" t="s">
        <v>2052</v>
      </c>
      <c r="E1943" s="28">
        <v>119.83</v>
      </c>
      <c r="F1943" s="28">
        <v>0.0</v>
      </c>
      <c r="G1943" s="28" t="s">
        <v>332</v>
      </c>
      <c r="H1943" s="28" t="str">
        <f t="array" ref="H1943">INDEX(CC!C:C,MATCH(1,(CC!A:A=G1943)*(CC!B:B=I1943),0))</f>
        <v>#N/A</v>
      </c>
      <c r="I1943" s="28" t="s">
        <v>332</v>
      </c>
      <c r="J1943" s="33"/>
      <c r="K1943" s="28" t="str">
        <f>IFERROR(__xludf.DUMMYFUNCTION("IFERROR(
INDEX(
FILTER(
MAP(
reglas!$B$2:$B$240,
reglas!$C$2:$C$240,
reglas!$D$2:$D$240,
reglas!$E$2:$E$240,
LAMBDA(rEmisor,rPatron,rConcepto,rTipo,
IF(
AND(
OR(
UPPER(TRIM(rEmisor))=UPPER(TRIM(C1943)),
UPPER(TRIM(rEmisor))=""CUALQUIERA""
),
OR(
UPPER(TRI"&amp;"M(rTipo))=""SOLO EMISOR"",
AND(
UPPER(TRIM(rTipo))=""EXACTA"",
UPPER(TRIM(AG1943))=UPPER(TRIM(rPatron))
),
AND(
OR(
UPPER(TRIM(rTipo))=""CONTIENE"",
UPPER(TRIM(rTipo))=""COINCIDENCIA""
),
ISNUMBER(SEARCH(UPPER(TRIM(rPatron)),UPPER(TRIM(D1943))))
)
)
),
rC"&amp;"oncepto,
""""
)
)
),
MAP(
reglas!$B$2:$B$240,
reglas!$C$2:$C$240,
reglas!$D$2:$D$240,
reglas!$E$2:$E$240,
LAMBDA(rEmisor,rPatron,rConcepto,rTipo,
IF(
AND(
OR(
UPPER(TRIM(rEmisor))=UPPER(TRIM(C1943)),
UPPER(TRIM(rEmisor))=""CUALQUIERA""
),
OR(
UPPER(TRIM(r"&amp;"Tipo))=""SOLO EMISOR"",
AND(
UPPER(TRIM(rTipo))=""EXACTA"",
UPPER(TRIM(D1943))=UPPER(TRIM(rPatron))
),
AND(
OR(
UPPER(TRIM(rTipo))=""CONTIENE"",
UPPER(TRIM(rTipo))=""COINCIDENCIA""
),
ISNUMBER(SEARCH(UPPER(TRIM(rPatron)),UPPER(TRIM(D1943))))
)
)
),
rConce"&amp;"pto,
""""
)
)
)&lt;&gt;""""
),
1
),
""""
)"),"CASETAS")</f>
        <v>CASETAS</v>
      </c>
      <c r="L1943" s="27"/>
      <c r="M1943" s="27"/>
      <c r="N1943" s="27"/>
      <c r="O1943" s="27"/>
      <c r="P1943" s="27"/>
      <c r="Q1943" s="27"/>
      <c r="R1943" s="27"/>
      <c r="S1943" s="27"/>
      <c r="T1943" s="27"/>
      <c r="U1943" s="27"/>
      <c r="V1943" s="27"/>
      <c r="W1943" s="27"/>
      <c r="X1943" s="27"/>
      <c r="Y1943" s="27"/>
    </row>
    <row r="1944">
      <c r="A1944" s="32"/>
      <c r="B1944" s="32"/>
      <c r="C1944" s="29" t="s">
        <v>222</v>
      </c>
      <c r="D1944" s="29" t="s">
        <v>2052</v>
      </c>
      <c r="E1944" s="28">
        <v>589.66</v>
      </c>
      <c r="F1944" s="28">
        <v>0.0</v>
      </c>
      <c r="G1944" s="28" t="s">
        <v>332</v>
      </c>
      <c r="H1944" s="28" t="str">
        <f t="array" ref="H1944">INDEX(CC!C:C,MATCH(1,(CC!A:A=G1944)*(CC!B:B=I1944),0))</f>
        <v>#N/A</v>
      </c>
      <c r="I1944" s="28" t="s">
        <v>332</v>
      </c>
      <c r="J1944" s="33"/>
      <c r="K1944" s="28" t="str">
        <f>IFERROR(__xludf.DUMMYFUNCTION("IFERROR(
INDEX(
FILTER(
MAP(
reglas!$B$2:$B$240,
reglas!$C$2:$C$240,
reglas!$D$2:$D$240,
reglas!$E$2:$E$240,
LAMBDA(rEmisor,rPatron,rConcepto,rTipo,
IF(
AND(
OR(
UPPER(TRIM(rEmisor))=UPPER(TRIM(C1944)),
UPPER(TRIM(rEmisor))=""CUALQUIERA""
),
OR(
UPPER(TRI"&amp;"M(rTipo))=""SOLO EMISOR"",
AND(
UPPER(TRIM(rTipo))=""EXACTA"",
UPPER(TRIM(AG1944))=UPPER(TRIM(rPatron))
),
AND(
OR(
UPPER(TRIM(rTipo))=""CONTIENE"",
UPPER(TRIM(rTipo))=""COINCIDENCIA""
),
ISNUMBER(SEARCH(UPPER(TRIM(rPatron)),UPPER(TRIM(D1944))))
)
)
),
rC"&amp;"oncepto,
""""
)
)
),
MAP(
reglas!$B$2:$B$240,
reglas!$C$2:$C$240,
reglas!$D$2:$D$240,
reglas!$E$2:$E$240,
LAMBDA(rEmisor,rPatron,rConcepto,rTipo,
IF(
AND(
OR(
UPPER(TRIM(rEmisor))=UPPER(TRIM(C1944)),
UPPER(TRIM(rEmisor))=""CUALQUIERA""
),
OR(
UPPER(TRIM(r"&amp;"Tipo))=""SOLO EMISOR"",
AND(
UPPER(TRIM(rTipo))=""EXACTA"",
UPPER(TRIM(D1944))=UPPER(TRIM(rPatron))
),
AND(
OR(
UPPER(TRIM(rTipo))=""CONTIENE"",
UPPER(TRIM(rTipo))=""COINCIDENCIA""
),
ISNUMBER(SEARCH(UPPER(TRIM(rPatron)),UPPER(TRIM(D1944))))
)
)
),
rConce"&amp;"pto,
""""
)
)
)&lt;&gt;""""
),
1
),
""""
)"),"CASETAS")</f>
        <v>CASETAS</v>
      </c>
      <c r="L1944" s="27"/>
      <c r="M1944" s="27"/>
      <c r="N1944" s="27"/>
      <c r="O1944" s="27"/>
      <c r="P1944" s="27"/>
      <c r="Q1944" s="27"/>
      <c r="R1944" s="27"/>
      <c r="S1944" s="27"/>
      <c r="T1944" s="27"/>
      <c r="U1944" s="27"/>
      <c r="V1944" s="27"/>
      <c r="W1944" s="27"/>
      <c r="X1944" s="27"/>
      <c r="Y1944" s="27"/>
    </row>
    <row r="1945">
      <c r="A1945" s="32"/>
      <c r="B1945" s="32"/>
      <c r="C1945" s="29" t="s">
        <v>222</v>
      </c>
      <c r="D1945" s="29" t="s">
        <v>2052</v>
      </c>
      <c r="E1945" s="28">
        <v>525.86</v>
      </c>
      <c r="F1945" s="28">
        <v>0.0</v>
      </c>
      <c r="G1945" s="28" t="s">
        <v>332</v>
      </c>
      <c r="H1945" s="28" t="str">
        <f t="array" ref="H1945">INDEX(CC!C:C,MATCH(1,(CC!A:A=G1945)*(CC!B:B=I1945),0))</f>
        <v>#N/A</v>
      </c>
      <c r="I1945" s="28" t="s">
        <v>332</v>
      </c>
      <c r="J1945" s="33"/>
      <c r="K1945" s="28" t="str">
        <f>IFERROR(__xludf.DUMMYFUNCTION("IFERROR(
INDEX(
FILTER(
MAP(
reglas!$B$2:$B$240,
reglas!$C$2:$C$240,
reglas!$D$2:$D$240,
reglas!$E$2:$E$240,
LAMBDA(rEmisor,rPatron,rConcepto,rTipo,
IF(
AND(
OR(
UPPER(TRIM(rEmisor))=UPPER(TRIM(C1945)),
UPPER(TRIM(rEmisor))=""CUALQUIERA""
),
OR(
UPPER(TRI"&amp;"M(rTipo))=""SOLO EMISOR"",
AND(
UPPER(TRIM(rTipo))=""EXACTA"",
UPPER(TRIM(AG1945))=UPPER(TRIM(rPatron))
),
AND(
OR(
UPPER(TRIM(rTipo))=""CONTIENE"",
UPPER(TRIM(rTipo))=""COINCIDENCIA""
),
ISNUMBER(SEARCH(UPPER(TRIM(rPatron)),UPPER(TRIM(D1945))))
)
)
),
rC"&amp;"oncepto,
""""
)
)
),
MAP(
reglas!$B$2:$B$240,
reglas!$C$2:$C$240,
reglas!$D$2:$D$240,
reglas!$E$2:$E$240,
LAMBDA(rEmisor,rPatron,rConcepto,rTipo,
IF(
AND(
OR(
UPPER(TRIM(rEmisor))=UPPER(TRIM(C1945)),
UPPER(TRIM(rEmisor))=""CUALQUIERA""
),
OR(
UPPER(TRIM(r"&amp;"Tipo))=""SOLO EMISOR"",
AND(
UPPER(TRIM(rTipo))=""EXACTA"",
UPPER(TRIM(D1945))=UPPER(TRIM(rPatron))
),
AND(
OR(
UPPER(TRIM(rTipo))=""CONTIENE"",
UPPER(TRIM(rTipo))=""COINCIDENCIA""
),
ISNUMBER(SEARCH(UPPER(TRIM(rPatron)),UPPER(TRIM(D1945))))
)
)
),
rConce"&amp;"pto,
""""
)
)
)&lt;&gt;""""
),
1
),
""""
)"),"CASETAS")</f>
        <v>CASETAS</v>
      </c>
      <c r="L1945" s="27"/>
      <c r="M1945" s="27"/>
      <c r="N1945" s="27"/>
      <c r="O1945" s="27"/>
      <c r="P1945" s="27"/>
      <c r="Q1945" s="27"/>
      <c r="R1945" s="27"/>
      <c r="S1945" s="27"/>
      <c r="T1945" s="27"/>
      <c r="U1945" s="27"/>
      <c r="V1945" s="27"/>
      <c r="W1945" s="27"/>
      <c r="X1945" s="27"/>
      <c r="Y1945" s="27"/>
    </row>
    <row r="1946">
      <c r="A1946" s="32"/>
      <c r="B1946" s="32"/>
      <c r="C1946" s="29" t="s">
        <v>222</v>
      </c>
      <c r="D1946" s="29" t="s">
        <v>2052</v>
      </c>
      <c r="E1946" s="28">
        <v>633.62</v>
      </c>
      <c r="F1946" s="28">
        <v>0.0</v>
      </c>
      <c r="G1946" s="28" t="s">
        <v>332</v>
      </c>
      <c r="H1946" s="28" t="str">
        <f t="array" ref="H1946">INDEX(CC!C:C,MATCH(1,(CC!A:A=G1946)*(CC!B:B=I1946),0))</f>
        <v>#N/A</v>
      </c>
      <c r="I1946" s="28" t="s">
        <v>332</v>
      </c>
      <c r="J1946" s="33"/>
      <c r="K1946" s="28" t="str">
        <f>IFERROR(__xludf.DUMMYFUNCTION("IFERROR(
INDEX(
FILTER(
MAP(
reglas!$B$2:$B$240,
reglas!$C$2:$C$240,
reglas!$D$2:$D$240,
reglas!$E$2:$E$240,
LAMBDA(rEmisor,rPatron,rConcepto,rTipo,
IF(
AND(
OR(
UPPER(TRIM(rEmisor))=UPPER(TRIM(C1946)),
UPPER(TRIM(rEmisor))=""CUALQUIERA""
),
OR(
UPPER(TRI"&amp;"M(rTipo))=""SOLO EMISOR"",
AND(
UPPER(TRIM(rTipo))=""EXACTA"",
UPPER(TRIM(AG1946))=UPPER(TRIM(rPatron))
),
AND(
OR(
UPPER(TRIM(rTipo))=""CONTIENE"",
UPPER(TRIM(rTipo))=""COINCIDENCIA""
),
ISNUMBER(SEARCH(UPPER(TRIM(rPatron)),UPPER(TRIM(D1946))))
)
)
),
rC"&amp;"oncepto,
""""
)
)
),
MAP(
reglas!$B$2:$B$240,
reglas!$C$2:$C$240,
reglas!$D$2:$D$240,
reglas!$E$2:$E$240,
LAMBDA(rEmisor,rPatron,rConcepto,rTipo,
IF(
AND(
OR(
UPPER(TRIM(rEmisor))=UPPER(TRIM(C1946)),
UPPER(TRIM(rEmisor))=""CUALQUIERA""
),
OR(
UPPER(TRIM(r"&amp;"Tipo))=""SOLO EMISOR"",
AND(
UPPER(TRIM(rTipo))=""EXACTA"",
UPPER(TRIM(D1946))=UPPER(TRIM(rPatron))
),
AND(
OR(
UPPER(TRIM(rTipo))=""CONTIENE"",
UPPER(TRIM(rTipo))=""COINCIDENCIA""
),
ISNUMBER(SEARCH(UPPER(TRIM(rPatron)),UPPER(TRIM(D1946))))
)
)
),
rConce"&amp;"pto,
""""
)
)
)&lt;&gt;""""
),
1
),
""""
)"),"CASETAS")</f>
        <v>CASETAS</v>
      </c>
      <c r="L1946" s="27"/>
      <c r="M1946" s="27"/>
      <c r="N1946" s="27"/>
      <c r="O1946" s="27"/>
      <c r="P1946" s="27"/>
      <c r="Q1946" s="27"/>
      <c r="R1946" s="27"/>
      <c r="S1946" s="27"/>
      <c r="T1946" s="27"/>
      <c r="U1946" s="27"/>
      <c r="V1946" s="27"/>
      <c r="W1946" s="27"/>
      <c r="X1946" s="27"/>
      <c r="Y1946" s="27"/>
    </row>
    <row r="1947">
      <c r="A1947" s="32"/>
      <c r="B1947" s="32"/>
      <c r="C1947" s="29" t="s">
        <v>222</v>
      </c>
      <c r="D1947" s="29" t="s">
        <v>2052</v>
      </c>
      <c r="E1947" s="28">
        <v>448.28</v>
      </c>
      <c r="F1947" s="28">
        <v>0.0</v>
      </c>
      <c r="G1947" s="28" t="s">
        <v>332</v>
      </c>
      <c r="H1947" s="28" t="str">
        <f t="array" ref="H1947">INDEX(CC!C:C,MATCH(1,(CC!A:A=G1947)*(CC!B:B=I1947),0))</f>
        <v>#N/A</v>
      </c>
      <c r="I1947" s="28" t="s">
        <v>332</v>
      </c>
      <c r="J1947" s="33"/>
      <c r="K1947" s="28" t="str">
        <f>IFERROR(__xludf.DUMMYFUNCTION("IFERROR(
INDEX(
FILTER(
MAP(
reglas!$B$2:$B$240,
reglas!$C$2:$C$240,
reglas!$D$2:$D$240,
reglas!$E$2:$E$240,
LAMBDA(rEmisor,rPatron,rConcepto,rTipo,
IF(
AND(
OR(
UPPER(TRIM(rEmisor))=UPPER(TRIM(C1947)),
UPPER(TRIM(rEmisor))=""CUALQUIERA""
),
OR(
UPPER(TRI"&amp;"M(rTipo))=""SOLO EMISOR"",
AND(
UPPER(TRIM(rTipo))=""EXACTA"",
UPPER(TRIM(AG1947))=UPPER(TRIM(rPatron))
),
AND(
OR(
UPPER(TRIM(rTipo))=""CONTIENE"",
UPPER(TRIM(rTipo))=""COINCIDENCIA""
),
ISNUMBER(SEARCH(UPPER(TRIM(rPatron)),UPPER(TRIM(D1947))))
)
)
),
rC"&amp;"oncepto,
""""
)
)
),
MAP(
reglas!$B$2:$B$240,
reglas!$C$2:$C$240,
reglas!$D$2:$D$240,
reglas!$E$2:$E$240,
LAMBDA(rEmisor,rPatron,rConcepto,rTipo,
IF(
AND(
OR(
UPPER(TRIM(rEmisor))=UPPER(TRIM(C1947)),
UPPER(TRIM(rEmisor))=""CUALQUIERA""
),
OR(
UPPER(TRIM(r"&amp;"Tipo))=""SOLO EMISOR"",
AND(
UPPER(TRIM(rTipo))=""EXACTA"",
UPPER(TRIM(D1947))=UPPER(TRIM(rPatron))
),
AND(
OR(
UPPER(TRIM(rTipo))=""CONTIENE"",
UPPER(TRIM(rTipo))=""COINCIDENCIA""
),
ISNUMBER(SEARCH(UPPER(TRIM(rPatron)),UPPER(TRIM(D1947))))
)
)
),
rConce"&amp;"pto,
""""
)
)
)&lt;&gt;""""
),
1
),
""""
)"),"CASETAS")</f>
        <v>CASETAS</v>
      </c>
      <c r="L1947" s="27"/>
      <c r="M1947" s="27"/>
      <c r="N1947" s="27"/>
      <c r="O1947" s="27"/>
      <c r="P1947" s="27"/>
      <c r="Q1947" s="27"/>
      <c r="R1947" s="27"/>
      <c r="S1947" s="27"/>
      <c r="T1947" s="27"/>
      <c r="U1947" s="27"/>
      <c r="V1947" s="27"/>
      <c r="W1947" s="27"/>
      <c r="X1947" s="27"/>
      <c r="Y1947" s="27"/>
    </row>
    <row r="1948">
      <c r="A1948" s="32"/>
      <c r="B1948" s="32"/>
      <c r="C1948" s="29" t="s">
        <v>222</v>
      </c>
      <c r="D1948" s="29" t="s">
        <v>2052</v>
      </c>
      <c r="E1948" s="28">
        <v>207.76</v>
      </c>
      <c r="F1948" s="28">
        <v>0.0</v>
      </c>
      <c r="G1948" s="28" t="s">
        <v>332</v>
      </c>
      <c r="H1948" s="28" t="str">
        <f t="array" ref="H1948">INDEX(CC!C:C,MATCH(1,(CC!A:A=G1948)*(CC!B:B=I1948),0))</f>
        <v>#N/A</v>
      </c>
      <c r="I1948" s="28" t="s">
        <v>332</v>
      </c>
      <c r="J1948" s="33"/>
      <c r="K1948" s="28" t="str">
        <f>IFERROR(__xludf.DUMMYFUNCTION("IFERROR(
INDEX(
FILTER(
MAP(
reglas!$B$2:$B$240,
reglas!$C$2:$C$240,
reglas!$D$2:$D$240,
reglas!$E$2:$E$240,
LAMBDA(rEmisor,rPatron,rConcepto,rTipo,
IF(
AND(
OR(
UPPER(TRIM(rEmisor))=UPPER(TRIM(C1948)),
UPPER(TRIM(rEmisor))=""CUALQUIERA""
),
OR(
UPPER(TRI"&amp;"M(rTipo))=""SOLO EMISOR"",
AND(
UPPER(TRIM(rTipo))=""EXACTA"",
UPPER(TRIM(AG1948))=UPPER(TRIM(rPatron))
),
AND(
OR(
UPPER(TRIM(rTipo))=""CONTIENE"",
UPPER(TRIM(rTipo))=""COINCIDENCIA""
),
ISNUMBER(SEARCH(UPPER(TRIM(rPatron)),UPPER(TRIM(D1948))))
)
)
),
rC"&amp;"oncepto,
""""
)
)
),
MAP(
reglas!$B$2:$B$240,
reglas!$C$2:$C$240,
reglas!$D$2:$D$240,
reglas!$E$2:$E$240,
LAMBDA(rEmisor,rPatron,rConcepto,rTipo,
IF(
AND(
OR(
UPPER(TRIM(rEmisor))=UPPER(TRIM(C1948)),
UPPER(TRIM(rEmisor))=""CUALQUIERA""
),
OR(
UPPER(TRIM(r"&amp;"Tipo))=""SOLO EMISOR"",
AND(
UPPER(TRIM(rTipo))=""EXACTA"",
UPPER(TRIM(D1948))=UPPER(TRIM(rPatron))
),
AND(
OR(
UPPER(TRIM(rTipo))=""CONTIENE"",
UPPER(TRIM(rTipo))=""COINCIDENCIA""
),
ISNUMBER(SEARCH(UPPER(TRIM(rPatron)),UPPER(TRIM(D1948))))
)
)
),
rConce"&amp;"pto,
""""
)
)
)&lt;&gt;""""
),
1
),
""""
)"),"CASETAS")</f>
        <v>CASETAS</v>
      </c>
      <c r="L1948" s="27"/>
      <c r="M1948" s="27"/>
      <c r="N1948" s="27"/>
      <c r="O1948" s="27"/>
      <c r="P1948" s="27"/>
      <c r="Q1948" s="27"/>
      <c r="R1948" s="27"/>
      <c r="S1948" s="27"/>
      <c r="T1948" s="27"/>
      <c r="U1948" s="27"/>
      <c r="V1948" s="27"/>
      <c r="W1948" s="27"/>
      <c r="X1948" s="27"/>
      <c r="Y1948" s="27"/>
    </row>
    <row r="1949">
      <c r="A1949" s="32"/>
      <c r="B1949" s="32"/>
      <c r="C1949" s="29" t="s">
        <v>222</v>
      </c>
      <c r="D1949" s="29" t="s">
        <v>2052</v>
      </c>
      <c r="E1949" s="28">
        <v>162.93</v>
      </c>
      <c r="F1949" s="28">
        <v>0.0</v>
      </c>
      <c r="G1949" s="28" t="s">
        <v>332</v>
      </c>
      <c r="H1949" s="28" t="str">
        <f t="array" ref="H1949">INDEX(CC!C:C,MATCH(1,(CC!A:A=G1949)*(CC!B:B=I1949),0))</f>
        <v>#N/A</v>
      </c>
      <c r="I1949" s="28" t="s">
        <v>332</v>
      </c>
      <c r="J1949" s="33"/>
      <c r="K1949" s="28" t="str">
        <f>IFERROR(__xludf.DUMMYFUNCTION("IFERROR(
INDEX(
FILTER(
MAP(
reglas!$B$2:$B$240,
reglas!$C$2:$C$240,
reglas!$D$2:$D$240,
reglas!$E$2:$E$240,
LAMBDA(rEmisor,rPatron,rConcepto,rTipo,
IF(
AND(
OR(
UPPER(TRIM(rEmisor))=UPPER(TRIM(C1949)),
UPPER(TRIM(rEmisor))=""CUALQUIERA""
),
OR(
UPPER(TRI"&amp;"M(rTipo))=""SOLO EMISOR"",
AND(
UPPER(TRIM(rTipo))=""EXACTA"",
UPPER(TRIM(AG1949))=UPPER(TRIM(rPatron))
),
AND(
OR(
UPPER(TRIM(rTipo))=""CONTIENE"",
UPPER(TRIM(rTipo))=""COINCIDENCIA""
),
ISNUMBER(SEARCH(UPPER(TRIM(rPatron)),UPPER(TRIM(D1949))))
)
)
),
rC"&amp;"oncepto,
""""
)
)
),
MAP(
reglas!$B$2:$B$240,
reglas!$C$2:$C$240,
reglas!$D$2:$D$240,
reglas!$E$2:$E$240,
LAMBDA(rEmisor,rPatron,rConcepto,rTipo,
IF(
AND(
OR(
UPPER(TRIM(rEmisor))=UPPER(TRIM(C1949)),
UPPER(TRIM(rEmisor))=""CUALQUIERA""
),
OR(
UPPER(TRIM(r"&amp;"Tipo))=""SOLO EMISOR"",
AND(
UPPER(TRIM(rTipo))=""EXACTA"",
UPPER(TRIM(D1949))=UPPER(TRIM(rPatron))
),
AND(
OR(
UPPER(TRIM(rTipo))=""CONTIENE"",
UPPER(TRIM(rTipo))=""COINCIDENCIA""
),
ISNUMBER(SEARCH(UPPER(TRIM(rPatron)),UPPER(TRIM(D1949))))
)
)
),
rConce"&amp;"pto,
""""
)
)
)&lt;&gt;""""
),
1
),
""""
)"),"CASETAS")</f>
        <v>CASETAS</v>
      </c>
      <c r="L1949" s="27"/>
      <c r="M1949" s="27"/>
      <c r="N1949" s="27"/>
      <c r="O1949" s="27"/>
      <c r="P1949" s="27"/>
      <c r="Q1949" s="27"/>
      <c r="R1949" s="27"/>
      <c r="S1949" s="27"/>
      <c r="T1949" s="27"/>
      <c r="U1949" s="27"/>
      <c r="V1949" s="27"/>
      <c r="W1949" s="27"/>
      <c r="X1949" s="27"/>
      <c r="Y1949" s="27"/>
    </row>
    <row r="1950">
      <c r="A1950" s="32"/>
      <c r="B1950" s="32"/>
      <c r="C1950" s="29" t="s">
        <v>222</v>
      </c>
      <c r="D1950" s="29" t="s">
        <v>2052</v>
      </c>
      <c r="E1950" s="28">
        <v>49.14</v>
      </c>
      <c r="F1950" s="28">
        <v>0.0</v>
      </c>
      <c r="G1950" s="28" t="s">
        <v>332</v>
      </c>
      <c r="H1950" s="28" t="str">
        <f t="array" ref="H1950">INDEX(CC!C:C,MATCH(1,(CC!A:A=G1950)*(CC!B:B=I1950),0))</f>
        <v>#N/A</v>
      </c>
      <c r="I1950" s="28" t="s">
        <v>332</v>
      </c>
      <c r="J1950" s="33"/>
      <c r="K1950" s="28" t="str">
        <f>IFERROR(__xludf.DUMMYFUNCTION("IFERROR(
INDEX(
FILTER(
MAP(
reglas!$B$2:$B$240,
reglas!$C$2:$C$240,
reglas!$D$2:$D$240,
reglas!$E$2:$E$240,
LAMBDA(rEmisor,rPatron,rConcepto,rTipo,
IF(
AND(
OR(
UPPER(TRIM(rEmisor))=UPPER(TRIM(C1950)),
UPPER(TRIM(rEmisor))=""CUALQUIERA""
),
OR(
UPPER(TRI"&amp;"M(rTipo))=""SOLO EMISOR"",
AND(
UPPER(TRIM(rTipo))=""EXACTA"",
UPPER(TRIM(AG1950))=UPPER(TRIM(rPatron))
),
AND(
OR(
UPPER(TRIM(rTipo))=""CONTIENE"",
UPPER(TRIM(rTipo))=""COINCIDENCIA""
),
ISNUMBER(SEARCH(UPPER(TRIM(rPatron)),UPPER(TRIM(D1950))))
)
)
),
rC"&amp;"oncepto,
""""
)
)
),
MAP(
reglas!$B$2:$B$240,
reglas!$C$2:$C$240,
reglas!$D$2:$D$240,
reglas!$E$2:$E$240,
LAMBDA(rEmisor,rPatron,rConcepto,rTipo,
IF(
AND(
OR(
UPPER(TRIM(rEmisor))=UPPER(TRIM(C1950)),
UPPER(TRIM(rEmisor))=""CUALQUIERA""
),
OR(
UPPER(TRIM(r"&amp;"Tipo))=""SOLO EMISOR"",
AND(
UPPER(TRIM(rTipo))=""EXACTA"",
UPPER(TRIM(D1950))=UPPER(TRIM(rPatron))
),
AND(
OR(
UPPER(TRIM(rTipo))=""CONTIENE"",
UPPER(TRIM(rTipo))=""COINCIDENCIA""
),
ISNUMBER(SEARCH(UPPER(TRIM(rPatron)),UPPER(TRIM(D1950))))
)
)
),
rConce"&amp;"pto,
""""
)
)
)&lt;&gt;""""
),
1
),
""""
)"),"CASETAS")</f>
        <v>CASETAS</v>
      </c>
      <c r="L1950" s="27"/>
      <c r="M1950" s="27"/>
      <c r="N1950" s="27"/>
      <c r="O1950" s="27"/>
      <c r="P1950" s="27"/>
      <c r="Q1950" s="27"/>
      <c r="R1950" s="27"/>
      <c r="S1950" s="27"/>
      <c r="T1950" s="27"/>
      <c r="U1950" s="27"/>
      <c r="V1950" s="27"/>
      <c r="W1950" s="27"/>
      <c r="X1950" s="27"/>
      <c r="Y1950" s="27"/>
    </row>
    <row r="1951">
      <c r="A1951" s="32"/>
      <c r="B1951" s="32"/>
      <c r="C1951" s="29" t="s">
        <v>222</v>
      </c>
      <c r="D1951" s="29" t="s">
        <v>2052</v>
      </c>
      <c r="E1951" s="28">
        <v>24.14</v>
      </c>
      <c r="F1951" s="28">
        <v>0.0</v>
      </c>
      <c r="G1951" s="28" t="s">
        <v>332</v>
      </c>
      <c r="H1951" s="28" t="str">
        <f t="array" ref="H1951">INDEX(CC!C:C,MATCH(1,(CC!A:A=G1951)*(CC!B:B=I1951),0))</f>
        <v>#N/A</v>
      </c>
      <c r="I1951" s="28" t="s">
        <v>332</v>
      </c>
      <c r="J1951" s="33"/>
      <c r="K1951" s="28" t="str">
        <f>IFERROR(__xludf.DUMMYFUNCTION("IFERROR(
INDEX(
FILTER(
MAP(
reglas!$B$2:$B$240,
reglas!$C$2:$C$240,
reglas!$D$2:$D$240,
reglas!$E$2:$E$240,
LAMBDA(rEmisor,rPatron,rConcepto,rTipo,
IF(
AND(
OR(
UPPER(TRIM(rEmisor))=UPPER(TRIM(C1951)),
UPPER(TRIM(rEmisor))=""CUALQUIERA""
),
OR(
UPPER(TRI"&amp;"M(rTipo))=""SOLO EMISOR"",
AND(
UPPER(TRIM(rTipo))=""EXACTA"",
UPPER(TRIM(AG1951))=UPPER(TRIM(rPatron))
),
AND(
OR(
UPPER(TRIM(rTipo))=""CONTIENE"",
UPPER(TRIM(rTipo))=""COINCIDENCIA""
),
ISNUMBER(SEARCH(UPPER(TRIM(rPatron)),UPPER(TRIM(D1951))))
)
)
),
rC"&amp;"oncepto,
""""
)
)
),
MAP(
reglas!$B$2:$B$240,
reglas!$C$2:$C$240,
reglas!$D$2:$D$240,
reglas!$E$2:$E$240,
LAMBDA(rEmisor,rPatron,rConcepto,rTipo,
IF(
AND(
OR(
UPPER(TRIM(rEmisor))=UPPER(TRIM(C1951)),
UPPER(TRIM(rEmisor))=""CUALQUIERA""
),
OR(
UPPER(TRIM(r"&amp;"Tipo))=""SOLO EMISOR"",
AND(
UPPER(TRIM(rTipo))=""EXACTA"",
UPPER(TRIM(D1951))=UPPER(TRIM(rPatron))
),
AND(
OR(
UPPER(TRIM(rTipo))=""CONTIENE"",
UPPER(TRIM(rTipo))=""COINCIDENCIA""
),
ISNUMBER(SEARCH(UPPER(TRIM(rPatron)),UPPER(TRIM(D1951))))
)
)
),
rConce"&amp;"pto,
""""
)
)
)&lt;&gt;""""
),
1
),
""""
)"),"CASETAS")</f>
        <v>CASETAS</v>
      </c>
      <c r="L1951" s="27"/>
      <c r="M1951" s="27"/>
      <c r="N1951" s="27"/>
      <c r="O1951" s="27"/>
      <c r="P1951" s="27"/>
      <c r="Q1951" s="27"/>
      <c r="R1951" s="27"/>
      <c r="S1951" s="27"/>
      <c r="T1951" s="27"/>
      <c r="U1951" s="27"/>
      <c r="V1951" s="27"/>
      <c r="W1951" s="27"/>
      <c r="X1951" s="27"/>
      <c r="Y1951" s="27"/>
    </row>
    <row r="1952">
      <c r="A1952" s="32"/>
      <c r="B1952" s="32"/>
      <c r="C1952" s="29" t="s">
        <v>222</v>
      </c>
      <c r="D1952" s="29" t="s">
        <v>2052</v>
      </c>
      <c r="E1952" s="28">
        <v>294.83</v>
      </c>
      <c r="F1952" s="28">
        <v>0.0</v>
      </c>
      <c r="G1952" s="28" t="s">
        <v>332</v>
      </c>
      <c r="H1952" s="28" t="str">
        <f t="array" ref="H1952">INDEX(CC!C:C,MATCH(1,(CC!A:A=G1952)*(CC!B:B=I1952),0))</f>
        <v>#N/A</v>
      </c>
      <c r="I1952" s="28" t="s">
        <v>332</v>
      </c>
      <c r="J1952" s="33"/>
      <c r="K1952" s="28" t="str">
        <f>IFERROR(__xludf.DUMMYFUNCTION("IFERROR(
INDEX(
FILTER(
MAP(
reglas!$B$2:$B$240,
reglas!$C$2:$C$240,
reglas!$D$2:$D$240,
reglas!$E$2:$E$240,
LAMBDA(rEmisor,rPatron,rConcepto,rTipo,
IF(
AND(
OR(
UPPER(TRIM(rEmisor))=UPPER(TRIM(C1952)),
UPPER(TRIM(rEmisor))=""CUALQUIERA""
),
OR(
UPPER(TRI"&amp;"M(rTipo))=""SOLO EMISOR"",
AND(
UPPER(TRIM(rTipo))=""EXACTA"",
UPPER(TRIM(AG1952))=UPPER(TRIM(rPatron))
),
AND(
OR(
UPPER(TRIM(rTipo))=""CONTIENE"",
UPPER(TRIM(rTipo))=""COINCIDENCIA""
),
ISNUMBER(SEARCH(UPPER(TRIM(rPatron)),UPPER(TRIM(D1952))))
)
)
),
rC"&amp;"oncepto,
""""
)
)
),
MAP(
reglas!$B$2:$B$240,
reglas!$C$2:$C$240,
reglas!$D$2:$D$240,
reglas!$E$2:$E$240,
LAMBDA(rEmisor,rPatron,rConcepto,rTipo,
IF(
AND(
OR(
UPPER(TRIM(rEmisor))=UPPER(TRIM(C1952)),
UPPER(TRIM(rEmisor))=""CUALQUIERA""
),
OR(
UPPER(TRIM(r"&amp;"Tipo))=""SOLO EMISOR"",
AND(
UPPER(TRIM(rTipo))=""EXACTA"",
UPPER(TRIM(D1952))=UPPER(TRIM(rPatron))
),
AND(
OR(
UPPER(TRIM(rTipo))=""CONTIENE"",
UPPER(TRIM(rTipo))=""COINCIDENCIA""
),
ISNUMBER(SEARCH(UPPER(TRIM(rPatron)),UPPER(TRIM(D1952))))
)
)
),
rConce"&amp;"pto,
""""
)
)
)&lt;&gt;""""
),
1
),
""""
)"),"CASETAS")</f>
        <v>CASETAS</v>
      </c>
      <c r="L1952" s="27"/>
      <c r="M1952" s="27"/>
      <c r="N1952" s="27"/>
      <c r="O1952" s="27"/>
      <c r="P1952" s="27"/>
      <c r="Q1952" s="27"/>
      <c r="R1952" s="27"/>
      <c r="S1952" s="27"/>
      <c r="T1952" s="27"/>
      <c r="U1952" s="27"/>
      <c r="V1952" s="27"/>
      <c r="W1952" s="27"/>
      <c r="X1952" s="27"/>
      <c r="Y1952" s="27"/>
    </row>
    <row r="1953">
      <c r="A1953" s="32"/>
      <c r="B1953" s="32"/>
      <c r="C1953" s="29" t="s">
        <v>222</v>
      </c>
      <c r="D1953" s="29" t="s">
        <v>2053</v>
      </c>
      <c r="E1953" s="28">
        <v>493.1</v>
      </c>
      <c r="F1953" s="28">
        <v>0.0</v>
      </c>
      <c r="G1953" s="28" t="s">
        <v>332</v>
      </c>
      <c r="H1953" s="28" t="str">
        <f t="array" ref="H1953">INDEX(CC!C:C,MATCH(1,(CC!A:A=G1953)*(CC!B:B=I1953),0))</f>
        <v>#N/A</v>
      </c>
      <c r="I1953" s="28" t="s">
        <v>332</v>
      </c>
      <c r="J1953" s="33"/>
      <c r="K1953" s="28" t="str">
        <f>IFERROR(__xludf.DUMMYFUNCTION("IFERROR(
INDEX(
FILTER(
MAP(
reglas!$B$2:$B$240,
reglas!$C$2:$C$240,
reglas!$D$2:$D$240,
reglas!$E$2:$E$240,
LAMBDA(rEmisor,rPatron,rConcepto,rTipo,
IF(
AND(
OR(
UPPER(TRIM(rEmisor))=UPPER(TRIM(C1953)),
UPPER(TRIM(rEmisor))=""CUALQUIERA""
),
OR(
UPPER(TRI"&amp;"M(rTipo))=""SOLO EMISOR"",
AND(
UPPER(TRIM(rTipo))=""EXACTA"",
UPPER(TRIM(AG1953))=UPPER(TRIM(rPatron))
),
AND(
OR(
UPPER(TRIM(rTipo))=""CONTIENE"",
UPPER(TRIM(rTipo))=""COINCIDENCIA""
),
ISNUMBER(SEARCH(UPPER(TRIM(rPatron)),UPPER(TRIM(D1953))))
)
)
),
rC"&amp;"oncepto,
""""
)
)
),
MAP(
reglas!$B$2:$B$240,
reglas!$C$2:$C$240,
reglas!$D$2:$D$240,
reglas!$E$2:$E$240,
LAMBDA(rEmisor,rPatron,rConcepto,rTipo,
IF(
AND(
OR(
UPPER(TRIM(rEmisor))=UPPER(TRIM(C1953)),
UPPER(TRIM(rEmisor))=""CUALQUIERA""
),
OR(
UPPER(TRIM(r"&amp;"Tipo))=""SOLO EMISOR"",
AND(
UPPER(TRIM(rTipo))=""EXACTA"",
UPPER(TRIM(D1953))=UPPER(TRIM(rPatron))
),
AND(
OR(
UPPER(TRIM(rTipo))=""CONTIENE"",
UPPER(TRIM(rTipo))=""COINCIDENCIA""
),
ISNUMBER(SEARCH(UPPER(TRIM(rPatron)),UPPER(TRIM(D1953))))
)
)
),
rConce"&amp;"pto,
""""
)
)
)&lt;&gt;""""
),
1
),
""""
)"),"CASETAS")</f>
        <v>CASETAS</v>
      </c>
      <c r="L1953" s="27"/>
      <c r="M1953" s="27"/>
      <c r="N1953" s="27"/>
      <c r="O1953" s="27"/>
      <c r="P1953" s="27"/>
      <c r="Q1953" s="27"/>
      <c r="R1953" s="27"/>
      <c r="S1953" s="27"/>
      <c r="T1953" s="27"/>
      <c r="U1953" s="27"/>
      <c r="V1953" s="27"/>
      <c r="W1953" s="27"/>
      <c r="X1953" s="27"/>
      <c r="Y1953" s="27"/>
    </row>
    <row r="1954">
      <c r="A1954" s="32"/>
      <c r="B1954" s="32"/>
      <c r="C1954" s="29" t="s">
        <v>222</v>
      </c>
      <c r="D1954" s="29" t="s">
        <v>2054</v>
      </c>
      <c r="E1954" s="28">
        <v>870.69</v>
      </c>
      <c r="F1954" s="28">
        <v>0.0</v>
      </c>
      <c r="G1954" s="28" t="s">
        <v>332</v>
      </c>
      <c r="H1954" s="28" t="str">
        <f t="array" ref="H1954">INDEX(CC!C:C,MATCH(1,(CC!A:A=G1954)*(CC!B:B=I1954),0))</f>
        <v>#N/A</v>
      </c>
      <c r="I1954" s="28" t="s">
        <v>332</v>
      </c>
      <c r="J1954" s="33"/>
      <c r="K1954" s="28" t="str">
        <f>IFERROR(__xludf.DUMMYFUNCTION("IFERROR(
INDEX(
FILTER(
MAP(
reglas!$B$2:$B$240,
reglas!$C$2:$C$240,
reglas!$D$2:$D$240,
reglas!$E$2:$E$240,
LAMBDA(rEmisor,rPatron,rConcepto,rTipo,
IF(
AND(
OR(
UPPER(TRIM(rEmisor))=UPPER(TRIM(C1954)),
UPPER(TRIM(rEmisor))=""CUALQUIERA""
),
OR(
UPPER(TRI"&amp;"M(rTipo))=""SOLO EMISOR"",
AND(
UPPER(TRIM(rTipo))=""EXACTA"",
UPPER(TRIM(AG1954))=UPPER(TRIM(rPatron))
),
AND(
OR(
UPPER(TRIM(rTipo))=""CONTIENE"",
UPPER(TRIM(rTipo))=""COINCIDENCIA""
),
ISNUMBER(SEARCH(UPPER(TRIM(rPatron)),UPPER(TRIM(D1954))))
)
)
),
rC"&amp;"oncepto,
""""
)
)
),
MAP(
reglas!$B$2:$B$240,
reglas!$C$2:$C$240,
reglas!$D$2:$D$240,
reglas!$E$2:$E$240,
LAMBDA(rEmisor,rPatron,rConcepto,rTipo,
IF(
AND(
OR(
UPPER(TRIM(rEmisor))=UPPER(TRIM(C1954)),
UPPER(TRIM(rEmisor))=""CUALQUIERA""
),
OR(
UPPER(TRIM(r"&amp;"Tipo))=""SOLO EMISOR"",
AND(
UPPER(TRIM(rTipo))=""EXACTA"",
UPPER(TRIM(D1954))=UPPER(TRIM(rPatron))
),
AND(
OR(
UPPER(TRIM(rTipo))=""CONTIENE"",
UPPER(TRIM(rTipo))=""COINCIDENCIA""
),
ISNUMBER(SEARCH(UPPER(TRIM(rPatron)),UPPER(TRIM(D1954))))
)
)
),
rConce"&amp;"pto,
""""
)
)
)&lt;&gt;""""
),
1
),
""""
)"),"CASETAS")</f>
        <v>CASETAS</v>
      </c>
      <c r="L1954" s="27"/>
      <c r="M1954" s="27"/>
      <c r="N1954" s="27"/>
      <c r="O1954" s="27"/>
      <c r="P1954" s="27"/>
      <c r="Q1954" s="27"/>
      <c r="R1954" s="27"/>
      <c r="S1954" s="27"/>
      <c r="T1954" s="27"/>
      <c r="U1954" s="27"/>
      <c r="V1954" s="27"/>
      <c r="W1954" s="27"/>
      <c r="X1954" s="27"/>
      <c r="Y1954" s="27"/>
    </row>
    <row r="1955">
      <c r="A1955" s="32"/>
      <c r="B1955" s="32"/>
      <c r="C1955" s="29" t="s">
        <v>222</v>
      </c>
      <c r="D1955" s="29" t="s">
        <v>2055</v>
      </c>
      <c r="E1955" s="28">
        <v>885.34</v>
      </c>
      <c r="F1955" s="28">
        <v>0.0</v>
      </c>
      <c r="G1955" s="28" t="s">
        <v>332</v>
      </c>
      <c r="H1955" s="28" t="str">
        <f t="array" ref="H1955">INDEX(CC!C:C,MATCH(1,(CC!A:A=G1955)*(CC!B:B=I1955),0))</f>
        <v>#N/A</v>
      </c>
      <c r="I1955" s="28" t="s">
        <v>332</v>
      </c>
      <c r="J1955" s="33"/>
      <c r="K1955" s="28" t="str">
        <f>IFERROR(__xludf.DUMMYFUNCTION("IFERROR(
INDEX(
FILTER(
MAP(
reglas!$B$2:$B$240,
reglas!$C$2:$C$240,
reglas!$D$2:$D$240,
reglas!$E$2:$E$240,
LAMBDA(rEmisor,rPatron,rConcepto,rTipo,
IF(
AND(
OR(
UPPER(TRIM(rEmisor))=UPPER(TRIM(C1955)),
UPPER(TRIM(rEmisor))=""CUALQUIERA""
),
OR(
UPPER(TRI"&amp;"M(rTipo))=""SOLO EMISOR"",
AND(
UPPER(TRIM(rTipo))=""EXACTA"",
UPPER(TRIM(AG1955))=UPPER(TRIM(rPatron))
),
AND(
OR(
UPPER(TRIM(rTipo))=""CONTIENE"",
UPPER(TRIM(rTipo))=""COINCIDENCIA""
),
ISNUMBER(SEARCH(UPPER(TRIM(rPatron)),UPPER(TRIM(D1955))))
)
)
),
rC"&amp;"oncepto,
""""
)
)
),
MAP(
reglas!$B$2:$B$240,
reglas!$C$2:$C$240,
reglas!$D$2:$D$240,
reglas!$E$2:$E$240,
LAMBDA(rEmisor,rPatron,rConcepto,rTipo,
IF(
AND(
OR(
UPPER(TRIM(rEmisor))=UPPER(TRIM(C1955)),
UPPER(TRIM(rEmisor))=""CUALQUIERA""
),
OR(
UPPER(TRIM(r"&amp;"Tipo))=""SOLO EMISOR"",
AND(
UPPER(TRIM(rTipo))=""EXACTA"",
UPPER(TRIM(D1955))=UPPER(TRIM(rPatron))
),
AND(
OR(
UPPER(TRIM(rTipo))=""CONTIENE"",
UPPER(TRIM(rTipo))=""COINCIDENCIA""
),
ISNUMBER(SEARCH(UPPER(TRIM(rPatron)),UPPER(TRIM(D1955))))
)
)
),
rConce"&amp;"pto,
""""
)
)
)&lt;&gt;""""
),
1
),
""""
)"),"CASETAS")</f>
        <v>CASETAS</v>
      </c>
      <c r="L1955" s="27"/>
      <c r="M1955" s="27"/>
      <c r="N1955" s="27"/>
      <c r="O1955" s="27"/>
      <c r="P1955" s="27"/>
      <c r="Q1955" s="27"/>
      <c r="R1955" s="27"/>
      <c r="S1955" s="27"/>
      <c r="T1955" s="27"/>
      <c r="U1955" s="27"/>
      <c r="V1955" s="27"/>
      <c r="W1955" s="27"/>
      <c r="X1955" s="27"/>
      <c r="Y1955" s="27"/>
    </row>
    <row r="1956">
      <c r="A1956" s="32"/>
      <c r="B1956" s="32"/>
      <c r="C1956" s="29" t="s">
        <v>222</v>
      </c>
      <c r="D1956" s="29" t="s">
        <v>2056</v>
      </c>
      <c r="E1956" s="28">
        <v>420.69</v>
      </c>
      <c r="F1956" s="28">
        <v>0.0</v>
      </c>
      <c r="G1956" s="28" t="s">
        <v>332</v>
      </c>
      <c r="H1956" s="28" t="str">
        <f t="array" ref="H1956">INDEX(CC!C:C,MATCH(1,(CC!A:A=G1956)*(CC!B:B=I1956),0))</f>
        <v>#N/A</v>
      </c>
      <c r="I1956" s="28" t="s">
        <v>332</v>
      </c>
      <c r="J1956" s="33"/>
      <c r="K1956" s="28" t="str">
        <f>IFERROR(__xludf.DUMMYFUNCTION("IFERROR(
INDEX(
FILTER(
MAP(
reglas!$B$2:$B$240,
reglas!$C$2:$C$240,
reglas!$D$2:$D$240,
reglas!$E$2:$E$240,
LAMBDA(rEmisor,rPatron,rConcepto,rTipo,
IF(
AND(
OR(
UPPER(TRIM(rEmisor))=UPPER(TRIM(C1956)),
UPPER(TRIM(rEmisor))=""CUALQUIERA""
),
OR(
UPPER(TRI"&amp;"M(rTipo))=""SOLO EMISOR"",
AND(
UPPER(TRIM(rTipo))=""EXACTA"",
UPPER(TRIM(AG1956))=UPPER(TRIM(rPatron))
),
AND(
OR(
UPPER(TRIM(rTipo))=""CONTIENE"",
UPPER(TRIM(rTipo))=""COINCIDENCIA""
),
ISNUMBER(SEARCH(UPPER(TRIM(rPatron)),UPPER(TRIM(D1956))))
)
)
),
rC"&amp;"oncepto,
""""
)
)
),
MAP(
reglas!$B$2:$B$240,
reglas!$C$2:$C$240,
reglas!$D$2:$D$240,
reglas!$E$2:$E$240,
LAMBDA(rEmisor,rPatron,rConcepto,rTipo,
IF(
AND(
OR(
UPPER(TRIM(rEmisor))=UPPER(TRIM(C1956)),
UPPER(TRIM(rEmisor))=""CUALQUIERA""
),
OR(
UPPER(TRIM(r"&amp;"Tipo))=""SOLO EMISOR"",
AND(
UPPER(TRIM(rTipo))=""EXACTA"",
UPPER(TRIM(D1956))=UPPER(TRIM(rPatron))
),
AND(
OR(
UPPER(TRIM(rTipo))=""CONTIENE"",
UPPER(TRIM(rTipo))=""COINCIDENCIA""
),
ISNUMBER(SEARCH(UPPER(TRIM(rPatron)),UPPER(TRIM(D1956))))
)
)
),
rConce"&amp;"pto,
""""
)
)
)&lt;&gt;""""
),
1
),
""""
)"),"CASETAS")</f>
        <v>CASETAS</v>
      </c>
      <c r="L1956" s="27"/>
      <c r="M1956" s="27"/>
      <c r="N1956" s="27"/>
      <c r="O1956" s="27"/>
      <c r="P1956" s="27"/>
      <c r="Q1956" s="27"/>
      <c r="R1956" s="27"/>
      <c r="S1956" s="27"/>
      <c r="T1956" s="27"/>
      <c r="U1956" s="27"/>
      <c r="V1956" s="27"/>
      <c r="W1956" s="27"/>
      <c r="X1956" s="27"/>
      <c r="Y1956" s="27"/>
    </row>
    <row r="1957">
      <c r="A1957" s="32"/>
      <c r="B1957" s="32"/>
      <c r="C1957" s="29" t="s">
        <v>222</v>
      </c>
      <c r="D1957" s="29" t="s">
        <v>2056</v>
      </c>
      <c r="E1957" s="28">
        <v>100.0</v>
      </c>
      <c r="F1957" s="28">
        <v>0.0</v>
      </c>
      <c r="G1957" s="28" t="s">
        <v>332</v>
      </c>
      <c r="H1957" s="28" t="str">
        <f t="array" ref="H1957">INDEX(CC!C:C,MATCH(1,(CC!A:A=G1957)*(CC!B:B=I1957),0))</f>
        <v>#N/A</v>
      </c>
      <c r="I1957" s="28" t="s">
        <v>332</v>
      </c>
      <c r="J1957" s="33"/>
      <c r="K1957" s="28" t="str">
        <f>IFERROR(__xludf.DUMMYFUNCTION("IFERROR(
INDEX(
FILTER(
MAP(
reglas!$B$2:$B$240,
reglas!$C$2:$C$240,
reglas!$D$2:$D$240,
reglas!$E$2:$E$240,
LAMBDA(rEmisor,rPatron,rConcepto,rTipo,
IF(
AND(
OR(
UPPER(TRIM(rEmisor))=UPPER(TRIM(C1957)),
UPPER(TRIM(rEmisor))=""CUALQUIERA""
),
OR(
UPPER(TRI"&amp;"M(rTipo))=""SOLO EMISOR"",
AND(
UPPER(TRIM(rTipo))=""EXACTA"",
UPPER(TRIM(AG1957))=UPPER(TRIM(rPatron))
),
AND(
OR(
UPPER(TRIM(rTipo))=""CONTIENE"",
UPPER(TRIM(rTipo))=""COINCIDENCIA""
),
ISNUMBER(SEARCH(UPPER(TRIM(rPatron)),UPPER(TRIM(D1957))))
)
)
),
rC"&amp;"oncepto,
""""
)
)
),
MAP(
reglas!$B$2:$B$240,
reglas!$C$2:$C$240,
reglas!$D$2:$D$240,
reglas!$E$2:$E$240,
LAMBDA(rEmisor,rPatron,rConcepto,rTipo,
IF(
AND(
OR(
UPPER(TRIM(rEmisor))=UPPER(TRIM(C1957)),
UPPER(TRIM(rEmisor))=""CUALQUIERA""
),
OR(
UPPER(TRIM(r"&amp;"Tipo))=""SOLO EMISOR"",
AND(
UPPER(TRIM(rTipo))=""EXACTA"",
UPPER(TRIM(D1957))=UPPER(TRIM(rPatron))
),
AND(
OR(
UPPER(TRIM(rTipo))=""CONTIENE"",
UPPER(TRIM(rTipo))=""COINCIDENCIA""
),
ISNUMBER(SEARCH(UPPER(TRIM(rPatron)),UPPER(TRIM(D1957))))
)
)
),
rConce"&amp;"pto,
""""
)
)
)&lt;&gt;""""
),
1
),
""""
)"),"CASETAS")</f>
        <v>CASETAS</v>
      </c>
      <c r="L1957" s="27"/>
      <c r="M1957" s="27"/>
      <c r="N1957" s="27"/>
      <c r="O1957" s="27"/>
      <c r="P1957" s="27"/>
      <c r="Q1957" s="27"/>
      <c r="R1957" s="27"/>
      <c r="S1957" s="27"/>
      <c r="T1957" s="27"/>
      <c r="U1957" s="27"/>
      <c r="V1957" s="27"/>
      <c r="W1957" s="27"/>
      <c r="X1957" s="27"/>
      <c r="Y1957" s="27"/>
    </row>
    <row r="1958">
      <c r="A1958" s="32"/>
      <c r="B1958" s="32"/>
      <c r="C1958" s="29" t="s">
        <v>222</v>
      </c>
      <c r="D1958" s="29" t="s">
        <v>2057</v>
      </c>
      <c r="E1958" s="28">
        <v>94.83</v>
      </c>
      <c r="F1958" s="28">
        <v>0.0</v>
      </c>
      <c r="G1958" s="28" t="s">
        <v>332</v>
      </c>
      <c r="H1958" s="28" t="str">
        <f t="array" ref="H1958">INDEX(CC!C:C,MATCH(1,(CC!A:A=G1958)*(CC!B:B=I1958),0))</f>
        <v>#N/A</v>
      </c>
      <c r="I1958" s="28" t="s">
        <v>332</v>
      </c>
      <c r="J1958" s="33"/>
      <c r="K1958" s="28" t="str">
        <f>IFERROR(__xludf.DUMMYFUNCTION("IFERROR(
INDEX(
FILTER(
MAP(
reglas!$B$2:$B$240,
reglas!$C$2:$C$240,
reglas!$D$2:$D$240,
reglas!$E$2:$E$240,
LAMBDA(rEmisor,rPatron,rConcepto,rTipo,
IF(
AND(
OR(
UPPER(TRIM(rEmisor))=UPPER(TRIM(C1958)),
UPPER(TRIM(rEmisor))=""CUALQUIERA""
),
OR(
UPPER(TRI"&amp;"M(rTipo))=""SOLO EMISOR"",
AND(
UPPER(TRIM(rTipo))=""EXACTA"",
UPPER(TRIM(AG1958))=UPPER(TRIM(rPatron))
),
AND(
OR(
UPPER(TRIM(rTipo))=""CONTIENE"",
UPPER(TRIM(rTipo))=""COINCIDENCIA""
),
ISNUMBER(SEARCH(UPPER(TRIM(rPatron)),UPPER(TRIM(D1958))))
)
)
),
rC"&amp;"oncepto,
""""
)
)
),
MAP(
reglas!$B$2:$B$240,
reglas!$C$2:$C$240,
reglas!$D$2:$D$240,
reglas!$E$2:$E$240,
LAMBDA(rEmisor,rPatron,rConcepto,rTipo,
IF(
AND(
OR(
UPPER(TRIM(rEmisor))=UPPER(TRIM(C1958)),
UPPER(TRIM(rEmisor))=""CUALQUIERA""
),
OR(
UPPER(TRIM(r"&amp;"Tipo))=""SOLO EMISOR"",
AND(
UPPER(TRIM(rTipo))=""EXACTA"",
UPPER(TRIM(D1958))=UPPER(TRIM(rPatron))
),
AND(
OR(
UPPER(TRIM(rTipo))=""CONTIENE"",
UPPER(TRIM(rTipo))=""COINCIDENCIA""
),
ISNUMBER(SEARCH(UPPER(TRIM(rPatron)),UPPER(TRIM(D1958))))
)
)
),
rConce"&amp;"pto,
""""
)
)
)&lt;&gt;""""
),
1
),
""""
)"),"CASETAS")</f>
        <v>CASETAS</v>
      </c>
      <c r="L1958" s="27"/>
      <c r="M1958" s="27"/>
      <c r="N1958" s="27"/>
      <c r="O1958" s="27"/>
      <c r="P1958" s="27"/>
      <c r="Q1958" s="27"/>
      <c r="R1958" s="27"/>
      <c r="S1958" s="27"/>
      <c r="T1958" s="27"/>
      <c r="U1958" s="27"/>
      <c r="V1958" s="27"/>
      <c r="W1958" s="27"/>
      <c r="X1958" s="27"/>
      <c r="Y1958" s="27"/>
    </row>
    <row r="1959">
      <c r="A1959" s="32"/>
      <c r="B1959" s="32"/>
      <c r="C1959" s="29" t="s">
        <v>222</v>
      </c>
      <c r="D1959" s="29" t="s">
        <v>2058</v>
      </c>
      <c r="E1959" s="28">
        <v>881.03</v>
      </c>
      <c r="F1959" s="28">
        <v>0.0</v>
      </c>
      <c r="G1959" s="28" t="s">
        <v>332</v>
      </c>
      <c r="H1959" s="28" t="str">
        <f t="array" ref="H1959">INDEX(CC!C:C,MATCH(1,(CC!A:A=G1959)*(CC!B:B=I1959),0))</f>
        <v>#N/A</v>
      </c>
      <c r="I1959" s="28" t="s">
        <v>332</v>
      </c>
      <c r="J1959" s="33"/>
      <c r="K1959" s="28" t="str">
        <f>IFERROR(__xludf.DUMMYFUNCTION("IFERROR(
INDEX(
FILTER(
MAP(
reglas!$B$2:$B$240,
reglas!$C$2:$C$240,
reglas!$D$2:$D$240,
reglas!$E$2:$E$240,
LAMBDA(rEmisor,rPatron,rConcepto,rTipo,
IF(
AND(
OR(
UPPER(TRIM(rEmisor))=UPPER(TRIM(C1959)),
UPPER(TRIM(rEmisor))=""CUALQUIERA""
),
OR(
UPPER(TRI"&amp;"M(rTipo))=""SOLO EMISOR"",
AND(
UPPER(TRIM(rTipo))=""EXACTA"",
UPPER(TRIM(AG1959))=UPPER(TRIM(rPatron))
),
AND(
OR(
UPPER(TRIM(rTipo))=""CONTIENE"",
UPPER(TRIM(rTipo))=""COINCIDENCIA""
),
ISNUMBER(SEARCH(UPPER(TRIM(rPatron)),UPPER(TRIM(D1959))))
)
)
),
rC"&amp;"oncepto,
""""
)
)
),
MAP(
reglas!$B$2:$B$240,
reglas!$C$2:$C$240,
reglas!$D$2:$D$240,
reglas!$E$2:$E$240,
LAMBDA(rEmisor,rPatron,rConcepto,rTipo,
IF(
AND(
OR(
UPPER(TRIM(rEmisor))=UPPER(TRIM(C1959)),
UPPER(TRIM(rEmisor))=""CUALQUIERA""
),
OR(
UPPER(TRIM(r"&amp;"Tipo))=""SOLO EMISOR"",
AND(
UPPER(TRIM(rTipo))=""EXACTA"",
UPPER(TRIM(D1959))=UPPER(TRIM(rPatron))
),
AND(
OR(
UPPER(TRIM(rTipo))=""CONTIENE"",
UPPER(TRIM(rTipo))=""COINCIDENCIA""
),
ISNUMBER(SEARCH(UPPER(TRIM(rPatron)),UPPER(TRIM(D1959))))
)
)
),
rConce"&amp;"pto,
""""
)
)
)&lt;&gt;""""
),
1
),
""""
)"),"CASETAS")</f>
        <v>CASETAS</v>
      </c>
      <c r="L1959" s="27"/>
      <c r="M1959" s="27"/>
      <c r="N1959" s="27"/>
      <c r="O1959" s="27"/>
      <c r="P1959" s="27"/>
      <c r="Q1959" s="27"/>
      <c r="R1959" s="27"/>
      <c r="S1959" s="27"/>
      <c r="T1959" s="27"/>
      <c r="U1959" s="27"/>
      <c r="V1959" s="27"/>
      <c r="W1959" s="27"/>
      <c r="X1959" s="27"/>
      <c r="Y1959" s="27"/>
    </row>
    <row r="1960">
      <c r="A1960" s="32"/>
      <c r="B1960" s="32"/>
      <c r="C1960" s="29" t="s">
        <v>222</v>
      </c>
      <c r="D1960" s="29" t="s">
        <v>2059</v>
      </c>
      <c r="E1960" s="28">
        <v>779.31</v>
      </c>
      <c r="F1960" s="28">
        <v>0.0</v>
      </c>
      <c r="G1960" s="28" t="s">
        <v>332</v>
      </c>
      <c r="H1960" s="28" t="str">
        <f t="array" ref="H1960">INDEX(CC!C:C,MATCH(1,(CC!A:A=G1960)*(CC!B:B=I1960),0))</f>
        <v>#N/A</v>
      </c>
      <c r="I1960" s="28" t="s">
        <v>332</v>
      </c>
      <c r="J1960" s="33"/>
      <c r="K1960" s="28" t="str">
        <f>IFERROR(__xludf.DUMMYFUNCTION("IFERROR(
INDEX(
FILTER(
MAP(
reglas!$B$2:$B$240,
reglas!$C$2:$C$240,
reglas!$D$2:$D$240,
reglas!$E$2:$E$240,
LAMBDA(rEmisor,rPatron,rConcepto,rTipo,
IF(
AND(
OR(
UPPER(TRIM(rEmisor))=UPPER(TRIM(C1960)),
UPPER(TRIM(rEmisor))=""CUALQUIERA""
),
OR(
UPPER(TRI"&amp;"M(rTipo))=""SOLO EMISOR"",
AND(
UPPER(TRIM(rTipo))=""EXACTA"",
UPPER(TRIM(AG1960))=UPPER(TRIM(rPatron))
),
AND(
OR(
UPPER(TRIM(rTipo))=""CONTIENE"",
UPPER(TRIM(rTipo))=""COINCIDENCIA""
),
ISNUMBER(SEARCH(UPPER(TRIM(rPatron)),UPPER(TRIM(D1960))))
)
)
),
rC"&amp;"oncepto,
""""
)
)
),
MAP(
reglas!$B$2:$B$240,
reglas!$C$2:$C$240,
reglas!$D$2:$D$240,
reglas!$E$2:$E$240,
LAMBDA(rEmisor,rPatron,rConcepto,rTipo,
IF(
AND(
OR(
UPPER(TRIM(rEmisor))=UPPER(TRIM(C1960)),
UPPER(TRIM(rEmisor))=""CUALQUIERA""
),
OR(
UPPER(TRIM(r"&amp;"Tipo))=""SOLO EMISOR"",
AND(
UPPER(TRIM(rTipo))=""EXACTA"",
UPPER(TRIM(D1960))=UPPER(TRIM(rPatron))
),
AND(
OR(
UPPER(TRIM(rTipo))=""CONTIENE"",
UPPER(TRIM(rTipo))=""COINCIDENCIA""
),
ISNUMBER(SEARCH(UPPER(TRIM(rPatron)),UPPER(TRIM(D1960))))
)
)
),
rConce"&amp;"pto,
""""
)
)
)&lt;&gt;""""
),
1
),
""""
)"),"CASETAS")</f>
        <v>CASETAS</v>
      </c>
      <c r="L1960" s="27"/>
      <c r="M1960" s="27"/>
      <c r="N1960" s="27"/>
      <c r="O1960" s="27"/>
      <c r="P1960" s="27"/>
      <c r="Q1960" s="27"/>
      <c r="R1960" s="27"/>
      <c r="S1960" s="27"/>
      <c r="T1960" s="27"/>
      <c r="U1960" s="27"/>
      <c r="V1960" s="27"/>
      <c r="W1960" s="27"/>
      <c r="X1960" s="27"/>
      <c r="Y1960" s="27"/>
    </row>
    <row r="1961">
      <c r="A1961" s="32"/>
      <c r="B1961" s="32"/>
      <c r="C1961" s="29" t="s">
        <v>222</v>
      </c>
      <c r="D1961" s="29" t="s">
        <v>2059</v>
      </c>
      <c r="E1961" s="28">
        <v>827.59</v>
      </c>
      <c r="F1961" s="28">
        <v>0.0</v>
      </c>
      <c r="G1961" s="28" t="s">
        <v>332</v>
      </c>
      <c r="H1961" s="28" t="str">
        <f t="array" ref="H1961">INDEX(CC!C:C,MATCH(1,(CC!A:A=G1961)*(CC!B:B=I1961),0))</f>
        <v>#N/A</v>
      </c>
      <c r="I1961" s="28" t="s">
        <v>332</v>
      </c>
      <c r="J1961" s="33"/>
      <c r="K1961" s="28" t="str">
        <f>IFERROR(__xludf.DUMMYFUNCTION("IFERROR(
INDEX(
FILTER(
MAP(
reglas!$B$2:$B$240,
reglas!$C$2:$C$240,
reglas!$D$2:$D$240,
reglas!$E$2:$E$240,
LAMBDA(rEmisor,rPatron,rConcepto,rTipo,
IF(
AND(
OR(
UPPER(TRIM(rEmisor))=UPPER(TRIM(C1961)),
UPPER(TRIM(rEmisor))=""CUALQUIERA""
),
OR(
UPPER(TRI"&amp;"M(rTipo))=""SOLO EMISOR"",
AND(
UPPER(TRIM(rTipo))=""EXACTA"",
UPPER(TRIM(AG1961))=UPPER(TRIM(rPatron))
),
AND(
OR(
UPPER(TRIM(rTipo))=""CONTIENE"",
UPPER(TRIM(rTipo))=""COINCIDENCIA""
),
ISNUMBER(SEARCH(UPPER(TRIM(rPatron)),UPPER(TRIM(D1961))))
)
)
),
rC"&amp;"oncepto,
""""
)
)
),
MAP(
reglas!$B$2:$B$240,
reglas!$C$2:$C$240,
reglas!$D$2:$D$240,
reglas!$E$2:$E$240,
LAMBDA(rEmisor,rPatron,rConcepto,rTipo,
IF(
AND(
OR(
UPPER(TRIM(rEmisor))=UPPER(TRIM(C1961)),
UPPER(TRIM(rEmisor))=""CUALQUIERA""
),
OR(
UPPER(TRIM(r"&amp;"Tipo))=""SOLO EMISOR"",
AND(
UPPER(TRIM(rTipo))=""EXACTA"",
UPPER(TRIM(D1961))=UPPER(TRIM(rPatron))
),
AND(
OR(
UPPER(TRIM(rTipo))=""CONTIENE"",
UPPER(TRIM(rTipo))=""COINCIDENCIA""
),
ISNUMBER(SEARCH(UPPER(TRIM(rPatron)),UPPER(TRIM(D1961))))
)
)
),
rConce"&amp;"pto,
""""
)
)
)&lt;&gt;""""
),
1
),
""""
)"),"CASETAS")</f>
        <v>CASETAS</v>
      </c>
      <c r="L1961" s="27"/>
      <c r="M1961" s="27"/>
      <c r="N1961" s="27"/>
      <c r="O1961" s="27"/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</row>
    <row r="1962">
      <c r="A1962" s="32"/>
      <c r="B1962" s="32"/>
      <c r="C1962" s="29" t="s">
        <v>222</v>
      </c>
      <c r="D1962" s="29" t="s">
        <v>2060</v>
      </c>
      <c r="E1962" s="28">
        <v>929.31</v>
      </c>
      <c r="F1962" s="28">
        <v>0.0</v>
      </c>
      <c r="G1962" s="28" t="s">
        <v>332</v>
      </c>
      <c r="H1962" s="28" t="str">
        <f t="array" ref="H1962">INDEX(CC!C:C,MATCH(1,(CC!A:A=G1962)*(CC!B:B=I1962),0))</f>
        <v>#N/A</v>
      </c>
      <c r="I1962" s="28" t="s">
        <v>332</v>
      </c>
      <c r="J1962" s="33"/>
      <c r="K1962" s="28" t="str">
        <f>IFERROR(__xludf.DUMMYFUNCTION("IFERROR(
INDEX(
FILTER(
MAP(
reglas!$B$2:$B$240,
reglas!$C$2:$C$240,
reglas!$D$2:$D$240,
reglas!$E$2:$E$240,
LAMBDA(rEmisor,rPatron,rConcepto,rTipo,
IF(
AND(
OR(
UPPER(TRIM(rEmisor))=UPPER(TRIM(C1962)),
UPPER(TRIM(rEmisor))=""CUALQUIERA""
),
OR(
UPPER(TRI"&amp;"M(rTipo))=""SOLO EMISOR"",
AND(
UPPER(TRIM(rTipo))=""EXACTA"",
UPPER(TRIM(AG1962))=UPPER(TRIM(rPatron))
),
AND(
OR(
UPPER(TRIM(rTipo))=""CONTIENE"",
UPPER(TRIM(rTipo))=""COINCIDENCIA""
),
ISNUMBER(SEARCH(UPPER(TRIM(rPatron)),UPPER(TRIM(D1962))))
)
)
),
rC"&amp;"oncepto,
""""
)
)
),
MAP(
reglas!$B$2:$B$240,
reglas!$C$2:$C$240,
reglas!$D$2:$D$240,
reglas!$E$2:$E$240,
LAMBDA(rEmisor,rPatron,rConcepto,rTipo,
IF(
AND(
OR(
UPPER(TRIM(rEmisor))=UPPER(TRIM(C1962)),
UPPER(TRIM(rEmisor))=""CUALQUIERA""
),
OR(
UPPER(TRIM(r"&amp;"Tipo))=""SOLO EMISOR"",
AND(
UPPER(TRIM(rTipo))=""EXACTA"",
UPPER(TRIM(D1962))=UPPER(TRIM(rPatron))
),
AND(
OR(
UPPER(TRIM(rTipo))=""CONTIENE"",
UPPER(TRIM(rTipo))=""COINCIDENCIA""
),
ISNUMBER(SEARCH(UPPER(TRIM(rPatron)),UPPER(TRIM(D1962))))
)
)
),
rConce"&amp;"pto,
""""
)
)
)&lt;&gt;""""
),
1
),
""""
)"),"CASETAS")</f>
        <v>CASETAS</v>
      </c>
      <c r="L1962" s="27"/>
      <c r="M1962" s="27"/>
      <c r="N1962" s="27"/>
      <c r="O1962" s="27"/>
      <c r="P1962" s="27"/>
      <c r="Q1962" s="27"/>
      <c r="R1962" s="27"/>
      <c r="S1962" s="27"/>
      <c r="T1962" s="27"/>
      <c r="U1962" s="27"/>
      <c r="V1962" s="27"/>
      <c r="W1962" s="27"/>
      <c r="X1962" s="27"/>
      <c r="Y1962" s="27"/>
    </row>
    <row r="1963">
      <c r="A1963" s="32"/>
      <c r="B1963" s="32"/>
      <c r="C1963" s="29" t="s">
        <v>222</v>
      </c>
      <c r="D1963" s="29" t="s">
        <v>2061</v>
      </c>
      <c r="E1963" s="28">
        <v>208.62</v>
      </c>
      <c r="F1963" s="28">
        <v>0.0</v>
      </c>
      <c r="G1963" s="28" t="s">
        <v>332</v>
      </c>
      <c r="H1963" s="28" t="str">
        <f t="array" ref="H1963">INDEX(CC!C:C,MATCH(1,(CC!A:A=G1963)*(CC!B:B=I1963),0))</f>
        <v>#N/A</v>
      </c>
      <c r="I1963" s="28" t="s">
        <v>332</v>
      </c>
      <c r="J1963" s="33"/>
      <c r="K1963" s="28" t="str">
        <f>IFERROR(__xludf.DUMMYFUNCTION("IFERROR(
INDEX(
FILTER(
MAP(
reglas!$B$2:$B$240,
reglas!$C$2:$C$240,
reglas!$D$2:$D$240,
reglas!$E$2:$E$240,
LAMBDA(rEmisor,rPatron,rConcepto,rTipo,
IF(
AND(
OR(
UPPER(TRIM(rEmisor))=UPPER(TRIM(C1963)),
UPPER(TRIM(rEmisor))=""CUALQUIERA""
),
OR(
UPPER(TRI"&amp;"M(rTipo))=""SOLO EMISOR"",
AND(
UPPER(TRIM(rTipo))=""EXACTA"",
UPPER(TRIM(AG1963))=UPPER(TRIM(rPatron))
),
AND(
OR(
UPPER(TRIM(rTipo))=""CONTIENE"",
UPPER(TRIM(rTipo))=""COINCIDENCIA""
),
ISNUMBER(SEARCH(UPPER(TRIM(rPatron)),UPPER(TRIM(D1963))))
)
)
),
rC"&amp;"oncepto,
""""
)
)
),
MAP(
reglas!$B$2:$B$240,
reglas!$C$2:$C$240,
reglas!$D$2:$D$240,
reglas!$E$2:$E$240,
LAMBDA(rEmisor,rPatron,rConcepto,rTipo,
IF(
AND(
OR(
UPPER(TRIM(rEmisor))=UPPER(TRIM(C1963)),
UPPER(TRIM(rEmisor))=""CUALQUIERA""
),
OR(
UPPER(TRIM(r"&amp;"Tipo))=""SOLO EMISOR"",
AND(
UPPER(TRIM(rTipo))=""EXACTA"",
UPPER(TRIM(D1963))=UPPER(TRIM(rPatron))
),
AND(
OR(
UPPER(TRIM(rTipo))=""CONTIENE"",
UPPER(TRIM(rTipo))=""COINCIDENCIA""
),
ISNUMBER(SEARCH(UPPER(TRIM(rPatron)),UPPER(TRIM(D1963))))
)
)
),
rConce"&amp;"pto,
""""
)
)
)&lt;&gt;""""
),
1
),
""""
)"),"CASETAS")</f>
        <v>CASETAS</v>
      </c>
      <c r="L1963" s="27"/>
      <c r="M1963" s="27"/>
      <c r="N1963" s="27"/>
      <c r="O1963" s="27"/>
      <c r="P1963" s="27"/>
      <c r="Q1963" s="27"/>
      <c r="R1963" s="27"/>
      <c r="S1963" s="27"/>
      <c r="T1963" s="27"/>
      <c r="U1963" s="27"/>
      <c r="V1963" s="27"/>
      <c r="W1963" s="27"/>
      <c r="X1963" s="27"/>
      <c r="Y1963" s="27"/>
    </row>
    <row r="1964">
      <c r="A1964" s="32"/>
      <c r="B1964" s="32"/>
      <c r="C1964" s="29" t="s">
        <v>222</v>
      </c>
      <c r="D1964" s="29" t="s">
        <v>1401</v>
      </c>
      <c r="E1964" s="28">
        <v>10.34</v>
      </c>
      <c r="F1964" s="28">
        <v>0.0</v>
      </c>
      <c r="G1964" s="28" t="s">
        <v>332</v>
      </c>
      <c r="H1964" s="28" t="str">
        <f t="array" ref="H1964">INDEX(CC!C:C,MATCH(1,(CC!A:A=G1964)*(CC!B:B=I1964),0))</f>
        <v>#N/A</v>
      </c>
      <c r="I1964" s="28" t="s">
        <v>332</v>
      </c>
      <c r="J1964" s="33"/>
      <c r="K1964" s="28" t="str">
        <f>IFERROR(__xludf.DUMMYFUNCTION("IFERROR(
INDEX(
FILTER(
MAP(
reglas!$B$2:$B$240,
reglas!$C$2:$C$240,
reglas!$D$2:$D$240,
reglas!$E$2:$E$240,
LAMBDA(rEmisor,rPatron,rConcepto,rTipo,
IF(
AND(
OR(
UPPER(TRIM(rEmisor))=UPPER(TRIM(C1964)),
UPPER(TRIM(rEmisor))=""CUALQUIERA""
),
OR(
UPPER(TRI"&amp;"M(rTipo))=""SOLO EMISOR"",
AND(
UPPER(TRIM(rTipo))=""EXACTA"",
UPPER(TRIM(AG1964))=UPPER(TRIM(rPatron))
),
AND(
OR(
UPPER(TRIM(rTipo))=""CONTIENE"",
UPPER(TRIM(rTipo))=""COINCIDENCIA""
),
ISNUMBER(SEARCH(UPPER(TRIM(rPatron)),UPPER(TRIM(D1964))))
)
)
),
rC"&amp;"oncepto,
""""
)
)
),
MAP(
reglas!$B$2:$B$240,
reglas!$C$2:$C$240,
reglas!$D$2:$D$240,
reglas!$E$2:$E$240,
LAMBDA(rEmisor,rPatron,rConcepto,rTipo,
IF(
AND(
OR(
UPPER(TRIM(rEmisor))=UPPER(TRIM(C1964)),
UPPER(TRIM(rEmisor))=""CUALQUIERA""
),
OR(
UPPER(TRIM(r"&amp;"Tipo))=""SOLO EMISOR"",
AND(
UPPER(TRIM(rTipo))=""EXACTA"",
UPPER(TRIM(D1964))=UPPER(TRIM(rPatron))
),
AND(
OR(
UPPER(TRIM(rTipo))=""CONTIENE"",
UPPER(TRIM(rTipo))=""COINCIDENCIA""
),
ISNUMBER(SEARCH(UPPER(TRIM(rPatron)),UPPER(TRIM(D1964))))
)
)
),
rConce"&amp;"pto,
""""
)
)
)&lt;&gt;""""
),
1
),
""""
)"),"CASETAS")</f>
        <v>CASETAS</v>
      </c>
      <c r="L1964" s="27"/>
      <c r="M1964" s="27"/>
      <c r="N1964" s="27"/>
      <c r="O1964" s="27"/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</row>
    <row r="1965">
      <c r="A1965" s="32"/>
      <c r="B1965" s="32"/>
      <c r="C1965" s="29" t="s">
        <v>222</v>
      </c>
      <c r="D1965" s="29" t="s">
        <v>1403</v>
      </c>
      <c r="E1965" s="28">
        <v>83.69</v>
      </c>
      <c r="F1965" s="28">
        <v>0.0</v>
      </c>
      <c r="G1965" s="28" t="s">
        <v>332</v>
      </c>
      <c r="H1965" s="28" t="str">
        <f t="array" ref="H1965">INDEX(CC!C:C,MATCH(1,(CC!A:A=G1965)*(CC!B:B=I1965),0))</f>
        <v>#N/A</v>
      </c>
      <c r="I1965" s="28" t="s">
        <v>332</v>
      </c>
      <c r="J1965" s="33"/>
      <c r="K1965" s="28" t="str">
        <f>IFERROR(__xludf.DUMMYFUNCTION("IFERROR(
INDEX(
FILTER(
MAP(
reglas!$B$2:$B$240,
reglas!$C$2:$C$240,
reglas!$D$2:$D$240,
reglas!$E$2:$E$240,
LAMBDA(rEmisor,rPatron,rConcepto,rTipo,
IF(
AND(
OR(
UPPER(TRIM(rEmisor))=UPPER(TRIM(C1965)),
UPPER(TRIM(rEmisor))=""CUALQUIERA""
),
OR(
UPPER(TRI"&amp;"M(rTipo))=""SOLO EMISOR"",
AND(
UPPER(TRIM(rTipo))=""EXACTA"",
UPPER(TRIM(AG1965))=UPPER(TRIM(rPatron))
),
AND(
OR(
UPPER(TRIM(rTipo))=""CONTIENE"",
UPPER(TRIM(rTipo))=""COINCIDENCIA""
),
ISNUMBER(SEARCH(UPPER(TRIM(rPatron)),UPPER(TRIM(D1965))))
)
)
),
rC"&amp;"oncepto,
""""
)
)
),
MAP(
reglas!$B$2:$B$240,
reglas!$C$2:$C$240,
reglas!$D$2:$D$240,
reglas!$E$2:$E$240,
LAMBDA(rEmisor,rPatron,rConcepto,rTipo,
IF(
AND(
OR(
UPPER(TRIM(rEmisor))=UPPER(TRIM(C1965)),
UPPER(TRIM(rEmisor))=""CUALQUIERA""
),
OR(
UPPER(TRIM(r"&amp;"Tipo))=""SOLO EMISOR"",
AND(
UPPER(TRIM(rTipo))=""EXACTA"",
UPPER(TRIM(D1965))=UPPER(TRIM(rPatron))
),
AND(
OR(
UPPER(TRIM(rTipo))=""CONTIENE"",
UPPER(TRIM(rTipo))=""COINCIDENCIA""
),
ISNUMBER(SEARCH(UPPER(TRIM(rPatron)),UPPER(TRIM(D1965))))
)
)
),
rConce"&amp;"pto,
""""
)
)
)&lt;&gt;""""
),
1
),
""""
)"),"CASETAS")</f>
        <v>CASETAS</v>
      </c>
      <c r="L1965" s="27"/>
      <c r="M1965" s="27"/>
      <c r="N1965" s="27"/>
      <c r="O1965" s="27"/>
      <c r="P1965" s="27"/>
      <c r="Q1965" s="27"/>
      <c r="R1965" s="27"/>
      <c r="S1965" s="27"/>
      <c r="T1965" s="27"/>
      <c r="U1965" s="27"/>
      <c r="V1965" s="27"/>
      <c r="W1965" s="27"/>
      <c r="X1965" s="27"/>
      <c r="Y1965" s="27"/>
    </row>
    <row r="1966">
      <c r="A1966" s="32"/>
      <c r="B1966" s="32"/>
      <c r="C1966" s="29" t="s">
        <v>222</v>
      </c>
      <c r="D1966" s="29" t="s">
        <v>1403</v>
      </c>
      <c r="E1966" s="28">
        <v>101.79</v>
      </c>
      <c r="F1966" s="28">
        <v>0.0</v>
      </c>
      <c r="G1966" s="28" t="s">
        <v>332</v>
      </c>
      <c r="H1966" s="28" t="str">
        <f t="array" ref="H1966">INDEX(CC!C:C,MATCH(1,(CC!A:A=G1966)*(CC!B:B=I1966),0))</f>
        <v>#N/A</v>
      </c>
      <c r="I1966" s="28" t="s">
        <v>332</v>
      </c>
      <c r="J1966" s="33"/>
      <c r="K1966" s="28" t="str">
        <f>IFERROR(__xludf.DUMMYFUNCTION("IFERROR(
INDEX(
FILTER(
MAP(
reglas!$B$2:$B$240,
reglas!$C$2:$C$240,
reglas!$D$2:$D$240,
reglas!$E$2:$E$240,
LAMBDA(rEmisor,rPatron,rConcepto,rTipo,
IF(
AND(
OR(
UPPER(TRIM(rEmisor))=UPPER(TRIM(C1966)),
UPPER(TRIM(rEmisor))=""CUALQUIERA""
),
OR(
UPPER(TRI"&amp;"M(rTipo))=""SOLO EMISOR"",
AND(
UPPER(TRIM(rTipo))=""EXACTA"",
UPPER(TRIM(AG1966))=UPPER(TRIM(rPatron))
),
AND(
OR(
UPPER(TRIM(rTipo))=""CONTIENE"",
UPPER(TRIM(rTipo))=""COINCIDENCIA""
),
ISNUMBER(SEARCH(UPPER(TRIM(rPatron)),UPPER(TRIM(D1966))))
)
)
),
rC"&amp;"oncepto,
""""
)
)
),
MAP(
reglas!$B$2:$B$240,
reglas!$C$2:$C$240,
reglas!$D$2:$D$240,
reglas!$E$2:$E$240,
LAMBDA(rEmisor,rPatron,rConcepto,rTipo,
IF(
AND(
OR(
UPPER(TRIM(rEmisor))=UPPER(TRIM(C1966)),
UPPER(TRIM(rEmisor))=""CUALQUIERA""
),
OR(
UPPER(TRIM(r"&amp;"Tipo))=""SOLO EMISOR"",
AND(
UPPER(TRIM(rTipo))=""EXACTA"",
UPPER(TRIM(D1966))=UPPER(TRIM(rPatron))
),
AND(
OR(
UPPER(TRIM(rTipo))=""CONTIENE"",
UPPER(TRIM(rTipo))=""COINCIDENCIA""
),
ISNUMBER(SEARCH(UPPER(TRIM(rPatron)),UPPER(TRIM(D1966))))
)
)
),
rConce"&amp;"pto,
""""
)
)
)&lt;&gt;""""
),
1
),
""""
)"),"CASETAS")</f>
        <v>CASETAS</v>
      </c>
      <c r="L1966" s="27"/>
      <c r="M1966" s="27"/>
      <c r="N1966" s="27"/>
      <c r="O1966" s="27"/>
      <c r="P1966" s="27"/>
      <c r="Q1966" s="27"/>
      <c r="R1966" s="27"/>
      <c r="S1966" s="27"/>
      <c r="T1966" s="27"/>
      <c r="U1966" s="27"/>
      <c r="V1966" s="27"/>
      <c r="W1966" s="27"/>
      <c r="X1966" s="27"/>
      <c r="Y1966" s="27"/>
    </row>
    <row r="1967">
      <c r="A1967" s="32"/>
      <c r="B1967" s="32"/>
      <c r="C1967" s="29" t="s">
        <v>222</v>
      </c>
      <c r="D1967" s="29" t="s">
        <v>1403</v>
      </c>
      <c r="E1967" s="28">
        <v>72.74</v>
      </c>
      <c r="F1967" s="28">
        <v>0.0</v>
      </c>
      <c r="G1967" s="28" t="s">
        <v>332</v>
      </c>
      <c r="H1967" s="28" t="str">
        <f t="array" ref="H1967">INDEX(CC!C:C,MATCH(1,(CC!A:A=G1967)*(CC!B:B=I1967),0))</f>
        <v>#N/A</v>
      </c>
      <c r="I1967" s="28" t="s">
        <v>332</v>
      </c>
      <c r="J1967" s="33"/>
      <c r="K1967" s="28" t="str">
        <f>IFERROR(__xludf.DUMMYFUNCTION("IFERROR(
INDEX(
FILTER(
MAP(
reglas!$B$2:$B$240,
reglas!$C$2:$C$240,
reglas!$D$2:$D$240,
reglas!$E$2:$E$240,
LAMBDA(rEmisor,rPatron,rConcepto,rTipo,
IF(
AND(
OR(
UPPER(TRIM(rEmisor))=UPPER(TRIM(C1967)),
UPPER(TRIM(rEmisor))=""CUALQUIERA""
),
OR(
UPPER(TRI"&amp;"M(rTipo))=""SOLO EMISOR"",
AND(
UPPER(TRIM(rTipo))=""EXACTA"",
UPPER(TRIM(AG1967))=UPPER(TRIM(rPatron))
),
AND(
OR(
UPPER(TRIM(rTipo))=""CONTIENE"",
UPPER(TRIM(rTipo))=""COINCIDENCIA""
),
ISNUMBER(SEARCH(UPPER(TRIM(rPatron)),UPPER(TRIM(D1967))))
)
)
),
rC"&amp;"oncepto,
""""
)
)
),
MAP(
reglas!$B$2:$B$240,
reglas!$C$2:$C$240,
reglas!$D$2:$D$240,
reglas!$E$2:$E$240,
LAMBDA(rEmisor,rPatron,rConcepto,rTipo,
IF(
AND(
OR(
UPPER(TRIM(rEmisor))=UPPER(TRIM(C1967)),
UPPER(TRIM(rEmisor))=""CUALQUIERA""
),
OR(
UPPER(TRIM(r"&amp;"Tipo))=""SOLO EMISOR"",
AND(
UPPER(TRIM(rTipo))=""EXACTA"",
UPPER(TRIM(D1967))=UPPER(TRIM(rPatron))
),
AND(
OR(
UPPER(TRIM(rTipo))=""CONTIENE"",
UPPER(TRIM(rTipo))=""COINCIDENCIA""
),
ISNUMBER(SEARCH(UPPER(TRIM(rPatron)),UPPER(TRIM(D1967))))
)
)
),
rConce"&amp;"pto,
""""
)
)
)&lt;&gt;""""
),
1
),
""""
)"),"CASETAS")</f>
        <v>CASETAS</v>
      </c>
      <c r="L1967" s="27"/>
      <c r="M1967" s="27"/>
      <c r="N1967" s="27"/>
      <c r="O1967" s="27"/>
      <c r="P1967" s="27"/>
      <c r="Q1967" s="27"/>
      <c r="R1967" s="27"/>
      <c r="S1967" s="27"/>
      <c r="T1967" s="27"/>
      <c r="U1967" s="27"/>
      <c r="V1967" s="27"/>
      <c r="W1967" s="27"/>
      <c r="X1967" s="27"/>
      <c r="Y1967" s="27"/>
    </row>
    <row r="1968">
      <c r="A1968" s="32"/>
      <c r="B1968" s="32"/>
      <c r="C1968" s="29" t="s">
        <v>222</v>
      </c>
      <c r="D1968" s="29" t="s">
        <v>1403</v>
      </c>
      <c r="E1968" s="28">
        <v>50.22</v>
      </c>
      <c r="F1968" s="28">
        <v>0.0</v>
      </c>
      <c r="G1968" s="28" t="s">
        <v>332</v>
      </c>
      <c r="H1968" s="28" t="str">
        <f t="array" ref="H1968">INDEX(CC!C:C,MATCH(1,(CC!A:A=G1968)*(CC!B:B=I1968),0))</f>
        <v>#N/A</v>
      </c>
      <c r="I1968" s="28" t="s">
        <v>332</v>
      </c>
      <c r="J1968" s="33"/>
      <c r="K1968" s="28" t="str">
        <f>IFERROR(__xludf.DUMMYFUNCTION("IFERROR(
INDEX(
FILTER(
MAP(
reglas!$B$2:$B$240,
reglas!$C$2:$C$240,
reglas!$D$2:$D$240,
reglas!$E$2:$E$240,
LAMBDA(rEmisor,rPatron,rConcepto,rTipo,
IF(
AND(
OR(
UPPER(TRIM(rEmisor))=UPPER(TRIM(C1968)),
UPPER(TRIM(rEmisor))=""CUALQUIERA""
),
OR(
UPPER(TRI"&amp;"M(rTipo))=""SOLO EMISOR"",
AND(
UPPER(TRIM(rTipo))=""EXACTA"",
UPPER(TRIM(AG1968))=UPPER(TRIM(rPatron))
),
AND(
OR(
UPPER(TRIM(rTipo))=""CONTIENE"",
UPPER(TRIM(rTipo))=""COINCIDENCIA""
),
ISNUMBER(SEARCH(UPPER(TRIM(rPatron)),UPPER(TRIM(D1968))))
)
)
),
rC"&amp;"oncepto,
""""
)
)
),
MAP(
reglas!$B$2:$B$240,
reglas!$C$2:$C$240,
reglas!$D$2:$D$240,
reglas!$E$2:$E$240,
LAMBDA(rEmisor,rPatron,rConcepto,rTipo,
IF(
AND(
OR(
UPPER(TRIM(rEmisor))=UPPER(TRIM(C1968)),
UPPER(TRIM(rEmisor))=""CUALQUIERA""
),
OR(
UPPER(TRIM(r"&amp;"Tipo))=""SOLO EMISOR"",
AND(
UPPER(TRIM(rTipo))=""EXACTA"",
UPPER(TRIM(D1968))=UPPER(TRIM(rPatron))
),
AND(
OR(
UPPER(TRIM(rTipo))=""CONTIENE"",
UPPER(TRIM(rTipo))=""COINCIDENCIA""
),
ISNUMBER(SEARCH(UPPER(TRIM(rPatron)),UPPER(TRIM(D1968))))
)
)
),
rConce"&amp;"pto,
""""
)
)
)&lt;&gt;""""
),
1
),
""""
)"),"CASETAS")</f>
        <v>CASETAS</v>
      </c>
      <c r="L1968" s="27"/>
      <c r="M1968" s="27"/>
      <c r="N1968" s="27"/>
      <c r="O1968" s="27"/>
      <c r="P1968" s="27"/>
      <c r="Q1968" s="27"/>
      <c r="R1968" s="27"/>
      <c r="S1968" s="27"/>
      <c r="T1968" s="27"/>
      <c r="U1968" s="27"/>
      <c r="V1968" s="27"/>
      <c r="W1968" s="27"/>
      <c r="X1968" s="27"/>
      <c r="Y1968" s="27"/>
    </row>
    <row r="1969">
      <c r="A1969" s="32"/>
      <c r="B1969" s="32"/>
      <c r="C1969" s="29" t="s">
        <v>222</v>
      </c>
      <c r="D1969" s="29" t="s">
        <v>1403</v>
      </c>
      <c r="E1969" s="28">
        <v>27.61</v>
      </c>
      <c r="F1969" s="28">
        <v>0.0</v>
      </c>
      <c r="G1969" s="28" t="s">
        <v>332</v>
      </c>
      <c r="H1969" s="28" t="str">
        <f t="array" ref="H1969">INDEX(CC!C:C,MATCH(1,(CC!A:A=G1969)*(CC!B:B=I1969),0))</f>
        <v>#N/A</v>
      </c>
      <c r="I1969" s="28" t="s">
        <v>332</v>
      </c>
      <c r="J1969" s="33"/>
      <c r="K1969" s="28" t="str">
        <f>IFERROR(__xludf.DUMMYFUNCTION("IFERROR(
INDEX(
FILTER(
MAP(
reglas!$B$2:$B$240,
reglas!$C$2:$C$240,
reglas!$D$2:$D$240,
reglas!$E$2:$E$240,
LAMBDA(rEmisor,rPatron,rConcepto,rTipo,
IF(
AND(
OR(
UPPER(TRIM(rEmisor))=UPPER(TRIM(C1969)),
UPPER(TRIM(rEmisor))=""CUALQUIERA""
),
OR(
UPPER(TRI"&amp;"M(rTipo))=""SOLO EMISOR"",
AND(
UPPER(TRIM(rTipo))=""EXACTA"",
UPPER(TRIM(AG1969))=UPPER(TRIM(rPatron))
),
AND(
OR(
UPPER(TRIM(rTipo))=""CONTIENE"",
UPPER(TRIM(rTipo))=""COINCIDENCIA""
),
ISNUMBER(SEARCH(UPPER(TRIM(rPatron)),UPPER(TRIM(D1969))))
)
)
),
rC"&amp;"oncepto,
""""
)
)
),
MAP(
reglas!$B$2:$B$240,
reglas!$C$2:$C$240,
reglas!$D$2:$D$240,
reglas!$E$2:$E$240,
LAMBDA(rEmisor,rPatron,rConcepto,rTipo,
IF(
AND(
OR(
UPPER(TRIM(rEmisor))=UPPER(TRIM(C1969)),
UPPER(TRIM(rEmisor))=""CUALQUIERA""
),
OR(
UPPER(TRIM(r"&amp;"Tipo))=""SOLO EMISOR"",
AND(
UPPER(TRIM(rTipo))=""EXACTA"",
UPPER(TRIM(D1969))=UPPER(TRIM(rPatron))
),
AND(
OR(
UPPER(TRIM(rTipo))=""CONTIENE"",
UPPER(TRIM(rTipo))=""COINCIDENCIA""
),
ISNUMBER(SEARCH(UPPER(TRIM(rPatron)),UPPER(TRIM(D1969))))
)
)
),
rConce"&amp;"pto,
""""
)
)
)&lt;&gt;""""
),
1
),
""""
)"),"CASETAS")</f>
        <v>CASETAS</v>
      </c>
      <c r="L1969" s="27"/>
      <c r="M1969" s="27"/>
      <c r="N1969" s="27"/>
      <c r="O1969" s="27"/>
      <c r="P1969" s="27"/>
      <c r="Q1969" s="27"/>
      <c r="R1969" s="27"/>
      <c r="S1969" s="27"/>
      <c r="T1969" s="27"/>
      <c r="U1969" s="27"/>
      <c r="V1969" s="27"/>
      <c r="W1969" s="27"/>
      <c r="X1969" s="27"/>
      <c r="Y1969" s="27"/>
    </row>
    <row r="1970">
      <c r="A1970" s="32"/>
      <c r="B1970" s="32"/>
      <c r="C1970" s="29" t="s">
        <v>222</v>
      </c>
      <c r="D1970" s="29" t="s">
        <v>1403</v>
      </c>
      <c r="E1970" s="28">
        <v>85.21</v>
      </c>
      <c r="F1970" s="28">
        <v>0.0</v>
      </c>
      <c r="G1970" s="28" t="s">
        <v>332</v>
      </c>
      <c r="H1970" s="28" t="str">
        <f t="array" ref="H1970">INDEX(CC!C:C,MATCH(1,(CC!A:A=G1970)*(CC!B:B=I1970),0))</f>
        <v>#N/A</v>
      </c>
      <c r="I1970" s="28" t="s">
        <v>332</v>
      </c>
      <c r="J1970" s="33"/>
      <c r="K1970" s="28" t="str">
        <f>IFERROR(__xludf.DUMMYFUNCTION("IFERROR(
INDEX(
FILTER(
MAP(
reglas!$B$2:$B$240,
reglas!$C$2:$C$240,
reglas!$D$2:$D$240,
reglas!$E$2:$E$240,
LAMBDA(rEmisor,rPatron,rConcepto,rTipo,
IF(
AND(
OR(
UPPER(TRIM(rEmisor))=UPPER(TRIM(C1970)),
UPPER(TRIM(rEmisor))=""CUALQUIERA""
),
OR(
UPPER(TRI"&amp;"M(rTipo))=""SOLO EMISOR"",
AND(
UPPER(TRIM(rTipo))=""EXACTA"",
UPPER(TRIM(AG1970))=UPPER(TRIM(rPatron))
),
AND(
OR(
UPPER(TRIM(rTipo))=""CONTIENE"",
UPPER(TRIM(rTipo))=""COINCIDENCIA""
),
ISNUMBER(SEARCH(UPPER(TRIM(rPatron)),UPPER(TRIM(D1970))))
)
)
),
rC"&amp;"oncepto,
""""
)
)
),
MAP(
reglas!$B$2:$B$240,
reglas!$C$2:$C$240,
reglas!$D$2:$D$240,
reglas!$E$2:$E$240,
LAMBDA(rEmisor,rPatron,rConcepto,rTipo,
IF(
AND(
OR(
UPPER(TRIM(rEmisor))=UPPER(TRIM(C1970)),
UPPER(TRIM(rEmisor))=""CUALQUIERA""
),
OR(
UPPER(TRIM(r"&amp;"Tipo))=""SOLO EMISOR"",
AND(
UPPER(TRIM(rTipo))=""EXACTA"",
UPPER(TRIM(D1970))=UPPER(TRIM(rPatron))
),
AND(
OR(
UPPER(TRIM(rTipo))=""CONTIENE"",
UPPER(TRIM(rTipo))=""COINCIDENCIA""
),
ISNUMBER(SEARCH(UPPER(TRIM(rPatron)),UPPER(TRIM(D1970))))
)
)
),
rConce"&amp;"pto,
""""
)
)
)&lt;&gt;""""
),
1
),
""""
)"),"CASETAS")</f>
        <v>CASETAS</v>
      </c>
      <c r="L1970" s="27"/>
      <c r="M1970" s="27"/>
      <c r="N1970" s="27"/>
      <c r="O1970" s="27"/>
      <c r="P1970" s="27"/>
      <c r="Q1970" s="27"/>
      <c r="R1970" s="27"/>
      <c r="S1970" s="27"/>
      <c r="T1970" s="27"/>
      <c r="U1970" s="27"/>
      <c r="V1970" s="27"/>
      <c r="W1970" s="27"/>
      <c r="X1970" s="27"/>
      <c r="Y1970" s="27"/>
    </row>
    <row r="1971">
      <c r="A1971" s="32"/>
      <c r="B1971" s="32"/>
      <c r="C1971" s="29" t="s">
        <v>222</v>
      </c>
      <c r="D1971" s="29" t="s">
        <v>1403</v>
      </c>
      <c r="E1971" s="28">
        <v>464.95</v>
      </c>
      <c r="F1971" s="28">
        <v>0.0</v>
      </c>
      <c r="G1971" s="28" t="s">
        <v>332</v>
      </c>
      <c r="H1971" s="28" t="str">
        <f t="array" ref="H1971">INDEX(CC!C:C,MATCH(1,(CC!A:A=G1971)*(CC!B:B=I1971),0))</f>
        <v>#N/A</v>
      </c>
      <c r="I1971" s="28" t="s">
        <v>332</v>
      </c>
      <c r="J1971" s="33"/>
      <c r="K1971" s="28" t="str">
        <f>IFERROR(__xludf.DUMMYFUNCTION("IFERROR(
INDEX(
FILTER(
MAP(
reglas!$B$2:$B$240,
reglas!$C$2:$C$240,
reglas!$D$2:$D$240,
reglas!$E$2:$E$240,
LAMBDA(rEmisor,rPatron,rConcepto,rTipo,
IF(
AND(
OR(
UPPER(TRIM(rEmisor))=UPPER(TRIM(C1971)),
UPPER(TRIM(rEmisor))=""CUALQUIERA""
),
OR(
UPPER(TRI"&amp;"M(rTipo))=""SOLO EMISOR"",
AND(
UPPER(TRIM(rTipo))=""EXACTA"",
UPPER(TRIM(AG1971))=UPPER(TRIM(rPatron))
),
AND(
OR(
UPPER(TRIM(rTipo))=""CONTIENE"",
UPPER(TRIM(rTipo))=""COINCIDENCIA""
),
ISNUMBER(SEARCH(UPPER(TRIM(rPatron)),UPPER(TRIM(D1971))))
)
)
),
rC"&amp;"oncepto,
""""
)
)
),
MAP(
reglas!$B$2:$B$240,
reglas!$C$2:$C$240,
reglas!$D$2:$D$240,
reglas!$E$2:$E$240,
LAMBDA(rEmisor,rPatron,rConcepto,rTipo,
IF(
AND(
OR(
UPPER(TRIM(rEmisor))=UPPER(TRIM(C1971)),
UPPER(TRIM(rEmisor))=""CUALQUIERA""
),
OR(
UPPER(TRIM(r"&amp;"Tipo))=""SOLO EMISOR"",
AND(
UPPER(TRIM(rTipo))=""EXACTA"",
UPPER(TRIM(D1971))=UPPER(TRIM(rPatron))
),
AND(
OR(
UPPER(TRIM(rTipo))=""CONTIENE"",
UPPER(TRIM(rTipo))=""COINCIDENCIA""
),
ISNUMBER(SEARCH(UPPER(TRIM(rPatron)),UPPER(TRIM(D1971))))
)
)
),
rConce"&amp;"pto,
""""
)
)
)&lt;&gt;""""
),
1
),
""""
)"),"CASETAS")</f>
        <v>CASETAS</v>
      </c>
      <c r="L1971" s="27"/>
      <c r="M1971" s="27"/>
      <c r="N1971" s="27"/>
      <c r="O1971" s="27"/>
      <c r="P1971" s="27"/>
      <c r="Q1971" s="27"/>
      <c r="R1971" s="27"/>
      <c r="S1971" s="27"/>
      <c r="T1971" s="27"/>
      <c r="U1971" s="27"/>
      <c r="V1971" s="27"/>
      <c r="W1971" s="27"/>
      <c r="X1971" s="27"/>
      <c r="Y1971" s="27"/>
    </row>
    <row r="1972">
      <c r="A1972" s="32"/>
      <c r="B1972" s="32"/>
      <c r="C1972" s="29" t="s">
        <v>222</v>
      </c>
      <c r="D1972" s="29" t="s">
        <v>1403</v>
      </c>
      <c r="E1972" s="28">
        <v>338.95</v>
      </c>
      <c r="F1972" s="28">
        <v>0.0</v>
      </c>
      <c r="G1972" s="28" t="s">
        <v>332</v>
      </c>
      <c r="H1972" s="28" t="str">
        <f t="array" ref="H1972">INDEX(CC!C:C,MATCH(1,(CC!A:A=G1972)*(CC!B:B=I1972),0))</f>
        <v>#N/A</v>
      </c>
      <c r="I1972" s="28" t="s">
        <v>332</v>
      </c>
      <c r="J1972" s="33"/>
      <c r="K1972" s="28" t="str">
        <f>IFERROR(__xludf.DUMMYFUNCTION("IFERROR(
INDEX(
FILTER(
MAP(
reglas!$B$2:$B$240,
reglas!$C$2:$C$240,
reglas!$D$2:$D$240,
reglas!$E$2:$E$240,
LAMBDA(rEmisor,rPatron,rConcepto,rTipo,
IF(
AND(
OR(
UPPER(TRIM(rEmisor))=UPPER(TRIM(C1972)),
UPPER(TRIM(rEmisor))=""CUALQUIERA""
),
OR(
UPPER(TRI"&amp;"M(rTipo))=""SOLO EMISOR"",
AND(
UPPER(TRIM(rTipo))=""EXACTA"",
UPPER(TRIM(AG1972))=UPPER(TRIM(rPatron))
),
AND(
OR(
UPPER(TRIM(rTipo))=""CONTIENE"",
UPPER(TRIM(rTipo))=""COINCIDENCIA""
),
ISNUMBER(SEARCH(UPPER(TRIM(rPatron)),UPPER(TRIM(D1972))))
)
)
),
rC"&amp;"oncepto,
""""
)
)
),
MAP(
reglas!$B$2:$B$240,
reglas!$C$2:$C$240,
reglas!$D$2:$D$240,
reglas!$E$2:$E$240,
LAMBDA(rEmisor,rPatron,rConcepto,rTipo,
IF(
AND(
OR(
UPPER(TRIM(rEmisor))=UPPER(TRIM(C1972)),
UPPER(TRIM(rEmisor))=""CUALQUIERA""
),
OR(
UPPER(TRIM(r"&amp;"Tipo))=""SOLO EMISOR"",
AND(
UPPER(TRIM(rTipo))=""EXACTA"",
UPPER(TRIM(D1972))=UPPER(TRIM(rPatron))
),
AND(
OR(
UPPER(TRIM(rTipo))=""CONTIENE"",
UPPER(TRIM(rTipo))=""COINCIDENCIA""
),
ISNUMBER(SEARCH(UPPER(TRIM(rPatron)),UPPER(TRIM(D1972))))
)
)
),
rConce"&amp;"pto,
""""
)
)
)&lt;&gt;""""
),
1
),
""""
)"),"CASETAS")</f>
        <v>CASETAS</v>
      </c>
      <c r="L1972" s="27"/>
      <c r="M1972" s="27"/>
      <c r="N1972" s="27"/>
      <c r="O1972" s="27"/>
      <c r="P1972" s="27"/>
      <c r="Q1972" s="27"/>
      <c r="R1972" s="27"/>
      <c r="S1972" s="27"/>
      <c r="T1972" s="27"/>
      <c r="U1972" s="27"/>
      <c r="V1972" s="27"/>
      <c r="W1972" s="27"/>
      <c r="X1972" s="27"/>
      <c r="Y1972" s="27"/>
    </row>
    <row r="1973">
      <c r="A1973" s="32"/>
      <c r="B1973" s="32"/>
      <c r="C1973" s="29" t="s">
        <v>222</v>
      </c>
      <c r="D1973" s="29" t="s">
        <v>1418</v>
      </c>
      <c r="E1973" s="28">
        <v>14.61</v>
      </c>
      <c r="F1973" s="28">
        <v>0.0</v>
      </c>
      <c r="G1973" s="28" t="s">
        <v>332</v>
      </c>
      <c r="H1973" s="28" t="str">
        <f t="array" ref="H1973">INDEX(CC!C:C,MATCH(1,(CC!A:A=G1973)*(CC!B:B=I1973),0))</f>
        <v>#N/A</v>
      </c>
      <c r="I1973" s="28" t="s">
        <v>332</v>
      </c>
      <c r="J1973" s="33"/>
      <c r="K1973" s="28" t="str">
        <f>IFERROR(__xludf.DUMMYFUNCTION("IFERROR(
INDEX(
FILTER(
MAP(
reglas!$B$2:$B$240,
reglas!$C$2:$C$240,
reglas!$D$2:$D$240,
reglas!$E$2:$E$240,
LAMBDA(rEmisor,rPatron,rConcepto,rTipo,
IF(
AND(
OR(
UPPER(TRIM(rEmisor))=UPPER(TRIM(C1973)),
UPPER(TRIM(rEmisor))=""CUALQUIERA""
),
OR(
UPPER(TRI"&amp;"M(rTipo))=""SOLO EMISOR"",
AND(
UPPER(TRIM(rTipo))=""EXACTA"",
UPPER(TRIM(AG1973))=UPPER(TRIM(rPatron))
),
AND(
OR(
UPPER(TRIM(rTipo))=""CONTIENE"",
UPPER(TRIM(rTipo))=""COINCIDENCIA""
),
ISNUMBER(SEARCH(UPPER(TRIM(rPatron)),UPPER(TRIM(D1973))))
)
)
),
rC"&amp;"oncepto,
""""
)
)
),
MAP(
reglas!$B$2:$B$240,
reglas!$C$2:$C$240,
reglas!$D$2:$D$240,
reglas!$E$2:$E$240,
LAMBDA(rEmisor,rPatron,rConcepto,rTipo,
IF(
AND(
OR(
UPPER(TRIM(rEmisor))=UPPER(TRIM(C1973)),
UPPER(TRIM(rEmisor))=""CUALQUIERA""
),
OR(
UPPER(TRIM(r"&amp;"Tipo))=""SOLO EMISOR"",
AND(
UPPER(TRIM(rTipo))=""EXACTA"",
UPPER(TRIM(D1973))=UPPER(TRIM(rPatron))
),
AND(
OR(
UPPER(TRIM(rTipo))=""CONTIENE"",
UPPER(TRIM(rTipo))=""COINCIDENCIA""
),
ISNUMBER(SEARCH(UPPER(TRIM(rPatron)),UPPER(TRIM(D1973))))
)
)
),
rConce"&amp;"pto,
""""
)
)
)&lt;&gt;""""
),
1
),
""""
)"),"CASETAS")</f>
        <v>CASETAS</v>
      </c>
      <c r="L1973" s="27"/>
      <c r="M1973" s="27"/>
      <c r="N1973" s="27"/>
      <c r="O1973" s="27"/>
      <c r="P1973" s="27"/>
      <c r="Q1973" s="27"/>
      <c r="R1973" s="27"/>
      <c r="S1973" s="27"/>
      <c r="T1973" s="27"/>
      <c r="U1973" s="27"/>
      <c r="V1973" s="27"/>
      <c r="W1973" s="27"/>
      <c r="X1973" s="27"/>
      <c r="Y1973" s="27"/>
    </row>
    <row r="1974">
      <c r="A1974" s="32"/>
      <c r="B1974" s="32"/>
      <c r="C1974" s="29" t="s">
        <v>222</v>
      </c>
      <c r="D1974" s="29" t="s">
        <v>1418</v>
      </c>
      <c r="E1974" s="28">
        <v>22.84</v>
      </c>
      <c r="F1974" s="28">
        <v>0.0</v>
      </c>
      <c r="G1974" s="28" t="s">
        <v>332</v>
      </c>
      <c r="H1974" s="28" t="str">
        <f t="array" ref="H1974">INDEX(CC!C:C,MATCH(1,(CC!A:A=G1974)*(CC!B:B=I1974),0))</f>
        <v>#N/A</v>
      </c>
      <c r="I1974" s="28" t="s">
        <v>332</v>
      </c>
      <c r="J1974" s="33"/>
      <c r="K1974" s="28" t="str">
        <f>IFERROR(__xludf.DUMMYFUNCTION("IFERROR(
INDEX(
FILTER(
MAP(
reglas!$B$2:$B$240,
reglas!$C$2:$C$240,
reglas!$D$2:$D$240,
reglas!$E$2:$E$240,
LAMBDA(rEmisor,rPatron,rConcepto,rTipo,
IF(
AND(
OR(
UPPER(TRIM(rEmisor))=UPPER(TRIM(C1974)),
UPPER(TRIM(rEmisor))=""CUALQUIERA""
),
OR(
UPPER(TRI"&amp;"M(rTipo))=""SOLO EMISOR"",
AND(
UPPER(TRIM(rTipo))=""EXACTA"",
UPPER(TRIM(AG1974))=UPPER(TRIM(rPatron))
),
AND(
OR(
UPPER(TRIM(rTipo))=""CONTIENE"",
UPPER(TRIM(rTipo))=""COINCIDENCIA""
),
ISNUMBER(SEARCH(UPPER(TRIM(rPatron)),UPPER(TRIM(D1974))))
)
)
),
rC"&amp;"oncepto,
""""
)
)
),
MAP(
reglas!$B$2:$B$240,
reglas!$C$2:$C$240,
reglas!$D$2:$D$240,
reglas!$E$2:$E$240,
LAMBDA(rEmisor,rPatron,rConcepto,rTipo,
IF(
AND(
OR(
UPPER(TRIM(rEmisor))=UPPER(TRIM(C1974)),
UPPER(TRIM(rEmisor))=""CUALQUIERA""
),
OR(
UPPER(TRIM(r"&amp;"Tipo))=""SOLO EMISOR"",
AND(
UPPER(TRIM(rTipo))=""EXACTA"",
UPPER(TRIM(D1974))=UPPER(TRIM(rPatron))
),
AND(
OR(
UPPER(TRIM(rTipo))=""CONTIENE"",
UPPER(TRIM(rTipo))=""COINCIDENCIA""
),
ISNUMBER(SEARCH(UPPER(TRIM(rPatron)),UPPER(TRIM(D1974))))
)
)
),
rConce"&amp;"pto,
""""
)
)
)&lt;&gt;""""
),
1
),
""""
)"),"CASETAS")</f>
        <v>CASETAS</v>
      </c>
      <c r="L1974" s="27"/>
      <c r="M1974" s="27"/>
      <c r="N1974" s="27"/>
      <c r="O1974" s="27"/>
      <c r="P1974" s="27"/>
      <c r="Q1974" s="27"/>
      <c r="R1974" s="27"/>
      <c r="S1974" s="27"/>
      <c r="T1974" s="27"/>
      <c r="U1974" s="27"/>
      <c r="V1974" s="27"/>
      <c r="W1974" s="27"/>
      <c r="X1974" s="27"/>
      <c r="Y1974" s="27"/>
    </row>
    <row r="1975">
      <c r="A1975" s="32"/>
      <c r="B1975" s="32"/>
      <c r="C1975" s="29" t="s">
        <v>222</v>
      </c>
      <c r="D1975" s="29" t="s">
        <v>1420</v>
      </c>
      <c r="E1975" s="28">
        <v>85.34</v>
      </c>
      <c r="F1975" s="28">
        <v>0.0</v>
      </c>
      <c r="G1975" s="28" t="s">
        <v>332</v>
      </c>
      <c r="H1975" s="28" t="str">
        <f t="array" ref="H1975">INDEX(CC!C:C,MATCH(1,(CC!A:A=G1975)*(CC!B:B=I1975),0))</f>
        <v>#N/A</v>
      </c>
      <c r="I1975" s="28" t="s">
        <v>332</v>
      </c>
      <c r="J1975" s="33"/>
      <c r="K1975" s="28" t="str">
        <f>IFERROR(__xludf.DUMMYFUNCTION("IFERROR(
INDEX(
FILTER(
MAP(
reglas!$B$2:$B$240,
reglas!$C$2:$C$240,
reglas!$D$2:$D$240,
reglas!$E$2:$E$240,
LAMBDA(rEmisor,rPatron,rConcepto,rTipo,
IF(
AND(
OR(
UPPER(TRIM(rEmisor))=UPPER(TRIM(C1975)),
UPPER(TRIM(rEmisor))=""CUALQUIERA""
),
OR(
UPPER(TRI"&amp;"M(rTipo))=""SOLO EMISOR"",
AND(
UPPER(TRIM(rTipo))=""EXACTA"",
UPPER(TRIM(AG1975))=UPPER(TRIM(rPatron))
),
AND(
OR(
UPPER(TRIM(rTipo))=""CONTIENE"",
UPPER(TRIM(rTipo))=""COINCIDENCIA""
),
ISNUMBER(SEARCH(UPPER(TRIM(rPatron)),UPPER(TRIM(D1975))))
)
)
),
rC"&amp;"oncepto,
""""
)
)
),
MAP(
reglas!$B$2:$B$240,
reglas!$C$2:$C$240,
reglas!$D$2:$D$240,
reglas!$E$2:$E$240,
LAMBDA(rEmisor,rPatron,rConcepto,rTipo,
IF(
AND(
OR(
UPPER(TRIM(rEmisor))=UPPER(TRIM(C1975)),
UPPER(TRIM(rEmisor))=""CUALQUIERA""
),
OR(
UPPER(TRIM(r"&amp;"Tipo))=""SOLO EMISOR"",
AND(
UPPER(TRIM(rTipo))=""EXACTA"",
UPPER(TRIM(D1975))=UPPER(TRIM(rPatron))
),
AND(
OR(
UPPER(TRIM(rTipo))=""CONTIENE"",
UPPER(TRIM(rTipo))=""COINCIDENCIA""
),
ISNUMBER(SEARCH(UPPER(TRIM(rPatron)),UPPER(TRIM(D1975))))
)
)
),
rConce"&amp;"pto,
""""
)
)
)&lt;&gt;""""
),
1
),
""""
)"),"CASETAS")</f>
        <v>CASETAS</v>
      </c>
      <c r="L1975" s="27"/>
      <c r="M1975" s="27"/>
      <c r="N1975" s="27"/>
      <c r="O1975" s="27"/>
      <c r="P1975" s="27"/>
      <c r="Q1975" s="27"/>
      <c r="R1975" s="27"/>
      <c r="S1975" s="27"/>
      <c r="T1975" s="27"/>
      <c r="U1975" s="27"/>
      <c r="V1975" s="27"/>
      <c r="W1975" s="27"/>
      <c r="X1975" s="27"/>
      <c r="Y1975" s="27"/>
    </row>
    <row r="1976">
      <c r="A1976" s="32"/>
      <c r="B1976" s="32"/>
      <c r="C1976" s="29" t="s">
        <v>222</v>
      </c>
      <c r="D1976" s="29" t="s">
        <v>1420</v>
      </c>
      <c r="E1976" s="28">
        <v>191.38</v>
      </c>
      <c r="F1976" s="28">
        <v>0.0</v>
      </c>
      <c r="G1976" s="28" t="s">
        <v>332</v>
      </c>
      <c r="H1976" s="28" t="str">
        <f t="array" ref="H1976">INDEX(CC!C:C,MATCH(1,(CC!A:A=G1976)*(CC!B:B=I1976),0))</f>
        <v>#N/A</v>
      </c>
      <c r="I1976" s="28" t="s">
        <v>332</v>
      </c>
      <c r="J1976" s="33"/>
      <c r="K1976" s="28" t="str">
        <f>IFERROR(__xludf.DUMMYFUNCTION("IFERROR(
INDEX(
FILTER(
MAP(
reglas!$B$2:$B$240,
reglas!$C$2:$C$240,
reglas!$D$2:$D$240,
reglas!$E$2:$E$240,
LAMBDA(rEmisor,rPatron,rConcepto,rTipo,
IF(
AND(
OR(
UPPER(TRIM(rEmisor))=UPPER(TRIM(C1976)),
UPPER(TRIM(rEmisor))=""CUALQUIERA""
),
OR(
UPPER(TRI"&amp;"M(rTipo))=""SOLO EMISOR"",
AND(
UPPER(TRIM(rTipo))=""EXACTA"",
UPPER(TRIM(AG1976))=UPPER(TRIM(rPatron))
),
AND(
OR(
UPPER(TRIM(rTipo))=""CONTIENE"",
UPPER(TRIM(rTipo))=""COINCIDENCIA""
),
ISNUMBER(SEARCH(UPPER(TRIM(rPatron)),UPPER(TRIM(D1976))))
)
)
),
rC"&amp;"oncepto,
""""
)
)
),
MAP(
reglas!$B$2:$B$240,
reglas!$C$2:$C$240,
reglas!$D$2:$D$240,
reglas!$E$2:$E$240,
LAMBDA(rEmisor,rPatron,rConcepto,rTipo,
IF(
AND(
OR(
UPPER(TRIM(rEmisor))=UPPER(TRIM(C1976)),
UPPER(TRIM(rEmisor))=""CUALQUIERA""
),
OR(
UPPER(TRIM(r"&amp;"Tipo))=""SOLO EMISOR"",
AND(
UPPER(TRIM(rTipo))=""EXACTA"",
UPPER(TRIM(D1976))=UPPER(TRIM(rPatron))
),
AND(
OR(
UPPER(TRIM(rTipo))=""CONTIENE"",
UPPER(TRIM(rTipo))=""COINCIDENCIA""
),
ISNUMBER(SEARCH(UPPER(TRIM(rPatron)),UPPER(TRIM(D1976))))
)
)
),
rConce"&amp;"pto,
""""
)
)
)&lt;&gt;""""
),
1
),
""""
)"),"CASETAS")</f>
        <v>CASETAS</v>
      </c>
      <c r="L1976" s="27"/>
      <c r="M1976" s="27"/>
      <c r="N1976" s="27"/>
      <c r="O1976" s="27"/>
      <c r="P1976" s="27"/>
      <c r="Q1976" s="27"/>
      <c r="R1976" s="27"/>
      <c r="S1976" s="27"/>
      <c r="T1976" s="27"/>
      <c r="U1976" s="27"/>
      <c r="V1976" s="27"/>
      <c r="W1976" s="27"/>
      <c r="X1976" s="27"/>
      <c r="Y1976" s="27"/>
    </row>
    <row r="1977">
      <c r="A1977" s="32"/>
      <c r="B1977" s="32"/>
      <c r="C1977" s="29" t="s">
        <v>222</v>
      </c>
      <c r="D1977" s="29" t="s">
        <v>2062</v>
      </c>
      <c r="E1977" s="28">
        <v>443.1</v>
      </c>
      <c r="F1977" s="28">
        <v>0.0</v>
      </c>
      <c r="G1977" s="28" t="s">
        <v>332</v>
      </c>
      <c r="H1977" s="28" t="str">
        <f t="array" ref="H1977">INDEX(CC!C:C,MATCH(1,(CC!A:A=G1977)*(CC!B:B=I1977),0))</f>
        <v>#N/A</v>
      </c>
      <c r="I1977" s="28" t="s">
        <v>332</v>
      </c>
      <c r="J1977" s="33"/>
      <c r="K1977" s="28" t="str">
        <f>IFERROR(__xludf.DUMMYFUNCTION("IFERROR(
INDEX(
FILTER(
MAP(
reglas!$B$2:$B$240,
reglas!$C$2:$C$240,
reglas!$D$2:$D$240,
reglas!$E$2:$E$240,
LAMBDA(rEmisor,rPatron,rConcepto,rTipo,
IF(
AND(
OR(
UPPER(TRIM(rEmisor))=UPPER(TRIM(C1977)),
UPPER(TRIM(rEmisor))=""CUALQUIERA""
),
OR(
UPPER(TRI"&amp;"M(rTipo))=""SOLO EMISOR"",
AND(
UPPER(TRIM(rTipo))=""EXACTA"",
UPPER(TRIM(AG1977))=UPPER(TRIM(rPatron))
),
AND(
OR(
UPPER(TRIM(rTipo))=""CONTIENE"",
UPPER(TRIM(rTipo))=""COINCIDENCIA""
),
ISNUMBER(SEARCH(UPPER(TRIM(rPatron)),UPPER(TRIM(D1977))))
)
)
),
rC"&amp;"oncepto,
""""
)
)
),
MAP(
reglas!$B$2:$B$240,
reglas!$C$2:$C$240,
reglas!$D$2:$D$240,
reglas!$E$2:$E$240,
LAMBDA(rEmisor,rPatron,rConcepto,rTipo,
IF(
AND(
OR(
UPPER(TRIM(rEmisor))=UPPER(TRIM(C1977)),
UPPER(TRIM(rEmisor))=""CUALQUIERA""
),
OR(
UPPER(TRIM(r"&amp;"Tipo))=""SOLO EMISOR"",
AND(
UPPER(TRIM(rTipo))=""EXACTA"",
UPPER(TRIM(D1977))=UPPER(TRIM(rPatron))
),
AND(
OR(
UPPER(TRIM(rTipo))=""CONTIENE"",
UPPER(TRIM(rTipo))=""COINCIDENCIA""
),
ISNUMBER(SEARCH(UPPER(TRIM(rPatron)),UPPER(TRIM(D1977))))
)
)
),
rConce"&amp;"pto,
""""
)
)
)&lt;&gt;""""
),
1
),
""""
)"),"CASETAS")</f>
        <v>CASETAS</v>
      </c>
      <c r="L1977" s="27"/>
      <c r="M1977" s="27"/>
      <c r="N1977" s="27"/>
      <c r="O1977" s="27"/>
      <c r="P1977" s="27"/>
      <c r="Q1977" s="27"/>
      <c r="R1977" s="27"/>
      <c r="S1977" s="27"/>
      <c r="T1977" s="27"/>
      <c r="U1977" s="27"/>
      <c r="V1977" s="27"/>
      <c r="W1977" s="27"/>
      <c r="X1977" s="27"/>
      <c r="Y1977" s="27"/>
    </row>
    <row r="1978">
      <c r="A1978" s="32"/>
      <c r="B1978" s="32"/>
      <c r="C1978" s="29" t="s">
        <v>222</v>
      </c>
      <c r="D1978" s="29" t="s">
        <v>1424</v>
      </c>
      <c r="E1978" s="28">
        <v>19.83</v>
      </c>
      <c r="F1978" s="28">
        <v>0.0</v>
      </c>
      <c r="G1978" s="28" t="s">
        <v>332</v>
      </c>
      <c r="H1978" s="28" t="str">
        <f t="array" ref="H1978">INDEX(CC!C:C,MATCH(1,(CC!A:A=G1978)*(CC!B:B=I1978),0))</f>
        <v>#N/A</v>
      </c>
      <c r="I1978" s="28" t="s">
        <v>332</v>
      </c>
      <c r="J1978" s="33"/>
      <c r="K1978" s="28" t="str">
        <f>IFERROR(__xludf.DUMMYFUNCTION("IFERROR(
INDEX(
FILTER(
MAP(
reglas!$B$2:$B$240,
reglas!$C$2:$C$240,
reglas!$D$2:$D$240,
reglas!$E$2:$E$240,
LAMBDA(rEmisor,rPatron,rConcepto,rTipo,
IF(
AND(
OR(
UPPER(TRIM(rEmisor))=UPPER(TRIM(C1978)),
UPPER(TRIM(rEmisor))=""CUALQUIERA""
),
OR(
UPPER(TRI"&amp;"M(rTipo))=""SOLO EMISOR"",
AND(
UPPER(TRIM(rTipo))=""EXACTA"",
UPPER(TRIM(AG1978))=UPPER(TRIM(rPatron))
),
AND(
OR(
UPPER(TRIM(rTipo))=""CONTIENE"",
UPPER(TRIM(rTipo))=""COINCIDENCIA""
),
ISNUMBER(SEARCH(UPPER(TRIM(rPatron)),UPPER(TRIM(D1978))))
)
)
),
rC"&amp;"oncepto,
""""
)
)
),
MAP(
reglas!$B$2:$B$240,
reglas!$C$2:$C$240,
reglas!$D$2:$D$240,
reglas!$E$2:$E$240,
LAMBDA(rEmisor,rPatron,rConcepto,rTipo,
IF(
AND(
OR(
UPPER(TRIM(rEmisor))=UPPER(TRIM(C1978)),
UPPER(TRIM(rEmisor))=""CUALQUIERA""
),
OR(
UPPER(TRIM(r"&amp;"Tipo))=""SOLO EMISOR"",
AND(
UPPER(TRIM(rTipo))=""EXACTA"",
UPPER(TRIM(D1978))=UPPER(TRIM(rPatron))
),
AND(
OR(
UPPER(TRIM(rTipo))=""CONTIENE"",
UPPER(TRIM(rTipo))=""COINCIDENCIA""
),
ISNUMBER(SEARCH(UPPER(TRIM(rPatron)),UPPER(TRIM(D1978))))
)
)
),
rConce"&amp;"pto,
""""
)
)
)&lt;&gt;""""
),
1
),
""""
)"),"CASETAS")</f>
        <v>CASETAS</v>
      </c>
      <c r="L1978" s="27"/>
      <c r="M1978" s="27"/>
      <c r="N1978" s="27"/>
      <c r="O1978" s="27"/>
      <c r="P1978" s="27"/>
      <c r="Q1978" s="27"/>
      <c r="R1978" s="27"/>
      <c r="S1978" s="27"/>
      <c r="T1978" s="27"/>
      <c r="U1978" s="27"/>
      <c r="V1978" s="27"/>
      <c r="W1978" s="27"/>
      <c r="X1978" s="27"/>
      <c r="Y1978" s="27"/>
    </row>
    <row r="1979">
      <c r="A1979" s="32"/>
      <c r="B1979" s="32"/>
      <c r="C1979" s="29" t="s">
        <v>222</v>
      </c>
      <c r="D1979" s="29" t="s">
        <v>2063</v>
      </c>
      <c r="E1979" s="28">
        <v>517.24</v>
      </c>
      <c r="F1979" s="28">
        <v>0.0</v>
      </c>
      <c r="G1979" s="28" t="s">
        <v>332</v>
      </c>
      <c r="H1979" s="28" t="str">
        <f t="array" ref="H1979">INDEX(CC!C:C,MATCH(1,(CC!A:A=G1979)*(CC!B:B=I1979),0))</f>
        <v>#N/A</v>
      </c>
      <c r="I1979" s="28" t="s">
        <v>332</v>
      </c>
      <c r="J1979" s="33"/>
      <c r="K1979" s="28" t="str">
        <f>IFERROR(__xludf.DUMMYFUNCTION("IFERROR(
INDEX(
FILTER(
MAP(
reglas!$B$2:$B$240,
reglas!$C$2:$C$240,
reglas!$D$2:$D$240,
reglas!$E$2:$E$240,
LAMBDA(rEmisor,rPatron,rConcepto,rTipo,
IF(
AND(
OR(
UPPER(TRIM(rEmisor))=UPPER(TRIM(C1979)),
UPPER(TRIM(rEmisor))=""CUALQUIERA""
),
OR(
UPPER(TRI"&amp;"M(rTipo))=""SOLO EMISOR"",
AND(
UPPER(TRIM(rTipo))=""EXACTA"",
UPPER(TRIM(AG1979))=UPPER(TRIM(rPatron))
),
AND(
OR(
UPPER(TRIM(rTipo))=""CONTIENE"",
UPPER(TRIM(rTipo))=""COINCIDENCIA""
),
ISNUMBER(SEARCH(UPPER(TRIM(rPatron)),UPPER(TRIM(D1979))))
)
)
),
rC"&amp;"oncepto,
""""
)
)
),
MAP(
reglas!$B$2:$B$240,
reglas!$C$2:$C$240,
reglas!$D$2:$D$240,
reglas!$E$2:$E$240,
LAMBDA(rEmisor,rPatron,rConcepto,rTipo,
IF(
AND(
OR(
UPPER(TRIM(rEmisor))=UPPER(TRIM(C1979)),
UPPER(TRIM(rEmisor))=""CUALQUIERA""
),
OR(
UPPER(TRIM(r"&amp;"Tipo))=""SOLO EMISOR"",
AND(
UPPER(TRIM(rTipo))=""EXACTA"",
UPPER(TRIM(D1979))=UPPER(TRIM(rPatron))
),
AND(
OR(
UPPER(TRIM(rTipo))=""CONTIENE"",
UPPER(TRIM(rTipo))=""COINCIDENCIA""
),
ISNUMBER(SEARCH(UPPER(TRIM(rPatron)),UPPER(TRIM(D1979))))
)
)
),
rConce"&amp;"pto,
""""
)
)
)&lt;&gt;""""
),
1
),
""""
)"),"CASETAS")</f>
        <v>CASETAS</v>
      </c>
      <c r="L1979" s="27"/>
      <c r="M1979" s="27"/>
      <c r="N1979" s="27"/>
      <c r="O1979" s="27"/>
      <c r="P1979" s="27"/>
      <c r="Q1979" s="27"/>
      <c r="R1979" s="27"/>
      <c r="S1979" s="27"/>
      <c r="T1979" s="27"/>
      <c r="U1979" s="27"/>
      <c r="V1979" s="27"/>
      <c r="W1979" s="27"/>
      <c r="X1979" s="27"/>
      <c r="Y1979" s="27"/>
    </row>
    <row r="1980">
      <c r="A1980" s="32"/>
      <c r="B1980" s="32"/>
      <c r="C1980" s="29" t="s">
        <v>222</v>
      </c>
      <c r="D1980" s="29" t="s">
        <v>2063</v>
      </c>
      <c r="E1980" s="28">
        <v>372.41</v>
      </c>
      <c r="F1980" s="28">
        <v>0.0</v>
      </c>
      <c r="G1980" s="28" t="s">
        <v>332</v>
      </c>
      <c r="H1980" s="28" t="str">
        <f t="array" ref="H1980">INDEX(CC!C:C,MATCH(1,(CC!A:A=G1980)*(CC!B:B=I1980),0))</f>
        <v>#N/A</v>
      </c>
      <c r="I1980" s="28" t="s">
        <v>332</v>
      </c>
      <c r="J1980" s="33"/>
      <c r="K1980" s="28" t="str">
        <f>IFERROR(__xludf.DUMMYFUNCTION("IFERROR(
INDEX(
FILTER(
MAP(
reglas!$B$2:$B$240,
reglas!$C$2:$C$240,
reglas!$D$2:$D$240,
reglas!$E$2:$E$240,
LAMBDA(rEmisor,rPatron,rConcepto,rTipo,
IF(
AND(
OR(
UPPER(TRIM(rEmisor))=UPPER(TRIM(C1980)),
UPPER(TRIM(rEmisor))=""CUALQUIERA""
),
OR(
UPPER(TRI"&amp;"M(rTipo))=""SOLO EMISOR"",
AND(
UPPER(TRIM(rTipo))=""EXACTA"",
UPPER(TRIM(AG1980))=UPPER(TRIM(rPatron))
),
AND(
OR(
UPPER(TRIM(rTipo))=""CONTIENE"",
UPPER(TRIM(rTipo))=""COINCIDENCIA""
),
ISNUMBER(SEARCH(UPPER(TRIM(rPatron)),UPPER(TRIM(D1980))))
)
)
),
rC"&amp;"oncepto,
""""
)
)
),
MAP(
reglas!$B$2:$B$240,
reglas!$C$2:$C$240,
reglas!$D$2:$D$240,
reglas!$E$2:$E$240,
LAMBDA(rEmisor,rPatron,rConcepto,rTipo,
IF(
AND(
OR(
UPPER(TRIM(rEmisor))=UPPER(TRIM(C1980)),
UPPER(TRIM(rEmisor))=""CUALQUIERA""
),
OR(
UPPER(TRIM(r"&amp;"Tipo))=""SOLO EMISOR"",
AND(
UPPER(TRIM(rTipo))=""EXACTA"",
UPPER(TRIM(D1980))=UPPER(TRIM(rPatron))
),
AND(
OR(
UPPER(TRIM(rTipo))=""CONTIENE"",
UPPER(TRIM(rTipo))=""COINCIDENCIA""
),
ISNUMBER(SEARCH(UPPER(TRIM(rPatron)),UPPER(TRIM(D1980))))
)
)
),
rConce"&amp;"pto,
""""
)
)
)&lt;&gt;""""
),
1
),
""""
)"),"CASETAS")</f>
        <v>CASETAS</v>
      </c>
      <c r="L1980" s="27"/>
      <c r="M1980" s="27"/>
      <c r="N1980" s="27"/>
      <c r="O1980" s="27"/>
      <c r="P1980" s="27"/>
      <c r="Q1980" s="27"/>
      <c r="R1980" s="27"/>
      <c r="S1980" s="27"/>
      <c r="T1980" s="27"/>
      <c r="U1980" s="27"/>
      <c r="V1980" s="27"/>
      <c r="W1980" s="27"/>
      <c r="X1980" s="27"/>
      <c r="Y1980" s="27"/>
    </row>
    <row r="1981">
      <c r="A1981" s="32"/>
      <c r="B1981" s="32"/>
      <c r="C1981" s="29" t="s">
        <v>222</v>
      </c>
      <c r="D1981" s="29" t="s">
        <v>2064</v>
      </c>
      <c r="E1981" s="28">
        <v>134.48</v>
      </c>
      <c r="F1981" s="28">
        <v>0.0</v>
      </c>
      <c r="G1981" s="28" t="s">
        <v>332</v>
      </c>
      <c r="H1981" s="28" t="str">
        <f t="array" ref="H1981">INDEX(CC!C:C,MATCH(1,(CC!A:A=G1981)*(CC!B:B=I1981),0))</f>
        <v>#N/A</v>
      </c>
      <c r="I1981" s="28" t="s">
        <v>332</v>
      </c>
      <c r="J1981" s="33"/>
      <c r="K1981" s="28" t="str">
        <f>IFERROR(__xludf.DUMMYFUNCTION("IFERROR(
INDEX(
FILTER(
MAP(
reglas!$B$2:$B$240,
reglas!$C$2:$C$240,
reglas!$D$2:$D$240,
reglas!$E$2:$E$240,
LAMBDA(rEmisor,rPatron,rConcepto,rTipo,
IF(
AND(
OR(
UPPER(TRIM(rEmisor))=UPPER(TRIM(C1981)),
UPPER(TRIM(rEmisor))=""CUALQUIERA""
),
OR(
UPPER(TRI"&amp;"M(rTipo))=""SOLO EMISOR"",
AND(
UPPER(TRIM(rTipo))=""EXACTA"",
UPPER(TRIM(AG1981))=UPPER(TRIM(rPatron))
),
AND(
OR(
UPPER(TRIM(rTipo))=""CONTIENE"",
UPPER(TRIM(rTipo))=""COINCIDENCIA""
),
ISNUMBER(SEARCH(UPPER(TRIM(rPatron)),UPPER(TRIM(D1981))))
)
)
),
rC"&amp;"oncepto,
""""
)
)
),
MAP(
reglas!$B$2:$B$240,
reglas!$C$2:$C$240,
reglas!$D$2:$D$240,
reglas!$E$2:$E$240,
LAMBDA(rEmisor,rPatron,rConcepto,rTipo,
IF(
AND(
OR(
UPPER(TRIM(rEmisor))=UPPER(TRIM(C1981)),
UPPER(TRIM(rEmisor))=""CUALQUIERA""
),
OR(
UPPER(TRIM(r"&amp;"Tipo))=""SOLO EMISOR"",
AND(
UPPER(TRIM(rTipo))=""EXACTA"",
UPPER(TRIM(D1981))=UPPER(TRIM(rPatron))
),
AND(
OR(
UPPER(TRIM(rTipo))=""CONTIENE"",
UPPER(TRIM(rTipo))=""COINCIDENCIA""
),
ISNUMBER(SEARCH(UPPER(TRIM(rPatron)),UPPER(TRIM(D1981))))
)
)
),
rConce"&amp;"pto,
""""
)
)
)&lt;&gt;""""
),
1
),
""""
)"),"CASETAS")</f>
        <v>CASETAS</v>
      </c>
      <c r="L1981" s="27"/>
      <c r="M1981" s="27"/>
      <c r="N1981" s="27"/>
      <c r="O1981" s="27"/>
      <c r="P1981" s="27"/>
      <c r="Q1981" s="27"/>
      <c r="R1981" s="27"/>
      <c r="S1981" s="27"/>
      <c r="T1981" s="27"/>
      <c r="U1981" s="27"/>
      <c r="V1981" s="27"/>
      <c r="W1981" s="27"/>
      <c r="X1981" s="27"/>
      <c r="Y1981" s="27"/>
    </row>
    <row r="1982">
      <c r="A1982" s="32"/>
      <c r="B1982" s="32"/>
      <c r="C1982" s="29" t="s">
        <v>222</v>
      </c>
      <c r="D1982" s="29" t="s">
        <v>2065</v>
      </c>
      <c r="E1982" s="28">
        <v>160.34</v>
      </c>
      <c r="F1982" s="28">
        <v>0.0</v>
      </c>
      <c r="G1982" s="28" t="s">
        <v>332</v>
      </c>
      <c r="H1982" s="28" t="str">
        <f t="array" ref="H1982">INDEX(CC!C:C,MATCH(1,(CC!A:A=G1982)*(CC!B:B=I1982),0))</f>
        <v>#N/A</v>
      </c>
      <c r="I1982" s="28" t="s">
        <v>332</v>
      </c>
      <c r="J1982" s="33"/>
      <c r="K1982" s="28" t="str">
        <f>IFERROR(__xludf.DUMMYFUNCTION("IFERROR(
INDEX(
FILTER(
MAP(
reglas!$B$2:$B$240,
reglas!$C$2:$C$240,
reglas!$D$2:$D$240,
reglas!$E$2:$E$240,
LAMBDA(rEmisor,rPatron,rConcepto,rTipo,
IF(
AND(
OR(
UPPER(TRIM(rEmisor))=UPPER(TRIM(C1982)),
UPPER(TRIM(rEmisor))=""CUALQUIERA""
),
OR(
UPPER(TRI"&amp;"M(rTipo))=""SOLO EMISOR"",
AND(
UPPER(TRIM(rTipo))=""EXACTA"",
UPPER(TRIM(AG1982))=UPPER(TRIM(rPatron))
),
AND(
OR(
UPPER(TRIM(rTipo))=""CONTIENE"",
UPPER(TRIM(rTipo))=""COINCIDENCIA""
),
ISNUMBER(SEARCH(UPPER(TRIM(rPatron)),UPPER(TRIM(D1982))))
)
)
),
rC"&amp;"oncepto,
""""
)
)
),
MAP(
reglas!$B$2:$B$240,
reglas!$C$2:$C$240,
reglas!$D$2:$D$240,
reglas!$E$2:$E$240,
LAMBDA(rEmisor,rPatron,rConcepto,rTipo,
IF(
AND(
OR(
UPPER(TRIM(rEmisor))=UPPER(TRIM(C1982)),
UPPER(TRIM(rEmisor))=""CUALQUIERA""
),
OR(
UPPER(TRIM(r"&amp;"Tipo))=""SOLO EMISOR"",
AND(
UPPER(TRIM(rTipo))=""EXACTA"",
UPPER(TRIM(D1982))=UPPER(TRIM(rPatron))
),
AND(
OR(
UPPER(TRIM(rTipo))=""CONTIENE"",
UPPER(TRIM(rTipo))=""COINCIDENCIA""
),
ISNUMBER(SEARCH(UPPER(TRIM(rPatron)),UPPER(TRIM(D1982))))
)
)
),
rConce"&amp;"pto,
""""
)
)
)&lt;&gt;""""
),
1
),
""""
)"),"CASETAS")</f>
        <v>CASETAS</v>
      </c>
      <c r="L1982" s="27"/>
      <c r="M1982" s="27"/>
      <c r="N1982" s="27"/>
      <c r="O1982" s="27"/>
      <c r="P1982" s="27"/>
      <c r="Q1982" s="27"/>
      <c r="R1982" s="27"/>
      <c r="S1982" s="27"/>
      <c r="T1982" s="27"/>
      <c r="U1982" s="27"/>
      <c r="V1982" s="27"/>
      <c r="W1982" s="27"/>
      <c r="X1982" s="27"/>
      <c r="Y1982" s="27"/>
    </row>
    <row r="1983">
      <c r="A1983" s="32"/>
      <c r="B1983" s="32"/>
      <c r="C1983" s="29" t="s">
        <v>222</v>
      </c>
      <c r="D1983" s="29" t="s">
        <v>2066</v>
      </c>
      <c r="E1983" s="28">
        <v>352.01</v>
      </c>
      <c r="F1983" s="28">
        <v>0.0</v>
      </c>
      <c r="G1983" s="28" t="s">
        <v>332</v>
      </c>
      <c r="H1983" s="28" t="str">
        <f t="array" ref="H1983">INDEX(CC!C:C,MATCH(1,(CC!A:A=G1983)*(CC!B:B=I1983),0))</f>
        <v>#N/A</v>
      </c>
      <c r="I1983" s="28" t="s">
        <v>332</v>
      </c>
      <c r="J1983" s="33"/>
      <c r="K1983" s="28" t="str">
        <f>IFERROR(__xludf.DUMMYFUNCTION("IFERROR(
INDEX(
FILTER(
MAP(
reglas!$B$2:$B$240,
reglas!$C$2:$C$240,
reglas!$D$2:$D$240,
reglas!$E$2:$E$240,
LAMBDA(rEmisor,rPatron,rConcepto,rTipo,
IF(
AND(
OR(
UPPER(TRIM(rEmisor))=UPPER(TRIM(C1983)),
UPPER(TRIM(rEmisor))=""CUALQUIERA""
),
OR(
UPPER(TRI"&amp;"M(rTipo))=""SOLO EMISOR"",
AND(
UPPER(TRIM(rTipo))=""EXACTA"",
UPPER(TRIM(AG1983))=UPPER(TRIM(rPatron))
),
AND(
OR(
UPPER(TRIM(rTipo))=""CONTIENE"",
UPPER(TRIM(rTipo))=""COINCIDENCIA""
),
ISNUMBER(SEARCH(UPPER(TRIM(rPatron)),UPPER(TRIM(D1983))))
)
)
),
rC"&amp;"oncepto,
""""
)
)
),
MAP(
reglas!$B$2:$B$240,
reglas!$C$2:$C$240,
reglas!$D$2:$D$240,
reglas!$E$2:$E$240,
LAMBDA(rEmisor,rPatron,rConcepto,rTipo,
IF(
AND(
OR(
UPPER(TRIM(rEmisor))=UPPER(TRIM(C1983)),
UPPER(TRIM(rEmisor))=""CUALQUIERA""
),
OR(
UPPER(TRIM(r"&amp;"Tipo))=""SOLO EMISOR"",
AND(
UPPER(TRIM(rTipo))=""EXACTA"",
UPPER(TRIM(D1983))=UPPER(TRIM(rPatron))
),
AND(
OR(
UPPER(TRIM(rTipo))=""CONTIENE"",
UPPER(TRIM(rTipo))=""COINCIDENCIA""
),
ISNUMBER(SEARCH(UPPER(TRIM(rPatron)),UPPER(TRIM(D1983))))
)
)
),
rConce"&amp;"pto,
""""
)
)
)&lt;&gt;""""
),
1
),
""""
)"),"CASETAS")</f>
        <v>CASETAS</v>
      </c>
      <c r="L1983" s="27"/>
      <c r="M1983" s="27"/>
      <c r="N1983" s="27"/>
      <c r="O1983" s="27"/>
      <c r="P1983" s="27"/>
      <c r="Q1983" s="27"/>
      <c r="R1983" s="27"/>
      <c r="S1983" s="27"/>
      <c r="T1983" s="27"/>
      <c r="U1983" s="27"/>
      <c r="V1983" s="27"/>
      <c r="W1983" s="27"/>
      <c r="X1983" s="27"/>
      <c r="Y1983" s="27"/>
    </row>
    <row r="1984">
      <c r="A1984" s="32"/>
      <c r="B1984" s="32"/>
      <c r="C1984" s="29" t="s">
        <v>222</v>
      </c>
      <c r="D1984" s="29" t="s">
        <v>2066</v>
      </c>
      <c r="E1984" s="28">
        <v>52.69</v>
      </c>
      <c r="F1984" s="28">
        <v>0.0</v>
      </c>
      <c r="G1984" s="28" t="s">
        <v>332</v>
      </c>
      <c r="H1984" s="28" t="str">
        <f t="array" ref="H1984">INDEX(CC!C:C,MATCH(1,(CC!A:A=G1984)*(CC!B:B=I1984),0))</f>
        <v>#N/A</v>
      </c>
      <c r="I1984" s="28" t="s">
        <v>332</v>
      </c>
      <c r="J1984" s="33"/>
      <c r="K1984" s="28" t="str">
        <f>IFERROR(__xludf.DUMMYFUNCTION("IFERROR(
INDEX(
FILTER(
MAP(
reglas!$B$2:$B$240,
reglas!$C$2:$C$240,
reglas!$D$2:$D$240,
reglas!$E$2:$E$240,
LAMBDA(rEmisor,rPatron,rConcepto,rTipo,
IF(
AND(
OR(
UPPER(TRIM(rEmisor))=UPPER(TRIM(C1984)),
UPPER(TRIM(rEmisor))=""CUALQUIERA""
),
OR(
UPPER(TRI"&amp;"M(rTipo))=""SOLO EMISOR"",
AND(
UPPER(TRIM(rTipo))=""EXACTA"",
UPPER(TRIM(AG1984))=UPPER(TRIM(rPatron))
),
AND(
OR(
UPPER(TRIM(rTipo))=""CONTIENE"",
UPPER(TRIM(rTipo))=""COINCIDENCIA""
),
ISNUMBER(SEARCH(UPPER(TRIM(rPatron)),UPPER(TRIM(D1984))))
)
)
),
rC"&amp;"oncepto,
""""
)
)
),
MAP(
reglas!$B$2:$B$240,
reglas!$C$2:$C$240,
reglas!$D$2:$D$240,
reglas!$E$2:$E$240,
LAMBDA(rEmisor,rPatron,rConcepto,rTipo,
IF(
AND(
OR(
UPPER(TRIM(rEmisor))=UPPER(TRIM(C1984)),
UPPER(TRIM(rEmisor))=""CUALQUIERA""
),
OR(
UPPER(TRIM(r"&amp;"Tipo))=""SOLO EMISOR"",
AND(
UPPER(TRIM(rTipo))=""EXACTA"",
UPPER(TRIM(D1984))=UPPER(TRIM(rPatron))
),
AND(
OR(
UPPER(TRIM(rTipo))=""CONTIENE"",
UPPER(TRIM(rTipo))=""COINCIDENCIA""
),
ISNUMBER(SEARCH(UPPER(TRIM(rPatron)),UPPER(TRIM(D1984))))
)
)
),
rConce"&amp;"pto,
""""
)
)
)&lt;&gt;""""
),
1
),
""""
)"),"CASETAS")</f>
        <v>CASETAS</v>
      </c>
      <c r="L1984" s="27"/>
      <c r="M1984" s="27"/>
      <c r="N1984" s="27"/>
      <c r="O1984" s="27"/>
      <c r="P1984" s="27"/>
      <c r="Q1984" s="27"/>
      <c r="R1984" s="27"/>
      <c r="S1984" s="27"/>
      <c r="T1984" s="27"/>
      <c r="U1984" s="27"/>
      <c r="V1984" s="27"/>
      <c r="W1984" s="27"/>
      <c r="X1984" s="27"/>
      <c r="Y1984" s="27"/>
    </row>
    <row r="1985">
      <c r="A1985" s="32"/>
      <c r="B1985" s="32"/>
      <c r="C1985" s="29" t="s">
        <v>222</v>
      </c>
      <c r="D1985" s="29" t="s">
        <v>2067</v>
      </c>
      <c r="E1985" s="28">
        <v>705.17</v>
      </c>
      <c r="F1985" s="28">
        <v>0.0</v>
      </c>
      <c r="G1985" s="28" t="s">
        <v>332</v>
      </c>
      <c r="H1985" s="28" t="str">
        <f t="array" ref="H1985">INDEX(CC!C:C,MATCH(1,(CC!A:A=G1985)*(CC!B:B=I1985),0))</f>
        <v>#N/A</v>
      </c>
      <c r="I1985" s="28" t="s">
        <v>332</v>
      </c>
      <c r="J1985" s="33"/>
      <c r="K1985" s="28" t="str">
        <f>IFERROR(__xludf.DUMMYFUNCTION("IFERROR(
INDEX(
FILTER(
MAP(
reglas!$B$2:$B$240,
reglas!$C$2:$C$240,
reglas!$D$2:$D$240,
reglas!$E$2:$E$240,
LAMBDA(rEmisor,rPatron,rConcepto,rTipo,
IF(
AND(
OR(
UPPER(TRIM(rEmisor))=UPPER(TRIM(C1985)),
UPPER(TRIM(rEmisor))=""CUALQUIERA""
),
OR(
UPPER(TRI"&amp;"M(rTipo))=""SOLO EMISOR"",
AND(
UPPER(TRIM(rTipo))=""EXACTA"",
UPPER(TRIM(AG1985))=UPPER(TRIM(rPatron))
),
AND(
OR(
UPPER(TRIM(rTipo))=""CONTIENE"",
UPPER(TRIM(rTipo))=""COINCIDENCIA""
),
ISNUMBER(SEARCH(UPPER(TRIM(rPatron)),UPPER(TRIM(D1985))))
)
)
),
rC"&amp;"oncepto,
""""
)
)
),
MAP(
reglas!$B$2:$B$240,
reglas!$C$2:$C$240,
reglas!$D$2:$D$240,
reglas!$E$2:$E$240,
LAMBDA(rEmisor,rPatron,rConcepto,rTipo,
IF(
AND(
OR(
UPPER(TRIM(rEmisor))=UPPER(TRIM(C1985)),
UPPER(TRIM(rEmisor))=""CUALQUIERA""
),
OR(
UPPER(TRIM(r"&amp;"Tipo))=""SOLO EMISOR"",
AND(
UPPER(TRIM(rTipo))=""EXACTA"",
UPPER(TRIM(D1985))=UPPER(TRIM(rPatron))
),
AND(
OR(
UPPER(TRIM(rTipo))=""CONTIENE"",
UPPER(TRIM(rTipo))=""COINCIDENCIA""
),
ISNUMBER(SEARCH(UPPER(TRIM(rPatron)),UPPER(TRIM(D1985))))
)
)
),
rConce"&amp;"pto,
""""
)
)
)&lt;&gt;""""
),
1
),
""""
)"),"CASETAS")</f>
        <v>CASETAS</v>
      </c>
      <c r="L1985" s="27"/>
      <c r="M1985" s="27"/>
      <c r="N1985" s="27"/>
      <c r="O1985" s="27"/>
      <c r="P1985" s="27"/>
      <c r="Q1985" s="27"/>
      <c r="R1985" s="27"/>
      <c r="S1985" s="27"/>
      <c r="T1985" s="27"/>
      <c r="U1985" s="27"/>
      <c r="V1985" s="27"/>
      <c r="W1985" s="27"/>
      <c r="X1985" s="27"/>
      <c r="Y1985" s="27"/>
    </row>
    <row r="1986">
      <c r="A1986" s="32"/>
      <c r="B1986" s="28" t="s">
        <v>29</v>
      </c>
      <c r="C1986" s="29" t="s">
        <v>172</v>
      </c>
      <c r="D1986" s="29" t="s">
        <v>2034</v>
      </c>
      <c r="E1986" s="30">
        <v>11500.0</v>
      </c>
      <c r="F1986" s="28">
        <v>0.0</v>
      </c>
      <c r="G1986" s="28" t="s">
        <v>250</v>
      </c>
      <c r="H1986" s="28">
        <f t="array" ref="H1986">INDEX(CC!C:C,MATCH(1,(CC!A:A=G1986)*(CC!B:B=I1986),0))</f>
        <v>1402</v>
      </c>
      <c r="I1986" s="99" t="s">
        <v>25</v>
      </c>
      <c r="J1986" s="31">
        <v>11500.0</v>
      </c>
      <c r="K1986" s="28" t="str">
        <f>IFERROR(__xludf.DUMMYFUNCTION("IFERROR(
INDEX(
FILTER(
MAP(
reglas!$B$2:$B$240,
reglas!$C$2:$C$240,
reglas!$D$2:$D$240,
reglas!$E$2:$E$240,
LAMBDA(rEmisor,rPatron,rConcepto,rTipo,
IF(
AND(
OR(
UPPER(TRIM(rEmisor))=UPPER(TRIM(C1986)),
UPPER(TRIM(rEmisor))=""CUALQUIERA""
),
OR(
UPPER(TRI"&amp;"M(rTipo))=""SOLO EMISOR"",
AND(
UPPER(TRIM(rTipo))=""EXACTA"",
UPPER(TRIM(AG1986))=UPPER(TRIM(rPatron))
),
AND(
OR(
UPPER(TRIM(rTipo))=""CONTIENE"",
UPPER(TRIM(rTipo))=""COINCIDENCIA""
),
ISNUMBER(SEARCH(UPPER(TRIM(rPatron)),UPPER(TRIM(D1986))))
)
)
),
rC"&amp;"oncepto,
""""
)
)
),
MAP(
reglas!$B$2:$B$240,
reglas!$C$2:$C$240,
reglas!$D$2:$D$240,
reglas!$E$2:$E$240,
LAMBDA(rEmisor,rPatron,rConcepto,rTipo,
IF(
AND(
OR(
UPPER(TRIM(rEmisor))=UPPER(TRIM(C1986)),
UPPER(TRIM(rEmisor))=""CUALQUIERA""
),
OR(
UPPER(TRIM(r"&amp;"Tipo))=""SOLO EMISOR"",
AND(
UPPER(TRIM(rTipo))=""EXACTA"",
UPPER(TRIM(D1986))=UPPER(TRIM(rPatron))
),
AND(
OR(
UPPER(TRIM(rTipo))=""CONTIENE"",
UPPER(TRIM(rTipo))=""COINCIDENCIA""
),
ISNUMBER(SEARCH(UPPER(TRIM(rPatron)),UPPER(TRIM(D1986))))
)
)
),
rConce"&amp;"pto,
""""
)
)
)&lt;&gt;""""
),
1
),
""""
)"),"TRANSPORTE")</f>
        <v>TRANSPORTE</v>
      </c>
      <c r="L1986" s="27"/>
      <c r="M1986" s="27"/>
      <c r="N1986" s="27"/>
      <c r="O1986" s="27"/>
      <c r="P1986" s="27"/>
      <c r="Q1986" s="27"/>
      <c r="R1986" s="27"/>
      <c r="S1986" s="27"/>
      <c r="T1986" s="27"/>
      <c r="U1986" s="27"/>
      <c r="V1986" s="27"/>
      <c r="W1986" s="27"/>
      <c r="X1986" s="27"/>
      <c r="Y1986" s="27"/>
    </row>
    <row r="1987">
      <c r="A1987" s="32"/>
      <c r="B1987" s="28" t="s">
        <v>29</v>
      </c>
      <c r="C1987" s="29" t="s">
        <v>224</v>
      </c>
      <c r="D1987" s="29" t="s">
        <v>2068</v>
      </c>
      <c r="E1987" s="28">
        <v>1.0</v>
      </c>
      <c r="F1987" s="28">
        <v>1.0</v>
      </c>
      <c r="G1987" s="28" t="s">
        <v>225</v>
      </c>
      <c r="H1987" s="28">
        <f t="array" ref="H1987">INDEX(CC!C:C,MATCH(1,(CC!A:A=G1987)*(CC!B:B=I1987),0))</f>
        <v>102</v>
      </c>
      <c r="I1987" s="99" t="s">
        <v>25</v>
      </c>
      <c r="J1987" s="31">
        <v>0.0</v>
      </c>
      <c r="K1987" s="28" t="str">
        <f>IFERROR(__xludf.DUMMYFUNCTION("IFERROR(
INDEX(
FILTER(
MAP(
reglas!$B$2:$B$240,
reglas!$C$2:$C$240,
reglas!$D$2:$D$240,
reglas!$E$2:$E$240,
LAMBDA(rEmisor,rPatron,rConcepto,rTipo,
IF(
AND(
OR(
UPPER(TRIM(rEmisor))=UPPER(TRIM(C1987)),
UPPER(TRIM(rEmisor))=""CUALQUIERA""
),
OR(
UPPER(TRI"&amp;"M(rTipo))=""SOLO EMISOR"",
AND(
UPPER(TRIM(rTipo))=""EXACTA"",
UPPER(TRIM(AG1987))=UPPER(TRIM(rPatron))
),
AND(
OR(
UPPER(TRIM(rTipo))=""CONTIENE"",
UPPER(TRIM(rTipo))=""COINCIDENCIA""
),
ISNUMBER(SEARCH(UPPER(TRIM(rPatron)),UPPER(TRIM(D1987))))
)
)
),
rC"&amp;"oncepto,
""""
)
)
),
MAP(
reglas!$B$2:$B$240,
reglas!$C$2:$C$240,
reglas!$D$2:$D$240,
reglas!$E$2:$E$240,
LAMBDA(rEmisor,rPatron,rConcepto,rTipo,
IF(
AND(
OR(
UPPER(TRIM(rEmisor))=UPPER(TRIM(C1987)),
UPPER(TRIM(rEmisor))=""CUALQUIERA""
),
OR(
UPPER(TRIM(r"&amp;"Tipo))=""SOLO EMISOR"",
AND(
UPPER(TRIM(rTipo))=""EXACTA"",
UPPER(TRIM(D1987))=UPPER(TRIM(rPatron))
),
AND(
OR(
UPPER(TRIM(rTipo))=""CONTIENE"",
UPPER(TRIM(rTipo))=""COINCIDENCIA""
),
ISNUMBER(SEARCH(UPPER(TRIM(rPatron)),UPPER(TRIM(D1987))))
)
)
),
rConce"&amp;"pto,
""""
)
)
)&lt;&gt;""""
),
1
),
""""
)"),"COMISIONES")</f>
        <v>COMISIONES</v>
      </c>
      <c r="L1987" s="27"/>
      <c r="M1987" s="27"/>
      <c r="N1987" s="27"/>
      <c r="O1987" s="27"/>
      <c r="P1987" s="27"/>
      <c r="Q1987" s="27"/>
      <c r="R1987" s="27"/>
      <c r="S1987" s="27"/>
      <c r="T1987" s="27"/>
      <c r="U1987" s="27"/>
      <c r="V1987" s="27"/>
      <c r="W1987" s="27"/>
      <c r="X1987" s="27"/>
      <c r="Y1987" s="27"/>
    </row>
    <row r="1988">
      <c r="A1988" s="28">
        <v>1.0</v>
      </c>
      <c r="B1988" s="28" t="s">
        <v>29</v>
      </c>
      <c r="C1988" s="29" t="s">
        <v>496</v>
      </c>
      <c r="D1988" s="29" t="s">
        <v>2069</v>
      </c>
      <c r="E1988" s="28">
        <v>51.72</v>
      </c>
      <c r="F1988" s="28">
        <v>0.0</v>
      </c>
      <c r="G1988" s="28" t="s">
        <v>225</v>
      </c>
      <c r="H1988" s="28">
        <f t="array" ref="H1988">INDEX(CC!C:C,MATCH(1,(CC!A:A=G1988)*(CC!B:B=I1988),0))</f>
        <v>102</v>
      </c>
      <c r="I1988" s="99" t="s">
        <v>25</v>
      </c>
      <c r="J1988" s="31">
        <v>51.72</v>
      </c>
      <c r="K1988" s="28" t="str">
        <f>IFERROR(__xludf.DUMMYFUNCTION("IFERROR(
INDEX(
FILTER(
MAP(
reglas!$B$2:$B$240,
reglas!$C$2:$C$240,
reglas!$D$2:$D$240,
reglas!$E$2:$E$240,
LAMBDA(rEmisor,rPatron,rConcepto,rTipo,
IF(
AND(
OR(
UPPER(TRIM(rEmisor))=UPPER(TRIM(C1988)),
UPPER(TRIM(rEmisor))=""CUALQUIERA""
),
OR(
UPPER(TRI"&amp;"M(rTipo))=""SOLO EMISOR"",
AND(
UPPER(TRIM(rTipo))=""EXACTA"",
UPPER(TRIM(AG1988))=UPPER(TRIM(rPatron))
),
AND(
OR(
UPPER(TRIM(rTipo))=""CONTIENE"",
UPPER(TRIM(rTipo))=""COINCIDENCIA""
),
ISNUMBER(SEARCH(UPPER(TRIM(rPatron)),UPPER(TRIM(D1988))))
)
)
),
rC"&amp;"oncepto,
""""
)
)
),
MAP(
reglas!$B$2:$B$240,
reglas!$C$2:$C$240,
reglas!$D$2:$D$240,
reglas!$E$2:$E$240,
LAMBDA(rEmisor,rPatron,rConcepto,rTipo,
IF(
AND(
OR(
UPPER(TRIM(rEmisor))=UPPER(TRIM(C1988)),
UPPER(TRIM(rEmisor))=""CUALQUIERA""
),
OR(
UPPER(TRIM(r"&amp;"Tipo))=""SOLO EMISOR"",
AND(
UPPER(TRIM(rTipo))=""EXACTA"",
UPPER(TRIM(D1988))=UPPER(TRIM(rPatron))
),
AND(
OR(
UPPER(TRIM(rTipo))=""CONTIENE"",
UPPER(TRIM(rTipo))=""COINCIDENCIA""
),
ISNUMBER(SEARCH(UPPER(TRIM(rPatron)),UPPER(TRIM(D1988))))
)
)
),
rConce"&amp;"pto,
""""
)
)
)&lt;&gt;""""
),
1
),
""""
)"),"ESTACIONAMIENTO")</f>
        <v>ESTACIONAMIENTO</v>
      </c>
      <c r="L1988" s="27"/>
      <c r="M1988" s="27"/>
      <c r="N1988" s="27"/>
      <c r="O1988" s="27"/>
      <c r="P1988" s="27"/>
      <c r="Q1988" s="27"/>
      <c r="R1988" s="27"/>
      <c r="S1988" s="27"/>
      <c r="T1988" s="27"/>
      <c r="U1988" s="27"/>
      <c r="V1988" s="27"/>
      <c r="W1988" s="27"/>
      <c r="X1988" s="27"/>
      <c r="Y1988" s="27"/>
    </row>
    <row r="1989">
      <c r="A1989" s="32"/>
      <c r="B1989" s="28" t="s">
        <v>29</v>
      </c>
      <c r="C1989" s="29" t="s">
        <v>331</v>
      </c>
      <c r="D1989" s="29" t="s">
        <v>33</v>
      </c>
      <c r="E1989" s="28">
        <v>0.01</v>
      </c>
      <c r="F1989" s="28">
        <v>0.0</v>
      </c>
      <c r="G1989" s="28" t="s">
        <v>385</v>
      </c>
      <c r="H1989" s="28">
        <f t="array" ref="H1989">INDEX(CC!C:C,MATCH(1,(CC!A:A=G1989)*(CC!B:B=I1989),0))</f>
        <v>502</v>
      </c>
      <c r="I1989" s="99" t="s">
        <v>25</v>
      </c>
      <c r="J1989" s="31">
        <v>0.01</v>
      </c>
      <c r="K1989" s="28" t="str">
        <f>IFERROR(__xludf.DUMMYFUNCTION("IFERROR(
INDEX(
FILTER(
MAP(
reglas!$B$2:$B$240,
reglas!$C$2:$C$240,
reglas!$D$2:$D$240,
reglas!$E$2:$E$240,
LAMBDA(rEmisor,rPatron,rConcepto,rTipo,
IF(
AND(
OR(
UPPER(TRIM(rEmisor))=UPPER(TRIM(C1989)),
UPPER(TRIM(rEmisor))=""CUALQUIERA""
),
OR(
UPPER(TRI"&amp;"M(rTipo))=""SOLO EMISOR"",
AND(
UPPER(TRIM(rTipo))=""EXACTA"",
UPPER(TRIM(AG1989))=UPPER(TRIM(rPatron))
),
AND(
OR(
UPPER(TRIM(rTipo))=""CONTIENE"",
UPPER(TRIM(rTipo))=""COINCIDENCIA""
),
ISNUMBER(SEARCH(UPPER(TRIM(rPatron)),UPPER(TRIM(D1989))))
)
)
),
rC"&amp;"oncepto,
""""
)
)
),
MAP(
reglas!$B$2:$B$240,
reglas!$C$2:$C$240,
reglas!$D$2:$D$240,
reglas!$E$2:$E$240,
LAMBDA(rEmisor,rPatron,rConcepto,rTipo,
IF(
AND(
OR(
UPPER(TRIM(rEmisor))=UPPER(TRIM(C1989)),
UPPER(TRIM(rEmisor))=""CUALQUIERA""
),
OR(
UPPER(TRIM(r"&amp;"Tipo))=""SOLO EMISOR"",
AND(
UPPER(TRIM(rTipo))=""EXACTA"",
UPPER(TRIM(D1989))=UPPER(TRIM(rPatron))
),
AND(
OR(
UPPER(TRIM(rTipo))=""CONTIENE"",
UPPER(TRIM(rTipo))=""COINCIDENCIA""
),
ISNUMBER(SEARCH(UPPER(TRIM(rPatron)),UPPER(TRIM(D1989))))
)
)
),
rConce"&amp;"pto,
""""
)
)
)&lt;&gt;""""
),
1
),
""""
)"),"N/A")</f>
        <v>N/A</v>
      </c>
      <c r="L1989" s="27"/>
      <c r="M1989" s="27"/>
      <c r="N1989" s="27"/>
      <c r="O1989" s="27"/>
      <c r="P1989" s="27"/>
      <c r="Q1989" s="27"/>
      <c r="R1989" s="27"/>
      <c r="S1989" s="27"/>
      <c r="T1989" s="27"/>
      <c r="U1989" s="27"/>
      <c r="V1989" s="27"/>
      <c r="W1989" s="27"/>
      <c r="X1989" s="27"/>
      <c r="Y1989" s="27"/>
    </row>
    <row r="1990">
      <c r="A1990" s="32"/>
      <c r="B1990" s="28" t="s">
        <v>29</v>
      </c>
      <c r="C1990" s="29" t="s">
        <v>259</v>
      </c>
      <c r="D1990" s="29" t="s">
        <v>636</v>
      </c>
      <c r="E1990" s="28">
        <v>346.21</v>
      </c>
      <c r="F1990" s="28">
        <v>0.0</v>
      </c>
      <c r="G1990" s="28" t="s">
        <v>581</v>
      </c>
      <c r="H1990" s="28">
        <f t="array" ref="H1990">INDEX(CC!C:C,MATCH(1,(CC!A:A=G1990)*(CC!B:B=I1990),0))</f>
        <v>202</v>
      </c>
      <c r="I1990" s="99" t="s">
        <v>25</v>
      </c>
      <c r="J1990" s="5"/>
      <c r="K1990" s="28" t="str">
        <f>IFERROR(__xludf.DUMMYFUNCTION("IFERROR(
INDEX(
FILTER(
MAP(
reglas!$B$2:$B$240,
reglas!$C$2:$C$240,
reglas!$D$2:$D$240,
reglas!$E$2:$E$240,
LAMBDA(rEmisor,rPatron,rConcepto,rTipo,
IF(
AND(
OR(
UPPER(TRIM(rEmisor))=UPPER(TRIM(C1990)),
UPPER(TRIM(rEmisor))=""CUALQUIERA""
),
OR(
UPPER(TRI"&amp;"M(rTipo))=""SOLO EMISOR"",
AND(
UPPER(TRIM(rTipo))=""EXACTA"",
UPPER(TRIM(AG1990))=UPPER(TRIM(rPatron))
),
AND(
OR(
UPPER(TRIM(rTipo))=""CONTIENE"",
UPPER(TRIM(rTipo))=""COINCIDENCIA""
),
ISNUMBER(SEARCH(UPPER(TRIM(rPatron)),UPPER(TRIM(D1990))))
)
)
),
rC"&amp;"oncepto,
""""
)
)
),
MAP(
reglas!$B$2:$B$240,
reglas!$C$2:$C$240,
reglas!$D$2:$D$240,
reglas!$E$2:$E$240,
LAMBDA(rEmisor,rPatron,rConcepto,rTipo,
IF(
AND(
OR(
UPPER(TRIM(rEmisor))=UPPER(TRIM(C1990)),
UPPER(TRIM(rEmisor))=""CUALQUIERA""
),
OR(
UPPER(TRIM(r"&amp;"Tipo))=""SOLO EMISOR"",
AND(
UPPER(TRIM(rTipo))=""EXACTA"",
UPPER(TRIM(D1990))=UPPER(TRIM(rPatron))
),
AND(
OR(
UPPER(TRIM(rTipo))=""CONTIENE"",
UPPER(TRIM(rTipo))=""COINCIDENCIA""
),
ISNUMBER(SEARCH(UPPER(TRIM(rPatron)),UPPER(TRIM(D1990))))
)
)
),
rConce"&amp;"pto,
""""
)
)
)&lt;&gt;""""
),
1
),
""""
)"),"COMBUSTIBLES Y LUBRICANTES")</f>
        <v>COMBUSTIBLES Y LUBRICANTES</v>
      </c>
      <c r="L1990" s="27"/>
      <c r="M1990" s="27"/>
      <c r="N1990" s="27"/>
      <c r="O1990" s="27"/>
      <c r="P1990" s="27"/>
      <c r="Q1990" s="27"/>
      <c r="R1990" s="27"/>
      <c r="S1990" s="27"/>
      <c r="T1990" s="27"/>
      <c r="U1990" s="27"/>
      <c r="V1990" s="27"/>
      <c r="W1990" s="27"/>
      <c r="X1990" s="27"/>
      <c r="Y1990" s="27"/>
    </row>
    <row r="1991">
      <c r="A1991" s="32"/>
      <c r="B1991" s="32"/>
      <c r="C1991" s="29" t="s">
        <v>259</v>
      </c>
      <c r="D1991" s="29" t="s">
        <v>697</v>
      </c>
      <c r="E1991" s="28">
        <v>259.37</v>
      </c>
      <c r="F1991" s="28">
        <v>0.0</v>
      </c>
      <c r="G1991" s="28" t="s">
        <v>581</v>
      </c>
      <c r="H1991" s="28">
        <f t="array" ref="H1991">INDEX(CC!C:C,MATCH(1,(CC!A:A=G1991)*(CC!B:B=I1991),0))</f>
        <v>202</v>
      </c>
      <c r="I1991" s="99" t="s">
        <v>25</v>
      </c>
      <c r="J1991" s="5"/>
      <c r="K1991" s="28" t="str">
        <f>IFERROR(__xludf.DUMMYFUNCTION("IFERROR(
INDEX(
FILTER(
MAP(
reglas!$B$2:$B$240,
reglas!$C$2:$C$240,
reglas!$D$2:$D$240,
reglas!$E$2:$E$240,
LAMBDA(rEmisor,rPatron,rConcepto,rTipo,
IF(
AND(
OR(
UPPER(TRIM(rEmisor))=UPPER(TRIM(C1991)),
UPPER(TRIM(rEmisor))=""CUALQUIERA""
),
OR(
UPPER(TRI"&amp;"M(rTipo))=""SOLO EMISOR"",
AND(
UPPER(TRIM(rTipo))=""EXACTA"",
UPPER(TRIM(AG1991))=UPPER(TRIM(rPatron))
),
AND(
OR(
UPPER(TRIM(rTipo))=""CONTIENE"",
UPPER(TRIM(rTipo))=""COINCIDENCIA""
),
ISNUMBER(SEARCH(UPPER(TRIM(rPatron)),UPPER(TRIM(D1991))))
)
)
),
rC"&amp;"oncepto,
""""
)
)
),
MAP(
reglas!$B$2:$B$240,
reglas!$C$2:$C$240,
reglas!$D$2:$D$240,
reglas!$E$2:$E$240,
LAMBDA(rEmisor,rPatron,rConcepto,rTipo,
IF(
AND(
OR(
UPPER(TRIM(rEmisor))=UPPER(TRIM(C1991)),
UPPER(TRIM(rEmisor))=""CUALQUIERA""
),
OR(
UPPER(TRIM(r"&amp;"Tipo))=""SOLO EMISOR"",
AND(
UPPER(TRIM(rTipo))=""EXACTA"",
UPPER(TRIM(D1991))=UPPER(TRIM(rPatron))
),
AND(
OR(
UPPER(TRIM(rTipo))=""CONTIENE"",
UPPER(TRIM(rTipo))=""COINCIDENCIA""
),
ISNUMBER(SEARCH(UPPER(TRIM(rPatron)),UPPER(TRIM(D1991))))
)
)
),
rConce"&amp;"pto,
""""
)
)
)&lt;&gt;""""
),
1
),
""""
)"),"COMBUSTIBLES Y LUBRICANTES")</f>
        <v>COMBUSTIBLES Y LUBRICANTES</v>
      </c>
      <c r="L1991" s="27"/>
      <c r="M1991" s="27"/>
      <c r="N1991" s="27"/>
      <c r="O1991" s="27"/>
      <c r="P1991" s="27"/>
      <c r="Q1991" s="27"/>
      <c r="R1991" s="27"/>
      <c r="S1991" s="27"/>
      <c r="T1991" s="27"/>
      <c r="U1991" s="27"/>
      <c r="V1991" s="27"/>
      <c r="W1991" s="27"/>
      <c r="X1991" s="27"/>
      <c r="Y1991" s="27"/>
    </row>
    <row r="1992">
      <c r="A1992" s="32"/>
      <c r="B1992" s="32"/>
      <c r="C1992" s="29" t="s">
        <v>259</v>
      </c>
      <c r="D1992" s="29" t="s">
        <v>636</v>
      </c>
      <c r="E1992" s="28">
        <v>259.66</v>
      </c>
      <c r="F1992" s="28">
        <v>0.0</v>
      </c>
      <c r="G1992" s="28" t="s">
        <v>581</v>
      </c>
      <c r="H1992" s="28">
        <f t="array" ref="H1992">INDEX(CC!C:C,MATCH(1,(CC!A:A=G1992)*(CC!B:B=I1992),0))</f>
        <v>202</v>
      </c>
      <c r="I1992" s="99" t="s">
        <v>25</v>
      </c>
      <c r="J1992" s="5"/>
      <c r="K1992" s="28" t="str">
        <f>IFERROR(__xludf.DUMMYFUNCTION("IFERROR(
INDEX(
FILTER(
MAP(
reglas!$B$2:$B$240,
reglas!$C$2:$C$240,
reglas!$D$2:$D$240,
reglas!$E$2:$E$240,
LAMBDA(rEmisor,rPatron,rConcepto,rTipo,
IF(
AND(
OR(
UPPER(TRIM(rEmisor))=UPPER(TRIM(C1992)),
UPPER(TRIM(rEmisor))=""CUALQUIERA""
),
OR(
UPPER(TRI"&amp;"M(rTipo))=""SOLO EMISOR"",
AND(
UPPER(TRIM(rTipo))=""EXACTA"",
UPPER(TRIM(AG1992))=UPPER(TRIM(rPatron))
),
AND(
OR(
UPPER(TRIM(rTipo))=""CONTIENE"",
UPPER(TRIM(rTipo))=""COINCIDENCIA""
),
ISNUMBER(SEARCH(UPPER(TRIM(rPatron)),UPPER(TRIM(D1992))))
)
)
),
rC"&amp;"oncepto,
""""
)
)
),
MAP(
reglas!$B$2:$B$240,
reglas!$C$2:$C$240,
reglas!$D$2:$D$240,
reglas!$E$2:$E$240,
LAMBDA(rEmisor,rPatron,rConcepto,rTipo,
IF(
AND(
OR(
UPPER(TRIM(rEmisor))=UPPER(TRIM(C1992)),
UPPER(TRIM(rEmisor))=""CUALQUIERA""
),
OR(
UPPER(TRIM(r"&amp;"Tipo))=""SOLO EMISOR"",
AND(
UPPER(TRIM(rTipo))=""EXACTA"",
UPPER(TRIM(D1992))=UPPER(TRIM(rPatron))
),
AND(
OR(
UPPER(TRIM(rTipo))=""CONTIENE"",
UPPER(TRIM(rTipo))=""COINCIDENCIA""
),
ISNUMBER(SEARCH(UPPER(TRIM(rPatron)),UPPER(TRIM(D1992))))
)
)
),
rConce"&amp;"pto,
""""
)
)
)&lt;&gt;""""
),
1
),
""""
)"),"COMBUSTIBLES Y LUBRICANTES")</f>
        <v>COMBUSTIBLES Y LUBRICANTES</v>
      </c>
      <c r="L1992" s="27"/>
      <c r="M1992" s="27"/>
      <c r="N1992" s="27"/>
      <c r="O1992" s="27"/>
      <c r="P1992" s="27"/>
      <c r="Q1992" s="27"/>
      <c r="R1992" s="27"/>
      <c r="S1992" s="27"/>
      <c r="T1992" s="27"/>
      <c r="U1992" s="27"/>
      <c r="V1992" s="27"/>
      <c r="W1992" s="27"/>
      <c r="X1992" s="27"/>
      <c r="Y1992" s="27"/>
    </row>
    <row r="1993">
      <c r="A1993" s="32"/>
      <c r="B1993" s="32"/>
      <c r="C1993" s="29" t="s">
        <v>259</v>
      </c>
      <c r="D1993" s="29" t="s">
        <v>697</v>
      </c>
      <c r="E1993" s="28">
        <v>259.37</v>
      </c>
      <c r="F1993" s="28">
        <v>0.0</v>
      </c>
      <c r="G1993" s="28" t="s">
        <v>581</v>
      </c>
      <c r="H1993" s="28">
        <f t="array" ref="H1993">INDEX(CC!C:C,MATCH(1,(CC!A:A=G1993)*(CC!B:B=I1993),0))</f>
        <v>202</v>
      </c>
      <c r="I1993" s="99" t="s">
        <v>25</v>
      </c>
      <c r="J1993" s="5"/>
      <c r="K1993" s="28" t="str">
        <f>IFERROR(__xludf.DUMMYFUNCTION("IFERROR(
INDEX(
FILTER(
MAP(
reglas!$B$2:$B$240,
reglas!$C$2:$C$240,
reglas!$D$2:$D$240,
reglas!$E$2:$E$240,
LAMBDA(rEmisor,rPatron,rConcepto,rTipo,
IF(
AND(
OR(
UPPER(TRIM(rEmisor))=UPPER(TRIM(C1993)),
UPPER(TRIM(rEmisor))=""CUALQUIERA""
),
OR(
UPPER(TRI"&amp;"M(rTipo))=""SOLO EMISOR"",
AND(
UPPER(TRIM(rTipo))=""EXACTA"",
UPPER(TRIM(AG1993))=UPPER(TRIM(rPatron))
),
AND(
OR(
UPPER(TRIM(rTipo))=""CONTIENE"",
UPPER(TRIM(rTipo))=""COINCIDENCIA""
),
ISNUMBER(SEARCH(UPPER(TRIM(rPatron)),UPPER(TRIM(D1993))))
)
)
),
rC"&amp;"oncepto,
""""
)
)
),
MAP(
reglas!$B$2:$B$240,
reglas!$C$2:$C$240,
reglas!$D$2:$D$240,
reglas!$E$2:$E$240,
LAMBDA(rEmisor,rPatron,rConcepto,rTipo,
IF(
AND(
OR(
UPPER(TRIM(rEmisor))=UPPER(TRIM(C1993)),
UPPER(TRIM(rEmisor))=""CUALQUIERA""
),
OR(
UPPER(TRIM(r"&amp;"Tipo))=""SOLO EMISOR"",
AND(
UPPER(TRIM(rTipo))=""EXACTA"",
UPPER(TRIM(D1993))=UPPER(TRIM(rPatron))
),
AND(
OR(
UPPER(TRIM(rTipo))=""CONTIENE"",
UPPER(TRIM(rTipo))=""COINCIDENCIA""
),
ISNUMBER(SEARCH(UPPER(TRIM(rPatron)),UPPER(TRIM(D1993))))
)
)
),
rConce"&amp;"pto,
""""
)
)
)&lt;&gt;""""
),
1
),
""""
)"),"COMBUSTIBLES Y LUBRICANTES")</f>
        <v>COMBUSTIBLES Y LUBRICANTES</v>
      </c>
      <c r="L1993" s="27"/>
      <c r="M1993" s="27"/>
      <c r="N1993" s="27"/>
      <c r="O1993" s="27"/>
      <c r="P1993" s="27"/>
      <c r="Q1993" s="27"/>
      <c r="R1993" s="27"/>
      <c r="S1993" s="27"/>
      <c r="T1993" s="27"/>
      <c r="U1993" s="27"/>
      <c r="V1993" s="27"/>
      <c r="W1993" s="27"/>
      <c r="X1993" s="27"/>
      <c r="Y1993" s="27"/>
    </row>
    <row r="1994">
      <c r="A1994" s="32"/>
      <c r="B1994" s="32"/>
      <c r="C1994" s="29" t="s">
        <v>259</v>
      </c>
      <c r="D1994" s="29" t="s">
        <v>697</v>
      </c>
      <c r="E1994" s="28">
        <v>345.84</v>
      </c>
      <c r="F1994" s="28">
        <v>0.0</v>
      </c>
      <c r="G1994" s="28" t="s">
        <v>581</v>
      </c>
      <c r="H1994" s="28">
        <f t="array" ref="H1994">INDEX(CC!C:C,MATCH(1,(CC!A:A=G1994)*(CC!B:B=I1994),0))</f>
        <v>202</v>
      </c>
      <c r="I1994" s="99" t="s">
        <v>25</v>
      </c>
      <c r="J1994" s="5"/>
      <c r="K1994" s="28" t="str">
        <f>IFERROR(__xludf.DUMMYFUNCTION("IFERROR(
INDEX(
FILTER(
MAP(
reglas!$B$2:$B$240,
reglas!$C$2:$C$240,
reglas!$D$2:$D$240,
reglas!$E$2:$E$240,
LAMBDA(rEmisor,rPatron,rConcepto,rTipo,
IF(
AND(
OR(
UPPER(TRIM(rEmisor))=UPPER(TRIM(C1994)),
UPPER(TRIM(rEmisor))=""CUALQUIERA""
),
OR(
UPPER(TRI"&amp;"M(rTipo))=""SOLO EMISOR"",
AND(
UPPER(TRIM(rTipo))=""EXACTA"",
UPPER(TRIM(AG1994))=UPPER(TRIM(rPatron))
),
AND(
OR(
UPPER(TRIM(rTipo))=""CONTIENE"",
UPPER(TRIM(rTipo))=""COINCIDENCIA""
),
ISNUMBER(SEARCH(UPPER(TRIM(rPatron)),UPPER(TRIM(D1994))))
)
)
),
rC"&amp;"oncepto,
""""
)
)
),
MAP(
reglas!$B$2:$B$240,
reglas!$C$2:$C$240,
reglas!$D$2:$D$240,
reglas!$E$2:$E$240,
LAMBDA(rEmisor,rPatron,rConcepto,rTipo,
IF(
AND(
OR(
UPPER(TRIM(rEmisor))=UPPER(TRIM(C1994)),
UPPER(TRIM(rEmisor))=""CUALQUIERA""
),
OR(
UPPER(TRIM(r"&amp;"Tipo))=""SOLO EMISOR"",
AND(
UPPER(TRIM(rTipo))=""EXACTA"",
UPPER(TRIM(D1994))=UPPER(TRIM(rPatron))
),
AND(
OR(
UPPER(TRIM(rTipo))=""CONTIENE"",
UPPER(TRIM(rTipo))=""COINCIDENCIA""
),
ISNUMBER(SEARCH(UPPER(TRIM(rPatron)),UPPER(TRIM(D1994))))
)
)
),
rConce"&amp;"pto,
""""
)
)
)&lt;&gt;""""
),
1
),
""""
)"),"COMBUSTIBLES Y LUBRICANTES")</f>
        <v>COMBUSTIBLES Y LUBRICANTES</v>
      </c>
      <c r="L1994" s="27"/>
      <c r="M1994" s="27"/>
      <c r="N1994" s="27"/>
      <c r="O1994" s="27"/>
      <c r="P1994" s="27"/>
      <c r="Q1994" s="27"/>
      <c r="R1994" s="27"/>
      <c r="S1994" s="27"/>
      <c r="T1994" s="27"/>
      <c r="U1994" s="27"/>
      <c r="V1994" s="27"/>
      <c r="W1994" s="27"/>
      <c r="X1994" s="27"/>
      <c r="Y1994" s="27"/>
    </row>
    <row r="1995">
      <c r="A1995" s="32"/>
      <c r="B1995" s="32"/>
      <c r="C1995" s="29" t="s">
        <v>259</v>
      </c>
      <c r="D1995" s="29" t="s">
        <v>636</v>
      </c>
      <c r="E1995" s="28">
        <v>432.78</v>
      </c>
      <c r="F1995" s="28">
        <v>0.0</v>
      </c>
      <c r="G1995" s="28" t="s">
        <v>581</v>
      </c>
      <c r="H1995" s="28">
        <f t="array" ref="H1995">INDEX(CC!C:C,MATCH(1,(CC!A:A=G1995)*(CC!B:B=I1995),0))</f>
        <v>202</v>
      </c>
      <c r="I1995" s="99" t="s">
        <v>25</v>
      </c>
      <c r="J1995" s="5"/>
      <c r="K1995" s="28" t="str">
        <f>IFERROR(__xludf.DUMMYFUNCTION("IFERROR(
INDEX(
FILTER(
MAP(
reglas!$B$2:$B$240,
reglas!$C$2:$C$240,
reglas!$D$2:$D$240,
reglas!$E$2:$E$240,
LAMBDA(rEmisor,rPatron,rConcepto,rTipo,
IF(
AND(
OR(
UPPER(TRIM(rEmisor))=UPPER(TRIM(C1995)),
UPPER(TRIM(rEmisor))=""CUALQUIERA""
),
OR(
UPPER(TRI"&amp;"M(rTipo))=""SOLO EMISOR"",
AND(
UPPER(TRIM(rTipo))=""EXACTA"",
UPPER(TRIM(AG1995))=UPPER(TRIM(rPatron))
),
AND(
OR(
UPPER(TRIM(rTipo))=""CONTIENE"",
UPPER(TRIM(rTipo))=""COINCIDENCIA""
),
ISNUMBER(SEARCH(UPPER(TRIM(rPatron)),UPPER(TRIM(D1995))))
)
)
),
rC"&amp;"oncepto,
""""
)
)
),
MAP(
reglas!$B$2:$B$240,
reglas!$C$2:$C$240,
reglas!$D$2:$D$240,
reglas!$E$2:$E$240,
LAMBDA(rEmisor,rPatron,rConcepto,rTipo,
IF(
AND(
OR(
UPPER(TRIM(rEmisor))=UPPER(TRIM(C1995)),
UPPER(TRIM(rEmisor))=""CUALQUIERA""
),
OR(
UPPER(TRIM(r"&amp;"Tipo))=""SOLO EMISOR"",
AND(
UPPER(TRIM(rTipo))=""EXACTA"",
UPPER(TRIM(D1995))=UPPER(TRIM(rPatron))
),
AND(
OR(
UPPER(TRIM(rTipo))=""CONTIENE"",
UPPER(TRIM(rTipo))=""COINCIDENCIA""
),
ISNUMBER(SEARCH(UPPER(TRIM(rPatron)),UPPER(TRIM(D1995))))
)
)
),
rConce"&amp;"pto,
""""
)
)
)&lt;&gt;""""
),
1
),
""""
)"),"COMBUSTIBLES Y LUBRICANTES")</f>
        <v>COMBUSTIBLES Y LUBRICANTES</v>
      </c>
      <c r="L1995" s="27"/>
      <c r="M1995" s="27"/>
      <c r="N1995" s="27"/>
      <c r="O1995" s="27"/>
      <c r="P1995" s="27"/>
      <c r="Q1995" s="27"/>
      <c r="R1995" s="27"/>
      <c r="S1995" s="27"/>
      <c r="T1995" s="27"/>
      <c r="U1995" s="27"/>
      <c r="V1995" s="27"/>
      <c r="W1995" s="27"/>
      <c r="X1995" s="27"/>
      <c r="Y1995" s="27"/>
    </row>
    <row r="1996">
      <c r="A1996" s="32"/>
      <c r="B1996" s="32"/>
      <c r="C1996" s="29" t="s">
        <v>259</v>
      </c>
      <c r="D1996" s="29" t="s">
        <v>636</v>
      </c>
      <c r="E1996" s="28">
        <v>432.78</v>
      </c>
      <c r="F1996" s="28">
        <v>0.0</v>
      </c>
      <c r="G1996" s="28" t="s">
        <v>581</v>
      </c>
      <c r="H1996" s="28">
        <f t="array" ref="H1996">INDEX(CC!C:C,MATCH(1,(CC!A:A=G1996)*(CC!B:B=I1996),0))</f>
        <v>202</v>
      </c>
      <c r="I1996" s="99" t="s">
        <v>25</v>
      </c>
      <c r="J1996" s="5"/>
      <c r="K1996" s="28" t="str">
        <f>IFERROR(__xludf.DUMMYFUNCTION("IFERROR(
INDEX(
FILTER(
MAP(
reglas!$B$2:$B$240,
reglas!$C$2:$C$240,
reglas!$D$2:$D$240,
reglas!$E$2:$E$240,
LAMBDA(rEmisor,rPatron,rConcepto,rTipo,
IF(
AND(
OR(
UPPER(TRIM(rEmisor))=UPPER(TRIM(C1996)),
UPPER(TRIM(rEmisor))=""CUALQUIERA""
),
OR(
UPPER(TRI"&amp;"M(rTipo))=""SOLO EMISOR"",
AND(
UPPER(TRIM(rTipo))=""EXACTA"",
UPPER(TRIM(AG1996))=UPPER(TRIM(rPatron))
),
AND(
OR(
UPPER(TRIM(rTipo))=""CONTIENE"",
UPPER(TRIM(rTipo))=""COINCIDENCIA""
),
ISNUMBER(SEARCH(UPPER(TRIM(rPatron)),UPPER(TRIM(D1996))))
)
)
),
rC"&amp;"oncepto,
""""
)
)
),
MAP(
reglas!$B$2:$B$240,
reglas!$C$2:$C$240,
reglas!$D$2:$D$240,
reglas!$E$2:$E$240,
LAMBDA(rEmisor,rPatron,rConcepto,rTipo,
IF(
AND(
OR(
UPPER(TRIM(rEmisor))=UPPER(TRIM(C1996)),
UPPER(TRIM(rEmisor))=""CUALQUIERA""
),
OR(
UPPER(TRIM(r"&amp;"Tipo))=""SOLO EMISOR"",
AND(
UPPER(TRIM(rTipo))=""EXACTA"",
UPPER(TRIM(D1996))=UPPER(TRIM(rPatron))
),
AND(
OR(
UPPER(TRIM(rTipo))=""CONTIENE"",
UPPER(TRIM(rTipo))=""COINCIDENCIA""
),
ISNUMBER(SEARCH(UPPER(TRIM(rPatron)),UPPER(TRIM(D1996))))
)
)
),
rConce"&amp;"pto,
""""
)
)
)&lt;&gt;""""
),
1
),
""""
)"),"COMBUSTIBLES Y LUBRICANTES")</f>
        <v>COMBUSTIBLES Y LUBRICANTES</v>
      </c>
      <c r="L1996" s="27"/>
      <c r="M1996" s="27"/>
      <c r="N1996" s="27"/>
      <c r="O1996" s="27"/>
      <c r="P1996" s="27"/>
      <c r="Q1996" s="27"/>
      <c r="R1996" s="27"/>
      <c r="S1996" s="27"/>
      <c r="T1996" s="27"/>
      <c r="U1996" s="27"/>
      <c r="V1996" s="27"/>
      <c r="W1996" s="27"/>
      <c r="X1996" s="27"/>
      <c r="Y1996" s="27"/>
    </row>
    <row r="1997">
      <c r="A1997" s="32"/>
      <c r="B1997" s="32"/>
      <c r="C1997" s="29" t="s">
        <v>259</v>
      </c>
      <c r="D1997" s="29" t="s">
        <v>697</v>
      </c>
      <c r="E1997" s="28">
        <v>432.3</v>
      </c>
      <c r="F1997" s="28">
        <v>0.0</v>
      </c>
      <c r="G1997" s="28" t="s">
        <v>581</v>
      </c>
      <c r="H1997" s="28">
        <f t="array" ref="H1997">INDEX(CC!C:C,MATCH(1,(CC!A:A=G1997)*(CC!B:B=I1997),0))</f>
        <v>202</v>
      </c>
      <c r="I1997" s="99" t="s">
        <v>25</v>
      </c>
      <c r="J1997" s="5"/>
      <c r="K1997" s="28" t="str">
        <f>IFERROR(__xludf.DUMMYFUNCTION("IFERROR(
INDEX(
FILTER(
MAP(
reglas!$B$2:$B$240,
reglas!$C$2:$C$240,
reglas!$D$2:$D$240,
reglas!$E$2:$E$240,
LAMBDA(rEmisor,rPatron,rConcepto,rTipo,
IF(
AND(
OR(
UPPER(TRIM(rEmisor))=UPPER(TRIM(C1997)),
UPPER(TRIM(rEmisor))=""CUALQUIERA""
),
OR(
UPPER(TRI"&amp;"M(rTipo))=""SOLO EMISOR"",
AND(
UPPER(TRIM(rTipo))=""EXACTA"",
UPPER(TRIM(AG1997))=UPPER(TRIM(rPatron))
),
AND(
OR(
UPPER(TRIM(rTipo))=""CONTIENE"",
UPPER(TRIM(rTipo))=""COINCIDENCIA""
),
ISNUMBER(SEARCH(UPPER(TRIM(rPatron)),UPPER(TRIM(D1997))))
)
)
),
rC"&amp;"oncepto,
""""
)
)
),
MAP(
reglas!$B$2:$B$240,
reglas!$C$2:$C$240,
reglas!$D$2:$D$240,
reglas!$E$2:$E$240,
LAMBDA(rEmisor,rPatron,rConcepto,rTipo,
IF(
AND(
OR(
UPPER(TRIM(rEmisor))=UPPER(TRIM(C1997)),
UPPER(TRIM(rEmisor))=""CUALQUIERA""
),
OR(
UPPER(TRIM(r"&amp;"Tipo))=""SOLO EMISOR"",
AND(
UPPER(TRIM(rTipo))=""EXACTA"",
UPPER(TRIM(D1997))=UPPER(TRIM(rPatron))
),
AND(
OR(
UPPER(TRIM(rTipo))=""CONTIENE"",
UPPER(TRIM(rTipo))=""COINCIDENCIA""
),
ISNUMBER(SEARCH(UPPER(TRIM(rPatron)),UPPER(TRIM(D1997))))
)
)
),
rConce"&amp;"pto,
""""
)
)
)&lt;&gt;""""
),
1
),
""""
)"),"COMBUSTIBLES Y LUBRICANTES")</f>
        <v>COMBUSTIBLES Y LUBRICANTES</v>
      </c>
      <c r="L1997" s="27"/>
      <c r="M1997" s="27"/>
      <c r="N1997" s="27"/>
      <c r="O1997" s="27"/>
      <c r="P1997" s="27"/>
      <c r="Q1997" s="27"/>
      <c r="R1997" s="27"/>
      <c r="S1997" s="27"/>
      <c r="T1997" s="27"/>
      <c r="U1997" s="27"/>
      <c r="V1997" s="27"/>
      <c r="W1997" s="27"/>
      <c r="X1997" s="27"/>
      <c r="Y1997" s="27"/>
    </row>
    <row r="1998">
      <c r="A1998" s="32"/>
      <c r="B1998" s="32"/>
      <c r="C1998" s="29" t="s">
        <v>259</v>
      </c>
      <c r="D1998" s="29" t="s">
        <v>697</v>
      </c>
      <c r="E1998" s="28">
        <v>518.75</v>
      </c>
      <c r="F1998" s="28">
        <v>0.0</v>
      </c>
      <c r="G1998" s="28" t="s">
        <v>581</v>
      </c>
      <c r="H1998" s="28">
        <f t="array" ref="H1998">INDEX(CC!C:C,MATCH(1,(CC!A:A=G1998)*(CC!B:B=I1998),0))</f>
        <v>202</v>
      </c>
      <c r="I1998" s="99" t="s">
        <v>25</v>
      </c>
      <c r="J1998" s="5"/>
      <c r="K1998" s="28" t="str">
        <f>IFERROR(__xludf.DUMMYFUNCTION("IFERROR(
INDEX(
FILTER(
MAP(
reglas!$B$2:$B$240,
reglas!$C$2:$C$240,
reglas!$D$2:$D$240,
reglas!$E$2:$E$240,
LAMBDA(rEmisor,rPatron,rConcepto,rTipo,
IF(
AND(
OR(
UPPER(TRIM(rEmisor))=UPPER(TRIM(C1998)),
UPPER(TRIM(rEmisor))=""CUALQUIERA""
),
OR(
UPPER(TRI"&amp;"M(rTipo))=""SOLO EMISOR"",
AND(
UPPER(TRIM(rTipo))=""EXACTA"",
UPPER(TRIM(AG1998))=UPPER(TRIM(rPatron))
),
AND(
OR(
UPPER(TRIM(rTipo))=""CONTIENE"",
UPPER(TRIM(rTipo))=""COINCIDENCIA""
),
ISNUMBER(SEARCH(UPPER(TRIM(rPatron)),UPPER(TRIM(D1998))))
)
)
),
rC"&amp;"oncepto,
""""
)
)
),
MAP(
reglas!$B$2:$B$240,
reglas!$C$2:$C$240,
reglas!$D$2:$D$240,
reglas!$E$2:$E$240,
LAMBDA(rEmisor,rPatron,rConcepto,rTipo,
IF(
AND(
OR(
UPPER(TRIM(rEmisor))=UPPER(TRIM(C1998)),
UPPER(TRIM(rEmisor))=""CUALQUIERA""
),
OR(
UPPER(TRIM(r"&amp;"Tipo))=""SOLO EMISOR"",
AND(
UPPER(TRIM(rTipo))=""EXACTA"",
UPPER(TRIM(D1998))=UPPER(TRIM(rPatron))
),
AND(
OR(
UPPER(TRIM(rTipo))=""CONTIENE"",
UPPER(TRIM(rTipo))=""COINCIDENCIA""
),
ISNUMBER(SEARCH(UPPER(TRIM(rPatron)),UPPER(TRIM(D1998))))
)
)
),
rConce"&amp;"pto,
""""
)
)
)&lt;&gt;""""
),
1
),
""""
)"),"COMBUSTIBLES Y LUBRICANTES")</f>
        <v>COMBUSTIBLES Y LUBRICANTES</v>
      </c>
      <c r="L1998" s="27"/>
      <c r="M1998" s="27"/>
      <c r="N1998" s="27"/>
      <c r="O1998" s="27"/>
      <c r="P1998" s="27"/>
      <c r="Q1998" s="27"/>
      <c r="R1998" s="27"/>
      <c r="S1998" s="27"/>
      <c r="T1998" s="27"/>
      <c r="U1998" s="27"/>
      <c r="V1998" s="27"/>
      <c r="W1998" s="27"/>
      <c r="X1998" s="27"/>
      <c r="Y1998" s="27"/>
    </row>
    <row r="1999">
      <c r="A1999" s="32"/>
      <c r="B1999" s="32"/>
      <c r="C1999" s="29" t="s">
        <v>259</v>
      </c>
      <c r="D1999" s="29" t="s">
        <v>636</v>
      </c>
      <c r="E1999" s="28">
        <v>519.33</v>
      </c>
      <c r="F1999" s="28">
        <v>0.0</v>
      </c>
      <c r="G1999" s="28" t="s">
        <v>581</v>
      </c>
      <c r="H1999" s="28">
        <f t="array" ref="H1999">INDEX(CC!C:C,MATCH(1,(CC!A:A=G1999)*(CC!B:B=I1999),0))</f>
        <v>202</v>
      </c>
      <c r="I1999" s="99" t="s">
        <v>25</v>
      </c>
      <c r="J1999" s="5"/>
      <c r="K1999" s="28" t="str">
        <f>IFERROR(__xludf.DUMMYFUNCTION("IFERROR(
INDEX(
FILTER(
MAP(
reglas!$B$2:$B$240,
reglas!$C$2:$C$240,
reglas!$D$2:$D$240,
reglas!$E$2:$E$240,
LAMBDA(rEmisor,rPatron,rConcepto,rTipo,
IF(
AND(
OR(
UPPER(TRIM(rEmisor))=UPPER(TRIM(C1999)),
UPPER(TRIM(rEmisor))=""CUALQUIERA""
),
OR(
UPPER(TRI"&amp;"M(rTipo))=""SOLO EMISOR"",
AND(
UPPER(TRIM(rTipo))=""EXACTA"",
UPPER(TRIM(AG1999))=UPPER(TRIM(rPatron))
),
AND(
OR(
UPPER(TRIM(rTipo))=""CONTIENE"",
UPPER(TRIM(rTipo))=""COINCIDENCIA""
),
ISNUMBER(SEARCH(UPPER(TRIM(rPatron)),UPPER(TRIM(D1999))))
)
)
),
rC"&amp;"oncepto,
""""
)
)
),
MAP(
reglas!$B$2:$B$240,
reglas!$C$2:$C$240,
reglas!$D$2:$D$240,
reglas!$E$2:$E$240,
LAMBDA(rEmisor,rPatron,rConcepto,rTipo,
IF(
AND(
OR(
UPPER(TRIM(rEmisor))=UPPER(TRIM(C1999)),
UPPER(TRIM(rEmisor))=""CUALQUIERA""
),
OR(
UPPER(TRIM(r"&amp;"Tipo))=""SOLO EMISOR"",
AND(
UPPER(TRIM(rTipo))=""EXACTA"",
UPPER(TRIM(D1999))=UPPER(TRIM(rPatron))
),
AND(
OR(
UPPER(TRIM(rTipo))=""CONTIENE"",
UPPER(TRIM(rTipo))=""COINCIDENCIA""
),
ISNUMBER(SEARCH(UPPER(TRIM(rPatron)),UPPER(TRIM(D1999))))
)
)
),
rConce"&amp;"pto,
""""
)
)
)&lt;&gt;""""
),
1
),
""""
)"),"COMBUSTIBLES Y LUBRICANTES")</f>
        <v>COMBUSTIBLES Y LUBRICANTES</v>
      </c>
      <c r="L1999" s="27"/>
      <c r="M1999" s="27"/>
      <c r="N1999" s="27"/>
      <c r="O1999" s="27"/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</row>
    <row r="2000">
      <c r="A2000" s="32"/>
      <c r="B2000" s="32"/>
      <c r="C2000" s="29" t="s">
        <v>259</v>
      </c>
      <c r="D2000" s="29" t="s">
        <v>636</v>
      </c>
      <c r="E2000" s="28">
        <v>432.78</v>
      </c>
      <c r="F2000" s="28">
        <v>0.0</v>
      </c>
      <c r="G2000" s="28" t="s">
        <v>581</v>
      </c>
      <c r="H2000" s="28">
        <f t="array" ref="H2000">INDEX(CC!C:C,MATCH(1,(CC!A:A=G2000)*(CC!B:B=I2000),0))</f>
        <v>202</v>
      </c>
      <c r="I2000" s="99" t="s">
        <v>25</v>
      </c>
      <c r="J2000" s="5"/>
      <c r="K2000" s="28" t="str">
        <f>IFERROR(__xludf.DUMMYFUNCTION("IFERROR(
INDEX(
FILTER(
MAP(
reglas!$B$2:$B$240,
reglas!$C$2:$C$240,
reglas!$D$2:$D$240,
reglas!$E$2:$E$240,
LAMBDA(rEmisor,rPatron,rConcepto,rTipo,
IF(
AND(
OR(
UPPER(TRIM(rEmisor))=UPPER(TRIM(C2000)),
UPPER(TRIM(rEmisor))=""CUALQUIERA""
),
OR(
UPPER(TRI"&amp;"M(rTipo))=""SOLO EMISOR"",
AND(
UPPER(TRIM(rTipo))=""EXACTA"",
UPPER(TRIM(AG2000))=UPPER(TRIM(rPatron))
),
AND(
OR(
UPPER(TRIM(rTipo))=""CONTIENE"",
UPPER(TRIM(rTipo))=""COINCIDENCIA""
),
ISNUMBER(SEARCH(UPPER(TRIM(rPatron)),UPPER(TRIM(D2000))))
)
)
),
rC"&amp;"oncepto,
""""
)
)
),
MAP(
reglas!$B$2:$B$240,
reglas!$C$2:$C$240,
reglas!$D$2:$D$240,
reglas!$E$2:$E$240,
LAMBDA(rEmisor,rPatron,rConcepto,rTipo,
IF(
AND(
OR(
UPPER(TRIM(rEmisor))=UPPER(TRIM(C2000)),
UPPER(TRIM(rEmisor))=""CUALQUIERA""
),
OR(
UPPER(TRIM(r"&amp;"Tipo))=""SOLO EMISOR"",
AND(
UPPER(TRIM(rTipo))=""EXACTA"",
UPPER(TRIM(D2000))=UPPER(TRIM(rPatron))
),
AND(
OR(
UPPER(TRIM(rTipo))=""CONTIENE"",
UPPER(TRIM(rTipo))=""COINCIDENCIA""
),
ISNUMBER(SEARCH(UPPER(TRIM(rPatron)),UPPER(TRIM(D2000))))
)
)
),
rConce"&amp;"pto,
""""
)
)
)&lt;&gt;""""
),
1
),
""""
)"),"COMBUSTIBLES Y LUBRICANTES")</f>
        <v>COMBUSTIBLES Y LUBRICANTES</v>
      </c>
      <c r="L2000" s="27"/>
      <c r="M2000" s="27"/>
      <c r="N2000" s="27"/>
      <c r="O2000" s="27"/>
      <c r="P2000" s="27"/>
      <c r="Q2000" s="27"/>
      <c r="R2000" s="27"/>
      <c r="S2000" s="27"/>
      <c r="T2000" s="27"/>
      <c r="U2000" s="27"/>
      <c r="V2000" s="27"/>
      <c r="W2000" s="27"/>
      <c r="X2000" s="27"/>
      <c r="Y2000" s="27"/>
    </row>
    <row r="2001">
      <c r="A2001" s="32"/>
      <c r="B2001" s="32"/>
      <c r="C2001" s="29" t="s">
        <v>259</v>
      </c>
      <c r="D2001" s="29" t="s">
        <v>697</v>
      </c>
      <c r="E2001" s="28">
        <v>432.3</v>
      </c>
      <c r="F2001" s="28">
        <v>0.0</v>
      </c>
      <c r="G2001" s="28" t="s">
        <v>581</v>
      </c>
      <c r="H2001" s="28">
        <f t="array" ref="H2001">INDEX(CC!C:C,MATCH(1,(CC!A:A=G2001)*(CC!B:B=I2001),0))</f>
        <v>202</v>
      </c>
      <c r="I2001" s="99" t="s">
        <v>25</v>
      </c>
      <c r="J2001" s="5"/>
      <c r="K2001" s="28" t="str">
        <f>IFERROR(__xludf.DUMMYFUNCTION("IFERROR(
INDEX(
FILTER(
MAP(
reglas!$B$2:$B$240,
reglas!$C$2:$C$240,
reglas!$D$2:$D$240,
reglas!$E$2:$E$240,
LAMBDA(rEmisor,rPatron,rConcepto,rTipo,
IF(
AND(
OR(
UPPER(TRIM(rEmisor))=UPPER(TRIM(C2001)),
UPPER(TRIM(rEmisor))=""CUALQUIERA""
),
OR(
UPPER(TRI"&amp;"M(rTipo))=""SOLO EMISOR"",
AND(
UPPER(TRIM(rTipo))=""EXACTA"",
UPPER(TRIM(AG2001))=UPPER(TRIM(rPatron))
),
AND(
OR(
UPPER(TRIM(rTipo))=""CONTIENE"",
UPPER(TRIM(rTipo))=""COINCIDENCIA""
),
ISNUMBER(SEARCH(UPPER(TRIM(rPatron)),UPPER(TRIM(D2001))))
)
)
),
rC"&amp;"oncepto,
""""
)
)
),
MAP(
reglas!$B$2:$B$240,
reglas!$C$2:$C$240,
reglas!$D$2:$D$240,
reglas!$E$2:$E$240,
LAMBDA(rEmisor,rPatron,rConcepto,rTipo,
IF(
AND(
OR(
UPPER(TRIM(rEmisor))=UPPER(TRIM(C2001)),
UPPER(TRIM(rEmisor))=""CUALQUIERA""
),
OR(
UPPER(TRIM(r"&amp;"Tipo))=""SOLO EMISOR"",
AND(
UPPER(TRIM(rTipo))=""EXACTA"",
UPPER(TRIM(D2001))=UPPER(TRIM(rPatron))
),
AND(
OR(
UPPER(TRIM(rTipo))=""CONTIENE"",
UPPER(TRIM(rTipo))=""COINCIDENCIA""
),
ISNUMBER(SEARCH(UPPER(TRIM(rPatron)),UPPER(TRIM(D2001))))
)
)
),
rConce"&amp;"pto,
""""
)
)
)&lt;&gt;""""
),
1
),
""""
)"),"COMBUSTIBLES Y LUBRICANTES")</f>
        <v>COMBUSTIBLES Y LUBRICANTES</v>
      </c>
      <c r="L2001" s="27"/>
      <c r="M2001" s="27"/>
      <c r="N2001" s="27"/>
      <c r="O2001" s="27"/>
      <c r="P2001" s="27"/>
      <c r="Q2001" s="27"/>
      <c r="R2001" s="27"/>
      <c r="S2001" s="27"/>
      <c r="T2001" s="27"/>
      <c r="U2001" s="27"/>
      <c r="V2001" s="27"/>
      <c r="W2001" s="27"/>
      <c r="X2001" s="27"/>
      <c r="Y2001" s="27"/>
    </row>
    <row r="2002">
      <c r="A2002" s="32"/>
      <c r="B2002" s="32"/>
      <c r="C2002" s="29" t="s">
        <v>259</v>
      </c>
      <c r="D2002" s="29" t="s">
        <v>636</v>
      </c>
      <c r="E2002" s="28">
        <v>519.33</v>
      </c>
      <c r="F2002" s="28">
        <v>0.0</v>
      </c>
      <c r="G2002" s="28" t="s">
        <v>581</v>
      </c>
      <c r="H2002" s="28">
        <f t="array" ref="H2002">INDEX(CC!C:C,MATCH(1,(CC!A:A=G2002)*(CC!B:B=I2002),0))</f>
        <v>202</v>
      </c>
      <c r="I2002" s="99" t="s">
        <v>25</v>
      </c>
      <c r="J2002" s="5"/>
      <c r="K2002" s="28" t="str">
        <f>IFERROR(__xludf.DUMMYFUNCTION("IFERROR(
INDEX(
FILTER(
MAP(
reglas!$B$2:$B$240,
reglas!$C$2:$C$240,
reglas!$D$2:$D$240,
reglas!$E$2:$E$240,
LAMBDA(rEmisor,rPatron,rConcepto,rTipo,
IF(
AND(
OR(
UPPER(TRIM(rEmisor))=UPPER(TRIM(C2002)),
UPPER(TRIM(rEmisor))=""CUALQUIERA""
),
OR(
UPPER(TRI"&amp;"M(rTipo))=""SOLO EMISOR"",
AND(
UPPER(TRIM(rTipo))=""EXACTA"",
UPPER(TRIM(AG2002))=UPPER(TRIM(rPatron))
),
AND(
OR(
UPPER(TRIM(rTipo))=""CONTIENE"",
UPPER(TRIM(rTipo))=""COINCIDENCIA""
),
ISNUMBER(SEARCH(UPPER(TRIM(rPatron)),UPPER(TRIM(D2002))))
)
)
),
rC"&amp;"oncepto,
""""
)
)
),
MAP(
reglas!$B$2:$B$240,
reglas!$C$2:$C$240,
reglas!$D$2:$D$240,
reglas!$E$2:$E$240,
LAMBDA(rEmisor,rPatron,rConcepto,rTipo,
IF(
AND(
OR(
UPPER(TRIM(rEmisor))=UPPER(TRIM(C2002)),
UPPER(TRIM(rEmisor))=""CUALQUIERA""
),
OR(
UPPER(TRIM(r"&amp;"Tipo))=""SOLO EMISOR"",
AND(
UPPER(TRIM(rTipo))=""EXACTA"",
UPPER(TRIM(D2002))=UPPER(TRIM(rPatron))
),
AND(
OR(
UPPER(TRIM(rTipo))=""CONTIENE"",
UPPER(TRIM(rTipo))=""COINCIDENCIA""
),
ISNUMBER(SEARCH(UPPER(TRIM(rPatron)),UPPER(TRIM(D2002))))
)
)
),
rConce"&amp;"pto,
""""
)
)
)&lt;&gt;""""
),
1
),
""""
)"),"COMBUSTIBLES Y LUBRICANTES")</f>
        <v>COMBUSTIBLES Y LUBRICANTES</v>
      </c>
      <c r="L2002" s="27"/>
      <c r="M2002" s="27"/>
      <c r="N2002" s="27"/>
      <c r="O2002" s="27"/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</row>
    <row r="2003">
      <c r="A2003" s="28">
        <v>1.0</v>
      </c>
      <c r="B2003" s="28" t="s">
        <v>29</v>
      </c>
      <c r="C2003" s="29" t="s">
        <v>271</v>
      </c>
      <c r="D2003" s="29" t="s">
        <v>585</v>
      </c>
      <c r="E2003" s="28">
        <v>620.47</v>
      </c>
      <c r="F2003" s="28">
        <v>0.0</v>
      </c>
      <c r="G2003" s="28" t="s">
        <v>84</v>
      </c>
      <c r="H2003" s="28">
        <f t="array" ref="H2003">INDEX(CC!C:C,MATCH(1,(CC!A:A=G2003)*(CC!B:B=I2003),0))</f>
        <v>1002</v>
      </c>
      <c r="I2003" s="99" t="s">
        <v>25</v>
      </c>
      <c r="J2003" s="31">
        <v>620.47</v>
      </c>
      <c r="K2003" s="28" t="str">
        <f>IFERROR(__xludf.DUMMYFUNCTION("IFERROR(
INDEX(
FILTER(
MAP(
reglas!$B$2:$B$240,
reglas!$C$2:$C$240,
reglas!$D$2:$D$240,
reglas!$E$2:$E$240,
LAMBDA(rEmisor,rPatron,rConcepto,rTipo,
IF(
AND(
OR(
UPPER(TRIM(rEmisor))=UPPER(TRIM(C2003)),
UPPER(TRIM(rEmisor))=""CUALQUIERA""
),
OR(
UPPER(TRI"&amp;"M(rTipo))=""SOLO EMISOR"",
AND(
UPPER(TRIM(rTipo))=""EXACTA"",
UPPER(TRIM(AG2003))=UPPER(TRIM(rPatron))
),
AND(
OR(
UPPER(TRIM(rTipo))=""CONTIENE"",
UPPER(TRIM(rTipo))=""COINCIDENCIA""
),
ISNUMBER(SEARCH(UPPER(TRIM(rPatron)),UPPER(TRIM(D2003))))
)
)
),
rC"&amp;"oncepto,
""""
)
)
),
MAP(
reglas!$B$2:$B$240,
reglas!$C$2:$C$240,
reglas!$D$2:$D$240,
reglas!$E$2:$E$240,
LAMBDA(rEmisor,rPatron,rConcepto,rTipo,
IF(
AND(
OR(
UPPER(TRIM(rEmisor))=UPPER(TRIM(C2003)),
UPPER(TRIM(rEmisor))=""CUALQUIERA""
),
OR(
UPPER(TRIM(r"&amp;"Tipo))=""SOLO EMISOR"",
AND(
UPPER(TRIM(rTipo))=""EXACTA"",
UPPER(TRIM(D2003))=UPPER(TRIM(rPatron))
),
AND(
OR(
UPPER(TRIM(rTipo))=""CONTIENE"",
UPPER(TRIM(rTipo))=""COINCIDENCIA""
),
ISNUMBER(SEARCH(UPPER(TRIM(rPatron)),UPPER(TRIM(D2003))))
)
)
),
rConce"&amp;"pto,
""""
)
)
)&lt;&gt;""""
),
1
),
""""
)"),"MANIOBRAS")</f>
        <v>MANIOBRAS</v>
      </c>
      <c r="L2003" s="27"/>
      <c r="M2003" s="27"/>
      <c r="N2003" s="27"/>
      <c r="O2003" s="27"/>
      <c r="P2003" s="27"/>
      <c r="Q2003" s="27"/>
      <c r="R2003" s="27"/>
      <c r="S2003" s="27"/>
      <c r="T2003" s="27"/>
      <c r="U2003" s="27"/>
      <c r="V2003" s="27"/>
      <c r="W2003" s="27"/>
      <c r="X2003" s="27"/>
      <c r="Y2003" s="27"/>
    </row>
    <row r="2004">
      <c r="A2004" s="32"/>
      <c r="B2004" s="32"/>
      <c r="C2004" s="29" t="s">
        <v>271</v>
      </c>
      <c r="D2004" s="29" t="s">
        <v>587</v>
      </c>
      <c r="E2004" s="28">
        <v>567.69</v>
      </c>
      <c r="F2004" s="28">
        <v>0.0</v>
      </c>
      <c r="G2004" s="28" t="s">
        <v>84</v>
      </c>
      <c r="H2004" s="28">
        <f t="array" ref="H2004">INDEX(CC!C:C,MATCH(1,(CC!A:A=G2004)*(CC!B:B=I2004),0))</f>
        <v>1002</v>
      </c>
      <c r="I2004" s="99" t="s">
        <v>25</v>
      </c>
      <c r="J2004" s="31">
        <v>567.69</v>
      </c>
      <c r="K2004" s="28" t="str">
        <f>IFERROR(__xludf.DUMMYFUNCTION("IFERROR(
INDEX(
FILTER(
MAP(
reglas!$B$2:$B$240,
reglas!$C$2:$C$240,
reglas!$D$2:$D$240,
reglas!$E$2:$E$240,
LAMBDA(rEmisor,rPatron,rConcepto,rTipo,
IF(
AND(
OR(
UPPER(TRIM(rEmisor))=UPPER(TRIM(C2004)),
UPPER(TRIM(rEmisor))=""CUALQUIERA""
),
OR(
UPPER(TRI"&amp;"M(rTipo))=""SOLO EMISOR"",
AND(
UPPER(TRIM(rTipo))=""EXACTA"",
UPPER(TRIM(AG2004))=UPPER(TRIM(rPatron))
),
AND(
OR(
UPPER(TRIM(rTipo))=""CONTIENE"",
UPPER(TRIM(rTipo))=""COINCIDENCIA""
),
ISNUMBER(SEARCH(UPPER(TRIM(rPatron)),UPPER(TRIM(D2004))))
)
)
),
rC"&amp;"oncepto,
""""
)
)
),
MAP(
reglas!$B$2:$B$240,
reglas!$C$2:$C$240,
reglas!$D$2:$D$240,
reglas!$E$2:$E$240,
LAMBDA(rEmisor,rPatron,rConcepto,rTipo,
IF(
AND(
OR(
UPPER(TRIM(rEmisor))=UPPER(TRIM(C2004)),
UPPER(TRIM(rEmisor))=""CUALQUIERA""
),
OR(
UPPER(TRIM(r"&amp;"Tipo))=""SOLO EMISOR"",
AND(
UPPER(TRIM(rTipo))=""EXACTA"",
UPPER(TRIM(D2004))=UPPER(TRIM(rPatron))
),
AND(
OR(
UPPER(TRIM(rTipo))=""CONTIENE"",
UPPER(TRIM(rTipo))=""COINCIDENCIA""
),
ISNUMBER(SEARCH(UPPER(TRIM(rPatron)),UPPER(TRIM(D2004))))
)
)
),
rConce"&amp;"pto,
""""
)
)
)&lt;&gt;""""
),
1
),
""""
)"),"MANIOBRAS")</f>
        <v>MANIOBRAS</v>
      </c>
      <c r="L2004" s="27"/>
      <c r="M2004" s="27"/>
      <c r="N2004" s="27"/>
      <c r="O2004" s="27"/>
      <c r="P2004" s="27"/>
      <c r="Q2004" s="27"/>
      <c r="R2004" s="27"/>
      <c r="S2004" s="27"/>
      <c r="T2004" s="27"/>
      <c r="U2004" s="27"/>
      <c r="V2004" s="27"/>
      <c r="W2004" s="27"/>
      <c r="X2004" s="27"/>
      <c r="Y2004" s="27"/>
    </row>
    <row r="2005">
      <c r="A2005" s="32"/>
      <c r="B2005" s="32"/>
      <c r="C2005" s="29" t="s">
        <v>271</v>
      </c>
      <c r="D2005" s="29" t="s">
        <v>586</v>
      </c>
      <c r="E2005" s="28">
        <v>620.81</v>
      </c>
      <c r="F2005" s="28">
        <v>0.0</v>
      </c>
      <c r="G2005" s="28" t="s">
        <v>84</v>
      </c>
      <c r="H2005" s="28">
        <f t="array" ref="H2005">INDEX(CC!C:C,MATCH(1,(CC!A:A=G2005)*(CC!B:B=I2005),0))</f>
        <v>1002</v>
      </c>
      <c r="I2005" s="99" t="s">
        <v>25</v>
      </c>
      <c r="J2005" s="31">
        <v>620.81</v>
      </c>
      <c r="K2005" s="28" t="str">
        <f>IFERROR(__xludf.DUMMYFUNCTION("IFERROR(
INDEX(
FILTER(
MAP(
reglas!$B$2:$B$240,
reglas!$C$2:$C$240,
reglas!$D$2:$D$240,
reglas!$E$2:$E$240,
LAMBDA(rEmisor,rPatron,rConcepto,rTipo,
IF(
AND(
OR(
UPPER(TRIM(rEmisor))=UPPER(TRIM(C2005)),
UPPER(TRIM(rEmisor))=""CUALQUIERA""
),
OR(
UPPER(TRI"&amp;"M(rTipo))=""SOLO EMISOR"",
AND(
UPPER(TRIM(rTipo))=""EXACTA"",
UPPER(TRIM(AG2005))=UPPER(TRIM(rPatron))
),
AND(
OR(
UPPER(TRIM(rTipo))=""CONTIENE"",
UPPER(TRIM(rTipo))=""COINCIDENCIA""
),
ISNUMBER(SEARCH(UPPER(TRIM(rPatron)),UPPER(TRIM(D2005))))
)
)
),
rC"&amp;"oncepto,
""""
)
)
),
MAP(
reglas!$B$2:$B$240,
reglas!$C$2:$C$240,
reglas!$D$2:$D$240,
reglas!$E$2:$E$240,
LAMBDA(rEmisor,rPatron,rConcepto,rTipo,
IF(
AND(
OR(
UPPER(TRIM(rEmisor))=UPPER(TRIM(C2005)),
UPPER(TRIM(rEmisor))=""CUALQUIERA""
),
OR(
UPPER(TRIM(r"&amp;"Tipo))=""SOLO EMISOR"",
AND(
UPPER(TRIM(rTipo))=""EXACTA"",
UPPER(TRIM(D2005))=UPPER(TRIM(rPatron))
),
AND(
OR(
UPPER(TRIM(rTipo))=""CONTIENE"",
UPPER(TRIM(rTipo))=""COINCIDENCIA""
),
ISNUMBER(SEARCH(UPPER(TRIM(rPatron)),UPPER(TRIM(D2005))))
)
)
),
rConce"&amp;"pto,
""""
)
)
)&lt;&gt;""""
),
1
),
""""
)"),"MANIOBRAS")</f>
        <v>MANIOBRAS</v>
      </c>
      <c r="L2005" s="27"/>
      <c r="M2005" s="27"/>
      <c r="N2005" s="27"/>
      <c r="O2005" s="27"/>
      <c r="P2005" s="27"/>
      <c r="Q2005" s="27"/>
      <c r="R2005" s="27"/>
      <c r="S2005" s="27"/>
      <c r="T2005" s="27"/>
      <c r="U2005" s="27"/>
      <c r="V2005" s="27"/>
      <c r="W2005" s="27"/>
      <c r="X2005" s="27"/>
      <c r="Y2005" s="27"/>
    </row>
    <row r="2006">
      <c r="A2006" s="32"/>
      <c r="B2006" s="32"/>
      <c r="C2006" s="29" t="s">
        <v>271</v>
      </c>
      <c r="D2006" s="29" t="s">
        <v>589</v>
      </c>
      <c r="E2006" s="28">
        <v>620.81</v>
      </c>
      <c r="F2006" s="28">
        <v>0.0</v>
      </c>
      <c r="G2006" s="28" t="s">
        <v>84</v>
      </c>
      <c r="H2006" s="28">
        <f t="array" ref="H2006">INDEX(CC!C:C,MATCH(1,(CC!A:A=G2006)*(CC!B:B=I2006),0))</f>
        <v>1002</v>
      </c>
      <c r="I2006" s="99" t="s">
        <v>25</v>
      </c>
      <c r="J2006" s="31">
        <v>620.81</v>
      </c>
      <c r="K2006" s="28" t="str">
        <f>IFERROR(__xludf.DUMMYFUNCTION("IFERROR(
INDEX(
FILTER(
MAP(
reglas!$B$2:$B$240,
reglas!$C$2:$C$240,
reglas!$D$2:$D$240,
reglas!$E$2:$E$240,
LAMBDA(rEmisor,rPatron,rConcepto,rTipo,
IF(
AND(
OR(
UPPER(TRIM(rEmisor))=UPPER(TRIM(C2006)),
UPPER(TRIM(rEmisor))=""CUALQUIERA""
),
OR(
UPPER(TRI"&amp;"M(rTipo))=""SOLO EMISOR"",
AND(
UPPER(TRIM(rTipo))=""EXACTA"",
UPPER(TRIM(AG2006))=UPPER(TRIM(rPatron))
),
AND(
OR(
UPPER(TRIM(rTipo))=""CONTIENE"",
UPPER(TRIM(rTipo))=""COINCIDENCIA""
),
ISNUMBER(SEARCH(UPPER(TRIM(rPatron)),UPPER(TRIM(D2006))))
)
)
),
rC"&amp;"oncepto,
""""
)
)
),
MAP(
reglas!$B$2:$B$240,
reglas!$C$2:$C$240,
reglas!$D$2:$D$240,
reglas!$E$2:$E$240,
LAMBDA(rEmisor,rPatron,rConcepto,rTipo,
IF(
AND(
OR(
UPPER(TRIM(rEmisor))=UPPER(TRIM(C2006)),
UPPER(TRIM(rEmisor))=""CUALQUIERA""
),
OR(
UPPER(TRIM(r"&amp;"Tipo))=""SOLO EMISOR"",
AND(
UPPER(TRIM(rTipo))=""EXACTA"",
UPPER(TRIM(D2006))=UPPER(TRIM(rPatron))
),
AND(
OR(
UPPER(TRIM(rTipo))=""CONTIENE"",
UPPER(TRIM(rTipo))=""COINCIDENCIA""
),
ISNUMBER(SEARCH(UPPER(TRIM(rPatron)),UPPER(TRIM(D2006))))
)
)
),
rConce"&amp;"pto,
""""
)
)
)&lt;&gt;""""
),
1
),
""""
)"),"MANIOBRAS")</f>
        <v>MANIOBRAS</v>
      </c>
      <c r="L2006" s="27"/>
      <c r="M2006" s="27"/>
      <c r="N2006" s="27"/>
      <c r="O2006" s="27"/>
      <c r="P2006" s="27"/>
      <c r="Q2006" s="27"/>
      <c r="R2006" s="27"/>
      <c r="S2006" s="27"/>
      <c r="T2006" s="27"/>
      <c r="U2006" s="27"/>
      <c r="V2006" s="27"/>
      <c r="W2006" s="27"/>
      <c r="X2006" s="27"/>
      <c r="Y2006" s="27"/>
    </row>
    <row r="2007">
      <c r="A2007" s="32"/>
      <c r="B2007" s="32"/>
      <c r="C2007" s="29" t="s">
        <v>271</v>
      </c>
      <c r="D2007" s="29" t="s">
        <v>593</v>
      </c>
      <c r="E2007" s="28">
        <v>445.49</v>
      </c>
      <c r="F2007" s="28">
        <v>0.0</v>
      </c>
      <c r="G2007" s="28" t="s">
        <v>84</v>
      </c>
      <c r="H2007" s="28">
        <f t="array" ref="H2007">INDEX(CC!C:C,MATCH(1,(CC!A:A=G2007)*(CC!B:B=I2007),0))</f>
        <v>1002</v>
      </c>
      <c r="I2007" s="99" t="s">
        <v>25</v>
      </c>
      <c r="J2007" s="31">
        <v>445.49</v>
      </c>
      <c r="K2007" s="28" t="str">
        <f>IFERROR(__xludf.DUMMYFUNCTION("IFERROR(
INDEX(
FILTER(
MAP(
reglas!$B$2:$B$240,
reglas!$C$2:$C$240,
reglas!$D$2:$D$240,
reglas!$E$2:$E$240,
LAMBDA(rEmisor,rPatron,rConcepto,rTipo,
IF(
AND(
OR(
UPPER(TRIM(rEmisor))=UPPER(TRIM(C2007)),
UPPER(TRIM(rEmisor))=""CUALQUIERA""
),
OR(
UPPER(TRI"&amp;"M(rTipo))=""SOLO EMISOR"",
AND(
UPPER(TRIM(rTipo))=""EXACTA"",
UPPER(TRIM(AG2007))=UPPER(TRIM(rPatron))
),
AND(
OR(
UPPER(TRIM(rTipo))=""CONTIENE"",
UPPER(TRIM(rTipo))=""COINCIDENCIA""
),
ISNUMBER(SEARCH(UPPER(TRIM(rPatron)),UPPER(TRIM(D2007))))
)
)
),
rC"&amp;"oncepto,
""""
)
)
),
MAP(
reglas!$B$2:$B$240,
reglas!$C$2:$C$240,
reglas!$D$2:$D$240,
reglas!$E$2:$E$240,
LAMBDA(rEmisor,rPatron,rConcepto,rTipo,
IF(
AND(
OR(
UPPER(TRIM(rEmisor))=UPPER(TRIM(C2007)),
UPPER(TRIM(rEmisor))=""CUALQUIERA""
),
OR(
UPPER(TRIM(r"&amp;"Tipo))=""SOLO EMISOR"",
AND(
UPPER(TRIM(rTipo))=""EXACTA"",
UPPER(TRIM(D2007))=UPPER(TRIM(rPatron))
),
AND(
OR(
UPPER(TRIM(rTipo))=""CONTIENE"",
UPPER(TRIM(rTipo))=""COINCIDENCIA""
),
ISNUMBER(SEARCH(UPPER(TRIM(rPatron)),UPPER(TRIM(D2007))))
)
)
),
rConce"&amp;"pto,
""""
)
)
)&lt;&gt;""""
),
1
),
""""
)"),"MANIOBRAS")</f>
        <v>MANIOBRAS</v>
      </c>
      <c r="L2007" s="27"/>
      <c r="M2007" s="27"/>
      <c r="N2007" s="27"/>
      <c r="O2007" s="27"/>
      <c r="P2007" s="27"/>
      <c r="Q2007" s="27"/>
      <c r="R2007" s="27"/>
      <c r="S2007" s="27"/>
      <c r="T2007" s="27"/>
      <c r="U2007" s="27"/>
      <c r="V2007" s="27"/>
      <c r="W2007" s="27"/>
      <c r="X2007" s="27"/>
      <c r="Y2007" s="27"/>
    </row>
    <row r="2008">
      <c r="A2008" s="32"/>
      <c r="B2008" s="32"/>
      <c r="C2008" s="29" t="s">
        <v>271</v>
      </c>
      <c r="D2008" s="29" t="s">
        <v>596</v>
      </c>
      <c r="E2008" s="28">
        <v>651.35</v>
      </c>
      <c r="F2008" s="28">
        <v>0.0</v>
      </c>
      <c r="G2008" s="28" t="s">
        <v>84</v>
      </c>
      <c r="H2008" s="28">
        <f t="array" ref="H2008">INDEX(CC!C:C,MATCH(1,(CC!A:A=G2008)*(CC!B:B=I2008),0))</f>
        <v>1002</v>
      </c>
      <c r="I2008" s="99" t="s">
        <v>25</v>
      </c>
      <c r="J2008" s="31">
        <v>651.35</v>
      </c>
      <c r="K2008" s="28" t="str">
        <f>IFERROR(__xludf.DUMMYFUNCTION("IFERROR(
INDEX(
FILTER(
MAP(
reglas!$B$2:$B$240,
reglas!$C$2:$C$240,
reglas!$D$2:$D$240,
reglas!$E$2:$E$240,
LAMBDA(rEmisor,rPatron,rConcepto,rTipo,
IF(
AND(
OR(
UPPER(TRIM(rEmisor))=UPPER(TRIM(C2008)),
UPPER(TRIM(rEmisor))=""CUALQUIERA""
),
OR(
UPPER(TRI"&amp;"M(rTipo))=""SOLO EMISOR"",
AND(
UPPER(TRIM(rTipo))=""EXACTA"",
UPPER(TRIM(AG2008))=UPPER(TRIM(rPatron))
),
AND(
OR(
UPPER(TRIM(rTipo))=""CONTIENE"",
UPPER(TRIM(rTipo))=""COINCIDENCIA""
),
ISNUMBER(SEARCH(UPPER(TRIM(rPatron)),UPPER(TRIM(D2008))))
)
)
),
rC"&amp;"oncepto,
""""
)
)
),
MAP(
reglas!$B$2:$B$240,
reglas!$C$2:$C$240,
reglas!$D$2:$D$240,
reglas!$E$2:$E$240,
LAMBDA(rEmisor,rPatron,rConcepto,rTipo,
IF(
AND(
OR(
UPPER(TRIM(rEmisor))=UPPER(TRIM(C2008)),
UPPER(TRIM(rEmisor))=""CUALQUIERA""
),
OR(
UPPER(TRIM(r"&amp;"Tipo))=""SOLO EMISOR"",
AND(
UPPER(TRIM(rTipo))=""EXACTA"",
UPPER(TRIM(D2008))=UPPER(TRIM(rPatron))
),
AND(
OR(
UPPER(TRIM(rTipo))=""CONTIENE"",
UPPER(TRIM(rTipo))=""COINCIDENCIA""
),
ISNUMBER(SEARCH(UPPER(TRIM(rPatron)),UPPER(TRIM(D2008))))
)
)
),
rConce"&amp;"pto,
""""
)
)
)&lt;&gt;""""
),
1
),
""""
)"),"MANIOBRAS")</f>
        <v>MANIOBRAS</v>
      </c>
      <c r="L2008" s="27"/>
      <c r="M2008" s="27"/>
      <c r="N2008" s="27"/>
      <c r="O2008" s="27"/>
      <c r="P2008" s="27"/>
      <c r="Q2008" s="27"/>
      <c r="R2008" s="27"/>
      <c r="S2008" s="27"/>
      <c r="T2008" s="27"/>
      <c r="U2008" s="27"/>
      <c r="V2008" s="27"/>
      <c r="W2008" s="27"/>
      <c r="X2008" s="27"/>
      <c r="Y2008" s="27"/>
    </row>
    <row r="2009">
      <c r="A2009" s="32"/>
      <c r="B2009" s="28" t="s">
        <v>29</v>
      </c>
      <c r="C2009" s="29" t="s">
        <v>331</v>
      </c>
      <c r="D2009" s="29" t="s">
        <v>33</v>
      </c>
      <c r="E2009" s="28">
        <v>0.01</v>
      </c>
      <c r="F2009" s="28">
        <v>0.0</v>
      </c>
      <c r="G2009" s="28" t="s">
        <v>385</v>
      </c>
      <c r="H2009" s="28">
        <f t="array" ref="H2009">INDEX(CC!C:C,MATCH(1,(CC!A:A=G2009)*(CC!B:B=I2009),0))</f>
        <v>502</v>
      </c>
      <c r="I2009" s="99" t="s">
        <v>25</v>
      </c>
      <c r="J2009" s="28">
        <v>0.01</v>
      </c>
      <c r="K2009" s="28" t="str">
        <f>IFERROR(__xludf.DUMMYFUNCTION("IFERROR(
INDEX(
FILTER(
MAP(
reglas!$B$2:$B$240,
reglas!$C$2:$C$240,
reglas!$D$2:$D$240,
reglas!$E$2:$E$240,
LAMBDA(rEmisor,rPatron,rConcepto,rTipo,
IF(
AND(
OR(
UPPER(TRIM(rEmisor))=UPPER(TRIM(C2009)),
UPPER(TRIM(rEmisor))=""CUALQUIERA""
),
OR(
UPPER(TRI"&amp;"M(rTipo))=""SOLO EMISOR"",
AND(
UPPER(TRIM(rTipo))=""EXACTA"",
UPPER(TRIM(AG2009))=UPPER(TRIM(rPatron))
),
AND(
OR(
UPPER(TRIM(rTipo))=""CONTIENE"",
UPPER(TRIM(rTipo))=""COINCIDENCIA""
),
ISNUMBER(SEARCH(UPPER(TRIM(rPatron)),UPPER(TRIM(D2009))))
)
)
),
rC"&amp;"oncepto,
""""
)
)
),
MAP(
reglas!$B$2:$B$240,
reglas!$C$2:$C$240,
reglas!$D$2:$D$240,
reglas!$E$2:$E$240,
LAMBDA(rEmisor,rPatron,rConcepto,rTipo,
IF(
AND(
OR(
UPPER(TRIM(rEmisor))=UPPER(TRIM(C2009)),
UPPER(TRIM(rEmisor))=""CUALQUIERA""
),
OR(
UPPER(TRIM(r"&amp;"Tipo))=""SOLO EMISOR"",
AND(
UPPER(TRIM(rTipo))=""EXACTA"",
UPPER(TRIM(D2009))=UPPER(TRIM(rPatron))
),
AND(
OR(
UPPER(TRIM(rTipo))=""CONTIENE"",
UPPER(TRIM(rTipo))=""COINCIDENCIA""
),
ISNUMBER(SEARCH(UPPER(TRIM(rPatron)),UPPER(TRIM(D2009))))
)
)
),
rConce"&amp;"pto,
""""
)
)
)&lt;&gt;""""
),
1
),
""""
)"),"N/A")</f>
        <v>N/A</v>
      </c>
      <c r="L2009" s="27"/>
      <c r="M2009" s="27"/>
      <c r="N2009" s="27"/>
      <c r="O2009" s="27"/>
      <c r="P2009" s="27"/>
      <c r="Q2009" s="27"/>
      <c r="R2009" s="27"/>
      <c r="S2009" s="27"/>
      <c r="T2009" s="27"/>
      <c r="U2009" s="27"/>
      <c r="V2009" s="27"/>
      <c r="W2009" s="27"/>
      <c r="X2009" s="27"/>
      <c r="Y2009" s="27"/>
    </row>
    <row r="2010">
      <c r="A2010" s="32"/>
      <c r="B2010" s="28" t="s">
        <v>29</v>
      </c>
      <c r="C2010" s="29" t="s">
        <v>259</v>
      </c>
      <c r="D2010" s="29" t="s">
        <v>636</v>
      </c>
      <c r="E2010" s="28">
        <v>432.78</v>
      </c>
      <c r="F2010" s="28">
        <v>0.0</v>
      </c>
      <c r="G2010" s="28" t="s">
        <v>581</v>
      </c>
      <c r="H2010" s="28">
        <f t="array" ref="H2010">INDEX(CC!C:C,MATCH(1,(CC!A:A=G2010)*(CC!B:B=I2010),0))</f>
        <v>202</v>
      </c>
      <c r="I2010" s="99" t="s">
        <v>25</v>
      </c>
      <c r="J2010" s="5"/>
      <c r="K2010" s="28" t="str">
        <f>IFERROR(__xludf.DUMMYFUNCTION("IFERROR(
INDEX(
FILTER(
MAP(
reglas!$B$2:$B$240,
reglas!$C$2:$C$240,
reglas!$D$2:$D$240,
reglas!$E$2:$E$240,
LAMBDA(rEmisor,rPatron,rConcepto,rTipo,
IF(
AND(
OR(
UPPER(TRIM(rEmisor))=UPPER(TRIM(C2010)),
UPPER(TRIM(rEmisor))=""CUALQUIERA""
),
OR(
UPPER(TRI"&amp;"M(rTipo))=""SOLO EMISOR"",
AND(
UPPER(TRIM(rTipo))=""EXACTA"",
UPPER(TRIM(AG2010))=UPPER(TRIM(rPatron))
),
AND(
OR(
UPPER(TRIM(rTipo))=""CONTIENE"",
UPPER(TRIM(rTipo))=""COINCIDENCIA""
),
ISNUMBER(SEARCH(UPPER(TRIM(rPatron)),UPPER(TRIM(D2010))))
)
)
),
rC"&amp;"oncepto,
""""
)
)
),
MAP(
reglas!$B$2:$B$240,
reglas!$C$2:$C$240,
reglas!$D$2:$D$240,
reglas!$E$2:$E$240,
LAMBDA(rEmisor,rPatron,rConcepto,rTipo,
IF(
AND(
OR(
UPPER(TRIM(rEmisor))=UPPER(TRIM(C2010)),
UPPER(TRIM(rEmisor))=""CUALQUIERA""
),
OR(
UPPER(TRIM(r"&amp;"Tipo))=""SOLO EMISOR"",
AND(
UPPER(TRIM(rTipo))=""EXACTA"",
UPPER(TRIM(D2010))=UPPER(TRIM(rPatron))
),
AND(
OR(
UPPER(TRIM(rTipo))=""CONTIENE"",
UPPER(TRIM(rTipo))=""COINCIDENCIA""
),
ISNUMBER(SEARCH(UPPER(TRIM(rPatron)),UPPER(TRIM(D2010))))
)
)
),
rConce"&amp;"pto,
""""
)
)
)&lt;&gt;""""
),
1
),
""""
)"),"COMBUSTIBLES Y LUBRICANTES")</f>
        <v>COMBUSTIBLES Y LUBRICANTES</v>
      </c>
      <c r="L2010" s="27"/>
      <c r="M2010" s="27"/>
      <c r="N2010" s="27"/>
      <c r="O2010" s="27"/>
      <c r="P2010" s="27"/>
      <c r="Q2010" s="27"/>
      <c r="R2010" s="27"/>
      <c r="S2010" s="27"/>
      <c r="T2010" s="27"/>
      <c r="U2010" s="27"/>
      <c r="V2010" s="27"/>
      <c r="W2010" s="27"/>
      <c r="X2010" s="27"/>
      <c r="Y2010" s="27"/>
    </row>
    <row r="2011">
      <c r="A2011" s="32"/>
      <c r="B2011" s="32"/>
      <c r="C2011" s="29" t="s">
        <v>259</v>
      </c>
      <c r="D2011" s="29" t="s">
        <v>636</v>
      </c>
      <c r="E2011" s="28">
        <v>346.21</v>
      </c>
      <c r="F2011" s="28">
        <v>0.0</v>
      </c>
      <c r="G2011" s="28" t="s">
        <v>581</v>
      </c>
      <c r="H2011" s="28">
        <f t="array" ref="H2011">INDEX(CC!C:C,MATCH(1,(CC!A:A=G2011)*(CC!B:B=I2011),0))</f>
        <v>202</v>
      </c>
      <c r="I2011" s="99" t="s">
        <v>25</v>
      </c>
      <c r="J2011" s="5"/>
      <c r="K2011" s="28" t="str">
        <f>IFERROR(__xludf.DUMMYFUNCTION("IFERROR(
INDEX(
FILTER(
MAP(
reglas!$B$2:$B$240,
reglas!$C$2:$C$240,
reglas!$D$2:$D$240,
reglas!$E$2:$E$240,
LAMBDA(rEmisor,rPatron,rConcepto,rTipo,
IF(
AND(
OR(
UPPER(TRIM(rEmisor))=UPPER(TRIM(C2011)),
UPPER(TRIM(rEmisor))=""CUALQUIERA""
),
OR(
UPPER(TRI"&amp;"M(rTipo))=""SOLO EMISOR"",
AND(
UPPER(TRIM(rTipo))=""EXACTA"",
UPPER(TRIM(AG2011))=UPPER(TRIM(rPatron))
),
AND(
OR(
UPPER(TRIM(rTipo))=""CONTIENE"",
UPPER(TRIM(rTipo))=""COINCIDENCIA""
),
ISNUMBER(SEARCH(UPPER(TRIM(rPatron)),UPPER(TRIM(D2011))))
)
)
),
rC"&amp;"oncepto,
""""
)
)
),
MAP(
reglas!$B$2:$B$240,
reglas!$C$2:$C$240,
reglas!$D$2:$D$240,
reglas!$E$2:$E$240,
LAMBDA(rEmisor,rPatron,rConcepto,rTipo,
IF(
AND(
OR(
UPPER(TRIM(rEmisor))=UPPER(TRIM(C2011)),
UPPER(TRIM(rEmisor))=""CUALQUIERA""
),
OR(
UPPER(TRIM(r"&amp;"Tipo))=""SOLO EMISOR"",
AND(
UPPER(TRIM(rTipo))=""EXACTA"",
UPPER(TRIM(D2011))=UPPER(TRIM(rPatron))
),
AND(
OR(
UPPER(TRIM(rTipo))=""CONTIENE"",
UPPER(TRIM(rTipo))=""COINCIDENCIA""
),
ISNUMBER(SEARCH(UPPER(TRIM(rPatron)),UPPER(TRIM(D2011))))
)
)
),
rConce"&amp;"pto,
""""
)
)
)&lt;&gt;""""
),
1
),
""""
)"),"COMBUSTIBLES Y LUBRICANTES")</f>
        <v>COMBUSTIBLES Y LUBRICANTES</v>
      </c>
      <c r="L2011" s="27"/>
      <c r="M2011" s="27"/>
      <c r="N2011" s="27"/>
      <c r="O2011" s="27"/>
      <c r="P2011" s="27"/>
      <c r="Q2011" s="27"/>
      <c r="R2011" s="27"/>
      <c r="S2011" s="27"/>
      <c r="T2011" s="27"/>
      <c r="U2011" s="27"/>
      <c r="V2011" s="27"/>
      <c r="W2011" s="27"/>
      <c r="X2011" s="27"/>
      <c r="Y2011" s="27"/>
    </row>
    <row r="2012">
      <c r="A2012" s="32"/>
      <c r="B2012" s="32"/>
      <c r="C2012" s="29" t="s">
        <v>259</v>
      </c>
      <c r="D2012" s="29" t="s">
        <v>636</v>
      </c>
      <c r="E2012" s="28">
        <v>692.44</v>
      </c>
      <c r="F2012" s="28">
        <v>0.0</v>
      </c>
      <c r="G2012" s="28" t="s">
        <v>581</v>
      </c>
      <c r="H2012" s="28">
        <f t="array" ref="H2012">INDEX(CC!C:C,MATCH(1,(CC!A:A=G2012)*(CC!B:B=I2012),0))</f>
        <v>202</v>
      </c>
      <c r="I2012" s="99" t="s">
        <v>25</v>
      </c>
      <c r="J2012" s="5"/>
      <c r="K2012" s="28" t="str">
        <f>IFERROR(__xludf.DUMMYFUNCTION("IFERROR(
INDEX(
FILTER(
MAP(
reglas!$B$2:$B$240,
reglas!$C$2:$C$240,
reglas!$D$2:$D$240,
reglas!$E$2:$E$240,
LAMBDA(rEmisor,rPatron,rConcepto,rTipo,
IF(
AND(
OR(
UPPER(TRIM(rEmisor))=UPPER(TRIM(C2012)),
UPPER(TRIM(rEmisor))=""CUALQUIERA""
),
OR(
UPPER(TRI"&amp;"M(rTipo))=""SOLO EMISOR"",
AND(
UPPER(TRIM(rTipo))=""EXACTA"",
UPPER(TRIM(AG2012))=UPPER(TRIM(rPatron))
),
AND(
OR(
UPPER(TRIM(rTipo))=""CONTIENE"",
UPPER(TRIM(rTipo))=""COINCIDENCIA""
),
ISNUMBER(SEARCH(UPPER(TRIM(rPatron)),UPPER(TRIM(D2012))))
)
)
),
rC"&amp;"oncepto,
""""
)
)
),
MAP(
reglas!$B$2:$B$240,
reglas!$C$2:$C$240,
reglas!$D$2:$D$240,
reglas!$E$2:$E$240,
LAMBDA(rEmisor,rPatron,rConcepto,rTipo,
IF(
AND(
OR(
UPPER(TRIM(rEmisor))=UPPER(TRIM(C2012)),
UPPER(TRIM(rEmisor))=""CUALQUIERA""
),
OR(
UPPER(TRIM(r"&amp;"Tipo))=""SOLO EMISOR"",
AND(
UPPER(TRIM(rTipo))=""EXACTA"",
UPPER(TRIM(D2012))=UPPER(TRIM(rPatron))
),
AND(
OR(
UPPER(TRIM(rTipo))=""CONTIENE"",
UPPER(TRIM(rTipo))=""COINCIDENCIA""
),
ISNUMBER(SEARCH(UPPER(TRIM(rPatron)),UPPER(TRIM(D2012))))
)
)
),
rConce"&amp;"pto,
""""
)
)
)&lt;&gt;""""
),
1
),
""""
)"),"COMBUSTIBLES Y LUBRICANTES")</f>
        <v>COMBUSTIBLES Y LUBRICANTES</v>
      </c>
      <c r="L2012" s="27"/>
      <c r="M2012" s="27"/>
      <c r="N2012" s="27"/>
      <c r="O2012" s="27"/>
      <c r="P2012" s="27"/>
      <c r="Q2012" s="27"/>
      <c r="R2012" s="27"/>
      <c r="S2012" s="27"/>
      <c r="T2012" s="27"/>
      <c r="U2012" s="27"/>
      <c r="V2012" s="27"/>
      <c r="W2012" s="27"/>
      <c r="X2012" s="27"/>
      <c r="Y2012" s="27"/>
    </row>
    <row r="2013">
      <c r="A2013" s="32"/>
      <c r="B2013" s="32"/>
      <c r="C2013" s="29" t="s">
        <v>259</v>
      </c>
      <c r="D2013" s="29" t="s">
        <v>636</v>
      </c>
      <c r="E2013" s="28">
        <v>259.66</v>
      </c>
      <c r="F2013" s="28">
        <v>0.0</v>
      </c>
      <c r="G2013" s="28" t="s">
        <v>581</v>
      </c>
      <c r="H2013" s="28">
        <f t="array" ref="H2013">INDEX(CC!C:C,MATCH(1,(CC!A:A=G2013)*(CC!B:B=I2013),0))</f>
        <v>202</v>
      </c>
      <c r="I2013" s="99" t="s">
        <v>25</v>
      </c>
      <c r="J2013" s="5"/>
      <c r="K2013" s="28" t="str">
        <f>IFERROR(__xludf.DUMMYFUNCTION("IFERROR(
INDEX(
FILTER(
MAP(
reglas!$B$2:$B$240,
reglas!$C$2:$C$240,
reglas!$D$2:$D$240,
reglas!$E$2:$E$240,
LAMBDA(rEmisor,rPatron,rConcepto,rTipo,
IF(
AND(
OR(
UPPER(TRIM(rEmisor))=UPPER(TRIM(C2013)),
UPPER(TRIM(rEmisor))=""CUALQUIERA""
),
OR(
UPPER(TRI"&amp;"M(rTipo))=""SOLO EMISOR"",
AND(
UPPER(TRIM(rTipo))=""EXACTA"",
UPPER(TRIM(AG2013))=UPPER(TRIM(rPatron))
),
AND(
OR(
UPPER(TRIM(rTipo))=""CONTIENE"",
UPPER(TRIM(rTipo))=""COINCIDENCIA""
),
ISNUMBER(SEARCH(UPPER(TRIM(rPatron)),UPPER(TRIM(D2013))))
)
)
),
rC"&amp;"oncepto,
""""
)
)
),
MAP(
reglas!$B$2:$B$240,
reglas!$C$2:$C$240,
reglas!$D$2:$D$240,
reglas!$E$2:$E$240,
LAMBDA(rEmisor,rPatron,rConcepto,rTipo,
IF(
AND(
OR(
UPPER(TRIM(rEmisor))=UPPER(TRIM(C2013)),
UPPER(TRIM(rEmisor))=""CUALQUIERA""
),
OR(
UPPER(TRIM(r"&amp;"Tipo))=""SOLO EMISOR"",
AND(
UPPER(TRIM(rTipo))=""EXACTA"",
UPPER(TRIM(D2013))=UPPER(TRIM(rPatron))
),
AND(
OR(
UPPER(TRIM(rTipo))=""CONTIENE"",
UPPER(TRIM(rTipo))=""COINCIDENCIA""
),
ISNUMBER(SEARCH(UPPER(TRIM(rPatron)),UPPER(TRIM(D2013))))
)
)
),
rConce"&amp;"pto,
""""
)
)
)&lt;&gt;""""
),
1
),
""""
)"),"COMBUSTIBLES Y LUBRICANTES")</f>
        <v>COMBUSTIBLES Y LUBRICANTES</v>
      </c>
      <c r="L2013" s="27"/>
      <c r="M2013" s="27"/>
      <c r="N2013" s="27"/>
      <c r="O2013" s="27"/>
      <c r="P2013" s="27"/>
      <c r="Q2013" s="27"/>
      <c r="R2013" s="27"/>
      <c r="S2013" s="27"/>
      <c r="T2013" s="27"/>
      <c r="U2013" s="27"/>
      <c r="V2013" s="27"/>
      <c r="W2013" s="27"/>
      <c r="X2013" s="27"/>
      <c r="Y2013" s="27"/>
    </row>
    <row r="2014">
      <c r="A2014" s="32"/>
      <c r="B2014" s="32"/>
      <c r="C2014" s="29" t="s">
        <v>259</v>
      </c>
      <c r="D2014" s="29" t="s">
        <v>636</v>
      </c>
      <c r="E2014" s="28">
        <v>259.66</v>
      </c>
      <c r="F2014" s="28">
        <v>0.0</v>
      </c>
      <c r="G2014" s="28" t="s">
        <v>581</v>
      </c>
      <c r="H2014" s="28">
        <f t="array" ref="H2014">INDEX(CC!C:C,MATCH(1,(CC!A:A=G2014)*(CC!B:B=I2014),0))</f>
        <v>202</v>
      </c>
      <c r="I2014" s="99" t="s">
        <v>25</v>
      </c>
      <c r="J2014" s="5"/>
      <c r="K2014" s="28" t="str">
        <f>IFERROR(__xludf.DUMMYFUNCTION("IFERROR(
INDEX(
FILTER(
MAP(
reglas!$B$2:$B$240,
reglas!$C$2:$C$240,
reglas!$D$2:$D$240,
reglas!$E$2:$E$240,
LAMBDA(rEmisor,rPatron,rConcepto,rTipo,
IF(
AND(
OR(
UPPER(TRIM(rEmisor))=UPPER(TRIM(C2014)),
UPPER(TRIM(rEmisor))=""CUALQUIERA""
),
OR(
UPPER(TRI"&amp;"M(rTipo))=""SOLO EMISOR"",
AND(
UPPER(TRIM(rTipo))=""EXACTA"",
UPPER(TRIM(AG2014))=UPPER(TRIM(rPatron))
),
AND(
OR(
UPPER(TRIM(rTipo))=""CONTIENE"",
UPPER(TRIM(rTipo))=""COINCIDENCIA""
),
ISNUMBER(SEARCH(UPPER(TRIM(rPatron)),UPPER(TRIM(D2014))))
)
)
),
rC"&amp;"oncepto,
""""
)
)
),
MAP(
reglas!$B$2:$B$240,
reglas!$C$2:$C$240,
reglas!$D$2:$D$240,
reglas!$E$2:$E$240,
LAMBDA(rEmisor,rPatron,rConcepto,rTipo,
IF(
AND(
OR(
UPPER(TRIM(rEmisor))=UPPER(TRIM(C2014)),
UPPER(TRIM(rEmisor))=""CUALQUIERA""
),
OR(
UPPER(TRIM(r"&amp;"Tipo))=""SOLO EMISOR"",
AND(
UPPER(TRIM(rTipo))=""EXACTA"",
UPPER(TRIM(D2014))=UPPER(TRIM(rPatron))
),
AND(
OR(
UPPER(TRIM(rTipo))=""CONTIENE"",
UPPER(TRIM(rTipo))=""COINCIDENCIA""
),
ISNUMBER(SEARCH(UPPER(TRIM(rPatron)),UPPER(TRIM(D2014))))
)
)
),
rConce"&amp;"pto,
""""
)
)
)&lt;&gt;""""
),
1
),
""""
)"),"COMBUSTIBLES Y LUBRICANTES")</f>
        <v>COMBUSTIBLES Y LUBRICANTES</v>
      </c>
      <c r="L2014" s="27"/>
      <c r="M2014" s="27"/>
      <c r="N2014" s="27"/>
      <c r="O2014" s="27"/>
      <c r="P2014" s="27"/>
      <c r="Q2014" s="27"/>
      <c r="R2014" s="27"/>
      <c r="S2014" s="27"/>
      <c r="T2014" s="27"/>
      <c r="U2014" s="27"/>
      <c r="V2014" s="27"/>
      <c r="W2014" s="27"/>
      <c r="X2014" s="27"/>
      <c r="Y2014" s="27"/>
    </row>
    <row r="2015">
      <c r="A2015" s="32"/>
      <c r="B2015" s="32"/>
      <c r="C2015" s="29" t="s">
        <v>259</v>
      </c>
      <c r="D2015" s="29" t="s">
        <v>636</v>
      </c>
      <c r="E2015" s="28">
        <v>346.21</v>
      </c>
      <c r="F2015" s="28">
        <v>0.0</v>
      </c>
      <c r="G2015" s="28" t="s">
        <v>581</v>
      </c>
      <c r="H2015" s="28">
        <f t="array" ref="H2015">INDEX(CC!C:C,MATCH(1,(CC!A:A=G2015)*(CC!B:B=I2015),0))</f>
        <v>202</v>
      </c>
      <c r="I2015" s="99" t="s">
        <v>25</v>
      </c>
      <c r="J2015" s="5"/>
      <c r="K2015" s="28" t="str">
        <f>IFERROR(__xludf.DUMMYFUNCTION("IFERROR(
INDEX(
FILTER(
MAP(
reglas!$B$2:$B$240,
reglas!$C$2:$C$240,
reglas!$D$2:$D$240,
reglas!$E$2:$E$240,
LAMBDA(rEmisor,rPatron,rConcepto,rTipo,
IF(
AND(
OR(
UPPER(TRIM(rEmisor))=UPPER(TRIM(C2015)),
UPPER(TRIM(rEmisor))=""CUALQUIERA""
),
OR(
UPPER(TRI"&amp;"M(rTipo))=""SOLO EMISOR"",
AND(
UPPER(TRIM(rTipo))=""EXACTA"",
UPPER(TRIM(AG2015))=UPPER(TRIM(rPatron))
),
AND(
OR(
UPPER(TRIM(rTipo))=""CONTIENE"",
UPPER(TRIM(rTipo))=""COINCIDENCIA""
),
ISNUMBER(SEARCH(UPPER(TRIM(rPatron)),UPPER(TRIM(D2015))))
)
)
),
rC"&amp;"oncepto,
""""
)
)
),
MAP(
reglas!$B$2:$B$240,
reglas!$C$2:$C$240,
reglas!$D$2:$D$240,
reglas!$E$2:$E$240,
LAMBDA(rEmisor,rPatron,rConcepto,rTipo,
IF(
AND(
OR(
UPPER(TRIM(rEmisor))=UPPER(TRIM(C2015)),
UPPER(TRIM(rEmisor))=""CUALQUIERA""
),
OR(
UPPER(TRIM(r"&amp;"Tipo))=""SOLO EMISOR"",
AND(
UPPER(TRIM(rTipo))=""EXACTA"",
UPPER(TRIM(D2015))=UPPER(TRIM(rPatron))
),
AND(
OR(
UPPER(TRIM(rTipo))=""CONTIENE"",
UPPER(TRIM(rTipo))=""COINCIDENCIA""
),
ISNUMBER(SEARCH(UPPER(TRIM(rPatron)),UPPER(TRIM(D2015))))
)
)
),
rConce"&amp;"pto,
""""
)
)
)&lt;&gt;""""
),
1
),
""""
)"),"COMBUSTIBLES Y LUBRICANTES")</f>
        <v>COMBUSTIBLES Y LUBRICANTES</v>
      </c>
      <c r="L2015" s="27"/>
      <c r="M2015" s="27"/>
      <c r="N2015" s="27"/>
      <c r="O2015" s="27"/>
      <c r="P2015" s="27"/>
      <c r="Q2015" s="27"/>
      <c r="R2015" s="27"/>
      <c r="S2015" s="27"/>
      <c r="T2015" s="27"/>
      <c r="U2015" s="27"/>
      <c r="V2015" s="27"/>
      <c r="W2015" s="27"/>
      <c r="X2015" s="27"/>
      <c r="Y2015" s="27"/>
    </row>
    <row r="2016">
      <c r="A2016" s="32"/>
      <c r="B2016" s="32"/>
      <c r="C2016" s="29" t="s">
        <v>259</v>
      </c>
      <c r="D2016" s="29" t="s">
        <v>636</v>
      </c>
      <c r="E2016" s="28">
        <v>346.21</v>
      </c>
      <c r="F2016" s="28">
        <v>0.0</v>
      </c>
      <c r="G2016" s="28" t="s">
        <v>581</v>
      </c>
      <c r="H2016" s="28">
        <f t="array" ref="H2016">INDEX(CC!C:C,MATCH(1,(CC!A:A=G2016)*(CC!B:B=I2016),0))</f>
        <v>202</v>
      </c>
      <c r="I2016" s="99" t="s">
        <v>25</v>
      </c>
      <c r="J2016" s="5"/>
      <c r="K2016" s="28" t="str">
        <f>IFERROR(__xludf.DUMMYFUNCTION("IFERROR(
INDEX(
FILTER(
MAP(
reglas!$B$2:$B$240,
reglas!$C$2:$C$240,
reglas!$D$2:$D$240,
reglas!$E$2:$E$240,
LAMBDA(rEmisor,rPatron,rConcepto,rTipo,
IF(
AND(
OR(
UPPER(TRIM(rEmisor))=UPPER(TRIM(C2016)),
UPPER(TRIM(rEmisor))=""CUALQUIERA""
),
OR(
UPPER(TRI"&amp;"M(rTipo))=""SOLO EMISOR"",
AND(
UPPER(TRIM(rTipo))=""EXACTA"",
UPPER(TRIM(AG2016))=UPPER(TRIM(rPatron))
),
AND(
OR(
UPPER(TRIM(rTipo))=""CONTIENE"",
UPPER(TRIM(rTipo))=""COINCIDENCIA""
),
ISNUMBER(SEARCH(UPPER(TRIM(rPatron)),UPPER(TRIM(D2016))))
)
)
),
rC"&amp;"oncepto,
""""
)
)
),
MAP(
reglas!$B$2:$B$240,
reglas!$C$2:$C$240,
reglas!$D$2:$D$240,
reglas!$E$2:$E$240,
LAMBDA(rEmisor,rPatron,rConcepto,rTipo,
IF(
AND(
OR(
UPPER(TRIM(rEmisor))=UPPER(TRIM(C2016)),
UPPER(TRIM(rEmisor))=""CUALQUIERA""
),
OR(
UPPER(TRIM(r"&amp;"Tipo))=""SOLO EMISOR"",
AND(
UPPER(TRIM(rTipo))=""EXACTA"",
UPPER(TRIM(D2016))=UPPER(TRIM(rPatron))
),
AND(
OR(
UPPER(TRIM(rTipo))=""CONTIENE"",
UPPER(TRIM(rTipo))=""COINCIDENCIA""
),
ISNUMBER(SEARCH(UPPER(TRIM(rPatron)),UPPER(TRIM(D2016))))
)
)
),
rConce"&amp;"pto,
""""
)
)
)&lt;&gt;""""
),
1
),
""""
)"),"COMBUSTIBLES Y LUBRICANTES")</f>
        <v>COMBUSTIBLES Y LUBRICANTES</v>
      </c>
      <c r="L2016" s="27"/>
      <c r="M2016" s="27"/>
      <c r="N2016" s="27"/>
      <c r="O2016" s="27"/>
      <c r="P2016" s="27"/>
      <c r="Q2016" s="27"/>
      <c r="R2016" s="27"/>
      <c r="S2016" s="27"/>
      <c r="T2016" s="27"/>
      <c r="U2016" s="27"/>
      <c r="V2016" s="27"/>
      <c r="W2016" s="27"/>
      <c r="X2016" s="27"/>
      <c r="Y2016" s="27"/>
    </row>
    <row r="2017">
      <c r="A2017" s="32"/>
      <c r="B2017" s="32"/>
      <c r="C2017" s="29" t="s">
        <v>259</v>
      </c>
      <c r="D2017" s="29" t="s">
        <v>636</v>
      </c>
      <c r="E2017" s="28">
        <v>519.33</v>
      </c>
      <c r="F2017" s="28">
        <v>0.0</v>
      </c>
      <c r="G2017" s="28" t="s">
        <v>581</v>
      </c>
      <c r="H2017" s="28">
        <f t="array" ref="H2017">INDEX(CC!C:C,MATCH(1,(CC!A:A=G2017)*(CC!B:B=I2017),0))</f>
        <v>202</v>
      </c>
      <c r="I2017" s="99" t="s">
        <v>25</v>
      </c>
      <c r="J2017" s="5"/>
      <c r="K2017" s="28" t="str">
        <f>IFERROR(__xludf.DUMMYFUNCTION("IFERROR(
INDEX(
FILTER(
MAP(
reglas!$B$2:$B$240,
reglas!$C$2:$C$240,
reglas!$D$2:$D$240,
reglas!$E$2:$E$240,
LAMBDA(rEmisor,rPatron,rConcepto,rTipo,
IF(
AND(
OR(
UPPER(TRIM(rEmisor))=UPPER(TRIM(C2017)),
UPPER(TRIM(rEmisor))=""CUALQUIERA""
),
OR(
UPPER(TRI"&amp;"M(rTipo))=""SOLO EMISOR"",
AND(
UPPER(TRIM(rTipo))=""EXACTA"",
UPPER(TRIM(AG2017))=UPPER(TRIM(rPatron))
),
AND(
OR(
UPPER(TRIM(rTipo))=""CONTIENE"",
UPPER(TRIM(rTipo))=""COINCIDENCIA""
),
ISNUMBER(SEARCH(UPPER(TRIM(rPatron)),UPPER(TRIM(D2017))))
)
)
),
rC"&amp;"oncepto,
""""
)
)
),
MAP(
reglas!$B$2:$B$240,
reglas!$C$2:$C$240,
reglas!$D$2:$D$240,
reglas!$E$2:$E$240,
LAMBDA(rEmisor,rPatron,rConcepto,rTipo,
IF(
AND(
OR(
UPPER(TRIM(rEmisor))=UPPER(TRIM(C2017)),
UPPER(TRIM(rEmisor))=""CUALQUIERA""
),
OR(
UPPER(TRIM(r"&amp;"Tipo))=""SOLO EMISOR"",
AND(
UPPER(TRIM(rTipo))=""EXACTA"",
UPPER(TRIM(D2017))=UPPER(TRIM(rPatron))
),
AND(
OR(
UPPER(TRIM(rTipo))=""CONTIENE"",
UPPER(TRIM(rTipo))=""COINCIDENCIA""
),
ISNUMBER(SEARCH(UPPER(TRIM(rPatron)),UPPER(TRIM(D2017))))
)
)
),
rConce"&amp;"pto,
""""
)
)
)&lt;&gt;""""
),
1
),
""""
)"),"COMBUSTIBLES Y LUBRICANTES")</f>
        <v>COMBUSTIBLES Y LUBRICANTES</v>
      </c>
      <c r="L2017" s="27"/>
      <c r="M2017" s="27"/>
      <c r="N2017" s="27"/>
      <c r="O2017" s="27"/>
      <c r="P2017" s="27"/>
      <c r="Q2017" s="27"/>
      <c r="R2017" s="27"/>
      <c r="S2017" s="27"/>
      <c r="T2017" s="27"/>
      <c r="U2017" s="27"/>
      <c r="V2017" s="27"/>
      <c r="W2017" s="27"/>
      <c r="X2017" s="27"/>
      <c r="Y2017" s="27"/>
    </row>
    <row r="2018">
      <c r="A2018" s="32"/>
      <c r="B2018" s="32"/>
      <c r="C2018" s="29" t="s">
        <v>259</v>
      </c>
      <c r="D2018" s="29" t="s">
        <v>697</v>
      </c>
      <c r="E2018" s="28">
        <v>864.59</v>
      </c>
      <c r="F2018" s="28">
        <v>0.0</v>
      </c>
      <c r="G2018" s="28" t="s">
        <v>581</v>
      </c>
      <c r="H2018" s="28">
        <f t="array" ref="H2018">INDEX(CC!C:C,MATCH(1,(CC!A:A=G2018)*(CC!B:B=I2018),0))</f>
        <v>202</v>
      </c>
      <c r="I2018" s="99" t="s">
        <v>25</v>
      </c>
      <c r="J2018" s="5"/>
      <c r="K2018" s="28" t="str">
        <f>IFERROR(__xludf.DUMMYFUNCTION("IFERROR(
INDEX(
FILTER(
MAP(
reglas!$B$2:$B$240,
reglas!$C$2:$C$240,
reglas!$D$2:$D$240,
reglas!$E$2:$E$240,
LAMBDA(rEmisor,rPatron,rConcepto,rTipo,
IF(
AND(
OR(
UPPER(TRIM(rEmisor))=UPPER(TRIM(C2018)),
UPPER(TRIM(rEmisor))=""CUALQUIERA""
),
OR(
UPPER(TRI"&amp;"M(rTipo))=""SOLO EMISOR"",
AND(
UPPER(TRIM(rTipo))=""EXACTA"",
UPPER(TRIM(AG2018))=UPPER(TRIM(rPatron))
),
AND(
OR(
UPPER(TRIM(rTipo))=""CONTIENE"",
UPPER(TRIM(rTipo))=""COINCIDENCIA""
),
ISNUMBER(SEARCH(UPPER(TRIM(rPatron)),UPPER(TRIM(D2018))))
)
)
),
rC"&amp;"oncepto,
""""
)
)
),
MAP(
reglas!$B$2:$B$240,
reglas!$C$2:$C$240,
reglas!$D$2:$D$240,
reglas!$E$2:$E$240,
LAMBDA(rEmisor,rPatron,rConcepto,rTipo,
IF(
AND(
OR(
UPPER(TRIM(rEmisor))=UPPER(TRIM(C2018)),
UPPER(TRIM(rEmisor))=""CUALQUIERA""
),
OR(
UPPER(TRIM(r"&amp;"Tipo))=""SOLO EMISOR"",
AND(
UPPER(TRIM(rTipo))=""EXACTA"",
UPPER(TRIM(D2018))=UPPER(TRIM(rPatron))
),
AND(
OR(
UPPER(TRIM(rTipo))=""CONTIENE"",
UPPER(TRIM(rTipo))=""COINCIDENCIA""
),
ISNUMBER(SEARCH(UPPER(TRIM(rPatron)),UPPER(TRIM(D2018))))
)
)
),
rConce"&amp;"pto,
""""
)
)
)&lt;&gt;""""
),
1
),
""""
)"),"COMBUSTIBLES Y LUBRICANTES")</f>
        <v>COMBUSTIBLES Y LUBRICANTES</v>
      </c>
      <c r="L2018" s="27"/>
      <c r="M2018" s="27"/>
      <c r="N2018" s="27"/>
      <c r="O2018" s="27"/>
      <c r="P2018" s="27"/>
      <c r="Q2018" s="27"/>
      <c r="R2018" s="27"/>
      <c r="S2018" s="27"/>
      <c r="T2018" s="27"/>
      <c r="U2018" s="27"/>
      <c r="V2018" s="27"/>
      <c r="W2018" s="27"/>
      <c r="X2018" s="27"/>
      <c r="Y2018" s="27"/>
    </row>
    <row r="2019">
      <c r="A2019" s="32"/>
      <c r="B2019" s="32"/>
      <c r="C2019" s="29" t="s">
        <v>259</v>
      </c>
      <c r="D2019" s="29" t="s">
        <v>636</v>
      </c>
      <c r="E2019" s="28">
        <v>259.66</v>
      </c>
      <c r="F2019" s="28">
        <v>0.0</v>
      </c>
      <c r="G2019" s="28" t="s">
        <v>581</v>
      </c>
      <c r="H2019" s="28">
        <f t="array" ref="H2019">INDEX(CC!C:C,MATCH(1,(CC!A:A=G2019)*(CC!B:B=I2019),0))</f>
        <v>202</v>
      </c>
      <c r="I2019" s="99" t="s">
        <v>25</v>
      </c>
      <c r="J2019" s="5"/>
      <c r="K2019" s="28" t="str">
        <f>IFERROR(__xludf.DUMMYFUNCTION("IFERROR(
INDEX(
FILTER(
MAP(
reglas!$B$2:$B$240,
reglas!$C$2:$C$240,
reglas!$D$2:$D$240,
reglas!$E$2:$E$240,
LAMBDA(rEmisor,rPatron,rConcepto,rTipo,
IF(
AND(
OR(
UPPER(TRIM(rEmisor))=UPPER(TRIM(C2019)),
UPPER(TRIM(rEmisor))=""CUALQUIERA""
),
OR(
UPPER(TRI"&amp;"M(rTipo))=""SOLO EMISOR"",
AND(
UPPER(TRIM(rTipo))=""EXACTA"",
UPPER(TRIM(AG2019))=UPPER(TRIM(rPatron))
),
AND(
OR(
UPPER(TRIM(rTipo))=""CONTIENE"",
UPPER(TRIM(rTipo))=""COINCIDENCIA""
),
ISNUMBER(SEARCH(UPPER(TRIM(rPatron)),UPPER(TRIM(D2019))))
)
)
),
rC"&amp;"oncepto,
""""
)
)
),
MAP(
reglas!$B$2:$B$240,
reglas!$C$2:$C$240,
reglas!$D$2:$D$240,
reglas!$E$2:$E$240,
LAMBDA(rEmisor,rPatron,rConcepto,rTipo,
IF(
AND(
OR(
UPPER(TRIM(rEmisor))=UPPER(TRIM(C2019)),
UPPER(TRIM(rEmisor))=""CUALQUIERA""
),
OR(
UPPER(TRIM(r"&amp;"Tipo))=""SOLO EMISOR"",
AND(
UPPER(TRIM(rTipo))=""EXACTA"",
UPPER(TRIM(D2019))=UPPER(TRIM(rPatron))
),
AND(
OR(
UPPER(TRIM(rTipo))=""CONTIENE"",
UPPER(TRIM(rTipo))=""COINCIDENCIA""
),
ISNUMBER(SEARCH(UPPER(TRIM(rPatron)),UPPER(TRIM(D2019))))
)
)
),
rConce"&amp;"pto,
""""
)
)
)&lt;&gt;""""
),
1
),
""""
)"),"COMBUSTIBLES Y LUBRICANTES")</f>
        <v>COMBUSTIBLES Y LUBRICANTES</v>
      </c>
      <c r="L2019" s="27"/>
      <c r="M2019" s="27"/>
      <c r="N2019" s="27"/>
      <c r="O2019" s="27"/>
      <c r="P2019" s="27"/>
      <c r="Q2019" s="27"/>
      <c r="R2019" s="27"/>
      <c r="S2019" s="27"/>
      <c r="T2019" s="27"/>
      <c r="U2019" s="27"/>
      <c r="V2019" s="27"/>
      <c r="W2019" s="27"/>
      <c r="X2019" s="27"/>
      <c r="Y2019" s="27"/>
    </row>
    <row r="2020">
      <c r="A2020" s="32"/>
      <c r="B2020" s="28" t="s">
        <v>29</v>
      </c>
      <c r="C2020" s="29" t="s">
        <v>163</v>
      </c>
      <c r="D2020" s="29" t="s">
        <v>2070</v>
      </c>
      <c r="E2020" s="28">
        <v>262.93</v>
      </c>
      <c r="F2020" s="28">
        <v>0.0</v>
      </c>
      <c r="G2020" s="28" t="s">
        <v>385</v>
      </c>
      <c r="H2020" s="28">
        <f t="array" ref="H2020">INDEX(CC!C:C,MATCH(1,(CC!A:A=G2020)*(CC!B:B=I2020),0))</f>
        <v>502</v>
      </c>
      <c r="I2020" s="28" t="s">
        <v>25</v>
      </c>
      <c r="J2020" s="31">
        <v>262.93</v>
      </c>
      <c r="K2020" s="28" t="str">
        <f>IFERROR(__xludf.DUMMYFUNCTION("IFERROR(
INDEX(
FILTER(
MAP(
reglas!$B$2:$B$240,
reglas!$C$2:$C$240,
reglas!$D$2:$D$240,
reglas!$E$2:$E$240,
LAMBDA(rEmisor,rPatron,rConcepto,rTipo,
IF(
AND(
OR(
UPPER(TRIM(rEmisor))=UPPER(TRIM(C2020)),
UPPER(TRIM(rEmisor))=""CUALQUIERA""
),
OR(
UPPER(TRI"&amp;"M(rTipo))=""SOLO EMISOR"",
AND(
UPPER(TRIM(rTipo))=""EXACTA"",
UPPER(TRIM(AG2020))=UPPER(TRIM(rPatron))
),
AND(
OR(
UPPER(TRIM(rTipo))=""CONTIENE"",
UPPER(TRIM(rTipo))=""COINCIDENCIA""
),
ISNUMBER(SEARCH(UPPER(TRIM(rPatron)),UPPER(TRIM(D2020))))
)
)
),
rC"&amp;"oncepto,
""""
)
)
),
MAP(
reglas!$B$2:$B$240,
reglas!$C$2:$C$240,
reglas!$D$2:$D$240,
reglas!$E$2:$E$240,
LAMBDA(rEmisor,rPatron,rConcepto,rTipo,
IF(
AND(
OR(
UPPER(TRIM(rEmisor))=UPPER(TRIM(C2020)),
UPPER(TRIM(rEmisor))=""CUALQUIERA""
),
OR(
UPPER(TRIM(r"&amp;"Tipo))=""SOLO EMISOR"",
AND(
UPPER(TRIM(rTipo))=""EXACTA"",
UPPER(TRIM(D2020))=UPPER(TRIM(rPatron))
),
AND(
OR(
UPPER(TRIM(rTipo))=""CONTIENE"",
UPPER(TRIM(rTipo))=""COINCIDENCIA""
),
ISNUMBER(SEARCH(UPPER(TRIM(rPatron)),UPPER(TRIM(D2020))))
)
)
),
rConce"&amp;"pto,
""""
)
)
)&lt;&gt;""""
),
1
),
""""
)"),"PATIO REGULADOR")</f>
        <v>PATIO REGULADOR</v>
      </c>
      <c r="L2020" s="27"/>
      <c r="M2020" s="27"/>
      <c r="N2020" s="27"/>
      <c r="O2020" s="27"/>
      <c r="P2020" s="27"/>
      <c r="Q2020" s="27"/>
      <c r="R2020" s="27"/>
      <c r="S2020" s="27"/>
      <c r="T2020" s="27"/>
      <c r="U2020" s="27"/>
      <c r="V2020" s="27"/>
      <c r="W2020" s="27"/>
      <c r="X2020" s="27"/>
      <c r="Y2020" s="27"/>
    </row>
    <row r="2021">
      <c r="A2021" s="32"/>
      <c r="B2021" s="28" t="s">
        <v>29</v>
      </c>
      <c r="C2021" s="29" t="s">
        <v>163</v>
      </c>
      <c r="D2021" s="29" t="s">
        <v>2071</v>
      </c>
      <c r="E2021" s="28">
        <v>366.38</v>
      </c>
      <c r="F2021" s="28">
        <v>0.0</v>
      </c>
      <c r="G2021" s="28" t="s">
        <v>385</v>
      </c>
      <c r="H2021" s="28">
        <f t="array" ref="H2021">INDEX(CC!C:C,MATCH(1,(CC!A:A=G2021)*(CC!B:B=I2021),0))</f>
        <v>502</v>
      </c>
      <c r="I2021" s="28" t="s">
        <v>25</v>
      </c>
      <c r="J2021" s="31">
        <v>366.38</v>
      </c>
      <c r="K2021" s="28" t="str">
        <f>IFERROR(__xludf.DUMMYFUNCTION("IFERROR(
INDEX(
FILTER(
MAP(
reglas!$B$2:$B$240,
reglas!$C$2:$C$240,
reglas!$D$2:$D$240,
reglas!$E$2:$E$240,
LAMBDA(rEmisor,rPatron,rConcepto,rTipo,
IF(
AND(
OR(
UPPER(TRIM(rEmisor))=UPPER(TRIM(C2021)),
UPPER(TRIM(rEmisor))=""CUALQUIERA""
),
OR(
UPPER(TRI"&amp;"M(rTipo))=""SOLO EMISOR"",
AND(
UPPER(TRIM(rTipo))=""EXACTA"",
UPPER(TRIM(AG2021))=UPPER(TRIM(rPatron))
),
AND(
OR(
UPPER(TRIM(rTipo))=""CONTIENE"",
UPPER(TRIM(rTipo))=""COINCIDENCIA""
),
ISNUMBER(SEARCH(UPPER(TRIM(rPatron)),UPPER(TRIM(D2021))))
)
)
),
rC"&amp;"oncepto,
""""
)
)
),
MAP(
reglas!$B$2:$B$240,
reglas!$C$2:$C$240,
reglas!$D$2:$D$240,
reglas!$E$2:$E$240,
LAMBDA(rEmisor,rPatron,rConcepto,rTipo,
IF(
AND(
OR(
UPPER(TRIM(rEmisor))=UPPER(TRIM(C2021)),
UPPER(TRIM(rEmisor))=""CUALQUIERA""
),
OR(
UPPER(TRIM(r"&amp;"Tipo))=""SOLO EMISOR"",
AND(
UPPER(TRIM(rTipo))=""EXACTA"",
UPPER(TRIM(D2021))=UPPER(TRIM(rPatron))
),
AND(
OR(
UPPER(TRIM(rTipo))=""CONTIENE"",
UPPER(TRIM(rTipo))=""COINCIDENCIA""
),
ISNUMBER(SEARCH(UPPER(TRIM(rPatron)),UPPER(TRIM(D2021))))
)
)
),
rConce"&amp;"pto,
""""
)
)
)&lt;&gt;""""
),
1
),
""""
)"),"PATIO REGULADOR")</f>
        <v>PATIO REGULADOR</v>
      </c>
      <c r="L2021" s="27"/>
      <c r="M2021" s="27"/>
      <c r="N2021" s="27"/>
      <c r="O2021" s="27"/>
      <c r="P2021" s="27"/>
      <c r="Q2021" s="27"/>
      <c r="R2021" s="27"/>
      <c r="S2021" s="27"/>
      <c r="T2021" s="27"/>
      <c r="U2021" s="27"/>
      <c r="V2021" s="27"/>
      <c r="W2021" s="27"/>
      <c r="X2021" s="27"/>
      <c r="Y2021" s="27"/>
    </row>
    <row r="2022">
      <c r="A2022" s="32"/>
      <c r="B2022" s="28" t="s">
        <v>29</v>
      </c>
      <c r="C2022" s="29" t="s">
        <v>278</v>
      </c>
      <c r="D2022" s="29" t="s">
        <v>560</v>
      </c>
      <c r="E2022" s="30">
        <v>3500.0</v>
      </c>
      <c r="F2022" s="28">
        <v>0.0</v>
      </c>
      <c r="G2022" s="28" t="s">
        <v>250</v>
      </c>
      <c r="H2022" s="28">
        <f t="array" ref="H2022">INDEX(CC!C:C,MATCH(1,(CC!A:A=G2022)*(CC!B:B=I2022),0))</f>
        <v>1402</v>
      </c>
      <c r="I2022" s="28" t="s">
        <v>25</v>
      </c>
      <c r="J2022" s="31">
        <v>3500.0</v>
      </c>
      <c r="K2022" s="28" t="str">
        <f>IFERROR(__xludf.DUMMYFUNCTION("IFERROR(
INDEX(
FILTER(
MAP(
reglas!$B$2:$B$240,
reglas!$C$2:$C$240,
reglas!$D$2:$D$240,
reglas!$E$2:$E$240,
LAMBDA(rEmisor,rPatron,rConcepto,rTipo,
IF(
AND(
OR(
UPPER(TRIM(rEmisor))=UPPER(TRIM(C2022)),
UPPER(TRIM(rEmisor))=""CUALQUIERA""
),
OR(
UPPER(TRI"&amp;"M(rTipo))=""SOLO EMISOR"",
AND(
UPPER(TRIM(rTipo))=""EXACTA"",
UPPER(TRIM(AG2022))=UPPER(TRIM(rPatron))
),
AND(
OR(
UPPER(TRIM(rTipo))=""CONTIENE"",
UPPER(TRIM(rTipo))=""COINCIDENCIA""
),
ISNUMBER(SEARCH(UPPER(TRIM(rPatron)),UPPER(TRIM(D2022))))
)
)
),
rC"&amp;"oncepto,
""""
)
)
),
MAP(
reglas!$B$2:$B$240,
reglas!$C$2:$C$240,
reglas!$D$2:$D$240,
reglas!$E$2:$E$240,
LAMBDA(rEmisor,rPatron,rConcepto,rTipo,
IF(
AND(
OR(
UPPER(TRIM(rEmisor))=UPPER(TRIM(C2022)),
UPPER(TRIM(rEmisor))=""CUALQUIERA""
),
OR(
UPPER(TRIM(r"&amp;"Tipo))=""SOLO EMISOR"",
AND(
UPPER(TRIM(rTipo))=""EXACTA"",
UPPER(TRIM(D2022))=UPPER(TRIM(rPatron))
),
AND(
OR(
UPPER(TRIM(rTipo))=""CONTIENE"",
UPPER(TRIM(rTipo))=""COINCIDENCIA""
),
ISNUMBER(SEARCH(UPPER(TRIM(rPatron)),UPPER(TRIM(D2022))))
)
)
),
rConce"&amp;"pto,
""""
)
)
)&lt;&gt;""""
),
1
),
""""
)"),"MANIOBRAS")</f>
        <v>MANIOBRAS</v>
      </c>
      <c r="L2022" s="27"/>
      <c r="M2022" s="27"/>
      <c r="N2022" s="27"/>
      <c r="O2022" s="27"/>
      <c r="P2022" s="27"/>
      <c r="Q2022" s="27"/>
      <c r="R2022" s="27"/>
      <c r="S2022" s="27"/>
      <c r="T2022" s="27"/>
      <c r="U2022" s="27"/>
      <c r="V2022" s="27"/>
      <c r="W2022" s="27"/>
      <c r="X2022" s="27"/>
      <c r="Y2022" s="27"/>
    </row>
    <row r="2023">
      <c r="A2023" s="32"/>
      <c r="B2023" s="28" t="s">
        <v>29</v>
      </c>
      <c r="C2023" s="29" t="s">
        <v>2072</v>
      </c>
      <c r="D2023" s="29" t="s">
        <v>77</v>
      </c>
      <c r="E2023" s="30">
        <v>2844.08</v>
      </c>
      <c r="F2023" s="28">
        <v>0.0</v>
      </c>
      <c r="G2023" s="28" t="s">
        <v>55</v>
      </c>
      <c r="H2023" s="28">
        <f t="array" ref="H2023">INDEX(CC!C:C,MATCH(1,(CC!A:A=G2023)*(CC!B:B=I2023),0))</f>
        <v>903</v>
      </c>
      <c r="I2023" s="28" t="s">
        <v>44</v>
      </c>
      <c r="J2023" s="31">
        <v>2844.08</v>
      </c>
      <c r="K2023" s="28" t="str">
        <f>IFERROR(__xludf.DUMMYFUNCTION("IFERROR(
INDEX(
FILTER(
MAP(
reglas!$B$2:$B$240,
reglas!$C$2:$C$240,
reglas!$D$2:$D$240,
reglas!$E$2:$E$240,
LAMBDA(rEmisor,rPatron,rConcepto,rTipo,
IF(
AND(
OR(
UPPER(TRIM(rEmisor))=UPPER(TRIM(C2023)),
UPPER(TRIM(rEmisor))=""CUALQUIERA""
),
OR(
UPPER(TRI"&amp;"M(rTipo))=""SOLO EMISOR"",
AND(
UPPER(TRIM(rTipo))=""EXACTA"",
UPPER(TRIM(AG2023))=UPPER(TRIM(rPatron))
),
AND(
OR(
UPPER(TRIM(rTipo))=""CONTIENE"",
UPPER(TRIM(rTipo))=""COINCIDENCIA""
),
ISNUMBER(SEARCH(UPPER(TRIM(rPatron)),UPPER(TRIM(D2023))))
)
)
),
rC"&amp;"oncepto,
""""
)
)
),
MAP(
reglas!$B$2:$B$240,
reglas!$C$2:$C$240,
reglas!$D$2:$D$240,
reglas!$E$2:$E$240,
LAMBDA(rEmisor,rPatron,rConcepto,rTipo,
IF(
AND(
OR(
UPPER(TRIM(rEmisor))=UPPER(TRIM(C2023)),
UPPER(TRIM(rEmisor))=""CUALQUIERA""
),
OR(
UPPER(TRIM(r"&amp;"Tipo))=""SOLO EMISOR"",
AND(
UPPER(TRIM(rTipo))=""EXACTA"",
UPPER(TRIM(D2023))=UPPER(TRIM(rPatron))
),
AND(
OR(
UPPER(TRIM(rTipo))=""CONTIENE"",
UPPER(TRIM(rTipo))=""COINCIDENCIA""
),
ISNUMBER(SEARCH(UPPER(TRIM(rPatron)),UPPER(TRIM(D2023))))
)
)
),
rConce"&amp;"pto,
""""
)
)
)&lt;&gt;""""
),
1
),
""""
)"),"")</f>
        <v/>
      </c>
      <c r="L2023" s="27"/>
      <c r="M2023" s="27"/>
      <c r="N2023" s="27"/>
      <c r="O2023" s="27"/>
      <c r="P2023" s="27"/>
      <c r="Q2023" s="27"/>
      <c r="R2023" s="27"/>
      <c r="S2023" s="27"/>
      <c r="T2023" s="27"/>
      <c r="U2023" s="27"/>
      <c r="V2023" s="27"/>
      <c r="W2023" s="27"/>
      <c r="X2023" s="27"/>
      <c r="Y2023" s="27"/>
    </row>
    <row r="2024">
      <c r="A2024" s="32"/>
      <c r="B2024" s="32"/>
      <c r="C2024" s="29" t="s">
        <v>2072</v>
      </c>
      <c r="D2024" s="29" t="s">
        <v>1088</v>
      </c>
      <c r="E2024" s="28">
        <v>569.25</v>
      </c>
      <c r="F2024" s="28">
        <v>0.0</v>
      </c>
      <c r="G2024" s="28" t="s">
        <v>55</v>
      </c>
      <c r="H2024" s="28">
        <f t="array" ref="H2024">INDEX(CC!C:C,MATCH(1,(CC!A:A=G2024)*(CC!B:B=I2024),0))</f>
        <v>903</v>
      </c>
      <c r="I2024" s="28" t="s">
        <v>44</v>
      </c>
      <c r="J2024" s="31">
        <v>569.25</v>
      </c>
      <c r="K2024" s="28" t="str">
        <f>IFERROR(__xludf.DUMMYFUNCTION("IFERROR(
INDEX(
FILTER(
MAP(
reglas!$B$2:$B$240,
reglas!$C$2:$C$240,
reglas!$D$2:$D$240,
reglas!$E$2:$E$240,
LAMBDA(rEmisor,rPatron,rConcepto,rTipo,
IF(
AND(
OR(
UPPER(TRIM(rEmisor))=UPPER(TRIM(C2024)),
UPPER(TRIM(rEmisor))=""CUALQUIERA""
),
OR(
UPPER(TRI"&amp;"M(rTipo))=""SOLO EMISOR"",
AND(
UPPER(TRIM(rTipo))=""EXACTA"",
UPPER(TRIM(AG2024))=UPPER(TRIM(rPatron))
),
AND(
OR(
UPPER(TRIM(rTipo))=""CONTIENE"",
UPPER(TRIM(rTipo))=""COINCIDENCIA""
),
ISNUMBER(SEARCH(UPPER(TRIM(rPatron)),UPPER(TRIM(D2024))))
)
)
),
rC"&amp;"oncepto,
""""
)
)
),
MAP(
reglas!$B$2:$B$240,
reglas!$C$2:$C$240,
reglas!$D$2:$D$240,
reglas!$E$2:$E$240,
LAMBDA(rEmisor,rPatron,rConcepto,rTipo,
IF(
AND(
OR(
UPPER(TRIM(rEmisor))=UPPER(TRIM(C2024)),
UPPER(TRIM(rEmisor))=""CUALQUIERA""
),
OR(
UPPER(TRIM(r"&amp;"Tipo))=""SOLO EMISOR"",
AND(
UPPER(TRIM(rTipo))=""EXACTA"",
UPPER(TRIM(D2024))=UPPER(TRIM(rPatron))
),
AND(
OR(
UPPER(TRIM(rTipo))=""CONTIENE"",
UPPER(TRIM(rTipo))=""COINCIDENCIA""
),
ISNUMBER(SEARCH(UPPER(TRIM(rPatron)),UPPER(TRIM(D2024))))
)
)
),
rConce"&amp;"pto,
""""
)
)
)&lt;&gt;""""
),
1
),
""""
)"),"")</f>
        <v/>
      </c>
      <c r="L2024" s="27"/>
      <c r="M2024" s="27"/>
      <c r="N2024" s="27"/>
      <c r="O2024" s="27"/>
      <c r="P2024" s="27"/>
      <c r="Q2024" s="27"/>
      <c r="R2024" s="27"/>
      <c r="S2024" s="27"/>
      <c r="T2024" s="27"/>
      <c r="U2024" s="27"/>
      <c r="V2024" s="27"/>
      <c r="W2024" s="27"/>
      <c r="X2024" s="27"/>
      <c r="Y2024" s="27"/>
    </row>
    <row r="2025">
      <c r="A2025" s="32"/>
      <c r="B2025" s="32"/>
      <c r="C2025" s="29" t="s">
        <v>2072</v>
      </c>
      <c r="D2025" s="29" t="s">
        <v>1038</v>
      </c>
      <c r="E2025" s="30">
        <v>2690.52</v>
      </c>
      <c r="F2025" s="28">
        <v>0.0</v>
      </c>
      <c r="G2025" s="28" t="s">
        <v>55</v>
      </c>
      <c r="H2025" s="28">
        <f t="array" ref="H2025">INDEX(CC!C:C,MATCH(1,(CC!A:A=G2025)*(CC!B:B=I2025),0))</f>
        <v>903</v>
      </c>
      <c r="I2025" s="28" t="s">
        <v>44</v>
      </c>
      <c r="J2025" s="31">
        <v>2690.52</v>
      </c>
      <c r="K2025" s="28" t="str">
        <f>IFERROR(__xludf.DUMMYFUNCTION("IFERROR(
INDEX(
FILTER(
MAP(
reglas!$B$2:$B$240,
reglas!$C$2:$C$240,
reglas!$D$2:$D$240,
reglas!$E$2:$E$240,
LAMBDA(rEmisor,rPatron,rConcepto,rTipo,
IF(
AND(
OR(
UPPER(TRIM(rEmisor))=UPPER(TRIM(C2025)),
UPPER(TRIM(rEmisor))=""CUALQUIERA""
),
OR(
UPPER(TRI"&amp;"M(rTipo))=""SOLO EMISOR"",
AND(
UPPER(TRIM(rTipo))=""EXACTA"",
UPPER(TRIM(AG2025))=UPPER(TRIM(rPatron))
),
AND(
OR(
UPPER(TRIM(rTipo))=""CONTIENE"",
UPPER(TRIM(rTipo))=""COINCIDENCIA""
),
ISNUMBER(SEARCH(UPPER(TRIM(rPatron)),UPPER(TRIM(D2025))))
)
)
),
rC"&amp;"oncepto,
""""
)
)
),
MAP(
reglas!$B$2:$B$240,
reglas!$C$2:$C$240,
reglas!$D$2:$D$240,
reglas!$E$2:$E$240,
LAMBDA(rEmisor,rPatron,rConcepto,rTipo,
IF(
AND(
OR(
UPPER(TRIM(rEmisor))=UPPER(TRIM(C2025)),
UPPER(TRIM(rEmisor))=""CUALQUIERA""
),
OR(
UPPER(TRIM(r"&amp;"Tipo))=""SOLO EMISOR"",
AND(
UPPER(TRIM(rTipo))=""EXACTA"",
UPPER(TRIM(D2025))=UPPER(TRIM(rPatron))
),
AND(
OR(
UPPER(TRIM(rTipo))=""CONTIENE"",
UPPER(TRIM(rTipo))=""COINCIDENCIA""
),
ISNUMBER(SEARCH(UPPER(TRIM(rPatron)),UPPER(TRIM(D2025))))
)
)
),
rConce"&amp;"pto,
""""
)
)
)&lt;&gt;""""
),
1
),
""""
)"),"")</f>
        <v/>
      </c>
      <c r="L2025" s="27"/>
      <c r="M2025" s="27"/>
      <c r="N2025" s="27"/>
      <c r="O2025" s="27"/>
      <c r="P2025" s="27"/>
      <c r="Q2025" s="27"/>
      <c r="R2025" s="27"/>
      <c r="S2025" s="27"/>
      <c r="T2025" s="27"/>
      <c r="U2025" s="27"/>
      <c r="V2025" s="27"/>
      <c r="W2025" s="27"/>
      <c r="X2025" s="27"/>
      <c r="Y2025" s="27"/>
    </row>
    <row r="2026">
      <c r="A2026" s="32"/>
      <c r="B2026" s="32"/>
      <c r="C2026" s="29" t="s">
        <v>2072</v>
      </c>
      <c r="D2026" s="29" t="s">
        <v>2073</v>
      </c>
      <c r="E2026" s="28">
        <v>902.23</v>
      </c>
      <c r="F2026" s="28">
        <v>0.0</v>
      </c>
      <c r="G2026" s="28" t="s">
        <v>55</v>
      </c>
      <c r="H2026" s="28">
        <f t="array" ref="H2026">INDEX(CC!C:C,MATCH(1,(CC!A:A=G2026)*(CC!B:B=I2026),0))</f>
        <v>903</v>
      </c>
      <c r="I2026" s="28" t="s">
        <v>44</v>
      </c>
      <c r="J2026" s="31">
        <v>902.23</v>
      </c>
      <c r="K2026" s="28" t="str">
        <f>IFERROR(__xludf.DUMMYFUNCTION("IFERROR(
INDEX(
FILTER(
MAP(
reglas!$B$2:$B$240,
reglas!$C$2:$C$240,
reglas!$D$2:$D$240,
reglas!$E$2:$E$240,
LAMBDA(rEmisor,rPatron,rConcepto,rTipo,
IF(
AND(
OR(
UPPER(TRIM(rEmisor))=UPPER(TRIM(C2026)),
UPPER(TRIM(rEmisor))=""CUALQUIERA""
),
OR(
UPPER(TRI"&amp;"M(rTipo))=""SOLO EMISOR"",
AND(
UPPER(TRIM(rTipo))=""EXACTA"",
UPPER(TRIM(AG2026))=UPPER(TRIM(rPatron))
),
AND(
OR(
UPPER(TRIM(rTipo))=""CONTIENE"",
UPPER(TRIM(rTipo))=""COINCIDENCIA""
),
ISNUMBER(SEARCH(UPPER(TRIM(rPatron)),UPPER(TRIM(D2026))))
)
)
),
rC"&amp;"oncepto,
""""
)
)
),
MAP(
reglas!$B$2:$B$240,
reglas!$C$2:$C$240,
reglas!$D$2:$D$240,
reglas!$E$2:$E$240,
LAMBDA(rEmisor,rPatron,rConcepto,rTipo,
IF(
AND(
OR(
UPPER(TRIM(rEmisor))=UPPER(TRIM(C2026)),
UPPER(TRIM(rEmisor))=""CUALQUIERA""
),
OR(
UPPER(TRIM(r"&amp;"Tipo))=""SOLO EMISOR"",
AND(
UPPER(TRIM(rTipo))=""EXACTA"",
UPPER(TRIM(D2026))=UPPER(TRIM(rPatron))
),
AND(
OR(
UPPER(TRIM(rTipo))=""CONTIENE"",
UPPER(TRIM(rTipo))=""COINCIDENCIA""
),
ISNUMBER(SEARCH(UPPER(TRIM(rPatron)),UPPER(TRIM(D2026))))
)
)
),
rConce"&amp;"pto,
""""
)
)
)&lt;&gt;""""
),
1
),
""""
)"),"")</f>
        <v/>
      </c>
      <c r="L2026" s="27"/>
      <c r="M2026" s="27"/>
      <c r="N2026" s="27"/>
      <c r="O2026" s="27"/>
      <c r="P2026" s="27"/>
      <c r="Q2026" s="27"/>
      <c r="R2026" s="27"/>
      <c r="S2026" s="27"/>
      <c r="T2026" s="27"/>
      <c r="U2026" s="27"/>
      <c r="V2026" s="27"/>
      <c r="W2026" s="27"/>
      <c r="X2026" s="27"/>
      <c r="Y2026" s="27"/>
    </row>
    <row r="2027">
      <c r="A2027" s="32"/>
      <c r="B2027" s="28" t="s">
        <v>29</v>
      </c>
      <c r="C2027" s="29" t="s">
        <v>478</v>
      </c>
      <c r="D2027" s="29" t="s">
        <v>2074</v>
      </c>
      <c r="E2027" s="28">
        <v>137.93</v>
      </c>
      <c r="F2027" s="28">
        <v>0.0</v>
      </c>
      <c r="G2027" s="28" t="s">
        <v>40</v>
      </c>
      <c r="H2027" s="28">
        <f t="array" ref="H2027">INDEX(CC!C:C,MATCH(1,(CC!A:A=G2027)*(CC!B:B=I2027),0))</f>
        <v>602</v>
      </c>
      <c r="I2027" s="28" t="s">
        <v>25</v>
      </c>
      <c r="J2027" s="31">
        <v>137.93</v>
      </c>
      <c r="K2027" s="28" t="str">
        <f>IFERROR(__xludf.DUMMYFUNCTION("IFERROR(
INDEX(
FILTER(
MAP(
reglas!$B$2:$B$240,
reglas!$C$2:$C$240,
reglas!$D$2:$D$240,
reglas!$E$2:$E$240,
LAMBDA(rEmisor,rPatron,rConcepto,rTipo,
IF(
AND(
OR(
UPPER(TRIM(rEmisor))=UPPER(TRIM(C2027)),
UPPER(TRIM(rEmisor))=""CUALQUIERA""
),
OR(
UPPER(TRI"&amp;"M(rTipo))=""SOLO EMISOR"",
AND(
UPPER(TRIM(rTipo))=""EXACTA"",
UPPER(TRIM(AG2027))=UPPER(TRIM(rPatron))
),
AND(
OR(
UPPER(TRIM(rTipo))=""CONTIENE"",
UPPER(TRIM(rTipo))=""COINCIDENCIA""
),
ISNUMBER(SEARCH(UPPER(TRIM(rPatron)),UPPER(TRIM(D2027))))
)
)
),
rC"&amp;"oncepto,
""""
)
)
),
MAP(
reglas!$B$2:$B$240,
reglas!$C$2:$C$240,
reglas!$D$2:$D$240,
reglas!$E$2:$E$240,
LAMBDA(rEmisor,rPatron,rConcepto,rTipo,
IF(
AND(
OR(
UPPER(TRIM(rEmisor))=UPPER(TRIM(C2027)),
UPPER(TRIM(rEmisor))=""CUALQUIERA""
),
OR(
UPPER(TRIM(r"&amp;"Tipo))=""SOLO EMISOR"",
AND(
UPPER(TRIM(rTipo))=""EXACTA"",
UPPER(TRIM(D2027))=UPPER(TRIM(rPatron))
),
AND(
OR(
UPPER(TRIM(rTipo))=""CONTIENE"",
UPPER(TRIM(rTipo))=""COINCIDENCIA""
),
ISNUMBER(SEARCH(UPPER(TRIM(rPatron)),UPPER(TRIM(D2027))))
)
)
),
rConce"&amp;"pto,
""""
)
)
)&lt;&gt;""""
),
1
),
""""
)"),"MANTENIMIENTO EQ TRANSPORTE")</f>
        <v>MANTENIMIENTO EQ TRANSPORTE</v>
      </c>
      <c r="L2027" s="27"/>
      <c r="M2027" s="27"/>
      <c r="N2027" s="27"/>
      <c r="O2027" s="27"/>
      <c r="P2027" s="27"/>
      <c r="Q2027" s="27"/>
      <c r="R2027" s="27"/>
      <c r="S2027" s="27"/>
      <c r="T2027" s="27"/>
      <c r="U2027" s="27"/>
      <c r="V2027" s="27"/>
      <c r="W2027" s="27"/>
      <c r="X2027" s="27"/>
      <c r="Y2027" s="27"/>
    </row>
    <row r="2028">
      <c r="A2028" s="32"/>
      <c r="B2028" s="28" t="s">
        <v>29</v>
      </c>
      <c r="C2028" s="29" t="s">
        <v>217</v>
      </c>
      <c r="D2028" s="29" t="s">
        <v>2075</v>
      </c>
      <c r="E2028" s="30">
        <v>6000.0</v>
      </c>
      <c r="F2028" s="28">
        <v>0.0</v>
      </c>
      <c r="G2028" s="28" t="s">
        <v>581</v>
      </c>
      <c r="H2028" s="28">
        <f t="array" ref="H2028">INDEX(CC!C:C,MATCH(1,(CC!A:A=G2028)*(CC!B:B=I2028),0))</f>
        <v>202</v>
      </c>
      <c r="I2028" s="28" t="s">
        <v>25</v>
      </c>
      <c r="J2028" s="31">
        <v>6000.0</v>
      </c>
      <c r="K2028" s="28" t="str">
        <f>IFERROR(__xludf.DUMMYFUNCTION("IFERROR(
INDEX(
FILTER(
MAP(
reglas!$B$2:$B$240,
reglas!$C$2:$C$240,
reglas!$D$2:$D$240,
reglas!$E$2:$E$240,
LAMBDA(rEmisor,rPatron,rConcepto,rTipo,
IF(
AND(
OR(
UPPER(TRIM(rEmisor))=UPPER(TRIM(C2028)),
UPPER(TRIM(rEmisor))=""CUALQUIERA""
),
OR(
UPPER(TRI"&amp;"M(rTipo))=""SOLO EMISOR"",
AND(
UPPER(TRIM(rTipo))=""EXACTA"",
UPPER(TRIM(AG2028))=UPPER(TRIM(rPatron))
),
AND(
OR(
UPPER(TRIM(rTipo))=""CONTIENE"",
UPPER(TRIM(rTipo))=""COINCIDENCIA""
),
ISNUMBER(SEARCH(UPPER(TRIM(rPatron)),UPPER(TRIM(D2028))))
)
)
),
rC"&amp;"oncepto,
""""
)
)
),
MAP(
reglas!$B$2:$B$240,
reglas!$C$2:$C$240,
reglas!$D$2:$D$240,
reglas!$E$2:$E$240,
LAMBDA(rEmisor,rPatron,rConcepto,rTipo,
IF(
AND(
OR(
UPPER(TRIM(rEmisor))=UPPER(TRIM(C2028)),
UPPER(TRIM(rEmisor))=""CUALQUIERA""
),
OR(
UPPER(TRIM(r"&amp;"Tipo))=""SOLO EMISOR"",
AND(
UPPER(TRIM(rTipo))=""EXACTA"",
UPPER(TRIM(D2028))=UPPER(TRIM(rPatron))
),
AND(
OR(
UPPER(TRIM(rTipo))=""CONTIENE"",
UPPER(TRIM(rTipo))=""COINCIDENCIA""
),
ISNUMBER(SEARCH(UPPER(TRIM(rPatron)),UPPER(TRIM(D2028))))
)
)
),
rConce"&amp;"pto,
""""
)
)
)&lt;&gt;""""
),
1
),
""""
)"),"ARRENDAMIENTO EQUIPO DE TRANSPORTE")</f>
        <v>ARRENDAMIENTO EQUIPO DE TRANSPORTE</v>
      </c>
      <c r="L2028" s="27"/>
      <c r="M2028" s="27"/>
      <c r="N2028" s="27"/>
      <c r="O2028" s="27"/>
      <c r="P2028" s="27"/>
      <c r="Q2028" s="27"/>
      <c r="R2028" s="27"/>
      <c r="S2028" s="27"/>
      <c r="T2028" s="27"/>
      <c r="U2028" s="27"/>
      <c r="V2028" s="27"/>
      <c r="W2028" s="27"/>
      <c r="X2028" s="27"/>
      <c r="Y2028" s="27"/>
    </row>
    <row r="2029">
      <c r="A2029" s="32"/>
      <c r="B2029" s="32"/>
      <c r="C2029" s="29" t="s">
        <v>217</v>
      </c>
      <c r="D2029" s="29" t="s">
        <v>2029</v>
      </c>
      <c r="E2029" s="30">
        <v>5300.0</v>
      </c>
      <c r="F2029" s="28">
        <v>0.0</v>
      </c>
      <c r="G2029" s="28" t="s">
        <v>581</v>
      </c>
      <c r="H2029" s="28">
        <f t="array" ref="H2029">INDEX(CC!C:C,MATCH(1,(CC!A:A=G2029)*(CC!B:B=I2029),0))</f>
        <v>202</v>
      </c>
      <c r="I2029" s="28" t="s">
        <v>25</v>
      </c>
      <c r="J2029" s="31">
        <v>5300.0</v>
      </c>
      <c r="K2029" s="28" t="str">
        <f>IFERROR(__xludf.DUMMYFUNCTION("IFERROR(
INDEX(
FILTER(
MAP(
reglas!$B$2:$B$240,
reglas!$C$2:$C$240,
reglas!$D$2:$D$240,
reglas!$E$2:$E$240,
LAMBDA(rEmisor,rPatron,rConcepto,rTipo,
IF(
AND(
OR(
UPPER(TRIM(rEmisor))=UPPER(TRIM(C2029)),
UPPER(TRIM(rEmisor))=""CUALQUIERA""
),
OR(
UPPER(TRI"&amp;"M(rTipo))=""SOLO EMISOR"",
AND(
UPPER(TRIM(rTipo))=""EXACTA"",
UPPER(TRIM(AG2029))=UPPER(TRIM(rPatron))
),
AND(
OR(
UPPER(TRIM(rTipo))=""CONTIENE"",
UPPER(TRIM(rTipo))=""COINCIDENCIA""
),
ISNUMBER(SEARCH(UPPER(TRIM(rPatron)),UPPER(TRIM(D2029))))
)
)
),
rC"&amp;"oncepto,
""""
)
)
),
MAP(
reglas!$B$2:$B$240,
reglas!$C$2:$C$240,
reglas!$D$2:$D$240,
reglas!$E$2:$E$240,
LAMBDA(rEmisor,rPatron,rConcepto,rTipo,
IF(
AND(
OR(
UPPER(TRIM(rEmisor))=UPPER(TRIM(C2029)),
UPPER(TRIM(rEmisor))=""CUALQUIERA""
),
OR(
UPPER(TRIM(r"&amp;"Tipo))=""SOLO EMISOR"",
AND(
UPPER(TRIM(rTipo))=""EXACTA"",
UPPER(TRIM(D2029))=UPPER(TRIM(rPatron))
),
AND(
OR(
UPPER(TRIM(rTipo))=""CONTIENE"",
UPPER(TRIM(rTipo))=""COINCIDENCIA""
),
ISNUMBER(SEARCH(UPPER(TRIM(rPatron)),UPPER(TRIM(D2029))))
)
)
),
rConce"&amp;"pto,
""""
)
)
)&lt;&gt;""""
),
1
),
""""
)"),"ARRENDAMIENTO EQUIPO DE TRANSPORTE")</f>
        <v>ARRENDAMIENTO EQUIPO DE TRANSPORTE</v>
      </c>
      <c r="L2029" s="27"/>
      <c r="M2029" s="27"/>
      <c r="N2029" s="27"/>
      <c r="O2029" s="27"/>
      <c r="P2029" s="27"/>
      <c r="Q2029" s="27"/>
      <c r="R2029" s="27"/>
      <c r="S2029" s="27"/>
      <c r="T2029" s="27"/>
      <c r="U2029" s="27"/>
      <c r="V2029" s="27"/>
      <c r="W2029" s="27"/>
      <c r="X2029" s="27"/>
      <c r="Y2029" s="27"/>
    </row>
    <row r="2030">
      <c r="A2030" s="32"/>
      <c r="B2030" s="32"/>
      <c r="C2030" s="29" t="s">
        <v>217</v>
      </c>
      <c r="D2030" s="29" t="s">
        <v>1950</v>
      </c>
      <c r="E2030" s="30">
        <v>3200.0</v>
      </c>
      <c r="F2030" s="28">
        <v>0.0</v>
      </c>
      <c r="G2030" s="28" t="s">
        <v>581</v>
      </c>
      <c r="H2030" s="28">
        <f t="array" ref="H2030">INDEX(CC!C:C,MATCH(1,(CC!A:A=G2030)*(CC!B:B=I2030),0))</f>
        <v>202</v>
      </c>
      <c r="I2030" s="28" t="s">
        <v>25</v>
      </c>
      <c r="J2030" s="31">
        <v>3200.0</v>
      </c>
      <c r="K2030" s="28" t="str">
        <f>IFERROR(__xludf.DUMMYFUNCTION("IFERROR(
INDEX(
FILTER(
MAP(
reglas!$B$2:$B$240,
reglas!$C$2:$C$240,
reglas!$D$2:$D$240,
reglas!$E$2:$E$240,
LAMBDA(rEmisor,rPatron,rConcepto,rTipo,
IF(
AND(
OR(
UPPER(TRIM(rEmisor))=UPPER(TRIM(C2030)),
UPPER(TRIM(rEmisor))=""CUALQUIERA""
),
OR(
UPPER(TRI"&amp;"M(rTipo))=""SOLO EMISOR"",
AND(
UPPER(TRIM(rTipo))=""EXACTA"",
UPPER(TRIM(AG2030))=UPPER(TRIM(rPatron))
),
AND(
OR(
UPPER(TRIM(rTipo))=""CONTIENE"",
UPPER(TRIM(rTipo))=""COINCIDENCIA""
),
ISNUMBER(SEARCH(UPPER(TRIM(rPatron)),UPPER(TRIM(D2030))))
)
)
),
rC"&amp;"oncepto,
""""
)
)
),
MAP(
reglas!$B$2:$B$240,
reglas!$C$2:$C$240,
reglas!$D$2:$D$240,
reglas!$E$2:$E$240,
LAMBDA(rEmisor,rPatron,rConcepto,rTipo,
IF(
AND(
OR(
UPPER(TRIM(rEmisor))=UPPER(TRIM(C2030)),
UPPER(TRIM(rEmisor))=""CUALQUIERA""
),
OR(
UPPER(TRIM(r"&amp;"Tipo))=""SOLO EMISOR"",
AND(
UPPER(TRIM(rTipo))=""EXACTA"",
UPPER(TRIM(D2030))=UPPER(TRIM(rPatron))
),
AND(
OR(
UPPER(TRIM(rTipo))=""CONTIENE"",
UPPER(TRIM(rTipo))=""COINCIDENCIA""
),
ISNUMBER(SEARCH(UPPER(TRIM(rPatron)),UPPER(TRIM(D2030))))
)
)
),
rConce"&amp;"pto,
""""
)
)
)&lt;&gt;""""
),
1
),
""""
)"),"ARRENDAMIENTO EQUIPO DE TRANSPORTE")</f>
        <v>ARRENDAMIENTO EQUIPO DE TRANSPORTE</v>
      </c>
      <c r="L2030" s="27"/>
      <c r="M2030" s="27"/>
      <c r="N2030" s="27"/>
      <c r="O2030" s="27"/>
      <c r="P2030" s="27"/>
      <c r="Q2030" s="27"/>
      <c r="R2030" s="27"/>
      <c r="S2030" s="27"/>
      <c r="T2030" s="27"/>
      <c r="U2030" s="27"/>
      <c r="V2030" s="27"/>
      <c r="W2030" s="27"/>
      <c r="X2030" s="27"/>
      <c r="Y2030" s="27"/>
    </row>
    <row r="2031">
      <c r="A2031" s="32"/>
      <c r="B2031" s="32"/>
      <c r="C2031" s="29" t="s">
        <v>217</v>
      </c>
      <c r="D2031" s="29" t="s">
        <v>2030</v>
      </c>
      <c r="E2031" s="30">
        <v>3763.15</v>
      </c>
      <c r="F2031" s="28">
        <v>0.0</v>
      </c>
      <c r="G2031" s="28" t="s">
        <v>581</v>
      </c>
      <c r="H2031" s="28">
        <f t="array" ref="H2031">INDEX(CC!C:C,MATCH(1,(CC!A:A=G2031)*(CC!B:B=I2031),0))</f>
        <v>202</v>
      </c>
      <c r="I2031" s="28" t="s">
        <v>25</v>
      </c>
      <c r="J2031" s="31">
        <v>3763.15</v>
      </c>
      <c r="K2031" s="28" t="str">
        <f>IFERROR(__xludf.DUMMYFUNCTION("IFERROR(
INDEX(
FILTER(
MAP(
reglas!$B$2:$B$240,
reglas!$C$2:$C$240,
reglas!$D$2:$D$240,
reglas!$E$2:$E$240,
LAMBDA(rEmisor,rPatron,rConcepto,rTipo,
IF(
AND(
OR(
UPPER(TRIM(rEmisor))=UPPER(TRIM(C2031)),
UPPER(TRIM(rEmisor))=""CUALQUIERA""
),
OR(
UPPER(TRI"&amp;"M(rTipo))=""SOLO EMISOR"",
AND(
UPPER(TRIM(rTipo))=""EXACTA"",
UPPER(TRIM(AG2031))=UPPER(TRIM(rPatron))
),
AND(
OR(
UPPER(TRIM(rTipo))=""CONTIENE"",
UPPER(TRIM(rTipo))=""COINCIDENCIA""
),
ISNUMBER(SEARCH(UPPER(TRIM(rPatron)),UPPER(TRIM(D2031))))
)
)
),
rC"&amp;"oncepto,
""""
)
)
),
MAP(
reglas!$B$2:$B$240,
reglas!$C$2:$C$240,
reglas!$D$2:$D$240,
reglas!$E$2:$E$240,
LAMBDA(rEmisor,rPatron,rConcepto,rTipo,
IF(
AND(
OR(
UPPER(TRIM(rEmisor))=UPPER(TRIM(C2031)),
UPPER(TRIM(rEmisor))=""CUALQUIERA""
),
OR(
UPPER(TRIM(r"&amp;"Tipo))=""SOLO EMISOR"",
AND(
UPPER(TRIM(rTipo))=""EXACTA"",
UPPER(TRIM(D2031))=UPPER(TRIM(rPatron))
),
AND(
OR(
UPPER(TRIM(rTipo))=""CONTIENE"",
UPPER(TRIM(rTipo))=""COINCIDENCIA""
),
ISNUMBER(SEARCH(UPPER(TRIM(rPatron)),UPPER(TRIM(D2031))))
)
)
),
rConce"&amp;"pto,
""""
)
)
)&lt;&gt;""""
),
1
),
""""
)"),"ARRENDAMIENTO EQUIPO DE TRANSPORTE")</f>
        <v>ARRENDAMIENTO EQUIPO DE TRANSPORTE</v>
      </c>
      <c r="L2031" s="27"/>
      <c r="M2031" s="27"/>
      <c r="N2031" s="27"/>
      <c r="O2031" s="27"/>
      <c r="P2031" s="27"/>
      <c r="Q2031" s="27"/>
      <c r="R2031" s="27"/>
      <c r="S2031" s="27"/>
      <c r="T2031" s="27"/>
      <c r="U2031" s="27"/>
      <c r="V2031" s="27"/>
      <c r="W2031" s="27"/>
      <c r="X2031" s="27"/>
      <c r="Y2031" s="27"/>
    </row>
    <row r="2032">
      <c r="A2032" s="32"/>
      <c r="B2032" s="28" t="s">
        <v>29</v>
      </c>
      <c r="C2032" s="29" t="s">
        <v>172</v>
      </c>
      <c r="D2032" s="29" t="s">
        <v>2034</v>
      </c>
      <c r="E2032" s="30">
        <v>11500.0</v>
      </c>
      <c r="F2032" s="28">
        <v>0.0</v>
      </c>
      <c r="G2032" s="28" t="s">
        <v>250</v>
      </c>
      <c r="H2032" s="28">
        <f t="array" ref="H2032">INDEX(CC!C:C,MATCH(1,(CC!A:A=G2032)*(CC!B:B=I2032),0))</f>
        <v>1402</v>
      </c>
      <c r="I2032" s="28" t="s">
        <v>25</v>
      </c>
      <c r="J2032" s="31">
        <v>11500.0</v>
      </c>
      <c r="K2032" s="28" t="str">
        <f>IFERROR(__xludf.DUMMYFUNCTION("IFERROR(
INDEX(
FILTER(
MAP(
reglas!$B$2:$B$240,
reglas!$C$2:$C$240,
reglas!$D$2:$D$240,
reglas!$E$2:$E$240,
LAMBDA(rEmisor,rPatron,rConcepto,rTipo,
IF(
AND(
OR(
UPPER(TRIM(rEmisor))=UPPER(TRIM(C2032)),
UPPER(TRIM(rEmisor))=""CUALQUIERA""
),
OR(
UPPER(TRI"&amp;"M(rTipo))=""SOLO EMISOR"",
AND(
UPPER(TRIM(rTipo))=""EXACTA"",
UPPER(TRIM(AG2032))=UPPER(TRIM(rPatron))
),
AND(
OR(
UPPER(TRIM(rTipo))=""CONTIENE"",
UPPER(TRIM(rTipo))=""COINCIDENCIA""
),
ISNUMBER(SEARCH(UPPER(TRIM(rPatron)),UPPER(TRIM(D2032))))
)
)
),
rC"&amp;"oncepto,
""""
)
)
),
MAP(
reglas!$B$2:$B$240,
reglas!$C$2:$C$240,
reglas!$D$2:$D$240,
reglas!$E$2:$E$240,
LAMBDA(rEmisor,rPatron,rConcepto,rTipo,
IF(
AND(
OR(
UPPER(TRIM(rEmisor))=UPPER(TRIM(C2032)),
UPPER(TRIM(rEmisor))=""CUALQUIERA""
),
OR(
UPPER(TRIM(r"&amp;"Tipo))=""SOLO EMISOR"",
AND(
UPPER(TRIM(rTipo))=""EXACTA"",
UPPER(TRIM(D2032))=UPPER(TRIM(rPatron))
),
AND(
OR(
UPPER(TRIM(rTipo))=""CONTIENE"",
UPPER(TRIM(rTipo))=""COINCIDENCIA""
),
ISNUMBER(SEARCH(UPPER(TRIM(rPatron)),UPPER(TRIM(D2032))))
)
)
),
rConce"&amp;"pto,
""""
)
)
)&lt;&gt;""""
),
1
),
""""
)"),"TRANSPORTE")</f>
        <v>TRANSPORTE</v>
      </c>
      <c r="L2032" s="27"/>
      <c r="M2032" s="27"/>
      <c r="N2032" s="27"/>
      <c r="O2032" s="27"/>
      <c r="P2032" s="27"/>
      <c r="Q2032" s="27"/>
      <c r="R2032" s="27"/>
      <c r="S2032" s="27"/>
      <c r="T2032" s="27"/>
      <c r="U2032" s="27"/>
      <c r="V2032" s="27"/>
      <c r="W2032" s="27"/>
      <c r="X2032" s="27"/>
      <c r="Y2032" s="27"/>
    </row>
    <row r="2033">
      <c r="A2033" s="32"/>
      <c r="B2033" s="32"/>
      <c r="C2033" s="29" t="s">
        <v>172</v>
      </c>
      <c r="D2033" s="32"/>
      <c r="E2033" s="32"/>
      <c r="F2033" s="32"/>
      <c r="G2033" s="28" t="s">
        <v>250</v>
      </c>
      <c r="H2033" s="28">
        <f t="array" ref="H2033">INDEX(CC!C:C,MATCH(1,(CC!A:A=G2033)*(CC!B:B=I2033),0))</f>
        <v>1402</v>
      </c>
      <c r="I2033" s="28" t="s">
        <v>25</v>
      </c>
      <c r="J2033" s="31">
        <v>0.0</v>
      </c>
      <c r="K2033" s="28" t="str">
        <f>IFERROR(__xludf.DUMMYFUNCTION("IFERROR(
INDEX(
FILTER(
MAP(
reglas!$B$2:$B$240,
reglas!$C$2:$C$240,
reglas!$D$2:$D$240,
reglas!$E$2:$E$240,
LAMBDA(rEmisor,rPatron,rConcepto,rTipo,
IF(
AND(
OR(
UPPER(TRIM(rEmisor))=UPPER(TRIM(C2033)),
UPPER(TRIM(rEmisor))=""CUALQUIERA""
),
OR(
UPPER(TRI"&amp;"M(rTipo))=""SOLO EMISOR"",
AND(
UPPER(TRIM(rTipo))=""EXACTA"",
UPPER(TRIM(AG2033))=UPPER(TRIM(rPatron))
),
AND(
OR(
UPPER(TRIM(rTipo))=""CONTIENE"",
UPPER(TRIM(rTipo))=""COINCIDENCIA""
),
ISNUMBER(SEARCH(UPPER(TRIM(rPatron)),UPPER(TRIM(D2033))))
)
)
),
rC"&amp;"oncepto,
""""
)
)
),
MAP(
reglas!$B$2:$B$240,
reglas!$C$2:$C$240,
reglas!$D$2:$D$240,
reglas!$E$2:$E$240,
LAMBDA(rEmisor,rPatron,rConcepto,rTipo,
IF(
AND(
OR(
UPPER(TRIM(rEmisor))=UPPER(TRIM(C2033)),
UPPER(TRIM(rEmisor))=""CUALQUIERA""
),
OR(
UPPER(TRIM(r"&amp;"Tipo))=""SOLO EMISOR"",
AND(
UPPER(TRIM(rTipo))=""EXACTA"",
UPPER(TRIM(D2033))=UPPER(TRIM(rPatron))
),
AND(
OR(
UPPER(TRIM(rTipo))=""CONTIENE"",
UPPER(TRIM(rTipo))=""COINCIDENCIA""
),
ISNUMBER(SEARCH(UPPER(TRIM(rPatron)),UPPER(TRIM(D2033))))
)
)
),
rConce"&amp;"pto,
""""
)
)
)&lt;&gt;""""
),
1
),
""""
)"),"")</f>
        <v/>
      </c>
      <c r="L2033" s="27"/>
      <c r="M2033" s="27"/>
      <c r="N2033" s="27"/>
      <c r="O2033" s="27"/>
      <c r="P2033" s="27"/>
      <c r="Q2033" s="27"/>
      <c r="R2033" s="27"/>
      <c r="S2033" s="27"/>
      <c r="T2033" s="27"/>
      <c r="U2033" s="27"/>
      <c r="V2033" s="27"/>
      <c r="W2033" s="27"/>
      <c r="X2033" s="27"/>
      <c r="Y2033" s="27"/>
    </row>
    <row r="2034">
      <c r="A2034" s="32"/>
      <c r="B2034" s="28" t="s">
        <v>29</v>
      </c>
      <c r="C2034" s="29" t="s">
        <v>331</v>
      </c>
      <c r="D2034" s="29" t="s">
        <v>33</v>
      </c>
      <c r="E2034" s="28">
        <v>0.01</v>
      </c>
      <c r="F2034" s="28">
        <v>0.0</v>
      </c>
      <c r="G2034" s="28" t="s">
        <v>385</v>
      </c>
      <c r="H2034" s="28">
        <f t="array" ref="H2034">INDEX(CC!C:C,MATCH(1,(CC!A:A=G2034)*(CC!B:B=I2034),0))</f>
        <v>503</v>
      </c>
      <c r="I2034" s="28" t="s">
        <v>44</v>
      </c>
      <c r="J2034" s="31">
        <v>0.01</v>
      </c>
      <c r="K2034" s="28" t="str">
        <f>IFERROR(__xludf.DUMMYFUNCTION("IFERROR(
INDEX(
FILTER(
MAP(
reglas!$B$2:$B$240,
reglas!$C$2:$C$240,
reglas!$D$2:$D$240,
reglas!$E$2:$E$240,
LAMBDA(rEmisor,rPatron,rConcepto,rTipo,
IF(
AND(
OR(
UPPER(TRIM(rEmisor))=UPPER(TRIM(C2034)),
UPPER(TRIM(rEmisor))=""CUALQUIERA""
),
OR(
UPPER(TRI"&amp;"M(rTipo))=""SOLO EMISOR"",
AND(
UPPER(TRIM(rTipo))=""EXACTA"",
UPPER(TRIM(AG2034))=UPPER(TRIM(rPatron))
),
AND(
OR(
UPPER(TRIM(rTipo))=""CONTIENE"",
UPPER(TRIM(rTipo))=""COINCIDENCIA""
),
ISNUMBER(SEARCH(UPPER(TRIM(rPatron)),UPPER(TRIM(D2034))))
)
)
),
rC"&amp;"oncepto,
""""
)
)
),
MAP(
reglas!$B$2:$B$240,
reglas!$C$2:$C$240,
reglas!$D$2:$D$240,
reglas!$E$2:$E$240,
LAMBDA(rEmisor,rPatron,rConcepto,rTipo,
IF(
AND(
OR(
UPPER(TRIM(rEmisor))=UPPER(TRIM(C2034)),
UPPER(TRIM(rEmisor))=""CUALQUIERA""
),
OR(
UPPER(TRIM(r"&amp;"Tipo))=""SOLO EMISOR"",
AND(
UPPER(TRIM(rTipo))=""EXACTA"",
UPPER(TRIM(D2034))=UPPER(TRIM(rPatron))
),
AND(
OR(
UPPER(TRIM(rTipo))=""CONTIENE"",
UPPER(TRIM(rTipo))=""COINCIDENCIA""
),
ISNUMBER(SEARCH(UPPER(TRIM(rPatron)),UPPER(TRIM(D2034))))
)
)
),
rConce"&amp;"pto,
""""
)
)
)&lt;&gt;""""
),
1
),
""""
)"),"N/A")</f>
        <v>N/A</v>
      </c>
      <c r="L2034" s="27"/>
      <c r="M2034" s="27"/>
      <c r="N2034" s="27"/>
      <c r="O2034" s="27"/>
      <c r="P2034" s="27"/>
      <c r="Q2034" s="27"/>
      <c r="R2034" s="27"/>
      <c r="S2034" s="27"/>
      <c r="T2034" s="27"/>
      <c r="U2034" s="27"/>
      <c r="V2034" s="27"/>
      <c r="W2034" s="27"/>
      <c r="X2034" s="27"/>
      <c r="Y2034" s="27"/>
    </row>
    <row r="2035">
      <c r="A2035" s="32"/>
      <c r="B2035" s="28" t="s">
        <v>29</v>
      </c>
      <c r="C2035" s="29" t="s">
        <v>70</v>
      </c>
      <c r="D2035" s="29" t="s">
        <v>1701</v>
      </c>
      <c r="E2035" s="30">
        <v>4321.49</v>
      </c>
      <c r="F2035" s="28">
        <v>0.0</v>
      </c>
      <c r="G2035" s="28" t="s">
        <v>55</v>
      </c>
      <c r="H2035" s="28">
        <f t="array" ref="H2035">INDEX(CC!C:C,MATCH(1,(CC!A:A=G2035)*(CC!B:B=I2035),0))</f>
        <v>903</v>
      </c>
      <c r="I2035" s="28" t="s">
        <v>44</v>
      </c>
      <c r="J2035" s="31">
        <v>4321.49</v>
      </c>
      <c r="K2035" s="28" t="str">
        <f>IFERROR(__xludf.DUMMYFUNCTION("IFERROR(
INDEX(
FILTER(
MAP(
reglas!$B$2:$B$240,
reglas!$C$2:$C$240,
reglas!$D$2:$D$240,
reglas!$E$2:$E$240,
LAMBDA(rEmisor,rPatron,rConcepto,rTipo,
IF(
AND(
OR(
UPPER(TRIM(rEmisor))=UPPER(TRIM(C2035)),
UPPER(TRIM(rEmisor))=""CUALQUIERA""
),
OR(
UPPER(TRI"&amp;"M(rTipo))=""SOLO EMISOR"",
AND(
UPPER(TRIM(rTipo))=""EXACTA"",
UPPER(TRIM(AG2035))=UPPER(TRIM(rPatron))
),
AND(
OR(
UPPER(TRIM(rTipo))=""CONTIENE"",
UPPER(TRIM(rTipo))=""COINCIDENCIA""
),
ISNUMBER(SEARCH(UPPER(TRIM(rPatron)),UPPER(TRIM(D2035))))
)
)
),
rC"&amp;"oncepto,
""""
)
)
),
MAP(
reglas!$B$2:$B$240,
reglas!$C$2:$C$240,
reglas!$D$2:$D$240,
reglas!$E$2:$E$240,
LAMBDA(rEmisor,rPatron,rConcepto,rTipo,
IF(
AND(
OR(
UPPER(TRIM(rEmisor))=UPPER(TRIM(C2035)),
UPPER(TRIM(rEmisor))=""CUALQUIERA""
),
OR(
UPPER(TRIM(r"&amp;"Tipo))=""SOLO EMISOR"",
AND(
UPPER(TRIM(rTipo))=""EXACTA"",
UPPER(TRIM(D2035))=UPPER(TRIM(rPatron))
),
AND(
OR(
UPPER(TRIM(rTipo))=""CONTIENE"",
UPPER(TRIM(rTipo))=""COINCIDENCIA""
),
ISNUMBER(SEARCH(UPPER(TRIM(rPatron)),UPPER(TRIM(D2035))))
)
)
),
rConce"&amp;"pto,
""""
)
)
)&lt;&gt;""""
),
1
),
""""
)"),"MANIOBRAS")</f>
        <v>MANIOBRAS</v>
      </c>
      <c r="L2035" s="27"/>
      <c r="M2035" s="27"/>
      <c r="N2035" s="27"/>
      <c r="O2035" s="27"/>
      <c r="P2035" s="27"/>
      <c r="Q2035" s="27"/>
      <c r="R2035" s="27"/>
      <c r="S2035" s="27"/>
      <c r="T2035" s="27"/>
      <c r="U2035" s="27"/>
      <c r="V2035" s="27"/>
      <c r="W2035" s="27"/>
      <c r="X2035" s="27"/>
      <c r="Y2035" s="27"/>
    </row>
    <row r="2036">
      <c r="A2036" s="32"/>
      <c r="B2036" s="32"/>
      <c r="C2036" s="29" t="s">
        <v>70</v>
      </c>
      <c r="D2036" s="29" t="s">
        <v>1716</v>
      </c>
      <c r="E2036" s="30">
        <v>1487.17</v>
      </c>
      <c r="F2036" s="28">
        <v>0.0</v>
      </c>
      <c r="G2036" s="28" t="s">
        <v>55</v>
      </c>
      <c r="H2036" s="28">
        <f t="array" ref="H2036">INDEX(CC!C:C,MATCH(1,(CC!A:A=G2036)*(CC!B:B=I2036),0))</f>
        <v>903</v>
      </c>
      <c r="I2036" s="28" t="s">
        <v>44</v>
      </c>
      <c r="J2036" s="31">
        <v>1487.17</v>
      </c>
      <c r="K2036" s="28" t="str">
        <f>IFERROR(__xludf.DUMMYFUNCTION("IFERROR(
INDEX(
FILTER(
MAP(
reglas!$B$2:$B$240,
reglas!$C$2:$C$240,
reglas!$D$2:$D$240,
reglas!$E$2:$E$240,
LAMBDA(rEmisor,rPatron,rConcepto,rTipo,
IF(
AND(
OR(
UPPER(TRIM(rEmisor))=UPPER(TRIM(C2036)),
UPPER(TRIM(rEmisor))=""CUALQUIERA""
),
OR(
UPPER(TRI"&amp;"M(rTipo))=""SOLO EMISOR"",
AND(
UPPER(TRIM(rTipo))=""EXACTA"",
UPPER(TRIM(AG2036))=UPPER(TRIM(rPatron))
),
AND(
OR(
UPPER(TRIM(rTipo))=""CONTIENE"",
UPPER(TRIM(rTipo))=""COINCIDENCIA""
),
ISNUMBER(SEARCH(UPPER(TRIM(rPatron)),UPPER(TRIM(D2036))))
)
)
),
rC"&amp;"oncepto,
""""
)
)
),
MAP(
reglas!$B$2:$B$240,
reglas!$C$2:$C$240,
reglas!$D$2:$D$240,
reglas!$E$2:$E$240,
LAMBDA(rEmisor,rPatron,rConcepto,rTipo,
IF(
AND(
OR(
UPPER(TRIM(rEmisor))=UPPER(TRIM(C2036)),
UPPER(TRIM(rEmisor))=""CUALQUIERA""
),
OR(
UPPER(TRIM(r"&amp;"Tipo))=""SOLO EMISOR"",
AND(
UPPER(TRIM(rTipo))=""EXACTA"",
UPPER(TRIM(D2036))=UPPER(TRIM(rPatron))
),
AND(
OR(
UPPER(TRIM(rTipo))=""CONTIENE"",
UPPER(TRIM(rTipo))=""COINCIDENCIA""
),
ISNUMBER(SEARCH(UPPER(TRIM(rPatron)),UPPER(TRIM(D2036))))
)
)
),
rConce"&amp;"pto,
""""
)
)
)&lt;&gt;""""
),
1
),
""""
)"),"")</f>
        <v/>
      </c>
      <c r="L2036" s="27"/>
      <c r="M2036" s="27"/>
      <c r="N2036" s="27"/>
      <c r="O2036" s="27"/>
      <c r="P2036" s="27"/>
      <c r="Q2036" s="27"/>
      <c r="R2036" s="27"/>
      <c r="S2036" s="27"/>
      <c r="T2036" s="27"/>
      <c r="U2036" s="27"/>
      <c r="V2036" s="27"/>
      <c r="W2036" s="27"/>
      <c r="X2036" s="27"/>
      <c r="Y2036" s="27"/>
    </row>
    <row r="2037">
      <c r="A2037" s="32"/>
      <c r="B2037" s="32"/>
      <c r="C2037" s="29" t="s">
        <v>70</v>
      </c>
      <c r="D2037" s="29" t="s">
        <v>1702</v>
      </c>
      <c r="E2037" s="30">
        <v>1412.57</v>
      </c>
      <c r="F2037" s="28">
        <v>0.0</v>
      </c>
      <c r="G2037" s="28" t="s">
        <v>55</v>
      </c>
      <c r="H2037" s="28">
        <f t="array" ref="H2037">INDEX(CC!C:C,MATCH(1,(CC!A:A=G2037)*(CC!B:B=I2037),0))</f>
        <v>903</v>
      </c>
      <c r="I2037" s="28" t="s">
        <v>44</v>
      </c>
      <c r="J2037" s="31">
        <v>1412.57</v>
      </c>
      <c r="K2037" s="28" t="str">
        <f>IFERROR(__xludf.DUMMYFUNCTION("IFERROR(
INDEX(
FILTER(
MAP(
reglas!$B$2:$B$240,
reglas!$C$2:$C$240,
reglas!$D$2:$D$240,
reglas!$E$2:$E$240,
LAMBDA(rEmisor,rPatron,rConcepto,rTipo,
IF(
AND(
OR(
UPPER(TRIM(rEmisor))=UPPER(TRIM(C2037)),
UPPER(TRIM(rEmisor))=""CUALQUIERA""
),
OR(
UPPER(TRI"&amp;"M(rTipo))=""SOLO EMISOR"",
AND(
UPPER(TRIM(rTipo))=""EXACTA"",
UPPER(TRIM(AG2037))=UPPER(TRIM(rPatron))
),
AND(
OR(
UPPER(TRIM(rTipo))=""CONTIENE"",
UPPER(TRIM(rTipo))=""COINCIDENCIA""
),
ISNUMBER(SEARCH(UPPER(TRIM(rPatron)),UPPER(TRIM(D2037))))
)
)
),
rC"&amp;"oncepto,
""""
)
)
),
MAP(
reglas!$B$2:$B$240,
reglas!$C$2:$C$240,
reglas!$D$2:$D$240,
reglas!$E$2:$E$240,
LAMBDA(rEmisor,rPatron,rConcepto,rTipo,
IF(
AND(
OR(
UPPER(TRIM(rEmisor))=UPPER(TRIM(C2037)),
UPPER(TRIM(rEmisor))=""CUALQUIERA""
),
OR(
UPPER(TRIM(r"&amp;"Tipo))=""SOLO EMISOR"",
AND(
UPPER(TRIM(rTipo))=""EXACTA"",
UPPER(TRIM(D2037))=UPPER(TRIM(rPatron))
),
AND(
OR(
UPPER(TRIM(rTipo))=""CONTIENE"",
UPPER(TRIM(rTipo))=""COINCIDENCIA""
),
ISNUMBER(SEARCH(UPPER(TRIM(rPatron)),UPPER(TRIM(D2037))))
)
)
),
rConce"&amp;"pto,
""""
)
)
)&lt;&gt;""""
),
1
),
""""
)"),"MANIOBRAS")</f>
        <v>MANIOBRAS</v>
      </c>
      <c r="L2037" s="27"/>
      <c r="M2037" s="27"/>
      <c r="N2037" s="27"/>
      <c r="O2037" s="27"/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</row>
    <row r="2038">
      <c r="A2038" s="32"/>
      <c r="B2038" s="32"/>
      <c r="C2038" s="29" t="s">
        <v>70</v>
      </c>
      <c r="D2038" s="29" t="s">
        <v>1705</v>
      </c>
      <c r="E2038" s="30">
        <v>2413.58</v>
      </c>
      <c r="F2038" s="28">
        <v>0.0</v>
      </c>
      <c r="G2038" s="28" t="s">
        <v>55</v>
      </c>
      <c r="H2038" s="28">
        <f t="array" ref="H2038">INDEX(CC!C:C,MATCH(1,(CC!A:A=G2038)*(CC!B:B=I2038),0))</f>
        <v>903</v>
      </c>
      <c r="I2038" s="28" t="s">
        <v>44</v>
      </c>
      <c r="J2038" s="31">
        <v>2413.58</v>
      </c>
      <c r="K2038" s="28" t="str">
        <f>IFERROR(__xludf.DUMMYFUNCTION("IFERROR(
INDEX(
FILTER(
MAP(
reglas!$B$2:$B$240,
reglas!$C$2:$C$240,
reglas!$D$2:$D$240,
reglas!$E$2:$E$240,
LAMBDA(rEmisor,rPatron,rConcepto,rTipo,
IF(
AND(
OR(
UPPER(TRIM(rEmisor))=UPPER(TRIM(C2038)),
UPPER(TRIM(rEmisor))=""CUALQUIERA""
),
OR(
UPPER(TRI"&amp;"M(rTipo))=""SOLO EMISOR"",
AND(
UPPER(TRIM(rTipo))=""EXACTA"",
UPPER(TRIM(AG2038))=UPPER(TRIM(rPatron))
),
AND(
OR(
UPPER(TRIM(rTipo))=""CONTIENE"",
UPPER(TRIM(rTipo))=""COINCIDENCIA""
),
ISNUMBER(SEARCH(UPPER(TRIM(rPatron)),UPPER(TRIM(D2038))))
)
)
),
rC"&amp;"oncepto,
""""
)
)
),
MAP(
reglas!$B$2:$B$240,
reglas!$C$2:$C$240,
reglas!$D$2:$D$240,
reglas!$E$2:$E$240,
LAMBDA(rEmisor,rPatron,rConcepto,rTipo,
IF(
AND(
OR(
UPPER(TRIM(rEmisor))=UPPER(TRIM(C2038)),
UPPER(TRIM(rEmisor))=""CUALQUIERA""
),
OR(
UPPER(TRIM(r"&amp;"Tipo))=""SOLO EMISOR"",
AND(
UPPER(TRIM(rTipo))=""EXACTA"",
UPPER(TRIM(D2038))=UPPER(TRIM(rPatron))
),
AND(
OR(
UPPER(TRIM(rTipo))=""CONTIENE"",
UPPER(TRIM(rTipo))=""COINCIDENCIA""
),
ISNUMBER(SEARCH(UPPER(TRIM(rPatron)),UPPER(TRIM(D2038))))
)
)
),
rConce"&amp;"pto,
""""
)
)
)&lt;&gt;""""
),
1
),
""""
)"),"MANIOBRAS")</f>
        <v>MANIOBRAS</v>
      </c>
      <c r="L2038" s="27"/>
      <c r="M2038" s="27"/>
      <c r="N2038" s="27"/>
      <c r="O2038" s="27"/>
      <c r="P2038" s="27"/>
      <c r="Q2038" s="27"/>
      <c r="R2038" s="27"/>
      <c r="S2038" s="27"/>
      <c r="T2038" s="27"/>
      <c r="U2038" s="27"/>
      <c r="V2038" s="27"/>
      <c r="W2038" s="27"/>
      <c r="X2038" s="27"/>
      <c r="Y2038" s="27"/>
    </row>
    <row r="2039">
      <c r="A2039" s="32"/>
      <c r="B2039" s="28" t="s">
        <v>29</v>
      </c>
      <c r="C2039" s="29" t="s">
        <v>278</v>
      </c>
      <c r="D2039" s="29" t="s">
        <v>560</v>
      </c>
      <c r="E2039" s="30">
        <v>3500.0</v>
      </c>
      <c r="F2039" s="28">
        <v>0.0</v>
      </c>
      <c r="G2039" s="28" t="s">
        <v>250</v>
      </c>
      <c r="H2039" s="28">
        <f t="array" ref="H2039">INDEX(CC!C:C,MATCH(1,(CC!A:A=G2039)*(CC!B:B=I2039),0))</f>
        <v>1402</v>
      </c>
      <c r="I2039" s="28" t="s">
        <v>25</v>
      </c>
      <c r="J2039" s="31">
        <v>3500.0</v>
      </c>
      <c r="K2039" s="28" t="str">
        <f>IFERROR(__xludf.DUMMYFUNCTION("IFERROR(
INDEX(
FILTER(
MAP(
reglas!$B$2:$B$240,
reglas!$C$2:$C$240,
reglas!$D$2:$D$240,
reglas!$E$2:$E$240,
LAMBDA(rEmisor,rPatron,rConcepto,rTipo,
IF(
AND(
OR(
UPPER(TRIM(rEmisor))=UPPER(TRIM(C2039)),
UPPER(TRIM(rEmisor))=""CUALQUIERA""
),
OR(
UPPER(TRI"&amp;"M(rTipo))=""SOLO EMISOR"",
AND(
UPPER(TRIM(rTipo))=""EXACTA"",
UPPER(TRIM(AG2039))=UPPER(TRIM(rPatron))
),
AND(
OR(
UPPER(TRIM(rTipo))=""CONTIENE"",
UPPER(TRIM(rTipo))=""COINCIDENCIA""
),
ISNUMBER(SEARCH(UPPER(TRIM(rPatron)),UPPER(TRIM(D2039))))
)
)
),
rC"&amp;"oncepto,
""""
)
)
),
MAP(
reglas!$B$2:$B$240,
reglas!$C$2:$C$240,
reglas!$D$2:$D$240,
reglas!$E$2:$E$240,
LAMBDA(rEmisor,rPatron,rConcepto,rTipo,
IF(
AND(
OR(
UPPER(TRIM(rEmisor))=UPPER(TRIM(C2039)),
UPPER(TRIM(rEmisor))=""CUALQUIERA""
),
OR(
UPPER(TRIM(r"&amp;"Tipo))=""SOLO EMISOR"",
AND(
UPPER(TRIM(rTipo))=""EXACTA"",
UPPER(TRIM(D2039))=UPPER(TRIM(rPatron))
),
AND(
OR(
UPPER(TRIM(rTipo))=""CONTIENE"",
UPPER(TRIM(rTipo))=""COINCIDENCIA""
),
ISNUMBER(SEARCH(UPPER(TRIM(rPatron)),UPPER(TRIM(D2039))))
)
)
),
rConce"&amp;"pto,
""""
)
)
)&lt;&gt;""""
),
1
),
""""
)"),"MANIOBRAS")</f>
        <v>MANIOBRAS</v>
      </c>
      <c r="L2039" s="27"/>
      <c r="M2039" s="27"/>
      <c r="N2039" s="27"/>
      <c r="O2039" s="27"/>
      <c r="P2039" s="27"/>
      <c r="Q2039" s="27"/>
      <c r="R2039" s="27"/>
      <c r="S2039" s="27"/>
      <c r="T2039" s="27"/>
      <c r="U2039" s="27"/>
      <c r="V2039" s="27"/>
      <c r="W2039" s="27"/>
      <c r="X2039" s="27"/>
      <c r="Y2039" s="27"/>
    </row>
    <row r="2040">
      <c r="A2040" s="32"/>
      <c r="B2040" s="28" t="s">
        <v>29</v>
      </c>
      <c r="C2040" s="29" t="s">
        <v>331</v>
      </c>
      <c r="D2040" s="29" t="s">
        <v>33</v>
      </c>
      <c r="E2040" s="28">
        <v>0.01</v>
      </c>
      <c r="F2040" s="28">
        <v>0.0</v>
      </c>
      <c r="G2040" s="28" t="s">
        <v>385</v>
      </c>
      <c r="H2040" s="28">
        <f t="array" ref="H2040">INDEX(CC!C:C,MATCH(1,(CC!A:A=G2040)*(CC!B:B=I2040),0))</f>
        <v>502</v>
      </c>
      <c r="I2040" s="28" t="s">
        <v>25</v>
      </c>
      <c r="J2040" s="31">
        <v>0.01</v>
      </c>
      <c r="K2040" s="28" t="str">
        <f>IFERROR(__xludf.DUMMYFUNCTION("IFERROR(
INDEX(
FILTER(
MAP(
reglas!$B$2:$B$240,
reglas!$C$2:$C$240,
reglas!$D$2:$D$240,
reglas!$E$2:$E$240,
LAMBDA(rEmisor,rPatron,rConcepto,rTipo,
IF(
AND(
OR(
UPPER(TRIM(rEmisor))=UPPER(TRIM(C2040)),
UPPER(TRIM(rEmisor))=""CUALQUIERA""
),
OR(
UPPER(TRI"&amp;"M(rTipo))=""SOLO EMISOR"",
AND(
UPPER(TRIM(rTipo))=""EXACTA"",
UPPER(TRIM(AG2040))=UPPER(TRIM(rPatron))
),
AND(
OR(
UPPER(TRIM(rTipo))=""CONTIENE"",
UPPER(TRIM(rTipo))=""COINCIDENCIA""
),
ISNUMBER(SEARCH(UPPER(TRIM(rPatron)),UPPER(TRIM(D2040))))
)
)
),
rC"&amp;"oncepto,
""""
)
)
),
MAP(
reglas!$B$2:$B$240,
reglas!$C$2:$C$240,
reglas!$D$2:$D$240,
reglas!$E$2:$E$240,
LAMBDA(rEmisor,rPatron,rConcepto,rTipo,
IF(
AND(
OR(
UPPER(TRIM(rEmisor))=UPPER(TRIM(C2040)),
UPPER(TRIM(rEmisor))=""CUALQUIERA""
),
OR(
UPPER(TRIM(r"&amp;"Tipo))=""SOLO EMISOR"",
AND(
UPPER(TRIM(rTipo))=""EXACTA"",
UPPER(TRIM(D2040))=UPPER(TRIM(rPatron))
),
AND(
OR(
UPPER(TRIM(rTipo))=""CONTIENE"",
UPPER(TRIM(rTipo))=""COINCIDENCIA""
),
ISNUMBER(SEARCH(UPPER(TRIM(rPatron)),UPPER(TRIM(D2040))))
)
)
),
rConce"&amp;"pto,
""""
)
)
)&lt;&gt;""""
),
1
),
""""
)"),"N/A")</f>
        <v>N/A</v>
      </c>
      <c r="L2040" s="27"/>
      <c r="M2040" s="27"/>
      <c r="N2040" s="27"/>
      <c r="O2040" s="27"/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</row>
    <row r="2041">
      <c r="A2041" s="32"/>
      <c r="B2041" s="28" t="s">
        <v>29</v>
      </c>
      <c r="C2041" s="29" t="s">
        <v>172</v>
      </c>
      <c r="D2041" s="29" t="s">
        <v>2034</v>
      </c>
      <c r="E2041" s="30">
        <v>11500.0</v>
      </c>
      <c r="F2041" s="28">
        <v>0.0</v>
      </c>
      <c r="G2041" s="28" t="s">
        <v>250</v>
      </c>
      <c r="H2041" s="28">
        <f t="array" ref="H2041">INDEX(CC!C:C,MATCH(1,(CC!A:A=G2041)*(CC!B:B=I2041),0))</f>
        <v>1402</v>
      </c>
      <c r="I2041" s="28" t="s">
        <v>25</v>
      </c>
      <c r="J2041" s="31">
        <v>11500.0</v>
      </c>
      <c r="K2041" s="28" t="str">
        <f>IFERROR(__xludf.DUMMYFUNCTION("IFERROR(
INDEX(
FILTER(
MAP(
reglas!$B$2:$B$240,
reglas!$C$2:$C$240,
reglas!$D$2:$D$240,
reglas!$E$2:$E$240,
LAMBDA(rEmisor,rPatron,rConcepto,rTipo,
IF(
AND(
OR(
UPPER(TRIM(rEmisor))=UPPER(TRIM(C2041)),
UPPER(TRIM(rEmisor))=""CUALQUIERA""
),
OR(
UPPER(TRI"&amp;"M(rTipo))=""SOLO EMISOR"",
AND(
UPPER(TRIM(rTipo))=""EXACTA"",
UPPER(TRIM(AG2041))=UPPER(TRIM(rPatron))
),
AND(
OR(
UPPER(TRIM(rTipo))=""CONTIENE"",
UPPER(TRIM(rTipo))=""COINCIDENCIA""
),
ISNUMBER(SEARCH(UPPER(TRIM(rPatron)),UPPER(TRIM(D2041))))
)
)
),
rC"&amp;"oncepto,
""""
)
)
),
MAP(
reglas!$B$2:$B$240,
reglas!$C$2:$C$240,
reglas!$D$2:$D$240,
reglas!$E$2:$E$240,
LAMBDA(rEmisor,rPatron,rConcepto,rTipo,
IF(
AND(
OR(
UPPER(TRIM(rEmisor))=UPPER(TRIM(C2041)),
UPPER(TRIM(rEmisor))=""CUALQUIERA""
),
OR(
UPPER(TRIM(r"&amp;"Tipo))=""SOLO EMISOR"",
AND(
UPPER(TRIM(rTipo))=""EXACTA"",
UPPER(TRIM(D2041))=UPPER(TRIM(rPatron))
),
AND(
OR(
UPPER(TRIM(rTipo))=""CONTIENE"",
UPPER(TRIM(rTipo))=""COINCIDENCIA""
),
ISNUMBER(SEARCH(UPPER(TRIM(rPatron)),UPPER(TRIM(D2041))))
)
)
),
rConce"&amp;"pto,
""""
)
)
)&lt;&gt;""""
),
1
),
""""
)"),"TRANSPORTE")</f>
        <v>TRANSPORTE</v>
      </c>
      <c r="L2041" s="27"/>
      <c r="M2041" s="27"/>
      <c r="N2041" s="27"/>
      <c r="O2041" s="27"/>
      <c r="P2041" s="27"/>
      <c r="Q2041" s="27"/>
      <c r="R2041" s="27"/>
      <c r="S2041" s="27"/>
      <c r="T2041" s="27"/>
      <c r="U2041" s="27"/>
      <c r="V2041" s="27"/>
      <c r="W2041" s="27"/>
      <c r="X2041" s="27"/>
      <c r="Y2041" s="27"/>
    </row>
    <row r="2042">
      <c r="A2042" s="28">
        <v>1.0</v>
      </c>
      <c r="B2042" s="28" t="s">
        <v>29</v>
      </c>
      <c r="C2042" s="29" t="s">
        <v>271</v>
      </c>
      <c r="D2042" s="29" t="s">
        <v>585</v>
      </c>
      <c r="E2042" s="28">
        <v>620.47</v>
      </c>
      <c r="F2042" s="28">
        <v>0.0</v>
      </c>
      <c r="G2042" s="28" t="s">
        <v>84</v>
      </c>
      <c r="H2042" s="28">
        <f t="array" ref="H2042">INDEX(CC!C:C,MATCH(1,(CC!A:A=G2042)*(CC!B:B=I2042),0))</f>
        <v>1002</v>
      </c>
      <c r="I2042" s="28" t="s">
        <v>25</v>
      </c>
      <c r="J2042" s="31">
        <v>620.47</v>
      </c>
      <c r="K2042" s="28" t="str">
        <f>IFERROR(__xludf.DUMMYFUNCTION("IFERROR(
INDEX(
FILTER(
MAP(
reglas!$B$2:$B$240,
reglas!$C$2:$C$240,
reglas!$D$2:$D$240,
reglas!$E$2:$E$240,
LAMBDA(rEmisor,rPatron,rConcepto,rTipo,
IF(
AND(
OR(
UPPER(TRIM(rEmisor))=UPPER(TRIM(C2042)),
UPPER(TRIM(rEmisor))=""CUALQUIERA""
),
OR(
UPPER(TRI"&amp;"M(rTipo))=""SOLO EMISOR"",
AND(
UPPER(TRIM(rTipo))=""EXACTA"",
UPPER(TRIM(AG2042))=UPPER(TRIM(rPatron))
),
AND(
OR(
UPPER(TRIM(rTipo))=""CONTIENE"",
UPPER(TRIM(rTipo))=""COINCIDENCIA""
),
ISNUMBER(SEARCH(UPPER(TRIM(rPatron)),UPPER(TRIM(D2042))))
)
)
),
rC"&amp;"oncepto,
""""
)
)
),
MAP(
reglas!$B$2:$B$240,
reglas!$C$2:$C$240,
reglas!$D$2:$D$240,
reglas!$E$2:$E$240,
LAMBDA(rEmisor,rPatron,rConcepto,rTipo,
IF(
AND(
OR(
UPPER(TRIM(rEmisor))=UPPER(TRIM(C2042)),
UPPER(TRIM(rEmisor))=""CUALQUIERA""
),
OR(
UPPER(TRIM(r"&amp;"Tipo))=""SOLO EMISOR"",
AND(
UPPER(TRIM(rTipo))=""EXACTA"",
UPPER(TRIM(D2042))=UPPER(TRIM(rPatron))
),
AND(
OR(
UPPER(TRIM(rTipo))=""CONTIENE"",
UPPER(TRIM(rTipo))=""COINCIDENCIA""
),
ISNUMBER(SEARCH(UPPER(TRIM(rPatron)),UPPER(TRIM(D2042))))
)
)
),
rConce"&amp;"pto,
""""
)
)
)&lt;&gt;""""
),
1
),
""""
)"),"MANIOBRAS")</f>
        <v>MANIOBRAS</v>
      </c>
      <c r="L2042" s="27"/>
      <c r="M2042" s="27"/>
      <c r="N2042" s="27"/>
      <c r="O2042" s="27"/>
      <c r="P2042" s="27"/>
      <c r="Q2042" s="27"/>
      <c r="R2042" s="27"/>
      <c r="S2042" s="27"/>
      <c r="T2042" s="27"/>
      <c r="U2042" s="27"/>
      <c r="V2042" s="27"/>
      <c r="W2042" s="27"/>
      <c r="X2042" s="27"/>
      <c r="Y2042" s="27"/>
    </row>
    <row r="2043">
      <c r="A2043" s="32"/>
      <c r="B2043" s="32"/>
      <c r="C2043" s="29" t="s">
        <v>271</v>
      </c>
      <c r="D2043" s="29" t="s">
        <v>587</v>
      </c>
      <c r="E2043" s="28">
        <v>567.69</v>
      </c>
      <c r="F2043" s="28">
        <v>0.0</v>
      </c>
      <c r="G2043" s="28" t="s">
        <v>84</v>
      </c>
      <c r="H2043" s="28">
        <f t="array" ref="H2043">INDEX(CC!C:C,MATCH(1,(CC!A:A=G2043)*(CC!B:B=I2043),0))</f>
        <v>1002</v>
      </c>
      <c r="I2043" s="28" t="s">
        <v>25</v>
      </c>
      <c r="J2043" s="31">
        <v>567.69</v>
      </c>
      <c r="K2043" s="28" t="str">
        <f>IFERROR(__xludf.DUMMYFUNCTION("IFERROR(
INDEX(
FILTER(
MAP(
reglas!$B$2:$B$240,
reglas!$C$2:$C$240,
reglas!$D$2:$D$240,
reglas!$E$2:$E$240,
LAMBDA(rEmisor,rPatron,rConcepto,rTipo,
IF(
AND(
OR(
UPPER(TRIM(rEmisor))=UPPER(TRIM(C2043)),
UPPER(TRIM(rEmisor))=""CUALQUIERA""
),
OR(
UPPER(TRI"&amp;"M(rTipo))=""SOLO EMISOR"",
AND(
UPPER(TRIM(rTipo))=""EXACTA"",
UPPER(TRIM(AG2043))=UPPER(TRIM(rPatron))
),
AND(
OR(
UPPER(TRIM(rTipo))=""CONTIENE"",
UPPER(TRIM(rTipo))=""COINCIDENCIA""
),
ISNUMBER(SEARCH(UPPER(TRIM(rPatron)),UPPER(TRIM(D2043))))
)
)
),
rC"&amp;"oncepto,
""""
)
)
),
MAP(
reglas!$B$2:$B$240,
reglas!$C$2:$C$240,
reglas!$D$2:$D$240,
reglas!$E$2:$E$240,
LAMBDA(rEmisor,rPatron,rConcepto,rTipo,
IF(
AND(
OR(
UPPER(TRIM(rEmisor))=UPPER(TRIM(C2043)),
UPPER(TRIM(rEmisor))=""CUALQUIERA""
),
OR(
UPPER(TRIM(r"&amp;"Tipo))=""SOLO EMISOR"",
AND(
UPPER(TRIM(rTipo))=""EXACTA"",
UPPER(TRIM(D2043))=UPPER(TRIM(rPatron))
),
AND(
OR(
UPPER(TRIM(rTipo))=""CONTIENE"",
UPPER(TRIM(rTipo))=""COINCIDENCIA""
),
ISNUMBER(SEARCH(UPPER(TRIM(rPatron)),UPPER(TRIM(D2043))))
)
)
),
rConce"&amp;"pto,
""""
)
)
)&lt;&gt;""""
),
1
),
""""
)"),"MANIOBRAS")</f>
        <v>MANIOBRAS</v>
      </c>
      <c r="L2043" s="27"/>
      <c r="M2043" s="27"/>
      <c r="N2043" s="27"/>
      <c r="O2043" s="27"/>
      <c r="P2043" s="27"/>
      <c r="Q2043" s="27"/>
      <c r="R2043" s="27"/>
      <c r="S2043" s="27"/>
      <c r="T2043" s="27"/>
      <c r="U2043" s="27"/>
      <c r="V2043" s="27"/>
      <c r="W2043" s="27"/>
      <c r="X2043" s="27"/>
      <c r="Y2043" s="27"/>
    </row>
    <row r="2044">
      <c r="A2044" s="32"/>
      <c r="B2044" s="32"/>
      <c r="C2044" s="29" t="s">
        <v>271</v>
      </c>
      <c r="D2044" s="29" t="s">
        <v>589</v>
      </c>
      <c r="E2044" s="28">
        <v>620.81</v>
      </c>
      <c r="F2044" s="28">
        <v>0.0</v>
      </c>
      <c r="G2044" s="28" t="s">
        <v>84</v>
      </c>
      <c r="H2044" s="28">
        <f t="array" ref="H2044">INDEX(CC!C:C,MATCH(1,(CC!A:A=G2044)*(CC!B:B=I2044),0))</f>
        <v>1002</v>
      </c>
      <c r="I2044" s="28" t="s">
        <v>25</v>
      </c>
      <c r="J2044" s="31">
        <v>620.81</v>
      </c>
      <c r="K2044" s="28" t="str">
        <f>IFERROR(__xludf.DUMMYFUNCTION("IFERROR(
INDEX(
FILTER(
MAP(
reglas!$B$2:$B$240,
reglas!$C$2:$C$240,
reglas!$D$2:$D$240,
reglas!$E$2:$E$240,
LAMBDA(rEmisor,rPatron,rConcepto,rTipo,
IF(
AND(
OR(
UPPER(TRIM(rEmisor))=UPPER(TRIM(C2044)),
UPPER(TRIM(rEmisor))=""CUALQUIERA""
),
OR(
UPPER(TRI"&amp;"M(rTipo))=""SOLO EMISOR"",
AND(
UPPER(TRIM(rTipo))=""EXACTA"",
UPPER(TRIM(AG2044))=UPPER(TRIM(rPatron))
),
AND(
OR(
UPPER(TRIM(rTipo))=""CONTIENE"",
UPPER(TRIM(rTipo))=""COINCIDENCIA""
),
ISNUMBER(SEARCH(UPPER(TRIM(rPatron)),UPPER(TRIM(D2044))))
)
)
),
rC"&amp;"oncepto,
""""
)
)
),
MAP(
reglas!$B$2:$B$240,
reglas!$C$2:$C$240,
reglas!$D$2:$D$240,
reglas!$E$2:$E$240,
LAMBDA(rEmisor,rPatron,rConcepto,rTipo,
IF(
AND(
OR(
UPPER(TRIM(rEmisor))=UPPER(TRIM(C2044)),
UPPER(TRIM(rEmisor))=""CUALQUIERA""
),
OR(
UPPER(TRIM(r"&amp;"Tipo))=""SOLO EMISOR"",
AND(
UPPER(TRIM(rTipo))=""EXACTA"",
UPPER(TRIM(D2044))=UPPER(TRIM(rPatron))
),
AND(
OR(
UPPER(TRIM(rTipo))=""CONTIENE"",
UPPER(TRIM(rTipo))=""COINCIDENCIA""
),
ISNUMBER(SEARCH(UPPER(TRIM(rPatron)),UPPER(TRIM(D2044))))
)
)
),
rConce"&amp;"pto,
""""
)
)
)&lt;&gt;""""
),
1
),
""""
)"),"MANIOBRAS")</f>
        <v>MANIOBRAS</v>
      </c>
      <c r="L2044" s="27"/>
      <c r="M2044" s="27"/>
      <c r="N2044" s="27"/>
      <c r="O2044" s="27"/>
      <c r="P2044" s="27"/>
      <c r="Q2044" s="27"/>
      <c r="R2044" s="27"/>
      <c r="S2044" s="27"/>
      <c r="T2044" s="27"/>
      <c r="U2044" s="27"/>
      <c r="V2044" s="27"/>
      <c r="W2044" s="27"/>
      <c r="X2044" s="27"/>
      <c r="Y2044" s="27"/>
    </row>
    <row r="2045">
      <c r="A2045" s="32"/>
      <c r="B2045" s="32"/>
      <c r="C2045" s="29" t="s">
        <v>271</v>
      </c>
      <c r="D2045" s="29" t="s">
        <v>596</v>
      </c>
      <c r="E2045" s="28">
        <v>651.35</v>
      </c>
      <c r="F2045" s="28">
        <v>0.0</v>
      </c>
      <c r="G2045" s="28" t="s">
        <v>84</v>
      </c>
      <c r="H2045" s="28">
        <f t="array" ref="H2045">INDEX(CC!C:C,MATCH(1,(CC!A:A=G2045)*(CC!B:B=I2045),0))</f>
        <v>1002</v>
      </c>
      <c r="I2045" s="28" t="s">
        <v>25</v>
      </c>
      <c r="J2045" s="31">
        <v>651.35</v>
      </c>
      <c r="K2045" s="28" t="str">
        <f>IFERROR(__xludf.DUMMYFUNCTION("IFERROR(
INDEX(
FILTER(
MAP(
reglas!$B$2:$B$240,
reglas!$C$2:$C$240,
reglas!$D$2:$D$240,
reglas!$E$2:$E$240,
LAMBDA(rEmisor,rPatron,rConcepto,rTipo,
IF(
AND(
OR(
UPPER(TRIM(rEmisor))=UPPER(TRIM(C2045)),
UPPER(TRIM(rEmisor))=""CUALQUIERA""
),
OR(
UPPER(TRI"&amp;"M(rTipo))=""SOLO EMISOR"",
AND(
UPPER(TRIM(rTipo))=""EXACTA"",
UPPER(TRIM(AG2045))=UPPER(TRIM(rPatron))
),
AND(
OR(
UPPER(TRIM(rTipo))=""CONTIENE"",
UPPER(TRIM(rTipo))=""COINCIDENCIA""
),
ISNUMBER(SEARCH(UPPER(TRIM(rPatron)),UPPER(TRIM(D2045))))
)
)
),
rC"&amp;"oncepto,
""""
)
)
),
MAP(
reglas!$B$2:$B$240,
reglas!$C$2:$C$240,
reglas!$D$2:$D$240,
reglas!$E$2:$E$240,
LAMBDA(rEmisor,rPatron,rConcepto,rTipo,
IF(
AND(
OR(
UPPER(TRIM(rEmisor))=UPPER(TRIM(C2045)),
UPPER(TRIM(rEmisor))=""CUALQUIERA""
),
OR(
UPPER(TRIM(r"&amp;"Tipo))=""SOLO EMISOR"",
AND(
UPPER(TRIM(rTipo))=""EXACTA"",
UPPER(TRIM(D2045))=UPPER(TRIM(rPatron))
),
AND(
OR(
UPPER(TRIM(rTipo))=""CONTIENE"",
UPPER(TRIM(rTipo))=""COINCIDENCIA""
),
ISNUMBER(SEARCH(UPPER(TRIM(rPatron)),UPPER(TRIM(D2045))))
)
)
),
rConce"&amp;"pto,
""""
)
)
)&lt;&gt;""""
),
1
),
""""
)"),"MANIOBRAS")</f>
        <v>MANIOBRAS</v>
      </c>
      <c r="L2045" s="27"/>
      <c r="M2045" s="27"/>
      <c r="N2045" s="27"/>
      <c r="O2045" s="27"/>
      <c r="P2045" s="27"/>
      <c r="Q2045" s="27"/>
      <c r="R2045" s="27"/>
      <c r="S2045" s="27"/>
      <c r="T2045" s="27"/>
      <c r="U2045" s="27"/>
      <c r="V2045" s="27"/>
      <c r="W2045" s="27"/>
      <c r="X2045" s="27"/>
      <c r="Y2045" s="27"/>
    </row>
    <row r="2046">
      <c r="A2046" s="32"/>
      <c r="B2046" s="28" t="s">
        <v>29</v>
      </c>
      <c r="C2046" s="29" t="s">
        <v>414</v>
      </c>
      <c r="D2046" s="29" t="s">
        <v>415</v>
      </c>
      <c r="E2046" s="28">
        <v>10.59</v>
      </c>
      <c r="F2046" s="28">
        <v>0.0</v>
      </c>
      <c r="G2046" s="28" t="s">
        <v>225</v>
      </c>
      <c r="H2046" s="28">
        <f t="array" ref="H2046">INDEX(CC!C:C,MATCH(1,(CC!A:A=G2046)*(CC!B:B=I2046),0))</f>
        <v>102</v>
      </c>
      <c r="I2046" s="28" t="s">
        <v>25</v>
      </c>
      <c r="J2046" s="5"/>
      <c r="K2046" s="28" t="str">
        <f>IFERROR(__xludf.DUMMYFUNCTION("IFERROR(
INDEX(
FILTER(
MAP(
reglas!$B$2:$B$240,
reglas!$C$2:$C$240,
reglas!$D$2:$D$240,
reglas!$E$2:$E$240,
LAMBDA(rEmisor,rPatron,rConcepto,rTipo,
IF(
AND(
OR(
UPPER(TRIM(rEmisor))=UPPER(TRIM(C2046)),
UPPER(TRIM(rEmisor))=""CUALQUIERA""
),
OR(
UPPER(TRI"&amp;"M(rTipo))=""SOLO EMISOR"",
AND(
UPPER(TRIM(rTipo))=""EXACTA"",
UPPER(TRIM(AG2046))=UPPER(TRIM(rPatron))
),
AND(
OR(
UPPER(TRIM(rTipo))=""CONTIENE"",
UPPER(TRIM(rTipo))=""COINCIDENCIA""
),
ISNUMBER(SEARCH(UPPER(TRIM(rPatron)),UPPER(TRIM(D2046))))
)
)
),
rC"&amp;"oncepto,
""""
)
)
),
MAP(
reglas!$B$2:$B$240,
reglas!$C$2:$C$240,
reglas!$D$2:$D$240,
reglas!$E$2:$E$240,
LAMBDA(rEmisor,rPatron,rConcepto,rTipo,
IF(
AND(
OR(
UPPER(TRIM(rEmisor))=UPPER(TRIM(C2046)),
UPPER(TRIM(rEmisor))=""CUALQUIERA""
),
OR(
UPPER(TRIM(r"&amp;"Tipo))=""SOLO EMISOR"",
AND(
UPPER(TRIM(rTipo))=""EXACTA"",
UPPER(TRIM(D2046))=UPPER(TRIM(rPatron))
),
AND(
OR(
UPPER(TRIM(rTipo))=""CONTIENE"",
UPPER(TRIM(rTipo))=""COINCIDENCIA""
),
ISNUMBER(SEARCH(UPPER(TRIM(rPatron)),UPPER(TRIM(D2046))))
)
)
),
rConce"&amp;"pto,
""""
)
)
)&lt;&gt;""""
),
1
),
""""
)"),"N/A")</f>
        <v>N/A</v>
      </c>
      <c r="L2046" s="27"/>
      <c r="M2046" s="27"/>
      <c r="N2046" s="27"/>
      <c r="O2046" s="27"/>
      <c r="P2046" s="27"/>
      <c r="Q2046" s="27"/>
      <c r="R2046" s="27"/>
      <c r="S2046" s="27"/>
      <c r="T2046" s="27"/>
      <c r="U2046" s="27"/>
      <c r="V2046" s="27"/>
      <c r="W2046" s="27"/>
      <c r="X2046" s="27"/>
      <c r="Y2046" s="27"/>
    </row>
    <row r="2047">
      <c r="A2047" s="32"/>
      <c r="B2047" s="32"/>
      <c r="C2047" s="29" t="s">
        <v>414</v>
      </c>
      <c r="D2047" s="29" t="s">
        <v>2076</v>
      </c>
      <c r="E2047" s="28">
        <v>0.02</v>
      </c>
      <c r="F2047" s="28">
        <v>0.0</v>
      </c>
      <c r="G2047" s="28" t="s">
        <v>225</v>
      </c>
      <c r="H2047" s="28">
        <f t="array" ref="H2047">INDEX(CC!C:C,MATCH(1,(CC!A:A=G2047)*(CC!B:B=I2047),0))</f>
        <v>102</v>
      </c>
      <c r="I2047" s="28" t="s">
        <v>25</v>
      </c>
      <c r="J2047" s="5"/>
      <c r="K2047" s="28" t="str">
        <f>IFERROR(__xludf.DUMMYFUNCTION("IFERROR(
INDEX(
FILTER(
MAP(
reglas!$B$2:$B$240,
reglas!$C$2:$C$240,
reglas!$D$2:$D$240,
reglas!$E$2:$E$240,
LAMBDA(rEmisor,rPatron,rConcepto,rTipo,
IF(
AND(
OR(
UPPER(TRIM(rEmisor))=UPPER(TRIM(C2047)),
UPPER(TRIM(rEmisor))=""CUALQUIERA""
),
OR(
UPPER(TRI"&amp;"M(rTipo))=""SOLO EMISOR"",
AND(
UPPER(TRIM(rTipo))=""EXACTA"",
UPPER(TRIM(AG2047))=UPPER(TRIM(rPatron))
),
AND(
OR(
UPPER(TRIM(rTipo))=""CONTIENE"",
UPPER(TRIM(rTipo))=""COINCIDENCIA""
),
ISNUMBER(SEARCH(UPPER(TRIM(rPatron)),UPPER(TRIM(D2047))))
)
)
),
rC"&amp;"oncepto,
""""
)
)
),
MAP(
reglas!$B$2:$B$240,
reglas!$C$2:$C$240,
reglas!$D$2:$D$240,
reglas!$E$2:$E$240,
LAMBDA(rEmisor,rPatron,rConcepto,rTipo,
IF(
AND(
OR(
UPPER(TRIM(rEmisor))=UPPER(TRIM(C2047)),
UPPER(TRIM(rEmisor))=""CUALQUIERA""
),
OR(
UPPER(TRIM(r"&amp;"Tipo))=""SOLO EMISOR"",
AND(
UPPER(TRIM(rTipo))=""EXACTA"",
UPPER(TRIM(D2047))=UPPER(TRIM(rPatron))
),
AND(
OR(
UPPER(TRIM(rTipo))=""CONTIENE"",
UPPER(TRIM(rTipo))=""COINCIDENCIA""
),
ISNUMBER(SEARCH(UPPER(TRIM(rPatron)),UPPER(TRIM(D2047))))
)
)
),
rConce"&amp;"pto,
""""
)
)
)&lt;&gt;""""
),
1
),
""""
)"),"N/A")</f>
        <v>N/A</v>
      </c>
      <c r="L2047" s="27"/>
      <c r="M2047" s="27"/>
      <c r="N2047" s="27"/>
      <c r="O2047" s="27"/>
      <c r="P2047" s="27"/>
      <c r="Q2047" s="27"/>
      <c r="R2047" s="27"/>
      <c r="S2047" s="27"/>
      <c r="T2047" s="27"/>
      <c r="U2047" s="27"/>
      <c r="V2047" s="27"/>
      <c r="W2047" s="27"/>
      <c r="X2047" s="27"/>
      <c r="Y2047" s="27"/>
    </row>
    <row r="2048">
      <c r="A2048" s="32"/>
      <c r="B2048" s="32"/>
      <c r="C2048" s="29" t="s">
        <v>414</v>
      </c>
      <c r="D2048" s="29" t="s">
        <v>2077</v>
      </c>
      <c r="E2048" s="28">
        <v>0.31</v>
      </c>
      <c r="F2048" s="28">
        <v>0.0</v>
      </c>
      <c r="G2048" s="28" t="s">
        <v>225</v>
      </c>
      <c r="H2048" s="28">
        <f t="array" ref="H2048">INDEX(CC!C:C,MATCH(1,(CC!A:A=G2048)*(CC!B:B=I2048),0))</f>
        <v>102</v>
      </c>
      <c r="I2048" s="28" t="s">
        <v>25</v>
      </c>
      <c r="J2048" s="5"/>
      <c r="K2048" s="28" t="str">
        <f>IFERROR(__xludf.DUMMYFUNCTION("IFERROR(
INDEX(
FILTER(
MAP(
reglas!$B$2:$B$240,
reglas!$C$2:$C$240,
reglas!$D$2:$D$240,
reglas!$E$2:$E$240,
LAMBDA(rEmisor,rPatron,rConcepto,rTipo,
IF(
AND(
OR(
UPPER(TRIM(rEmisor))=UPPER(TRIM(C2048)),
UPPER(TRIM(rEmisor))=""CUALQUIERA""
),
OR(
UPPER(TRI"&amp;"M(rTipo))=""SOLO EMISOR"",
AND(
UPPER(TRIM(rTipo))=""EXACTA"",
UPPER(TRIM(AG2048))=UPPER(TRIM(rPatron))
),
AND(
OR(
UPPER(TRIM(rTipo))=""CONTIENE"",
UPPER(TRIM(rTipo))=""COINCIDENCIA""
),
ISNUMBER(SEARCH(UPPER(TRIM(rPatron)),UPPER(TRIM(D2048))))
)
)
),
rC"&amp;"oncepto,
""""
)
)
),
MAP(
reglas!$B$2:$B$240,
reglas!$C$2:$C$240,
reglas!$D$2:$D$240,
reglas!$E$2:$E$240,
LAMBDA(rEmisor,rPatron,rConcepto,rTipo,
IF(
AND(
OR(
UPPER(TRIM(rEmisor))=UPPER(TRIM(C2048)),
UPPER(TRIM(rEmisor))=""CUALQUIERA""
),
OR(
UPPER(TRIM(r"&amp;"Tipo))=""SOLO EMISOR"",
AND(
UPPER(TRIM(rTipo))=""EXACTA"",
UPPER(TRIM(D2048))=UPPER(TRIM(rPatron))
),
AND(
OR(
UPPER(TRIM(rTipo))=""CONTIENE"",
UPPER(TRIM(rTipo))=""COINCIDENCIA""
),
ISNUMBER(SEARCH(UPPER(TRIM(rPatron)),UPPER(TRIM(D2048))))
)
)
),
rConce"&amp;"pto,
""""
)
)
)&lt;&gt;""""
),
1
),
""""
)"),"N/A")</f>
        <v>N/A</v>
      </c>
      <c r="L2048" s="27"/>
      <c r="M2048" s="27"/>
      <c r="N2048" s="27"/>
      <c r="O2048" s="27"/>
      <c r="P2048" s="27"/>
      <c r="Q2048" s="27"/>
      <c r="R2048" s="27"/>
      <c r="S2048" s="27"/>
      <c r="T2048" s="27"/>
      <c r="U2048" s="27"/>
      <c r="V2048" s="27"/>
      <c r="W2048" s="27"/>
      <c r="X2048" s="27"/>
      <c r="Y2048" s="27"/>
    </row>
    <row r="2049">
      <c r="A2049" s="32"/>
      <c r="B2049" s="28" t="s">
        <v>29</v>
      </c>
      <c r="C2049" s="29" t="s">
        <v>414</v>
      </c>
      <c r="D2049" s="29" t="s">
        <v>415</v>
      </c>
      <c r="E2049" s="30">
        <v>17928.55</v>
      </c>
      <c r="F2049" s="28">
        <v>0.0</v>
      </c>
      <c r="G2049" s="28" t="s">
        <v>225</v>
      </c>
      <c r="H2049" s="28">
        <f t="array" ref="H2049">INDEX(CC!C:C,MATCH(1,(CC!A:A=G2049)*(CC!B:B=I2049),0))</f>
        <v>102</v>
      </c>
      <c r="I2049" s="28" t="s">
        <v>25</v>
      </c>
      <c r="J2049" s="5"/>
      <c r="K2049" s="28" t="str">
        <f>IFERROR(__xludf.DUMMYFUNCTION("IFERROR(
INDEX(
FILTER(
MAP(
reglas!$B$2:$B$240,
reglas!$C$2:$C$240,
reglas!$D$2:$D$240,
reglas!$E$2:$E$240,
LAMBDA(rEmisor,rPatron,rConcepto,rTipo,
IF(
AND(
OR(
UPPER(TRIM(rEmisor))=UPPER(TRIM(C2049)),
UPPER(TRIM(rEmisor))=""CUALQUIERA""
),
OR(
UPPER(TRI"&amp;"M(rTipo))=""SOLO EMISOR"",
AND(
UPPER(TRIM(rTipo))=""EXACTA"",
UPPER(TRIM(AG2049))=UPPER(TRIM(rPatron))
),
AND(
OR(
UPPER(TRIM(rTipo))=""CONTIENE"",
UPPER(TRIM(rTipo))=""COINCIDENCIA""
),
ISNUMBER(SEARCH(UPPER(TRIM(rPatron)),UPPER(TRIM(D2049))))
)
)
),
rC"&amp;"oncepto,
""""
)
)
),
MAP(
reglas!$B$2:$B$240,
reglas!$C$2:$C$240,
reglas!$D$2:$D$240,
reglas!$E$2:$E$240,
LAMBDA(rEmisor,rPatron,rConcepto,rTipo,
IF(
AND(
OR(
UPPER(TRIM(rEmisor))=UPPER(TRIM(C2049)),
UPPER(TRIM(rEmisor))=""CUALQUIERA""
),
OR(
UPPER(TRIM(r"&amp;"Tipo))=""SOLO EMISOR"",
AND(
UPPER(TRIM(rTipo))=""EXACTA"",
UPPER(TRIM(D2049))=UPPER(TRIM(rPatron))
),
AND(
OR(
UPPER(TRIM(rTipo))=""CONTIENE"",
UPPER(TRIM(rTipo))=""COINCIDENCIA""
),
ISNUMBER(SEARCH(UPPER(TRIM(rPatron)),UPPER(TRIM(D2049))))
)
)
),
rConce"&amp;"pto,
""""
)
)
)&lt;&gt;""""
),
1
),
""""
)"),"N/A")</f>
        <v>N/A</v>
      </c>
      <c r="L2049" s="27"/>
      <c r="M2049" s="27"/>
      <c r="N2049" s="27"/>
      <c r="O2049" s="27"/>
      <c r="P2049" s="27"/>
      <c r="Q2049" s="27"/>
      <c r="R2049" s="27"/>
      <c r="S2049" s="27"/>
      <c r="T2049" s="27"/>
      <c r="U2049" s="27"/>
      <c r="V2049" s="27"/>
      <c r="W2049" s="27"/>
      <c r="X2049" s="27"/>
      <c r="Y2049" s="27"/>
    </row>
    <row r="2050">
      <c r="A2050" s="32"/>
      <c r="B2050" s="32"/>
      <c r="C2050" s="29" t="s">
        <v>414</v>
      </c>
      <c r="D2050" s="29" t="s">
        <v>416</v>
      </c>
      <c r="E2050" s="30">
        <v>2804.85</v>
      </c>
      <c r="F2050" s="28">
        <v>0.0</v>
      </c>
      <c r="G2050" s="28" t="s">
        <v>225</v>
      </c>
      <c r="H2050" s="28">
        <f t="array" ref="H2050">INDEX(CC!C:C,MATCH(1,(CC!A:A=G2050)*(CC!B:B=I2050),0))</f>
        <v>102</v>
      </c>
      <c r="I2050" s="28" t="s">
        <v>25</v>
      </c>
      <c r="J2050" s="5"/>
      <c r="K2050" s="28" t="str">
        <f>IFERROR(__xludf.DUMMYFUNCTION("IFERROR(
INDEX(
FILTER(
MAP(
reglas!$B$2:$B$240,
reglas!$C$2:$C$240,
reglas!$D$2:$D$240,
reglas!$E$2:$E$240,
LAMBDA(rEmisor,rPatron,rConcepto,rTipo,
IF(
AND(
OR(
UPPER(TRIM(rEmisor))=UPPER(TRIM(C2050)),
UPPER(TRIM(rEmisor))=""CUALQUIERA""
),
OR(
UPPER(TRI"&amp;"M(rTipo))=""SOLO EMISOR"",
AND(
UPPER(TRIM(rTipo))=""EXACTA"",
UPPER(TRIM(AG2050))=UPPER(TRIM(rPatron))
),
AND(
OR(
UPPER(TRIM(rTipo))=""CONTIENE"",
UPPER(TRIM(rTipo))=""COINCIDENCIA""
),
ISNUMBER(SEARCH(UPPER(TRIM(rPatron)),UPPER(TRIM(D2050))))
)
)
),
rC"&amp;"oncepto,
""""
)
)
),
MAP(
reglas!$B$2:$B$240,
reglas!$C$2:$C$240,
reglas!$D$2:$D$240,
reglas!$E$2:$E$240,
LAMBDA(rEmisor,rPatron,rConcepto,rTipo,
IF(
AND(
OR(
UPPER(TRIM(rEmisor))=UPPER(TRIM(C2050)),
UPPER(TRIM(rEmisor))=""CUALQUIERA""
),
OR(
UPPER(TRIM(r"&amp;"Tipo))=""SOLO EMISOR"",
AND(
UPPER(TRIM(rTipo))=""EXACTA"",
UPPER(TRIM(D2050))=UPPER(TRIM(rPatron))
),
AND(
OR(
UPPER(TRIM(rTipo))=""CONTIENE"",
UPPER(TRIM(rTipo))=""COINCIDENCIA""
),
ISNUMBER(SEARCH(UPPER(TRIM(rPatron)),UPPER(TRIM(D2050))))
)
)
),
rConce"&amp;"pto,
""""
)
)
)&lt;&gt;""""
),
1
),
""""
)"),"N/A")</f>
        <v>N/A</v>
      </c>
      <c r="L2050" s="27"/>
      <c r="M2050" s="27"/>
      <c r="N2050" s="27"/>
      <c r="O2050" s="27"/>
      <c r="P2050" s="27"/>
      <c r="Q2050" s="27"/>
      <c r="R2050" s="27"/>
      <c r="S2050" s="27"/>
      <c r="T2050" s="27"/>
      <c r="U2050" s="27"/>
      <c r="V2050" s="27"/>
      <c r="W2050" s="27"/>
      <c r="X2050" s="27"/>
      <c r="Y2050" s="27"/>
    </row>
    <row r="2051">
      <c r="A2051" s="32"/>
      <c r="B2051" s="32"/>
      <c r="C2051" s="29" t="s">
        <v>414</v>
      </c>
      <c r="D2051" s="29" t="s">
        <v>417</v>
      </c>
      <c r="E2051" s="30">
        <v>17385.86</v>
      </c>
      <c r="F2051" s="28">
        <v>0.0</v>
      </c>
      <c r="G2051" s="28" t="s">
        <v>225</v>
      </c>
      <c r="H2051" s="28">
        <f t="array" ref="H2051">INDEX(CC!C:C,MATCH(1,(CC!A:A=G2051)*(CC!B:B=I2051),0))</f>
        <v>102</v>
      </c>
      <c r="I2051" s="28" t="s">
        <v>25</v>
      </c>
      <c r="J2051" s="5"/>
      <c r="K2051" s="28" t="str">
        <f>IFERROR(__xludf.DUMMYFUNCTION("IFERROR(
INDEX(
FILTER(
MAP(
reglas!$B$2:$B$240,
reglas!$C$2:$C$240,
reglas!$D$2:$D$240,
reglas!$E$2:$E$240,
LAMBDA(rEmisor,rPatron,rConcepto,rTipo,
IF(
AND(
OR(
UPPER(TRIM(rEmisor))=UPPER(TRIM(C2051)),
UPPER(TRIM(rEmisor))=""CUALQUIERA""
),
OR(
UPPER(TRI"&amp;"M(rTipo))=""SOLO EMISOR"",
AND(
UPPER(TRIM(rTipo))=""EXACTA"",
UPPER(TRIM(AG2051))=UPPER(TRIM(rPatron))
),
AND(
OR(
UPPER(TRIM(rTipo))=""CONTIENE"",
UPPER(TRIM(rTipo))=""COINCIDENCIA""
),
ISNUMBER(SEARCH(UPPER(TRIM(rPatron)),UPPER(TRIM(D2051))))
)
)
),
rC"&amp;"oncepto,
""""
)
)
),
MAP(
reglas!$B$2:$B$240,
reglas!$C$2:$C$240,
reglas!$D$2:$D$240,
reglas!$E$2:$E$240,
LAMBDA(rEmisor,rPatron,rConcepto,rTipo,
IF(
AND(
OR(
UPPER(TRIM(rEmisor))=UPPER(TRIM(C2051)),
UPPER(TRIM(rEmisor))=""CUALQUIERA""
),
OR(
UPPER(TRIM(r"&amp;"Tipo))=""SOLO EMISOR"",
AND(
UPPER(TRIM(rTipo))=""EXACTA"",
UPPER(TRIM(D2051))=UPPER(TRIM(rPatron))
),
AND(
OR(
UPPER(TRIM(rTipo))=""CONTIENE"",
UPPER(TRIM(rTipo))=""COINCIDENCIA""
),
ISNUMBER(SEARCH(UPPER(TRIM(rPatron)),UPPER(TRIM(D2051))))
)
)
),
rConce"&amp;"pto,
""""
)
)
)&lt;&gt;""""
),
1
),
""""
)"),"N/A")</f>
        <v>N/A</v>
      </c>
      <c r="L2051" s="27"/>
      <c r="M2051" s="27"/>
      <c r="N2051" s="27"/>
      <c r="O2051" s="27"/>
      <c r="P2051" s="27"/>
      <c r="Q2051" s="27"/>
      <c r="R2051" s="27"/>
      <c r="S2051" s="27"/>
      <c r="T2051" s="27"/>
      <c r="U2051" s="27"/>
      <c r="V2051" s="27"/>
      <c r="W2051" s="27"/>
      <c r="X2051" s="27"/>
      <c r="Y2051" s="27"/>
    </row>
    <row r="2052">
      <c r="A2052" s="28">
        <v>1.0</v>
      </c>
      <c r="B2052" s="28" t="s">
        <v>29</v>
      </c>
      <c r="C2052" s="29" t="s">
        <v>488</v>
      </c>
      <c r="D2052" s="29" t="s">
        <v>2069</v>
      </c>
      <c r="E2052" s="28">
        <v>8.62</v>
      </c>
      <c r="F2052" s="28">
        <v>0.0</v>
      </c>
      <c r="G2052" s="28" t="s">
        <v>225</v>
      </c>
      <c r="H2052" s="28">
        <f t="array" ref="H2052">INDEX(CC!C:C,MATCH(1,(CC!A:A=G2052)*(CC!B:B=I2052),0))</f>
        <v>102</v>
      </c>
      <c r="I2052" s="28" t="s">
        <v>25</v>
      </c>
      <c r="J2052" s="31">
        <v>8.62</v>
      </c>
      <c r="K2052" s="28" t="str">
        <f>IFERROR(__xludf.DUMMYFUNCTION("IFERROR(
INDEX(
FILTER(
MAP(
reglas!$B$2:$B$240,
reglas!$C$2:$C$240,
reglas!$D$2:$D$240,
reglas!$E$2:$E$240,
LAMBDA(rEmisor,rPatron,rConcepto,rTipo,
IF(
AND(
OR(
UPPER(TRIM(rEmisor))=UPPER(TRIM(C2052)),
UPPER(TRIM(rEmisor))=""CUALQUIERA""
),
OR(
UPPER(TRI"&amp;"M(rTipo))=""SOLO EMISOR"",
AND(
UPPER(TRIM(rTipo))=""EXACTA"",
UPPER(TRIM(AG2052))=UPPER(TRIM(rPatron))
),
AND(
OR(
UPPER(TRIM(rTipo))=""CONTIENE"",
UPPER(TRIM(rTipo))=""COINCIDENCIA""
),
ISNUMBER(SEARCH(UPPER(TRIM(rPatron)),UPPER(TRIM(D2052))))
)
)
),
rC"&amp;"oncepto,
""""
)
)
),
MAP(
reglas!$B$2:$B$240,
reglas!$C$2:$C$240,
reglas!$D$2:$D$240,
reglas!$E$2:$E$240,
LAMBDA(rEmisor,rPatron,rConcepto,rTipo,
IF(
AND(
OR(
UPPER(TRIM(rEmisor))=UPPER(TRIM(C2052)),
UPPER(TRIM(rEmisor))=""CUALQUIERA""
),
OR(
UPPER(TRIM(r"&amp;"Tipo))=""SOLO EMISOR"",
AND(
UPPER(TRIM(rTipo))=""EXACTA"",
UPPER(TRIM(D2052))=UPPER(TRIM(rPatron))
),
AND(
OR(
UPPER(TRIM(rTipo))=""CONTIENE"",
UPPER(TRIM(rTipo))=""COINCIDENCIA""
),
ISNUMBER(SEARCH(UPPER(TRIM(rPatron)),UPPER(TRIM(D2052))))
)
)
),
rConce"&amp;"pto,
""""
)
)
)&lt;&gt;""""
),
1
),
""""
)"),"ESTACIONAMIENTO")</f>
        <v>ESTACIONAMIENTO</v>
      </c>
      <c r="L2052" s="27"/>
      <c r="M2052" s="27"/>
      <c r="N2052" s="27"/>
      <c r="O2052" s="27"/>
      <c r="P2052" s="27"/>
      <c r="Q2052" s="27"/>
      <c r="R2052" s="27"/>
      <c r="S2052" s="27"/>
      <c r="T2052" s="27"/>
      <c r="U2052" s="27"/>
      <c r="V2052" s="27"/>
      <c r="W2052" s="27"/>
      <c r="X2052" s="27"/>
      <c r="Y2052" s="27"/>
    </row>
    <row r="2053">
      <c r="A2053" s="32"/>
      <c r="B2053" s="28" t="s">
        <v>29</v>
      </c>
      <c r="C2053" s="29" t="s">
        <v>172</v>
      </c>
      <c r="D2053" s="29" t="s">
        <v>2034</v>
      </c>
      <c r="E2053" s="30">
        <v>11500.0</v>
      </c>
      <c r="F2053" s="28">
        <v>0.0</v>
      </c>
      <c r="G2053" s="28" t="s">
        <v>250</v>
      </c>
      <c r="H2053" s="28">
        <f t="array" ref="H2053">INDEX(CC!C:C,MATCH(1,(CC!A:A=G2053)*(CC!B:B=I2053),0))</f>
        <v>1402</v>
      </c>
      <c r="I2053" s="28" t="s">
        <v>25</v>
      </c>
      <c r="J2053" s="31">
        <v>11500.0</v>
      </c>
      <c r="K2053" s="28" t="str">
        <f>IFERROR(__xludf.DUMMYFUNCTION("IFERROR(
INDEX(
FILTER(
MAP(
reglas!$B$2:$B$240,
reglas!$C$2:$C$240,
reglas!$D$2:$D$240,
reglas!$E$2:$E$240,
LAMBDA(rEmisor,rPatron,rConcepto,rTipo,
IF(
AND(
OR(
UPPER(TRIM(rEmisor))=UPPER(TRIM(C2053)),
UPPER(TRIM(rEmisor))=""CUALQUIERA""
),
OR(
UPPER(TRI"&amp;"M(rTipo))=""SOLO EMISOR"",
AND(
UPPER(TRIM(rTipo))=""EXACTA"",
UPPER(TRIM(AG2053))=UPPER(TRIM(rPatron))
),
AND(
OR(
UPPER(TRIM(rTipo))=""CONTIENE"",
UPPER(TRIM(rTipo))=""COINCIDENCIA""
),
ISNUMBER(SEARCH(UPPER(TRIM(rPatron)),UPPER(TRIM(D2053))))
)
)
),
rC"&amp;"oncepto,
""""
)
)
),
MAP(
reglas!$B$2:$B$240,
reglas!$C$2:$C$240,
reglas!$D$2:$D$240,
reglas!$E$2:$E$240,
LAMBDA(rEmisor,rPatron,rConcepto,rTipo,
IF(
AND(
OR(
UPPER(TRIM(rEmisor))=UPPER(TRIM(C2053)),
UPPER(TRIM(rEmisor))=""CUALQUIERA""
),
OR(
UPPER(TRIM(r"&amp;"Tipo))=""SOLO EMISOR"",
AND(
UPPER(TRIM(rTipo))=""EXACTA"",
UPPER(TRIM(D2053))=UPPER(TRIM(rPatron))
),
AND(
OR(
UPPER(TRIM(rTipo))=""CONTIENE"",
UPPER(TRIM(rTipo))=""COINCIDENCIA""
),
ISNUMBER(SEARCH(UPPER(TRIM(rPatron)),UPPER(TRIM(D2053))))
)
)
),
rConce"&amp;"pto,
""""
)
)
)&lt;&gt;""""
),
1
),
""""
)"),"TRANSPORTE")</f>
        <v>TRANSPORTE</v>
      </c>
      <c r="L2053" s="27"/>
      <c r="M2053" s="27"/>
      <c r="N2053" s="27"/>
      <c r="O2053" s="27"/>
      <c r="P2053" s="27"/>
      <c r="Q2053" s="27"/>
      <c r="R2053" s="27"/>
      <c r="S2053" s="27"/>
      <c r="T2053" s="27"/>
      <c r="U2053" s="27"/>
      <c r="V2053" s="27"/>
      <c r="W2053" s="27"/>
      <c r="X2053" s="27"/>
      <c r="Y2053" s="27"/>
    </row>
    <row r="2054">
      <c r="A2054" s="32"/>
      <c r="B2054" s="28" t="s">
        <v>29</v>
      </c>
      <c r="C2054" s="29" t="s">
        <v>266</v>
      </c>
      <c r="D2054" s="29" t="s">
        <v>2078</v>
      </c>
      <c r="E2054" s="28">
        <v>258.62</v>
      </c>
      <c r="F2054" s="28">
        <v>0.0</v>
      </c>
      <c r="G2054" s="28" t="s">
        <v>84</v>
      </c>
      <c r="H2054" s="28">
        <f t="array" ref="H2054">INDEX(CC!C:C,MATCH(1,(CC!A:A=G2054)*(CC!B:B=I2054),0))</f>
        <v>1002</v>
      </c>
      <c r="I2054" s="28" t="s">
        <v>25</v>
      </c>
      <c r="J2054" s="31">
        <v>258.62</v>
      </c>
      <c r="K2054" s="28" t="str">
        <f>IFERROR(__xludf.DUMMYFUNCTION("IFERROR(
INDEX(
FILTER(
MAP(
reglas!$B$2:$B$240,
reglas!$C$2:$C$240,
reglas!$D$2:$D$240,
reglas!$E$2:$E$240,
LAMBDA(rEmisor,rPatron,rConcepto,rTipo,
IF(
AND(
OR(
UPPER(TRIM(rEmisor))=UPPER(TRIM(C2054)),
UPPER(TRIM(rEmisor))=""CUALQUIERA""
),
OR(
UPPER(TRI"&amp;"M(rTipo))=""SOLO EMISOR"",
AND(
UPPER(TRIM(rTipo))=""EXACTA"",
UPPER(TRIM(AG2054))=UPPER(TRIM(rPatron))
),
AND(
OR(
UPPER(TRIM(rTipo))=""CONTIENE"",
UPPER(TRIM(rTipo))=""COINCIDENCIA""
),
ISNUMBER(SEARCH(UPPER(TRIM(rPatron)),UPPER(TRIM(D2054))))
)
)
),
rC"&amp;"oncepto,
""""
)
)
),
MAP(
reglas!$B$2:$B$240,
reglas!$C$2:$C$240,
reglas!$D$2:$D$240,
reglas!$E$2:$E$240,
LAMBDA(rEmisor,rPatron,rConcepto,rTipo,
IF(
AND(
OR(
UPPER(TRIM(rEmisor))=UPPER(TRIM(C2054)),
UPPER(TRIM(rEmisor))=""CUALQUIERA""
),
OR(
UPPER(TRIM(r"&amp;"Tipo))=""SOLO EMISOR"",
AND(
UPPER(TRIM(rTipo))=""EXACTA"",
UPPER(TRIM(D2054))=UPPER(TRIM(rPatron))
),
AND(
OR(
UPPER(TRIM(rTipo))=""CONTIENE"",
UPPER(TRIM(rTipo))=""COINCIDENCIA""
),
ISNUMBER(SEARCH(UPPER(TRIM(rPatron)),UPPER(TRIM(D2054))))
)
)
),
rConce"&amp;"pto,
""""
)
)
)&lt;&gt;""""
),
1
),
""""
)"),"VIATICOS")</f>
        <v>VIATICOS</v>
      </c>
      <c r="L2054" s="27"/>
      <c r="M2054" s="27"/>
      <c r="N2054" s="27"/>
      <c r="O2054" s="27"/>
      <c r="P2054" s="27"/>
      <c r="Q2054" s="27"/>
      <c r="R2054" s="27"/>
      <c r="S2054" s="27"/>
      <c r="T2054" s="27"/>
      <c r="U2054" s="27"/>
      <c r="V2054" s="27"/>
      <c r="W2054" s="27"/>
      <c r="X2054" s="27"/>
      <c r="Y2054" s="27"/>
    </row>
    <row r="2055">
      <c r="A2055" s="32"/>
      <c r="B2055" s="32"/>
      <c r="C2055" s="29" t="s">
        <v>266</v>
      </c>
      <c r="D2055" s="29" t="s">
        <v>2078</v>
      </c>
      <c r="E2055" s="28">
        <v>258.62</v>
      </c>
      <c r="F2055" s="28">
        <v>0.0</v>
      </c>
      <c r="G2055" s="28" t="s">
        <v>84</v>
      </c>
      <c r="H2055" s="28">
        <f t="array" ref="H2055">INDEX(CC!C:C,MATCH(1,(CC!A:A=G2055)*(CC!B:B=I2055),0))</f>
        <v>1002</v>
      </c>
      <c r="I2055" s="28" t="s">
        <v>25</v>
      </c>
      <c r="J2055" s="31">
        <v>258.62</v>
      </c>
      <c r="K2055" s="28" t="str">
        <f>IFERROR(__xludf.DUMMYFUNCTION("IFERROR(
INDEX(
FILTER(
MAP(
reglas!$B$2:$B$240,
reglas!$C$2:$C$240,
reglas!$D$2:$D$240,
reglas!$E$2:$E$240,
LAMBDA(rEmisor,rPatron,rConcepto,rTipo,
IF(
AND(
OR(
UPPER(TRIM(rEmisor))=UPPER(TRIM(C2055)),
UPPER(TRIM(rEmisor))=""CUALQUIERA""
),
OR(
UPPER(TRI"&amp;"M(rTipo))=""SOLO EMISOR"",
AND(
UPPER(TRIM(rTipo))=""EXACTA"",
UPPER(TRIM(AG2055))=UPPER(TRIM(rPatron))
),
AND(
OR(
UPPER(TRIM(rTipo))=""CONTIENE"",
UPPER(TRIM(rTipo))=""COINCIDENCIA""
),
ISNUMBER(SEARCH(UPPER(TRIM(rPatron)),UPPER(TRIM(D2055))))
)
)
),
rC"&amp;"oncepto,
""""
)
)
),
MAP(
reglas!$B$2:$B$240,
reglas!$C$2:$C$240,
reglas!$D$2:$D$240,
reglas!$E$2:$E$240,
LAMBDA(rEmisor,rPatron,rConcepto,rTipo,
IF(
AND(
OR(
UPPER(TRIM(rEmisor))=UPPER(TRIM(C2055)),
UPPER(TRIM(rEmisor))=""CUALQUIERA""
),
OR(
UPPER(TRIM(r"&amp;"Tipo))=""SOLO EMISOR"",
AND(
UPPER(TRIM(rTipo))=""EXACTA"",
UPPER(TRIM(D2055))=UPPER(TRIM(rPatron))
),
AND(
OR(
UPPER(TRIM(rTipo))=""CONTIENE"",
UPPER(TRIM(rTipo))=""COINCIDENCIA""
),
ISNUMBER(SEARCH(UPPER(TRIM(rPatron)),UPPER(TRIM(D2055))))
)
)
),
rConce"&amp;"pto,
""""
)
)
)&lt;&gt;""""
),
1
),
""""
)"),"VIATICOS")</f>
        <v>VIATICOS</v>
      </c>
      <c r="L2055" s="27"/>
      <c r="M2055" s="27"/>
      <c r="N2055" s="27"/>
      <c r="O2055" s="27"/>
      <c r="P2055" s="27"/>
      <c r="Q2055" s="27"/>
      <c r="R2055" s="27"/>
      <c r="S2055" s="27"/>
      <c r="T2055" s="27"/>
      <c r="U2055" s="27"/>
      <c r="V2055" s="27"/>
      <c r="W2055" s="27"/>
      <c r="X2055" s="27"/>
      <c r="Y2055" s="27"/>
    </row>
    <row r="2056">
      <c r="A2056" s="28">
        <v>1.0</v>
      </c>
      <c r="B2056" s="28" t="s">
        <v>29</v>
      </c>
      <c r="C2056" s="29" t="s">
        <v>230</v>
      </c>
      <c r="D2056" s="29" t="s">
        <v>1760</v>
      </c>
      <c r="E2056" s="28">
        <v>10.0</v>
      </c>
      <c r="F2056" s="28">
        <v>0.0</v>
      </c>
      <c r="G2056" s="28" t="s">
        <v>225</v>
      </c>
      <c r="H2056" s="28">
        <f t="array" ref="H2056">INDEX(CC!C:C,MATCH(1,(CC!A:A=G2056)*(CC!B:B=I2056),0))</f>
        <v>102</v>
      </c>
      <c r="I2056" s="28" t="s">
        <v>25</v>
      </c>
      <c r="J2056" s="31">
        <v>10.0</v>
      </c>
      <c r="K2056" s="28" t="str">
        <f>IFERROR(__xludf.DUMMYFUNCTION("IFERROR(
INDEX(
FILTER(
MAP(
reglas!$B$2:$B$240,
reglas!$C$2:$C$240,
reglas!$D$2:$D$240,
reglas!$E$2:$E$240,
LAMBDA(rEmisor,rPatron,rConcepto,rTipo,
IF(
AND(
OR(
UPPER(TRIM(rEmisor))=UPPER(TRIM(C2056)),
UPPER(TRIM(rEmisor))=""CUALQUIERA""
),
OR(
UPPER(TRI"&amp;"M(rTipo))=""SOLO EMISOR"",
AND(
UPPER(TRIM(rTipo))=""EXACTA"",
UPPER(TRIM(AG2056))=UPPER(TRIM(rPatron))
),
AND(
OR(
UPPER(TRIM(rTipo))=""CONTIENE"",
UPPER(TRIM(rTipo))=""COINCIDENCIA""
),
ISNUMBER(SEARCH(UPPER(TRIM(rPatron)),UPPER(TRIM(D2056))))
)
)
),
rC"&amp;"oncepto,
""""
)
)
),
MAP(
reglas!$B$2:$B$240,
reglas!$C$2:$C$240,
reglas!$D$2:$D$240,
reglas!$E$2:$E$240,
LAMBDA(rEmisor,rPatron,rConcepto,rTipo,
IF(
AND(
OR(
UPPER(TRIM(rEmisor))=UPPER(TRIM(C2056)),
UPPER(TRIM(rEmisor))=""CUALQUIERA""
),
OR(
UPPER(TRIM(r"&amp;"Tipo))=""SOLO EMISOR"",
AND(
UPPER(TRIM(rTipo))=""EXACTA"",
UPPER(TRIM(D2056))=UPPER(TRIM(rPatron))
),
AND(
OR(
UPPER(TRIM(rTipo))=""CONTIENE"",
UPPER(TRIM(rTipo))=""COINCIDENCIA""
),
ISNUMBER(SEARCH(UPPER(TRIM(rPatron)),UPPER(TRIM(D2056))))
)
)
),
rConce"&amp;"pto,
""""
)
)
)&lt;&gt;""""
),
1
),
""""
)"),"COMISIONES BANCARIAS")</f>
        <v>COMISIONES BANCARIAS</v>
      </c>
      <c r="L2056" s="27"/>
      <c r="M2056" s="27"/>
      <c r="N2056" s="27"/>
      <c r="O2056" s="27"/>
      <c r="P2056" s="27"/>
      <c r="Q2056" s="27"/>
      <c r="R2056" s="27"/>
      <c r="S2056" s="27"/>
      <c r="T2056" s="27"/>
      <c r="U2056" s="27"/>
      <c r="V2056" s="27"/>
      <c r="W2056" s="27"/>
      <c r="X2056" s="27"/>
      <c r="Y2056" s="27"/>
    </row>
    <row r="2057">
      <c r="A2057" s="28">
        <v>17.0638</v>
      </c>
      <c r="B2057" s="28" t="s">
        <v>244</v>
      </c>
      <c r="C2057" s="29" t="s">
        <v>100</v>
      </c>
      <c r="D2057" s="29" t="s">
        <v>2079</v>
      </c>
      <c r="E2057" s="30">
        <v>2368.95</v>
      </c>
      <c r="F2057" s="28">
        <v>0.0</v>
      </c>
      <c r="G2057" s="28" t="s">
        <v>225</v>
      </c>
      <c r="H2057" s="28">
        <f t="array" ref="H2057">INDEX(CC!C:C,MATCH(1,(CC!A:A=G2057)*(CC!B:B=I2057),0))</f>
        <v>102</v>
      </c>
      <c r="I2057" s="28" t="s">
        <v>25</v>
      </c>
      <c r="J2057" s="31">
        <v>8470.0</v>
      </c>
      <c r="K2057" s="28" t="str">
        <f>IFERROR(__xludf.DUMMYFUNCTION("IFERROR(
INDEX(
FILTER(
MAP(
reglas!$B$2:$B$240,
reglas!$C$2:$C$240,
reglas!$D$2:$D$240,
reglas!$E$2:$E$240,
LAMBDA(rEmisor,rPatron,rConcepto,rTipo,
IF(
AND(
OR(
UPPER(TRIM(rEmisor))=UPPER(TRIM(C2057)),
UPPER(TRIM(rEmisor))=""CUALQUIERA""
),
OR(
UPPER(TRI"&amp;"M(rTipo))=""SOLO EMISOR"",
AND(
UPPER(TRIM(rTipo))=""EXACTA"",
UPPER(TRIM(AG2057))=UPPER(TRIM(rPatron))
),
AND(
OR(
UPPER(TRIM(rTipo))=""CONTIENE"",
UPPER(TRIM(rTipo))=""COINCIDENCIA""
),
ISNUMBER(SEARCH(UPPER(TRIM(rPatron)),UPPER(TRIM(D2057))))
)
)
),
rC"&amp;"oncepto,
""""
)
)
),
MAP(
reglas!$B$2:$B$240,
reglas!$C$2:$C$240,
reglas!$D$2:$D$240,
reglas!$E$2:$E$240,
LAMBDA(rEmisor,rPatron,rConcepto,rTipo,
IF(
AND(
OR(
UPPER(TRIM(rEmisor))=UPPER(TRIM(C2057)),
UPPER(TRIM(rEmisor))=""CUALQUIERA""
),
OR(
UPPER(TRIM(r"&amp;"Tipo))=""SOLO EMISOR"",
AND(
UPPER(TRIM(rTipo))=""EXACTA"",
UPPER(TRIM(D2057))=UPPER(TRIM(rPatron))
),
AND(
OR(
UPPER(TRIM(rTipo))=""CONTIENE"",
UPPER(TRIM(rTipo))=""COINCIDENCIA""
),
ISNUMBER(SEARCH(UPPER(TRIM(rPatron)),UPPER(TRIM(D2057))))
)
)
),
rConce"&amp;"pto,
""""
)
)
)&lt;&gt;""""
),
1
),
""""
)"),"SERVIDOR VIRTUAL")</f>
        <v>SERVIDOR VIRTUAL</v>
      </c>
      <c r="L2057" s="27"/>
      <c r="M2057" s="27"/>
      <c r="N2057" s="27"/>
      <c r="O2057" s="27"/>
      <c r="P2057" s="27"/>
      <c r="Q2057" s="27"/>
      <c r="R2057" s="27"/>
      <c r="S2057" s="27"/>
      <c r="T2057" s="27"/>
      <c r="U2057" s="27"/>
      <c r="V2057" s="27"/>
      <c r="W2057" s="27"/>
      <c r="X2057" s="27"/>
      <c r="Y2057" s="27"/>
    </row>
    <row r="2058">
      <c r="A2058" s="32"/>
      <c r="B2058" s="32"/>
      <c r="C2058" s="29" t="s">
        <v>100</v>
      </c>
      <c r="D2058" s="29" t="s">
        <v>2080</v>
      </c>
      <c r="E2058" s="100"/>
      <c r="F2058" s="32"/>
      <c r="G2058" s="99" t="s">
        <v>55</v>
      </c>
      <c r="H2058" s="28">
        <f t="array" ref="H2058">INDEX(CC!C:C,MATCH(1,(CC!A:A=G2058)*(CC!B:B=I2058),0))</f>
        <v>902</v>
      </c>
      <c r="I2058" s="99" t="s">
        <v>25</v>
      </c>
      <c r="J2058" s="31">
        <v>3080.0</v>
      </c>
      <c r="K2058" s="28" t="str">
        <f>IFERROR(__xludf.DUMMYFUNCTION("IFERROR(
INDEX(
FILTER(
MAP(
reglas!$B$2:$B$240,
reglas!$C$2:$C$240,
reglas!$D$2:$D$240,
reglas!$E$2:$E$240,
LAMBDA(rEmisor,rPatron,rConcepto,rTipo,
IF(
AND(
OR(
UPPER(TRIM(rEmisor))=UPPER(TRIM(C2058)),
UPPER(TRIM(rEmisor))=""CUALQUIERA""
),
OR(
UPPER(TRI"&amp;"M(rTipo))=""SOLO EMISOR"",
AND(
UPPER(TRIM(rTipo))=""EXACTA"",
UPPER(TRIM(AG2058))=UPPER(TRIM(rPatron))
),
AND(
OR(
UPPER(TRIM(rTipo))=""CONTIENE"",
UPPER(TRIM(rTipo))=""COINCIDENCIA""
),
ISNUMBER(SEARCH(UPPER(TRIM(rPatron)),UPPER(TRIM(D2058))))
)
)
),
rC"&amp;"oncepto,
""""
)
)
),
MAP(
reglas!$B$2:$B$240,
reglas!$C$2:$C$240,
reglas!$D$2:$D$240,
reglas!$E$2:$E$240,
LAMBDA(rEmisor,rPatron,rConcepto,rTipo,
IF(
AND(
OR(
UPPER(TRIM(rEmisor))=UPPER(TRIM(C2058)),
UPPER(TRIM(rEmisor))=""CUALQUIERA""
),
OR(
UPPER(TRIM(r"&amp;"Tipo))=""SOLO EMISOR"",
AND(
UPPER(TRIM(rTipo))=""EXACTA"",
UPPER(TRIM(D2058))=UPPER(TRIM(rPatron))
),
AND(
OR(
UPPER(TRIM(rTipo))=""CONTIENE"",
UPPER(TRIM(rTipo))=""COINCIDENCIA""
),
ISNUMBER(SEARCH(UPPER(TRIM(rPatron)),UPPER(TRIM(D2058))))
)
)
),
rConce"&amp;"pto,
""""
)
)
)&lt;&gt;""""
),
1
),
""""
)"),"SERVIDOR VIRTUAL")</f>
        <v>SERVIDOR VIRTUAL</v>
      </c>
      <c r="L2058" s="27"/>
      <c r="M2058" s="27"/>
      <c r="N2058" s="27"/>
      <c r="O2058" s="27"/>
      <c r="P2058" s="27"/>
      <c r="Q2058" s="27"/>
      <c r="R2058" s="27"/>
      <c r="S2058" s="27"/>
      <c r="T2058" s="27"/>
      <c r="U2058" s="27"/>
      <c r="V2058" s="27"/>
      <c r="W2058" s="27"/>
      <c r="X2058" s="27"/>
      <c r="Y2058" s="27"/>
    </row>
    <row r="2059">
      <c r="A2059" s="32"/>
      <c r="B2059" s="32"/>
      <c r="C2059" s="29" t="s">
        <v>100</v>
      </c>
      <c r="D2059" s="29" t="s">
        <v>2081</v>
      </c>
      <c r="E2059" s="100"/>
      <c r="F2059" s="32"/>
      <c r="G2059" s="99" t="s">
        <v>74</v>
      </c>
      <c r="H2059" s="28">
        <f t="array" ref="H2059">INDEX(CC!C:C,MATCH(1,(CC!A:A=G2059)*(CC!B:B=I2059),0))</f>
        <v>1502</v>
      </c>
      <c r="I2059" s="99" t="s">
        <v>25</v>
      </c>
      <c r="J2059" s="31">
        <v>385.0</v>
      </c>
      <c r="K2059" s="28" t="str">
        <f>IFERROR(__xludf.DUMMYFUNCTION("IFERROR(
INDEX(
FILTER(
MAP(
reglas!$B$2:$B$240,
reglas!$C$2:$C$240,
reglas!$D$2:$D$240,
reglas!$E$2:$E$240,
LAMBDA(rEmisor,rPatron,rConcepto,rTipo,
IF(
AND(
OR(
UPPER(TRIM(rEmisor))=UPPER(TRIM(C2059)),
UPPER(TRIM(rEmisor))=""CUALQUIERA""
),
OR(
UPPER(TRI"&amp;"M(rTipo))=""SOLO EMISOR"",
AND(
UPPER(TRIM(rTipo))=""EXACTA"",
UPPER(TRIM(AG2059))=UPPER(TRIM(rPatron))
),
AND(
OR(
UPPER(TRIM(rTipo))=""CONTIENE"",
UPPER(TRIM(rTipo))=""COINCIDENCIA""
),
ISNUMBER(SEARCH(UPPER(TRIM(rPatron)),UPPER(TRIM(D2059))))
)
)
),
rC"&amp;"oncepto,
""""
)
)
),
MAP(
reglas!$B$2:$B$240,
reglas!$C$2:$C$240,
reglas!$D$2:$D$240,
reglas!$E$2:$E$240,
LAMBDA(rEmisor,rPatron,rConcepto,rTipo,
IF(
AND(
OR(
UPPER(TRIM(rEmisor))=UPPER(TRIM(C2059)),
UPPER(TRIM(rEmisor))=""CUALQUIERA""
),
OR(
UPPER(TRIM(r"&amp;"Tipo))=""SOLO EMISOR"",
AND(
UPPER(TRIM(rTipo))=""EXACTA"",
UPPER(TRIM(D2059))=UPPER(TRIM(rPatron))
),
AND(
OR(
UPPER(TRIM(rTipo))=""CONTIENE"",
UPPER(TRIM(rTipo))=""COINCIDENCIA""
),
ISNUMBER(SEARCH(UPPER(TRIM(rPatron)),UPPER(TRIM(D2059))))
)
)
),
rConce"&amp;"pto,
""""
)
)
)&lt;&gt;""""
),
1
),
""""
)"),"SERVIDOR VIRTUAL")</f>
        <v>SERVIDOR VIRTUAL</v>
      </c>
      <c r="L2059" s="27"/>
      <c r="M2059" s="27"/>
      <c r="N2059" s="27"/>
      <c r="O2059" s="27"/>
      <c r="P2059" s="27"/>
      <c r="Q2059" s="27"/>
      <c r="R2059" s="27"/>
      <c r="S2059" s="27"/>
      <c r="T2059" s="27"/>
      <c r="U2059" s="27"/>
      <c r="V2059" s="27"/>
      <c r="W2059" s="27"/>
      <c r="X2059" s="27"/>
      <c r="Y2059" s="27"/>
    </row>
    <row r="2060">
      <c r="A2060" s="32"/>
      <c r="B2060" s="32"/>
      <c r="C2060" s="29" t="s">
        <v>100</v>
      </c>
      <c r="D2060" s="29" t="s">
        <v>2082</v>
      </c>
      <c r="E2060" s="100"/>
      <c r="F2060" s="32"/>
      <c r="G2060" s="99" t="s">
        <v>385</v>
      </c>
      <c r="H2060" s="28">
        <f t="array" ref="H2060">INDEX(CC!C:C,MATCH(1,(CC!A:A=G2060)*(CC!B:B=I2060),0))</f>
        <v>502</v>
      </c>
      <c r="I2060" s="99" t="s">
        <v>25</v>
      </c>
      <c r="J2060" s="31">
        <v>2310.0</v>
      </c>
      <c r="K2060" s="28" t="str">
        <f>IFERROR(__xludf.DUMMYFUNCTION("IFERROR(
INDEX(
FILTER(
MAP(
reglas!$B$2:$B$240,
reglas!$C$2:$C$240,
reglas!$D$2:$D$240,
reglas!$E$2:$E$240,
LAMBDA(rEmisor,rPatron,rConcepto,rTipo,
IF(
AND(
OR(
UPPER(TRIM(rEmisor))=UPPER(TRIM(C2060)),
UPPER(TRIM(rEmisor))=""CUALQUIERA""
),
OR(
UPPER(TRI"&amp;"M(rTipo))=""SOLO EMISOR"",
AND(
UPPER(TRIM(rTipo))=""EXACTA"",
UPPER(TRIM(AG2060))=UPPER(TRIM(rPatron))
),
AND(
OR(
UPPER(TRIM(rTipo))=""CONTIENE"",
UPPER(TRIM(rTipo))=""COINCIDENCIA""
),
ISNUMBER(SEARCH(UPPER(TRIM(rPatron)),UPPER(TRIM(D2060))))
)
)
),
rC"&amp;"oncepto,
""""
)
)
),
MAP(
reglas!$B$2:$B$240,
reglas!$C$2:$C$240,
reglas!$D$2:$D$240,
reglas!$E$2:$E$240,
LAMBDA(rEmisor,rPatron,rConcepto,rTipo,
IF(
AND(
OR(
UPPER(TRIM(rEmisor))=UPPER(TRIM(C2060)),
UPPER(TRIM(rEmisor))=""CUALQUIERA""
),
OR(
UPPER(TRIM(r"&amp;"Tipo))=""SOLO EMISOR"",
AND(
UPPER(TRIM(rTipo))=""EXACTA"",
UPPER(TRIM(D2060))=UPPER(TRIM(rPatron))
),
AND(
OR(
UPPER(TRIM(rTipo))=""CONTIENE"",
UPPER(TRIM(rTipo))=""COINCIDENCIA""
),
ISNUMBER(SEARCH(UPPER(TRIM(rPatron)),UPPER(TRIM(D2060))))
)
)
),
rConce"&amp;"pto,
""""
)
)
)&lt;&gt;""""
),
1
),
""""
)"),"SERVIDOR VIRTUAL")</f>
        <v>SERVIDOR VIRTUAL</v>
      </c>
      <c r="L2060" s="27"/>
      <c r="M2060" s="27"/>
      <c r="N2060" s="27"/>
      <c r="O2060" s="27"/>
      <c r="P2060" s="27"/>
      <c r="Q2060" s="27"/>
      <c r="R2060" s="27"/>
      <c r="S2060" s="27"/>
      <c r="T2060" s="27"/>
      <c r="U2060" s="27"/>
      <c r="V2060" s="27"/>
      <c r="W2060" s="27"/>
      <c r="X2060" s="27"/>
      <c r="Y2060" s="27"/>
    </row>
    <row r="2061">
      <c r="A2061" s="32"/>
      <c r="B2061" s="32"/>
      <c r="C2061" s="29" t="s">
        <v>100</v>
      </c>
      <c r="D2061" s="29" t="s">
        <v>2083</v>
      </c>
      <c r="E2061" s="100"/>
      <c r="F2061" s="32"/>
      <c r="G2061" s="99" t="s">
        <v>601</v>
      </c>
      <c r="H2061" s="28">
        <f t="array" ref="H2061">INDEX(CC!C:C,MATCH(1,(CC!A:A=G2061)*(CC!B:B=I2061),0))</f>
        <v>402</v>
      </c>
      <c r="I2061" s="99" t="s">
        <v>25</v>
      </c>
      <c r="J2061" s="31">
        <v>2695.0</v>
      </c>
      <c r="K2061" s="28" t="str">
        <f>IFERROR(__xludf.DUMMYFUNCTION("IFERROR(
INDEX(
FILTER(
MAP(
reglas!$B$2:$B$240,
reglas!$C$2:$C$240,
reglas!$D$2:$D$240,
reglas!$E$2:$E$240,
LAMBDA(rEmisor,rPatron,rConcepto,rTipo,
IF(
AND(
OR(
UPPER(TRIM(rEmisor))=UPPER(TRIM(C2061)),
UPPER(TRIM(rEmisor))=""CUALQUIERA""
),
OR(
UPPER(TRI"&amp;"M(rTipo))=""SOLO EMISOR"",
AND(
UPPER(TRIM(rTipo))=""EXACTA"",
UPPER(TRIM(AG2061))=UPPER(TRIM(rPatron))
),
AND(
OR(
UPPER(TRIM(rTipo))=""CONTIENE"",
UPPER(TRIM(rTipo))=""COINCIDENCIA""
),
ISNUMBER(SEARCH(UPPER(TRIM(rPatron)),UPPER(TRIM(D2061))))
)
)
),
rC"&amp;"oncepto,
""""
)
)
),
MAP(
reglas!$B$2:$B$240,
reglas!$C$2:$C$240,
reglas!$D$2:$D$240,
reglas!$E$2:$E$240,
LAMBDA(rEmisor,rPatron,rConcepto,rTipo,
IF(
AND(
OR(
UPPER(TRIM(rEmisor))=UPPER(TRIM(C2061)),
UPPER(TRIM(rEmisor))=""CUALQUIERA""
),
OR(
UPPER(TRIM(r"&amp;"Tipo))=""SOLO EMISOR"",
AND(
UPPER(TRIM(rTipo))=""EXACTA"",
UPPER(TRIM(D2061))=UPPER(TRIM(rPatron))
),
AND(
OR(
UPPER(TRIM(rTipo))=""CONTIENE"",
UPPER(TRIM(rTipo))=""COINCIDENCIA""
),
ISNUMBER(SEARCH(UPPER(TRIM(rPatron)),UPPER(TRIM(D2061))))
)
)
),
rConce"&amp;"pto,
""""
)
)
)&lt;&gt;""""
),
1
),
""""
)"),"SERVIDOR VIRTUAL")</f>
        <v>SERVIDOR VIRTUAL</v>
      </c>
      <c r="L2061" s="27"/>
      <c r="M2061" s="27"/>
      <c r="N2061" s="27"/>
      <c r="O2061" s="27"/>
      <c r="P2061" s="27"/>
      <c r="Q2061" s="27"/>
      <c r="R2061" s="27"/>
      <c r="S2061" s="27"/>
      <c r="T2061" s="27"/>
      <c r="U2061" s="27"/>
      <c r="V2061" s="27"/>
      <c r="W2061" s="27"/>
      <c r="X2061" s="27"/>
      <c r="Y2061" s="27"/>
    </row>
    <row r="2062">
      <c r="A2062" s="32"/>
      <c r="B2062" s="32"/>
      <c r="C2062" s="29" t="s">
        <v>100</v>
      </c>
      <c r="D2062" s="29" t="s">
        <v>2084</v>
      </c>
      <c r="E2062" s="100"/>
      <c r="F2062" s="32"/>
      <c r="G2062" s="99" t="s">
        <v>2085</v>
      </c>
      <c r="H2062" s="28">
        <f t="array" ref="H2062">INDEX(CC!C:C,MATCH(1,(CC!A:A=G2062)*(CC!B:B=I2062),0))</f>
        <v>1402</v>
      </c>
      <c r="I2062" s="99" t="s">
        <v>25</v>
      </c>
      <c r="J2062" s="31">
        <v>1155.0</v>
      </c>
      <c r="K2062" s="28" t="str">
        <f>IFERROR(__xludf.DUMMYFUNCTION("IFERROR(
INDEX(
FILTER(
MAP(
reglas!$B$2:$B$240,
reglas!$C$2:$C$240,
reglas!$D$2:$D$240,
reglas!$E$2:$E$240,
LAMBDA(rEmisor,rPatron,rConcepto,rTipo,
IF(
AND(
OR(
UPPER(TRIM(rEmisor))=UPPER(TRIM(C2062)),
UPPER(TRIM(rEmisor))=""CUALQUIERA""
),
OR(
UPPER(TRI"&amp;"M(rTipo))=""SOLO EMISOR"",
AND(
UPPER(TRIM(rTipo))=""EXACTA"",
UPPER(TRIM(AG2062))=UPPER(TRIM(rPatron))
),
AND(
OR(
UPPER(TRIM(rTipo))=""CONTIENE"",
UPPER(TRIM(rTipo))=""COINCIDENCIA""
),
ISNUMBER(SEARCH(UPPER(TRIM(rPatron)),UPPER(TRIM(D2062))))
)
)
),
rC"&amp;"oncepto,
""""
)
)
),
MAP(
reglas!$B$2:$B$240,
reglas!$C$2:$C$240,
reglas!$D$2:$D$240,
reglas!$E$2:$E$240,
LAMBDA(rEmisor,rPatron,rConcepto,rTipo,
IF(
AND(
OR(
UPPER(TRIM(rEmisor))=UPPER(TRIM(C2062)),
UPPER(TRIM(rEmisor))=""CUALQUIERA""
),
OR(
UPPER(TRIM(r"&amp;"Tipo))=""SOLO EMISOR"",
AND(
UPPER(TRIM(rTipo))=""EXACTA"",
UPPER(TRIM(D2062))=UPPER(TRIM(rPatron))
),
AND(
OR(
UPPER(TRIM(rTipo))=""CONTIENE"",
UPPER(TRIM(rTipo))=""COINCIDENCIA""
),
ISNUMBER(SEARCH(UPPER(TRIM(rPatron)),UPPER(TRIM(D2062))))
)
)
),
rConce"&amp;"pto,
""""
)
)
)&lt;&gt;""""
),
1
),
""""
)"),"SERVIDOR VIRTUAL")</f>
        <v>SERVIDOR VIRTUAL</v>
      </c>
      <c r="L2062" s="27"/>
      <c r="M2062" s="27"/>
      <c r="N2062" s="27"/>
      <c r="O2062" s="27"/>
      <c r="P2062" s="27"/>
      <c r="Q2062" s="27"/>
      <c r="R2062" s="27"/>
      <c r="S2062" s="27"/>
      <c r="T2062" s="27"/>
      <c r="U2062" s="27"/>
      <c r="V2062" s="27"/>
      <c r="W2062" s="27"/>
      <c r="X2062" s="27"/>
      <c r="Y2062" s="27"/>
    </row>
    <row r="2063">
      <c r="A2063" s="32"/>
      <c r="B2063" s="32"/>
      <c r="C2063" s="29" t="s">
        <v>100</v>
      </c>
      <c r="D2063" s="29" t="s">
        <v>2086</v>
      </c>
      <c r="E2063" s="100"/>
      <c r="F2063" s="32"/>
      <c r="G2063" s="99" t="s">
        <v>1649</v>
      </c>
      <c r="H2063" s="28">
        <f t="array" ref="H2063">INDEX(CC!C:C,MATCH(1,(CC!A:A=G2063)*(CC!B:B=I2063),0))</f>
        <v>1902</v>
      </c>
      <c r="I2063" s="99" t="s">
        <v>25</v>
      </c>
      <c r="J2063" s="31">
        <v>1155.0</v>
      </c>
      <c r="K2063" s="28" t="str">
        <f>IFERROR(__xludf.DUMMYFUNCTION("IFERROR(
INDEX(
FILTER(
MAP(
reglas!$B$2:$B$240,
reglas!$C$2:$C$240,
reglas!$D$2:$D$240,
reglas!$E$2:$E$240,
LAMBDA(rEmisor,rPatron,rConcepto,rTipo,
IF(
AND(
OR(
UPPER(TRIM(rEmisor))=UPPER(TRIM(C2063)),
UPPER(TRIM(rEmisor))=""CUALQUIERA""
),
OR(
UPPER(TRI"&amp;"M(rTipo))=""SOLO EMISOR"",
AND(
UPPER(TRIM(rTipo))=""EXACTA"",
UPPER(TRIM(AG2063))=UPPER(TRIM(rPatron))
),
AND(
OR(
UPPER(TRIM(rTipo))=""CONTIENE"",
UPPER(TRIM(rTipo))=""COINCIDENCIA""
),
ISNUMBER(SEARCH(UPPER(TRIM(rPatron)),UPPER(TRIM(D2063))))
)
)
),
rC"&amp;"oncepto,
""""
)
)
),
MAP(
reglas!$B$2:$B$240,
reglas!$C$2:$C$240,
reglas!$D$2:$D$240,
reglas!$E$2:$E$240,
LAMBDA(rEmisor,rPatron,rConcepto,rTipo,
IF(
AND(
OR(
UPPER(TRIM(rEmisor))=UPPER(TRIM(C2063)),
UPPER(TRIM(rEmisor))=""CUALQUIERA""
),
OR(
UPPER(TRIM(r"&amp;"Tipo))=""SOLO EMISOR"",
AND(
UPPER(TRIM(rTipo))=""EXACTA"",
UPPER(TRIM(D2063))=UPPER(TRIM(rPatron))
),
AND(
OR(
UPPER(TRIM(rTipo))=""CONTIENE"",
UPPER(TRIM(rTipo))=""COINCIDENCIA""
),
ISNUMBER(SEARCH(UPPER(TRIM(rPatron)),UPPER(TRIM(D2063))))
)
)
),
rConce"&amp;"pto,
""""
)
)
)&lt;&gt;""""
),
1
),
""""
)"),"SERVIDOR VIRTUAL")</f>
        <v>SERVIDOR VIRTUAL</v>
      </c>
      <c r="L2063" s="27"/>
      <c r="M2063" s="27"/>
      <c r="N2063" s="27"/>
      <c r="O2063" s="27"/>
      <c r="P2063" s="27"/>
      <c r="Q2063" s="27"/>
      <c r="R2063" s="27"/>
      <c r="S2063" s="27"/>
      <c r="T2063" s="27"/>
      <c r="U2063" s="27"/>
      <c r="V2063" s="27"/>
      <c r="W2063" s="27"/>
      <c r="X2063" s="27"/>
      <c r="Y2063" s="27"/>
    </row>
    <row r="2064">
      <c r="A2064" s="32"/>
      <c r="B2064" s="32"/>
      <c r="C2064" s="29" t="s">
        <v>100</v>
      </c>
      <c r="D2064" s="29" t="s">
        <v>2087</v>
      </c>
      <c r="E2064" s="100"/>
      <c r="F2064" s="32"/>
      <c r="G2064" s="99" t="s">
        <v>539</v>
      </c>
      <c r="H2064" s="28">
        <f t="array" ref="H2064">INDEX(CC!C:C,MATCH(1,(CC!A:A=G2064)*(CC!B:B=I2064),0))</f>
        <v>1302</v>
      </c>
      <c r="I2064" s="99" t="s">
        <v>25</v>
      </c>
      <c r="J2064" s="31">
        <v>14244.0</v>
      </c>
      <c r="K2064" s="28" t="str">
        <f>IFERROR(__xludf.DUMMYFUNCTION("IFERROR(
INDEX(
FILTER(
MAP(
reglas!$B$2:$B$240,
reglas!$C$2:$C$240,
reglas!$D$2:$D$240,
reglas!$E$2:$E$240,
LAMBDA(rEmisor,rPatron,rConcepto,rTipo,
IF(
AND(
OR(
UPPER(TRIM(rEmisor))=UPPER(TRIM(C2064)),
UPPER(TRIM(rEmisor))=""CUALQUIERA""
),
OR(
UPPER(TRI"&amp;"M(rTipo))=""SOLO EMISOR"",
AND(
UPPER(TRIM(rTipo))=""EXACTA"",
UPPER(TRIM(AG2064))=UPPER(TRIM(rPatron))
),
AND(
OR(
UPPER(TRIM(rTipo))=""CONTIENE"",
UPPER(TRIM(rTipo))=""COINCIDENCIA""
),
ISNUMBER(SEARCH(UPPER(TRIM(rPatron)),UPPER(TRIM(D2064))))
)
)
),
rC"&amp;"oncepto,
""""
)
)
),
MAP(
reglas!$B$2:$B$240,
reglas!$C$2:$C$240,
reglas!$D$2:$D$240,
reglas!$E$2:$E$240,
LAMBDA(rEmisor,rPatron,rConcepto,rTipo,
IF(
AND(
OR(
UPPER(TRIM(rEmisor))=UPPER(TRIM(C2064)),
UPPER(TRIM(rEmisor))=""CUALQUIERA""
),
OR(
UPPER(TRIM(r"&amp;"Tipo))=""SOLO EMISOR"",
AND(
UPPER(TRIM(rTipo))=""EXACTA"",
UPPER(TRIM(D2064))=UPPER(TRIM(rPatron))
),
AND(
OR(
UPPER(TRIM(rTipo))=""CONTIENE"",
UPPER(TRIM(rTipo))=""COINCIDENCIA""
),
ISNUMBER(SEARCH(UPPER(TRIM(rPatron)),UPPER(TRIM(D2064))))
)
)
),
rConce"&amp;"pto,
""""
)
)
)&lt;&gt;""""
),
1
),
""""
)"),"SERVIDOR VIRTUAL")</f>
        <v>SERVIDOR VIRTUAL</v>
      </c>
      <c r="L2064" s="27"/>
      <c r="M2064" s="27"/>
      <c r="N2064" s="27"/>
      <c r="O2064" s="27"/>
      <c r="P2064" s="27"/>
      <c r="Q2064" s="27"/>
      <c r="R2064" s="27"/>
      <c r="S2064" s="27"/>
      <c r="T2064" s="27"/>
      <c r="U2064" s="27"/>
      <c r="V2064" s="27"/>
      <c r="W2064" s="27"/>
      <c r="X2064" s="27"/>
      <c r="Y2064" s="27"/>
    </row>
    <row r="2065">
      <c r="A2065" s="32"/>
      <c r="B2065" s="32"/>
      <c r="C2065" s="29" t="s">
        <v>100</v>
      </c>
      <c r="D2065" s="29" t="s">
        <v>2088</v>
      </c>
      <c r="E2065" s="100"/>
      <c r="F2065" s="32"/>
      <c r="G2065" s="99" t="s">
        <v>225</v>
      </c>
      <c r="H2065" s="28">
        <f t="array" ref="H2065">INDEX(CC!C:C,MATCH(1,(CC!A:A=G2065)*(CC!B:B=I2065),0))</f>
        <v>102</v>
      </c>
      <c r="I2065" s="99" t="s">
        <v>25</v>
      </c>
      <c r="J2065" s="31">
        <v>5390.0</v>
      </c>
      <c r="K2065" s="28" t="str">
        <f>IFERROR(__xludf.DUMMYFUNCTION("IFERROR(
INDEX(
FILTER(
MAP(
reglas!$B$2:$B$240,
reglas!$C$2:$C$240,
reglas!$D$2:$D$240,
reglas!$E$2:$E$240,
LAMBDA(rEmisor,rPatron,rConcepto,rTipo,
IF(
AND(
OR(
UPPER(TRIM(rEmisor))=UPPER(TRIM(C2065)),
UPPER(TRIM(rEmisor))=""CUALQUIERA""
),
OR(
UPPER(TRI"&amp;"M(rTipo))=""SOLO EMISOR"",
AND(
UPPER(TRIM(rTipo))=""EXACTA"",
UPPER(TRIM(AG2065))=UPPER(TRIM(rPatron))
),
AND(
OR(
UPPER(TRIM(rTipo))=""CONTIENE"",
UPPER(TRIM(rTipo))=""COINCIDENCIA""
),
ISNUMBER(SEARCH(UPPER(TRIM(rPatron)),UPPER(TRIM(D2065))))
)
)
),
rC"&amp;"oncepto,
""""
)
)
),
MAP(
reglas!$B$2:$B$240,
reglas!$C$2:$C$240,
reglas!$D$2:$D$240,
reglas!$E$2:$E$240,
LAMBDA(rEmisor,rPatron,rConcepto,rTipo,
IF(
AND(
OR(
UPPER(TRIM(rEmisor))=UPPER(TRIM(C2065)),
UPPER(TRIM(rEmisor))=""CUALQUIERA""
),
OR(
UPPER(TRIM(r"&amp;"Tipo))=""SOLO EMISOR"",
AND(
UPPER(TRIM(rTipo))=""EXACTA"",
UPPER(TRIM(D2065))=UPPER(TRIM(rPatron))
),
AND(
OR(
UPPER(TRIM(rTipo))=""CONTIENE"",
UPPER(TRIM(rTipo))=""COINCIDENCIA""
),
ISNUMBER(SEARCH(UPPER(TRIM(rPatron)),UPPER(TRIM(D2065))))
)
)
),
rConce"&amp;"pto,
""""
)
)
)&lt;&gt;""""
),
1
),
""""
)"),"SERVIDOR VIRTUAL")</f>
        <v>SERVIDOR VIRTUAL</v>
      </c>
      <c r="L2065" s="27"/>
      <c r="M2065" s="27"/>
      <c r="N2065" s="27"/>
      <c r="O2065" s="27"/>
      <c r="P2065" s="27"/>
      <c r="Q2065" s="27"/>
      <c r="R2065" s="27"/>
      <c r="S2065" s="27"/>
      <c r="T2065" s="27"/>
      <c r="U2065" s="27"/>
      <c r="V2065" s="27"/>
      <c r="W2065" s="27"/>
      <c r="X2065" s="27"/>
      <c r="Y2065" s="27"/>
    </row>
    <row r="2066">
      <c r="A2066" s="32"/>
      <c r="B2066" s="32"/>
      <c r="C2066" s="29" t="s">
        <v>100</v>
      </c>
      <c r="D2066" s="29" t="s">
        <v>2089</v>
      </c>
      <c r="E2066" s="100"/>
      <c r="F2066" s="32"/>
      <c r="G2066" s="99" t="s">
        <v>84</v>
      </c>
      <c r="H2066" s="28">
        <f t="array" ref="H2066">INDEX(CC!C:C,MATCH(1,(CC!A:A=G2066)*(CC!B:B=I2066),0))</f>
        <v>1002</v>
      </c>
      <c r="I2066" s="99" t="s">
        <v>25</v>
      </c>
      <c r="J2066" s="31">
        <v>385.0</v>
      </c>
      <c r="K2066" s="28" t="str">
        <f>IFERROR(__xludf.DUMMYFUNCTION("IFERROR(
INDEX(
FILTER(
MAP(
reglas!$B$2:$B$240,
reglas!$C$2:$C$240,
reglas!$D$2:$D$240,
reglas!$E$2:$E$240,
LAMBDA(rEmisor,rPatron,rConcepto,rTipo,
IF(
AND(
OR(
UPPER(TRIM(rEmisor))=UPPER(TRIM(C2066)),
UPPER(TRIM(rEmisor))=""CUALQUIERA""
),
OR(
UPPER(TRI"&amp;"M(rTipo))=""SOLO EMISOR"",
AND(
UPPER(TRIM(rTipo))=""EXACTA"",
UPPER(TRIM(AG2066))=UPPER(TRIM(rPatron))
),
AND(
OR(
UPPER(TRIM(rTipo))=""CONTIENE"",
UPPER(TRIM(rTipo))=""COINCIDENCIA""
),
ISNUMBER(SEARCH(UPPER(TRIM(rPatron)),UPPER(TRIM(D2066))))
)
)
),
rC"&amp;"oncepto,
""""
)
)
),
MAP(
reglas!$B$2:$B$240,
reglas!$C$2:$C$240,
reglas!$D$2:$D$240,
reglas!$E$2:$E$240,
LAMBDA(rEmisor,rPatron,rConcepto,rTipo,
IF(
AND(
OR(
UPPER(TRIM(rEmisor))=UPPER(TRIM(C2066)),
UPPER(TRIM(rEmisor))=""CUALQUIERA""
),
OR(
UPPER(TRIM(r"&amp;"Tipo))=""SOLO EMISOR"",
AND(
UPPER(TRIM(rTipo))=""EXACTA"",
UPPER(TRIM(D2066))=UPPER(TRIM(rPatron))
),
AND(
OR(
UPPER(TRIM(rTipo))=""CONTIENE"",
UPPER(TRIM(rTipo))=""COINCIDENCIA""
),
ISNUMBER(SEARCH(UPPER(TRIM(rPatron)),UPPER(TRIM(D2066))))
)
)
),
rConce"&amp;"pto,
""""
)
)
)&lt;&gt;""""
),
1
),
""""
)"),"SERVIDOR VIRTUAL")</f>
        <v>SERVIDOR VIRTUAL</v>
      </c>
      <c r="L2066" s="27"/>
      <c r="M2066" s="27"/>
      <c r="N2066" s="27"/>
      <c r="O2066" s="27"/>
      <c r="P2066" s="27"/>
      <c r="Q2066" s="27"/>
      <c r="R2066" s="27"/>
      <c r="S2066" s="27"/>
      <c r="T2066" s="27"/>
      <c r="U2066" s="27"/>
      <c r="V2066" s="27"/>
      <c r="W2066" s="27"/>
      <c r="X2066" s="27"/>
      <c r="Y2066" s="27"/>
    </row>
    <row r="2067">
      <c r="A2067" s="32"/>
      <c r="B2067" s="32"/>
      <c r="C2067" s="29" t="s">
        <v>100</v>
      </c>
      <c r="D2067" s="29" t="s">
        <v>2090</v>
      </c>
      <c r="E2067" s="100"/>
      <c r="F2067" s="32"/>
      <c r="G2067" s="99" t="s">
        <v>40</v>
      </c>
      <c r="H2067" s="28">
        <f t="array" ref="H2067">INDEX(CC!C:C,MATCH(1,(CC!A:A=G2067)*(CC!B:B=I2067),0))</f>
        <v>602</v>
      </c>
      <c r="I2067" s="99" t="s">
        <v>25</v>
      </c>
      <c r="J2067" s="31">
        <v>1155.0</v>
      </c>
      <c r="K2067" s="28" t="str">
        <f>IFERROR(__xludf.DUMMYFUNCTION("IFERROR(
INDEX(
FILTER(
MAP(
reglas!$B$2:$B$240,
reglas!$C$2:$C$240,
reglas!$D$2:$D$240,
reglas!$E$2:$E$240,
LAMBDA(rEmisor,rPatron,rConcepto,rTipo,
IF(
AND(
OR(
UPPER(TRIM(rEmisor))=UPPER(TRIM(C2067)),
UPPER(TRIM(rEmisor))=""CUALQUIERA""
),
OR(
UPPER(TRI"&amp;"M(rTipo))=""SOLO EMISOR"",
AND(
UPPER(TRIM(rTipo))=""EXACTA"",
UPPER(TRIM(AG2067))=UPPER(TRIM(rPatron))
),
AND(
OR(
UPPER(TRIM(rTipo))=""CONTIENE"",
UPPER(TRIM(rTipo))=""COINCIDENCIA""
),
ISNUMBER(SEARCH(UPPER(TRIM(rPatron)),UPPER(TRIM(D2067))))
)
)
),
rC"&amp;"oncepto,
""""
)
)
),
MAP(
reglas!$B$2:$B$240,
reglas!$C$2:$C$240,
reglas!$D$2:$D$240,
reglas!$E$2:$E$240,
LAMBDA(rEmisor,rPatron,rConcepto,rTipo,
IF(
AND(
OR(
UPPER(TRIM(rEmisor))=UPPER(TRIM(C2067)),
UPPER(TRIM(rEmisor))=""CUALQUIERA""
),
OR(
UPPER(TRIM(r"&amp;"Tipo))=""SOLO EMISOR"",
AND(
UPPER(TRIM(rTipo))=""EXACTA"",
UPPER(TRIM(D2067))=UPPER(TRIM(rPatron))
),
AND(
OR(
UPPER(TRIM(rTipo))=""CONTIENE"",
UPPER(TRIM(rTipo))=""COINCIDENCIA""
),
ISNUMBER(SEARCH(UPPER(TRIM(rPatron)),UPPER(TRIM(D2067))))
)
)
),
rConce"&amp;"pto,
""""
)
)
)&lt;&gt;""""
),
1
),
""""
)"),"SERVIDOR VIRTUAL")</f>
        <v>SERVIDOR VIRTUAL</v>
      </c>
      <c r="L2067" s="27"/>
      <c r="M2067" s="27"/>
      <c r="N2067" s="27"/>
      <c r="O2067" s="27"/>
      <c r="P2067" s="27"/>
      <c r="Q2067" s="27"/>
      <c r="R2067" s="27"/>
      <c r="S2067" s="27"/>
      <c r="T2067" s="27"/>
      <c r="U2067" s="27"/>
      <c r="V2067" s="27"/>
      <c r="W2067" s="27"/>
      <c r="X2067" s="27"/>
      <c r="Y2067" s="27"/>
    </row>
    <row r="2068">
      <c r="A2068" s="32"/>
      <c r="B2068" s="32"/>
      <c r="C2068" s="29" t="s">
        <v>100</v>
      </c>
      <c r="D2068" s="29" t="s">
        <v>2091</v>
      </c>
      <c r="E2068" s="100"/>
      <c r="F2068" s="32"/>
      <c r="G2068" s="99" t="s">
        <v>554</v>
      </c>
      <c r="H2068" s="28">
        <f t="array" ref="H2068">INDEX(CC!C:C,MATCH(1,(CC!A:A=G2068)*(CC!B:B=I2068),0))</f>
        <v>1702</v>
      </c>
      <c r="I2068" s="99" t="s">
        <v>25</v>
      </c>
      <c r="J2068" s="31">
        <v>0.0</v>
      </c>
      <c r="K2068" s="28" t="str">
        <f>IFERROR(__xludf.DUMMYFUNCTION("IFERROR(
INDEX(
FILTER(
MAP(
reglas!$B$2:$B$240,
reglas!$C$2:$C$240,
reglas!$D$2:$D$240,
reglas!$E$2:$E$240,
LAMBDA(rEmisor,rPatron,rConcepto,rTipo,
IF(
AND(
OR(
UPPER(TRIM(rEmisor))=UPPER(TRIM(C2068)),
UPPER(TRIM(rEmisor))=""CUALQUIERA""
),
OR(
UPPER(TRI"&amp;"M(rTipo))=""SOLO EMISOR"",
AND(
UPPER(TRIM(rTipo))=""EXACTA"",
UPPER(TRIM(AG2068))=UPPER(TRIM(rPatron))
),
AND(
OR(
UPPER(TRIM(rTipo))=""CONTIENE"",
UPPER(TRIM(rTipo))=""COINCIDENCIA""
),
ISNUMBER(SEARCH(UPPER(TRIM(rPatron)),UPPER(TRIM(D2068))))
)
)
),
rC"&amp;"oncepto,
""""
)
)
),
MAP(
reglas!$B$2:$B$240,
reglas!$C$2:$C$240,
reglas!$D$2:$D$240,
reglas!$E$2:$E$240,
LAMBDA(rEmisor,rPatron,rConcepto,rTipo,
IF(
AND(
OR(
UPPER(TRIM(rEmisor))=UPPER(TRIM(C2068)),
UPPER(TRIM(rEmisor))=""CUALQUIERA""
),
OR(
UPPER(TRIM(r"&amp;"Tipo))=""SOLO EMISOR"",
AND(
UPPER(TRIM(rTipo))=""EXACTA"",
UPPER(TRIM(D2068))=UPPER(TRIM(rPatron))
),
AND(
OR(
UPPER(TRIM(rTipo))=""CONTIENE"",
UPPER(TRIM(rTipo))=""COINCIDENCIA""
),
ISNUMBER(SEARCH(UPPER(TRIM(rPatron)),UPPER(TRIM(D2068))))
)
)
),
rConce"&amp;"pto,
""""
)
)
)&lt;&gt;""""
),
1
),
""""
)"),"SERVIDOR VIRTUAL")</f>
        <v>SERVIDOR VIRTUAL</v>
      </c>
      <c r="L2068" s="27"/>
      <c r="M2068" s="27"/>
      <c r="N2068" s="27"/>
      <c r="O2068" s="27"/>
      <c r="P2068" s="27"/>
      <c r="Q2068" s="27"/>
      <c r="R2068" s="27"/>
      <c r="S2068" s="27"/>
      <c r="T2068" s="27"/>
      <c r="U2068" s="27"/>
      <c r="V2068" s="27"/>
      <c r="W2068" s="27"/>
      <c r="X2068" s="27"/>
      <c r="Y2068" s="27"/>
    </row>
    <row r="2069">
      <c r="A2069" s="32"/>
      <c r="B2069" s="28" t="s">
        <v>29</v>
      </c>
      <c r="C2069" s="29" t="s">
        <v>70</v>
      </c>
      <c r="D2069" s="29" t="s">
        <v>1701</v>
      </c>
      <c r="E2069" s="30">
        <v>2054.87</v>
      </c>
      <c r="F2069" s="28">
        <v>0.0</v>
      </c>
      <c r="G2069" s="28" t="s">
        <v>55</v>
      </c>
      <c r="H2069" s="28">
        <f t="array" ref="H2069">INDEX(CC!C:C,MATCH(1,(CC!A:A=G2069)*(CC!B:B=I2069),0))</f>
        <v>903</v>
      </c>
      <c r="I2069" s="28" t="s">
        <v>44</v>
      </c>
      <c r="J2069" s="31">
        <v>2054.87</v>
      </c>
      <c r="K2069" s="28" t="str">
        <f>IFERROR(__xludf.DUMMYFUNCTION("IFERROR(
INDEX(
FILTER(
MAP(
reglas!$B$2:$B$240,
reglas!$C$2:$C$240,
reglas!$D$2:$D$240,
reglas!$E$2:$E$240,
LAMBDA(rEmisor,rPatron,rConcepto,rTipo,
IF(
AND(
OR(
UPPER(TRIM(rEmisor))=UPPER(TRIM(C2069)),
UPPER(TRIM(rEmisor))=""CUALQUIERA""
),
OR(
UPPER(TRI"&amp;"M(rTipo))=""SOLO EMISOR"",
AND(
UPPER(TRIM(rTipo))=""EXACTA"",
UPPER(TRIM(AG2069))=UPPER(TRIM(rPatron))
),
AND(
OR(
UPPER(TRIM(rTipo))=""CONTIENE"",
UPPER(TRIM(rTipo))=""COINCIDENCIA""
),
ISNUMBER(SEARCH(UPPER(TRIM(rPatron)),UPPER(TRIM(D2069))))
)
)
),
rC"&amp;"oncepto,
""""
)
)
),
MAP(
reglas!$B$2:$B$240,
reglas!$C$2:$C$240,
reglas!$D$2:$D$240,
reglas!$E$2:$E$240,
LAMBDA(rEmisor,rPatron,rConcepto,rTipo,
IF(
AND(
OR(
UPPER(TRIM(rEmisor))=UPPER(TRIM(C2069)),
UPPER(TRIM(rEmisor))=""CUALQUIERA""
),
OR(
UPPER(TRIM(r"&amp;"Tipo))=""SOLO EMISOR"",
AND(
UPPER(TRIM(rTipo))=""EXACTA"",
UPPER(TRIM(D2069))=UPPER(TRIM(rPatron))
),
AND(
OR(
UPPER(TRIM(rTipo))=""CONTIENE"",
UPPER(TRIM(rTipo))=""COINCIDENCIA""
),
ISNUMBER(SEARCH(UPPER(TRIM(rPatron)),UPPER(TRIM(D2069))))
)
)
),
rConce"&amp;"pto,
""""
)
)
)&lt;&gt;""""
),
1
),
""""
)"),"MANIOBRAS")</f>
        <v>MANIOBRAS</v>
      </c>
      <c r="L2069" s="27"/>
      <c r="M2069" s="27"/>
      <c r="N2069" s="27"/>
      <c r="O2069" s="27"/>
      <c r="P2069" s="27"/>
      <c r="Q2069" s="27"/>
      <c r="R2069" s="27"/>
      <c r="S2069" s="27"/>
      <c r="T2069" s="27"/>
      <c r="U2069" s="27"/>
      <c r="V2069" s="27"/>
      <c r="W2069" s="27"/>
      <c r="X2069" s="27"/>
      <c r="Y2069" s="27"/>
    </row>
    <row r="2070">
      <c r="A2070" s="32"/>
      <c r="B2070" s="32"/>
      <c r="C2070" s="29" t="s">
        <v>70</v>
      </c>
      <c r="D2070" s="29" t="s">
        <v>1702</v>
      </c>
      <c r="E2070" s="28">
        <v>711.73</v>
      </c>
      <c r="F2070" s="28">
        <v>0.0</v>
      </c>
      <c r="G2070" s="28" t="s">
        <v>55</v>
      </c>
      <c r="H2070" s="28">
        <f t="array" ref="H2070">INDEX(CC!C:C,MATCH(1,(CC!A:A=G2070)*(CC!B:B=I2070),0))</f>
        <v>903</v>
      </c>
      <c r="I2070" s="28" t="s">
        <v>44</v>
      </c>
      <c r="J2070" s="31">
        <v>711.73</v>
      </c>
      <c r="K2070" s="28" t="str">
        <f>IFERROR(__xludf.DUMMYFUNCTION("IFERROR(
INDEX(
FILTER(
MAP(
reglas!$B$2:$B$240,
reglas!$C$2:$C$240,
reglas!$D$2:$D$240,
reglas!$E$2:$E$240,
LAMBDA(rEmisor,rPatron,rConcepto,rTipo,
IF(
AND(
OR(
UPPER(TRIM(rEmisor))=UPPER(TRIM(C2070)),
UPPER(TRIM(rEmisor))=""CUALQUIERA""
),
OR(
UPPER(TRI"&amp;"M(rTipo))=""SOLO EMISOR"",
AND(
UPPER(TRIM(rTipo))=""EXACTA"",
UPPER(TRIM(AG2070))=UPPER(TRIM(rPatron))
),
AND(
OR(
UPPER(TRIM(rTipo))=""CONTIENE"",
UPPER(TRIM(rTipo))=""COINCIDENCIA""
),
ISNUMBER(SEARCH(UPPER(TRIM(rPatron)),UPPER(TRIM(D2070))))
)
)
),
rC"&amp;"oncepto,
""""
)
)
),
MAP(
reglas!$B$2:$B$240,
reglas!$C$2:$C$240,
reglas!$D$2:$D$240,
reglas!$E$2:$E$240,
LAMBDA(rEmisor,rPatron,rConcepto,rTipo,
IF(
AND(
OR(
UPPER(TRIM(rEmisor))=UPPER(TRIM(C2070)),
UPPER(TRIM(rEmisor))=""CUALQUIERA""
),
OR(
UPPER(TRIM(r"&amp;"Tipo))=""SOLO EMISOR"",
AND(
UPPER(TRIM(rTipo))=""EXACTA"",
UPPER(TRIM(D2070))=UPPER(TRIM(rPatron))
),
AND(
OR(
UPPER(TRIM(rTipo))=""CONTIENE"",
UPPER(TRIM(rTipo))=""COINCIDENCIA""
),
ISNUMBER(SEARCH(UPPER(TRIM(rPatron)),UPPER(TRIM(D2070))))
)
)
),
rConce"&amp;"pto,
""""
)
)
)&lt;&gt;""""
),
1
),
""""
)"),"MANIOBRAS")</f>
        <v>MANIOBRAS</v>
      </c>
      <c r="L2070" s="27"/>
      <c r="M2070" s="27"/>
      <c r="N2070" s="27"/>
      <c r="O2070" s="27"/>
      <c r="P2070" s="27"/>
      <c r="Q2070" s="27"/>
      <c r="R2070" s="27"/>
      <c r="S2070" s="27"/>
      <c r="T2070" s="27"/>
      <c r="U2070" s="27"/>
      <c r="V2070" s="27"/>
      <c r="W2070" s="27"/>
      <c r="X2070" s="27"/>
      <c r="Y2070" s="27"/>
    </row>
    <row r="2071">
      <c r="A2071" s="32"/>
      <c r="B2071" s="32"/>
      <c r="C2071" s="29" t="s">
        <v>70</v>
      </c>
      <c r="D2071" s="29" t="s">
        <v>1703</v>
      </c>
      <c r="E2071" s="30">
        <v>2101.07</v>
      </c>
      <c r="F2071" s="28">
        <v>0.0</v>
      </c>
      <c r="G2071" s="28" t="s">
        <v>55</v>
      </c>
      <c r="H2071" s="28">
        <f t="array" ref="H2071">INDEX(CC!C:C,MATCH(1,(CC!A:A=G2071)*(CC!B:B=I2071),0))</f>
        <v>903</v>
      </c>
      <c r="I2071" s="28" t="s">
        <v>44</v>
      </c>
      <c r="J2071" s="31">
        <v>2101.07</v>
      </c>
      <c r="K2071" s="28" t="str">
        <f>IFERROR(__xludf.DUMMYFUNCTION("IFERROR(
INDEX(
FILTER(
MAP(
reglas!$B$2:$B$240,
reglas!$C$2:$C$240,
reglas!$D$2:$D$240,
reglas!$E$2:$E$240,
LAMBDA(rEmisor,rPatron,rConcepto,rTipo,
IF(
AND(
OR(
UPPER(TRIM(rEmisor))=UPPER(TRIM(C2071)),
UPPER(TRIM(rEmisor))=""CUALQUIERA""
),
OR(
UPPER(TRI"&amp;"M(rTipo))=""SOLO EMISOR"",
AND(
UPPER(TRIM(rTipo))=""EXACTA"",
UPPER(TRIM(AG2071))=UPPER(TRIM(rPatron))
),
AND(
OR(
UPPER(TRIM(rTipo))=""CONTIENE"",
UPPER(TRIM(rTipo))=""COINCIDENCIA""
),
ISNUMBER(SEARCH(UPPER(TRIM(rPatron)),UPPER(TRIM(D2071))))
)
)
),
rC"&amp;"oncepto,
""""
)
)
),
MAP(
reglas!$B$2:$B$240,
reglas!$C$2:$C$240,
reglas!$D$2:$D$240,
reglas!$E$2:$E$240,
LAMBDA(rEmisor,rPatron,rConcepto,rTipo,
IF(
AND(
OR(
UPPER(TRIM(rEmisor))=UPPER(TRIM(C2071)),
UPPER(TRIM(rEmisor))=""CUALQUIERA""
),
OR(
UPPER(TRIM(r"&amp;"Tipo))=""SOLO EMISOR"",
AND(
UPPER(TRIM(rTipo))=""EXACTA"",
UPPER(TRIM(D2071))=UPPER(TRIM(rPatron))
),
AND(
OR(
UPPER(TRIM(rTipo))=""CONTIENE"",
UPPER(TRIM(rTipo))=""COINCIDENCIA""
),
ISNUMBER(SEARCH(UPPER(TRIM(rPatron)),UPPER(TRIM(D2071))))
)
)
),
rConce"&amp;"pto,
""""
)
)
)&lt;&gt;""""
),
1
),
""""
)"),"MANIOBRAS")</f>
        <v>MANIOBRAS</v>
      </c>
      <c r="L2071" s="27"/>
      <c r="M2071" s="27"/>
      <c r="N2071" s="27"/>
      <c r="O2071" s="27"/>
      <c r="P2071" s="27"/>
      <c r="Q2071" s="27"/>
      <c r="R2071" s="27"/>
      <c r="S2071" s="27"/>
      <c r="T2071" s="27"/>
      <c r="U2071" s="27"/>
      <c r="V2071" s="27"/>
      <c r="W2071" s="27"/>
      <c r="X2071" s="27"/>
      <c r="Y2071" s="27"/>
    </row>
    <row r="2072">
      <c r="A2072" s="32"/>
      <c r="B2072" s="32"/>
      <c r="C2072" s="29" t="s">
        <v>70</v>
      </c>
      <c r="D2072" s="29" t="s">
        <v>1704</v>
      </c>
      <c r="E2072" s="28">
        <v>210.11</v>
      </c>
      <c r="F2072" s="28">
        <v>0.0</v>
      </c>
      <c r="G2072" s="28" t="s">
        <v>55</v>
      </c>
      <c r="H2072" s="28">
        <f t="array" ref="H2072">INDEX(CC!C:C,MATCH(1,(CC!A:A=G2072)*(CC!B:B=I2072),0))</f>
        <v>903</v>
      </c>
      <c r="I2072" s="28" t="s">
        <v>44</v>
      </c>
      <c r="J2072" s="31">
        <v>210.11</v>
      </c>
      <c r="K2072" s="28" t="str">
        <f>IFERROR(__xludf.DUMMYFUNCTION("IFERROR(
INDEX(
FILTER(
MAP(
reglas!$B$2:$B$240,
reglas!$C$2:$C$240,
reglas!$D$2:$D$240,
reglas!$E$2:$E$240,
LAMBDA(rEmisor,rPatron,rConcepto,rTipo,
IF(
AND(
OR(
UPPER(TRIM(rEmisor))=UPPER(TRIM(C2072)),
UPPER(TRIM(rEmisor))=""CUALQUIERA""
),
OR(
UPPER(TRI"&amp;"M(rTipo))=""SOLO EMISOR"",
AND(
UPPER(TRIM(rTipo))=""EXACTA"",
UPPER(TRIM(AG2072))=UPPER(TRIM(rPatron))
),
AND(
OR(
UPPER(TRIM(rTipo))=""CONTIENE"",
UPPER(TRIM(rTipo))=""COINCIDENCIA""
),
ISNUMBER(SEARCH(UPPER(TRIM(rPatron)),UPPER(TRIM(D2072))))
)
)
),
rC"&amp;"oncepto,
""""
)
)
),
MAP(
reglas!$B$2:$B$240,
reglas!$C$2:$C$240,
reglas!$D$2:$D$240,
reglas!$E$2:$E$240,
LAMBDA(rEmisor,rPatron,rConcepto,rTipo,
IF(
AND(
OR(
UPPER(TRIM(rEmisor))=UPPER(TRIM(C2072)),
UPPER(TRIM(rEmisor))=""CUALQUIERA""
),
OR(
UPPER(TRIM(r"&amp;"Tipo))=""SOLO EMISOR"",
AND(
UPPER(TRIM(rTipo))=""EXACTA"",
UPPER(TRIM(D2072))=UPPER(TRIM(rPatron))
),
AND(
OR(
UPPER(TRIM(rTipo))=""CONTIENE"",
UPPER(TRIM(rTipo))=""COINCIDENCIA""
),
ISNUMBER(SEARCH(UPPER(TRIM(rPatron)),UPPER(TRIM(D2072))))
)
)
),
rConce"&amp;"pto,
""""
)
)
)&lt;&gt;""""
),
1
),
""""
)"),"MANIOBRAS")</f>
        <v>MANIOBRAS</v>
      </c>
      <c r="L2072" s="27"/>
      <c r="M2072" s="27"/>
      <c r="N2072" s="27"/>
      <c r="O2072" s="27"/>
      <c r="P2072" s="27"/>
      <c r="Q2072" s="27"/>
      <c r="R2072" s="27"/>
      <c r="S2072" s="27"/>
      <c r="T2072" s="27"/>
      <c r="U2072" s="27"/>
      <c r="V2072" s="27"/>
      <c r="W2072" s="27"/>
      <c r="X2072" s="27"/>
      <c r="Y2072" s="27"/>
    </row>
    <row r="2073">
      <c r="A2073" s="32"/>
      <c r="B2073" s="32"/>
      <c r="C2073" s="29" t="s">
        <v>70</v>
      </c>
      <c r="D2073" s="29" t="s">
        <v>1705</v>
      </c>
      <c r="E2073" s="28">
        <v>603.38</v>
      </c>
      <c r="F2073" s="28">
        <v>0.0</v>
      </c>
      <c r="G2073" s="28" t="s">
        <v>55</v>
      </c>
      <c r="H2073" s="28">
        <f t="array" ref="H2073">INDEX(CC!C:C,MATCH(1,(CC!A:A=G2073)*(CC!B:B=I2073),0))</f>
        <v>903</v>
      </c>
      <c r="I2073" s="28" t="s">
        <v>44</v>
      </c>
      <c r="J2073" s="31">
        <v>603.38</v>
      </c>
      <c r="K2073" s="28" t="str">
        <f>IFERROR(__xludf.DUMMYFUNCTION("IFERROR(
INDEX(
FILTER(
MAP(
reglas!$B$2:$B$240,
reglas!$C$2:$C$240,
reglas!$D$2:$D$240,
reglas!$E$2:$E$240,
LAMBDA(rEmisor,rPatron,rConcepto,rTipo,
IF(
AND(
OR(
UPPER(TRIM(rEmisor))=UPPER(TRIM(C2073)),
UPPER(TRIM(rEmisor))=""CUALQUIERA""
),
OR(
UPPER(TRI"&amp;"M(rTipo))=""SOLO EMISOR"",
AND(
UPPER(TRIM(rTipo))=""EXACTA"",
UPPER(TRIM(AG2073))=UPPER(TRIM(rPatron))
),
AND(
OR(
UPPER(TRIM(rTipo))=""CONTIENE"",
UPPER(TRIM(rTipo))=""COINCIDENCIA""
),
ISNUMBER(SEARCH(UPPER(TRIM(rPatron)),UPPER(TRIM(D2073))))
)
)
),
rC"&amp;"oncepto,
""""
)
)
),
MAP(
reglas!$B$2:$B$240,
reglas!$C$2:$C$240,
reglas!$D$2:$D$240,
reglas!$E$2:$E$240,
LAMBDA(rEmisor,rPatron,rConcepto,rTipo,
IF(
AND(
OR(
UPPER(TRIM(rEmisor))=UPPER(TRIM(C2073)),
UPPER(TRIM(rEmisor))=""CUALQUIERA""
),
OR(
UPPER(TRIM(r"&amp;"Tipo))=""SOLO EMISOR"",
AND(
UPPER(TRIM(rTipo))=""EXACTA"",
UPPER(TRIM(D2073))=UPPER(TRIM(rPatron))
),
AND(
OR(
UPPER(TRIM(rTipo))=""CONTIENE"",
UPPER(TRIM(rTipo))=""COINCIDENCIA""
),
ISNUMBER(SEARCH(UPPER(TRIM(rPatron)),UPPER(TRIM(D2073))))
)
)
),
rConce"&amp;"pto,
""""
)
)
)&lt;&gt;""""
),
1
),
""""
)"),"MANIOBRAS")</f>
        <v>MANIOBRAS</v>
      </c>
      <c r="L2073" s="27"/>
      <c r="M2073" s="27"/>
      <c r="N2073" s="27"/>
      <c r="O2073" s="27"/>
      <c r="P2073" s="27"/>
      <c r="Q2073" s="27"/>
      <c r="R2073" s="27"/>
      <c r="S2073" s="27"/>
      <c r="T2073" s="27"/>
      <c r="U2073" s="27"/>
      <c r="V2073" s="27"/>
      <c r="W2073" s="27"/>
      <c r="X2073" s="27"/>
      <c r="Y2073" s="27"/>
    </row>
    <row r="2074">
      <c r="A2074" s="32"/>
      <c r="B2074" s="28" t="s">
        <v>29</v>
      </c>
      <c r="C2074" s="29" t="s">
        <v>172</v>
      </c>
      <c r="D2074" s="29" t="s">
        <v>2034</v>
      </c>
      <c r="E2074" s="30">
        <v>11500.0</v>
      </c>
      <c r="F2074" s="28">
        <v>0.0</v>
      </c>
      <c r="G2074" s="28" t="s">
        <v>250</v>
      </c>
      <c r="H2074" s="28">
        <f t="array" ref="H2074">INDEX(CC!C:C,MATCH(1,(CC!A:A=G2074)*(CC!B:B=I2074),0))</f>
        <v>1402</v>
      </c>
      <c r="I2074" s="28" t="s">
        <v>25</v>
      </c>
      <c r="J2074" s="31">
        <v>11500.0</v>
      </c>
      <c r="K2074" s="28" t="str">
        <f>IFERROR(__xludf.DUMMYFUNCTION("IFERROR(
INDEX(
FILTER(
MAP(
reglas!$B$2:$B$240,
reglas!$C$2:$C$240,
reglas!$D$2:$D$240,
reglas!$E$2:$E$240,
LAMBDA(rEmisor,rPatron,rConcepto,rTipo,
IF(
AND(
OR(
UPPER(TRIM(rEmisor))=UPPER(TRIM(C2074)),
UPPER(TRIM(rEmisor))=""CUALQUIERA""
),
OR(
UPPER(TRI"&amp;"M(rTipo))=""SOLO EMISOR"",
AND(
UPPER(TRIM(rTipo))=""EXACTA"",
UPPER(TRIM(AG2074))=UPPER(TRIM(rPatron))
),
AND(
OR(
UPPER(TRIM(rTipo))=""CONTIENE"",
UPPER(TRIM(rTipo))=""COINCIDENCIA""
),
ISNUMBER(SEARCH(UPPER(TRIM(rPatron)),UPPER(TRIM(D2074))))
)
)
),
rC"&amp;"oncepto,
""""
)
)
),
MAP(
reglas!$B$2:$B$240,
reglas!$C$2:$C$240,
reglas!$D$2:$D$240,
reglas!$E$2:$E$240,
LAMBDA(rEmisor,rPatron,rConcepto,rTipo,
IF(
AND(
OR(
UPPER(TRIM(rEmisor))=UPPER(TRIM(C2074)),
UPPER(TRIM(rEmisor))=""CUALQUIERA""
),
OR(
UPPER(TRIM(r"&amp;"Tipo))=""SOLO EMISOR"",
AND(
UPPER(TRIM(rTipo))=""EXACTA"",
UPPER(TRIM(D2074))=UPPER(TRIM(rPatron))
),
AND(
OR(
UPPER(TRIM(rTipo))=""CONTIENE"",
UPPER(TRIM(rTipo))=""COINCIDENCIA""
),
ISNUMBER(SEARCH(UPPER(TRIM(rPatron)),UPPER(TRIM(D2074))))
)
)
),
rConce"&amp;"pto,
""""
)
)
)&lt;&gt;""""
),
1
),
""""
)"),"TRANSPORTE")</f>
        <v>TRANSPORTE</v>
      </c>
      <c r="L2074" s="27"/>
      <c r="M2074" s="27"/>
      <c r="N2074" s="27"/>
      <c r="O2074" s="27"/>
      <c r="P2074" s="27"/>
      <c r="Q2074" s="27"/>
      <c r="R2074" s="27"/>
      <c r="S2074" s="27"/>
      <c r="T2074" s="27"/>
      <c r="U2074" s="27"/>
      <c r="V2074" s="27"/>
      <c r="W2074" s="27"/>
      <c r="X2074" s="27"/>
      <c r="Y2074" s="27"/>
    </row>
    <row r="2075">
      <c r="A2075" s="32"/>
      <c r="B2075" s="28" t="s">
        <v>29</v>
      </c>
      <c r="C2075" s="29" t="s">
        <v>174</v>
      </c>
      <c r="D2075" s="29" t="s">
        <v>2092</v>
      </c>
      <c r="E2075" s="30">
        <v>3200.0</v>
      </c>
      <c r="F2075" s="28">
        <v>0.0</v>
      </c>
      <c r="G2075" s="28" t="s">
        <v>40</v>
      </c>
      <c r="H2075" s="28">
        <f t="array" ref="H2075">INDEX(CC!C:C,MATCH(1,(CC!A:A=G2075)*(CC!B:B=I2075),0))</f>
        <v>602</v>
      </c>
      <c r="I2075" s="28" t="s">
        <v>25</v>
      </c>
      <c r="J2075" s="31">
        <v>3200.0</v>
      </c>
      <c r="K2075" s="28" t="str">
        <f>IFERROR(__xludf.DUMMYFUNCTION("IFERROR(
INDEX(
FILTER(
MAP(
reglas!$B$2:$B$240,
reglas!$C$2:$C$240,
reglas!$D$2:$D$240,
reglas!$E$2:$E$240,
LAMBDA(rEmisor,rPatron,rConcepto,rTipo,
IF(
AND(
OR(
UPPER(TRIM(rEmisor))=UPPER(TRIM(C2075)),
UPPER(TRIM(rEmisor))=""CUALQUIERA""
),
OR(
UPPER(TRI"&amp;"M(rTipo))=""SOLO EMISOR"",
AND(
UPPER(TRIM(rTipo))=""EXACTA"",
UPPER(TRIM(AG2075))=UPPER(TRIM(rPatron))
),
AND(
OR(
UPPER(TRIM(rTipo))=""CONTIENE"",
UPPER(TRIM(rTipo))=""COINCIDENCIA""
),
ISNUMBER(SEARCH(UPPER(TRIM(rPatron)),UPPER(TRIM(D2075))))
)
)
),
rC"&amp;"oncepto,
""""
)
)
),
MAP(
reglas!$B$2:$B$240,
reglas!$C$2:$C$240,
reglas!$D$2:$D$240,
reglas!$E$2:$E$240,
LAMBDA(rEmisor,rPatron,rConcepto,rTipo,
IF(
AND(
OR(
UPPER(TRIM(rEmisor))=UPPER(TRIM(C2075)),
UPPER(TRIM(rEmisor))=""CUALQUIERA""
),
OR(
UPPER(TRIM(r"&amp;"Tipo))=""SOLO EMISOR"",
AND(
UPPER(TRIM(rTipo))=""EXACTA"",
UPPER(TRIM(D2075))=UPPER(TRIM(rPatron))
),
AND(
OR(
UPPER(TRIM(rTipo))=""CONTIENE"",
UPPER(TRIM(rTipo))=""COINCIDENCIA""
),
ISNUMBER(SEARCH(UPPER(TRIM(rPatron)),UPPER(TRIM(D2075))))
)
)
),
rConce"&amp;"pto,
""""
)
)
)&lt;&gt;""""
),
1
),
""""
)"),"TRANSPORTE")</f>
        <v>TRANSPORTE</v>
      </c>
      <c r="L2075" s="27"/>
      <c r="M2075" s="27"/>
      <c r="N2075" s="27"/>
      <c r="O2075" s="27"/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</row>
    <row r="2076">
      <c r="A2076" s="32"/>
      <c r="B2076" s="32"/>
      <c r="C2076" s="29" t="s">
        <v>174</v>
      </c>
      <c r="D2076" s="29" t="s">
        <v>164</v>
      </c>
      <c r="E2076" s="28">
        <v>425.0</v>
      </c>
      <c r="F2076" s="28">
        <v>0.0</v>
      </c>
      <c r="G2076" s="28" t="s">
        <v>40</v>
      </c>
      <c r="H2076" s="28">
        <f t="array" ref="H2076">INDEX(CC!C:C,MATCH(1,(CC!A:A=G2076)*(CC!B:B=I2076),0))</f>
        <v>602</v>
      </c>
      <c r="I2076" s="28" t="s">
        <v>25</v>
      </c>
      <c r="J2076" s="31">
        <v>425.0</v>
      </c>
      <c r="K2076" s="28" t="str">
        <f>IFERROR(__xludf.DUMMYFUNCTION("IFERROR(
INDEX(
FILTER(
MAP(
reglas!$B$2:$B$240,
reglas!$C$2:$C$240,
reglas!$D$2:$D$240,
reglas!$E$2:$E$240,
LAMBDA(rEmisor,rPatron,rConcepto,rTipo,
IF(
AND(
OR(
UPPER(TRIM(rEmisor))=UPPER(TRIM(C2076)),
UPPER(TRIM(rEmisor))=""CUALQUIERA""
),
OR(
UPPER(TRI"&amp;"M(rTipo))=""SOLO EMISOR"",
AND(
UPPER(TRIM(rTipo))=""EXACTA"",
UPPER(TRIM(AG2076))=UPPER(TRIM(rPatron))
),
AND(
OR(
UPPER(TRIM(rTipo))=""CONTIENE"",
UPPER(TRIM(rTipo))=""COINCIDENCIA""
),
ISNUMBER(SEARCH(UPPER(TRIM(rPatron)),UPPER(TRIM(D2076))))
)
)
),
rC"&amp;"oncepto,
""""
)
)
),
MAP(
reglas!$B$2:$B$240,
reglas!$C$2:$C$240,
reglas!$D$2:$D$240,
reglas!$E$2:$E$240,
LAMBDA(rEmisor,rPatron,rConcepto,rTipo,
IF(
AND(
OR(
UPPER(TRIM(rEmisor))=UPPER(TRIM(C2076)),
UPPER(TRIM(rEmisor))=""CUALQUIERA""
),
OR(
UPPER(TRIM(r"&amp;"Tipo))=""SOLO EMISOR"",
AND(
UPPER(TRIM(rTipo))=""EXACTA"",
UPPER(TRIM(D2076))=UPPER(TRIM(rPatron))
),
AND(
OR(
UPPER(TRIM(rTipo))=""CONTIENE"",
UPPER(TRIM(rTipo))=""COINCIDENCIA""
),
ISNUMBER(SEARCH(UPPER(TRIM(rPatron)),UPPER(TRIM(D2076))))
)
)
),
rConce"&amp;"pto,
""""
)
)
)&lt;&gt;""""
),
1
),
""""
)"),"PATIO REGULADOR")</f>
        <v>PATIO REGULADOR</v>
      </c>
      <c r="L2076" s="27"/>
      <c r="M2076" s="27"/>
      <c r="N2076" s="27"/>
      <c r="O2076" s="27"/>
      <c r="P2076" s="27"/>
      <c r="Q2076" s="27"/>
      <c r="R2076" s="27"/>
      <c r="S2076" s="27"/>
      <c r="T2076" s="27"/>
      <c r="U2076" s="27"/>
      <c r="V2076" s="27"/>
      <c r="W2076" s="27"/>
      <c r="X2076" s="27"/>
      <c r="Y2076" s="27"/>
    </row>
    <row r="2077">
      <c r="A2077" s="32"/>
      <c r="B2077" s="28" t="s">
        <v>29</v>
      </c>
      <c r="C2077" s="29" t="s">
        <v>414</v>
      </c>
      <c r="D2077" s="29" t="s">
        <v>415</v>
      </c>
      <c r="E2077" s="30">
        <v>17343.2</v>
      </c>
      <c r="F2077" s="28">
        <v>0.0</v>
      </c>
      <c r="G2077" s="28" t="s">
        <v>225</v>
      </c>
      <c r="H2077" s="28">
        <f t="array" ref="H2077">INDEX(CC!C:C,MATCH(1,(CC!A:A=G2077)*(CC!B:B=I2077),0))</f>
        <v>102</v>
      </c>
      <c r="I2077" s="28" t="s">
        <v>25</v>
      </c>
      <c r="J2077" s="5"/>
      <c r="K2077" s="28" t="str">
        <f>IFERROR(__xludf.DUMMYFUNCTION("IFERROR(
INDEX(
FILTER(
MAP(
reglas!$B$2:$B$240,
reglas!$C$2:$C$240,
reglas!$D$2:$D$240,
reglas!$E$2:$E$240,
LAMBDA(rEmisor,rPatron,rConcepto,rTipo,
IF(
AND(
OR(
UPPER(TRIM(rEmisor))=UPPER(TRIM(C2077)),
UPPER(TRIM(rEmisor))=""CUALQUIERA""
),
OR(
UPPER(TRI"&amp;"M(rTipo))=""SOLO EMISOR"",
AND(
UPPER(TRIM(rTipo))=""EXACTA"",
UPPER(TRIM(AG2077))=UPPER(TRIM(rPatron))
),
AND(
OR(
UPPER(TRIM(rTipo))=""CONTIENE"",
UPPER(TRIM(rTipo))=""COINCIDENCIA""
),
ISNUMBER(SEARCH(UPPER(TRIM(rPatron)),UPPER(TRIM(D2077))))
)
)
),
rC"&amp;"oncepto,
""""
)
)
),
MAP(
reglas!$B$2:$B$240,
reglas!$C$2:$C$240,
reglas!$D$2:$D$240,
reglas!$E$2:$E$240,
LAMBDA(rEmisor,rPatron,rConcepto,rTipo,
IF(
AND(
OR(
UPPER(TRIM(rEmisor))=UPPER(TRIM(C2077)),
UPPER(TRIM(rEmisor))=""CUALQUIERA""
),
OR(
UPPER(TRIM(r"&amp;"Tipo))=""SOLO EMISOR"",
AND(
UPPER(TRIM(rTipo))=""EXACTA"",
UPPER(TRIM(D2077))=UPPER(TRIM(rPatron))
),
AND(
OR(
UPPER(TRIM(rTipo))=""CONTIENE"",
UPPER(TRIM(rTipo))=""COINCIDENCIA""
),
ISNUMBER(SEARCH(UPPER(TRIM(rPatron)),UPPER(TRIM(D2077))))
)
)
),
rConce"&amp;"pto,
""""
)
)
)&lt;&gt;""""
),
1
),
""""
)"),"N/A")</f>
        <v>N/A</v>
      </c>
      <c r="L2077" s="27"/>
      <c r="M2077" s="27"/>
      <c r="N2077" s="27"/>
      <c r="O2077" s="27"/>
      <c r="P2077" s="27"/>
      <c r="Q2077" s="27"/>
      <c r="R2077" s="27"/>
      <c r="S2077" s="27"/>
      <c r="T2077" s="27"/>
      <c r="U2077" s="27"/>
      <c r="V2077" s="27"/>
      <c r="W2077" s="27"/>
      <c r="X2077" s="27"/>
      <c r="Y2077" s="27"/>
    </row>
    <row r="2078">
      <c r="A2078" s="32"/>
      <c r="B2078" s="32"/>
      <c r="C2078" s="29" t="s">
        <v>414</v>
      </c>
      <c r="D2078" s="29" t="s">
        <v>416</v>
      </c>
      <c r="E2078" s="30">
        <v>2759.61</v>
      </c>
      <c r="F2078" s="28">
        <v>0.0</v>
      </c>
      <c r="G2078" s="28" t="s">
        <v>225</v>
      </c>
      <c r="H2078" s="28">
        <f t="array" ref="H2078">INDEX(CC!C:C,MATCH(1,(CC!A:A=G2078)*(CC!B:B=I2078),0))</f>
        <v>102</v>
      </c>
      <c r="I2078" s="28" t="s">
        <v>25</v>
      </c>
      <c r="J2078" s="5"/>
      <c r="K2078" s="28" t="str">
        <f>IFERROR(__xludf.DUMMYFUNCTION("IFERROR(
INDEX(
FILTER(
MAP(
reglas!$B$2:$B$240,
reglas!$C$2:$C$240,
reglas!$D$2:$D$240,
reglas!$E$2:$E$240,
LAMBDA(rEmisor,rPatron,rConcepto,rTipo,
IF(
AND(
OR(
UPPER(TRIM(rEmisor))=UPPER(TRIM(C2078)),
UPPER(TRIM(rEmisor))=""CUALQUIERA""
),
OR(
UPPER(TRI"&amp;"M(rTipo))=""SOLO EMISOR"",
AND(
UPPER(TRIM(rTipo))=""EXACTA"",
UPPER(TRIM(AG2078))=UPPER(TRIM(rPatron))
),
AND(
OR(
UPPER(TRIM(rTipo))=""CONTIENE"",
UPPER(TRIM(rTipo))=""COINCIDENCIA""
),
ISNUMBER(SEARCH(UPPER(TRIM(rPatron)),UPPER(TRIM(D2078))))
)
)
),
rC"&amp;"oncepto,
""""
)
)
),
MAP(
reglas!$B$2:$B$240,
reglas!$C$2:$C$240,
reglas!$D$2:$D$240,
reglas!$E$2:$E$240,
LAMBDA(rEmisor,rPatron,rConcepto,rTipo,
IF(
AND(
OR(
UPPER(TRIM(rEmisor))=UPPER(TRIM(C2078)),
UPPER(TRIM(rEmisor))=""CUALQUIERA""
),
OR(
UPPER(TRIM(r"&amp;"Tipo))=""SOLO EMISOR"",
AND(
UPPER(TRIM(rTipo))=""EXACTA"",
UPPER(TRIM(D2078))=UPPER(TRIM(rPatron))
),
AND(
OR(
UPPER(TRIM(rTipo))=""CONTIENE"",
UPPER(TRIM(rTipo))=""COINCIDENCIA""
),
ISNUMBER(SEARCH(UPPER(TRIM(rPatron)),UPPER(TRIM(D2078))))
)
)
),
rConce"&amp;"pto,
""""
)
)
)&lt;&gt;""""
),
1
),
""""
)"),"N/A")</f>
        <v>N/A</v>
      </c>
      <c r="L2078" s="27"/>
      <c r="M2078" s="27"/>
      <c r="N2078" s="27"/>
      <c r="O2078" s="27"/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</row>
    <row r="2079">
      <c r="A2079" s="32"/>
      <c r="B2079" s="32"/>
      <c r="C2079" s="29" t="s">
        <v>414</v>
      </c>
      <c r="D2079" s="29" t="s">
        <v>417</v>
      </c>
      <c r="E2079" s="30">
        <v>15257.16</v>
      </c>
      <c r="F2079" s="28">
        <v>0.0</v>
      </c>
      <c r="G2079" s="28" t="s">
        <v>225</v>
      </c>
      <c r="H2079" s="28">
        <f t="array" ref="H2079">INDEX(CC!C:C,MATCH(1,(CC!A:A=G2079)*(CC!B:B=I2079),0))</f>
        <v>102</v>
      </c>
      <c r="I2079" s="28" t="s">
        <v>25</v>
      </c>
      <c r="J2079" s="5"/>
      <c r="K2079" s="28" t="str">
        <f>IFERROR(__xludf.DUMMYFUNCTION("IFERROR(
INDEX(
FILTER(
MAP(
reglas!$B$2:$B$240,
reglas!$C$2:$C$240,
reglas!$D$2:$D$240,
reglas!$E$2:$E$240,
LAMBDA(rEmisor,rPatron,rConcepto,rTipo,
IF(
AND(
OR(
UPPER(TRIM(rEmisor))=UPPER(TRIM(C2079)),
UPPER(TRIM(rEmisor))=""CUALQUIERA""
),
OR(
UPPER(TRI"&amp;"M(rTipo))=""SOLO EMISOR"",
AND(
UPPER(TRIM(rTipo))=""EXACTA"",
UPPER(TRIM(AG2079))=UPPER(TRIM(rPatron))
),
AND(
OR(
UPPER(TRIM(rTipo))=""CONTIENE"",
UPPER(TRIM(rTipo))=""COINCIDENCIA""
),
ISNUMBER(SEARCH(UPPER(TRIM(rPatron)),UPPER(TRIM(D2079))))
)
)
),
rC"&amp;"oncepto,
""""
)
)
),
MAP(
reglas!$B$2:$B$240,
reglas!$C$2:$C$240,
reglas!$D$2:$D$240,
reglas!$E$2:$E$240,
LAMBDA(rEmisor,rPatron,rConcepto,rTipo,
IF(
AND(
OR(
UPPER(TRIM(rEmisor))=UPPER(TRIM(C2079)),
UPPER(TRIM(rEmisor))=""CUALQUIERA""
),
OR(
UPPER(TRIM(r"&amp;"Tipo))=""SOLO EMISOR"",
AND(
UPPER(TRIM(rTipo))=""EXACTA"",
UPPER(TRIM(D2079))=UPPER(TRIM(rPatron))
),
AND(
OR(
UPPER(TRIM(rTipo))=""CONTIENE"",
UPPER(TRIM(rTipo))=""COINCIDENCIA""
),
ISNUMBER(SEARCH(UPPER(TRIM(rPatron)),UPPER(TRIM(D2079))))
)
)
),
rConce"&amp;"pto,
""""
)
)
)&lt;&gt;""""
),
1
),
""""
)"),"N/A")</f>
        <v>N/A</v>
      </c>
      <c r="L2079" s="27"/>
      <c r="M2079" s="27"/>
      <c r="N2079" s="27"/>
      <c r="O2079" s="27"/>
      <c r="P2079" s="27"/>
      <c r="Q2079" s="27"/>
      <c r="R2079" s="27"/>
      <c r="S2079" s="27"/>
      <c r="T2079" s="27"/>
      <c r="U2079" s="27"/>
      <c r="V2079" s="27"/>
      <c r="W2079" s="27"/>
      <c r="X2079" s="27"/>
      <c r="Y2079" s="27"/>
    </row>
    <row r="2080">
      <c r="A2080" s="32"/>
      <c r="B2080" s="28" t="s">
        <v>29</v>
      </c>
      <c r="C2080" s="29" t="s">
        <v>414</v>
      </c>
      <c r="D2080" s="29" t="s">
        <v>415</v>
      </c>
      <c r="E2080" s="30">
        <v>17919.27</v>
      </c>
      <c r="F2080" s="28">
        <v>0.0</v>
      </c>
      <c r="G2080" s="28" t="s">
        <v>225</v>
      </c>
      <c r="H2080" s="28">
        <f t="array" ref="H2080">INDEX(CC!C:C,MATCH(1,(CC!A:A=G2080)*(CC!B:B=I2080),0))</f>
        <v>102</v>
      </c>
      <c r="I2080" s="28" t="s">
        <v>25</v>
      </c>
      <c r="J2080" s="5"/>
      <c r="K2080" s="28" t="str">
        <f>IFERROR(__xludf.DUMMYFUNCTION("IFERROR(
INDEX(
FILTER(
MAP(
reglas!$B$2:$B$240,
reglas!$C$2:$C$240,
reglas!$D$2:$D$240,
reglas!$E$2:$E$240,
LAMBDA(rEmisor,rPatron,rConcepto,rTipo,
IF(
AND(
OR(
UPPER(TRIM(rEmisor))=UPPER(TRIM(C2080)),
UPPER(TRIM(rEmisor))=""CUALQUIERA""
),
OR(
UPPER(TRI"&amp;"M(rTipo))=""SOLO EMISOR"",
AND(
UPPER(TRIM(rTipo))=""EXACTA"",
UPPER(TRIM(AG2080))=UPPER(TRIM(rPatron))
),
AND(
OR(
UPPER(TRIM(rTipo))=""CONTIENE"",
UPPER(TRIM(rTipo))=""COINCIDENCIA""
),
ISNUMBER(SEARCH(UPPER(TRIM(rPatron)),UPPER(TRIM(D2080))))
)
)
),
rC"&amp;"oncepto,
""""
)
)
),
MAP(
reglas!$B$2:$B$240,
reglas!$C$2:$C$240,
reglas!$D$2:$D$240,
reglas!$E$2:$E$240,
LAMBDA(rEmisor,rPatron,rConcepto,rTipo,
IF(
AND(
OR(
UPPER(TRIM(rEmisor))=UPPER(TRIM(C2080)),
UPPER(TRIM(rEmisor))=""CUALQUIERA""
),
OR(
UPPER(TRIM(r"&amp;"Tipo))=""SOLO EMISOR"",
AND(
UPPER(TRIM(rTipo))=""EXACTA"",
UPPER(TRIM(D2080))=UPPER(TRIM(rPatron))
),
AND(
OR(
UPPER(TRIM(rTipo))=""CONTIENE"",
UPPER(TRIM(rTipo))=""COINCIDENCIA""
),
ISNUMBER(SEARCH(UPPER(TRIM(rPatron)),UPPER(TRIM(D2080))))
)
)
),
rConce"&amp;"pto,
""""
)
)
)&lt;&gt;""""
),
1
),
""""
)"),"N/A")</f>
        <v>N/A</v>
      </c>
      <c r="L2080" s="27"/>
      <c r="M2080" s="27"/>
      <c r="N2080" s="27"/>
      <c r="O2080" s="27"/>
      <c r="P2080" s="27"/>
      <c r="Q2080" s="27"/>
      <c r="R2080" s="27"/>
      <c r="S2080" s="27"/>
      <c r="T2080" s="27"/>
      <c r="U2080" s="27"/>
      <c r="V2080" s="27"/>
      <c r="W2080" s="27"/>
      <c r="X2080" s="27"/>
      <c r="Y2080" s="27"/>
    </row>
    <row r="2081">
      <c r="A2081" s="32"/>
      <c r="B2081" s="32"/>
      <c r="C2081" s="29" t="s">
        <v>414</v>
      </c>
      <c r="D2081" s="29" t="s">
        <v>416</v>
      </c>
      <c r="E2081" s="30">
        <v>2854.8</v>
      </c>
      <c r="F2081" s="28">
        <v>0.0</v>
      </c>
      <c r="G2081" s="28" t="s">
        <v>225</v>
      </c>
      <c r="H2081" s="28">
        <f t="array" ref="H2081">INDEX(CC!C:C,MATCH(1,(CC!A:A=G2081)*(CC!B:B=I2081),0))</f>
        <v>102</v>
      </c>
      <c r="I2081" s="28" t="s">
        <v>25</v>
      </c>
      <c r="J2081" s="5"/>
      <c r="K2081" s="28" t="str">
        <f>IFERROR(__xludf.DUMMYFUNCTION("IFERROR(
INDEX(
FILTER(
MAP(
reglas!$B$2:$B$240,
reglas!$C$2:$C$240,
reglas!$D$2:$D$240,
reglas!$E$2:$E$240,
LAMBDA(rEmisor,rPatron,rConcepto,rTipo,
IF(
AND(
OR(
UPPER(TRIM(rEmisor))=UPPER(TRIM(C2081)),
UPPER(TRIM(rEmisor))=""CUALQUIERA""
),
OR(
UPPER(TRI"&amp;"M(rTipo))=""SOLO EMISOR"",
AND(
UPPER(TRIM(rTipo))=""EXACTA"",
UPPER(TRIM(AG2081))=UPPER(TRIM(rPatron))
),
AND(
OR(
UPPER(TRIM(rTipo))=""CONTIENE"",
UPPER(TRIM(rTipo))=""COINCIDENCIA""
),
ISNUMBER(SEARCH(UPPER(TRIM(rPatron)),UPPER(TRIM(D2081))))
)
)
),
rC"&amp;"oncepto,
""""
)
)
),
MAP(
reglas!$B$2:$B$240,
reglas!$C$2:$C$240,
reglas!$D$2:$D$240,
reglas!$E$2:$E$240,
LAMBDA(rEmisor,rPatron,rConcepto,rTipo,
IF(
AND(
OR(
UPPER(TRIM(rEmisor))=UPPER(TRIM(C2081)),
UPPER(TRIM(rEmisor))=""CUALQUIERA""
),
OR(
UPPER(TRIM(r"&amp;"Tipo))=""SOLO EMISOR"",
AND(
UPPER(TRIM(rTipo))=""EXACTA"",
UPPER(TRIM(D2081))=UPPER(TRIM(rPatron))
),
AND(
OR(
UPPER(TRIM(rTipo))=""CONTIENE"",
UPPER(TRIM(rTipo))=""COINCIDENCIA""
),
ISNUMBER(SEARCH(UPPER(TRIM(rPatron)),UPPER(TRIM(D2081))))
)
)
),
rConce"&amp;"pto,
""""
)
)
)&lt;&gt;""""
),
1
),
""""
)"),"N/A")</f>
        <v>N/A</v>
      </c>
      <c r="L2081" s="27"/>
      <c r="M2081" s="27"/>
      <c r="N2081" s="27"/>
      <c r="O2081" s="27"/>
      <c r="P2081" s="27"/>
      <c r="Q2081" s="27"/>
      <c r="R2081" s="27"/>
      <c r="S2081" s="27"/>
      <c r="T2081" s="27"/>
      <c r="U2081" s="27"/>
      <c r="V2081" s="27"/>
      <c r="W2081" s="27"/>
      <c r="X2081" s="27"/>
      <c r="Y2081" s="27"/>
    </row>
    <row r="2082">
      <c r="A2082" s="32"/>
      <c r="B2082" s="32"/>
      <c r="C2082" s="29" t="s">
        <v>414</v>
      </c>
      <c r="D2082" s="29" t="s">
        <v>417</v>
      </c>
      <c r="E2082" s="30">
        <v>17385.86</v>
      </c>
      <c r="F2082" s="28">
        <v>0.0</v>
      </c>
      <c r="G2082" s="28" t="s">
        <v>225</v>
      </c>
      <c r="H2082" s="28">
        <f t="array" ref="H2082">INDEX(CC!C:C,MATCH(1,(CC!A:A=G2082)*(CC!B:B=I2082),0))</f>
        <v>102</v>
      </c>
      <c r="I2082" s="28" t="s">
        <v>25</v>
      </c>
      <c r="J2082" s="5"/>
      <c r="K2082" s="28" t="str">
        <f>IFERROR(__xludf.DUMMYFUNCTION("IFERROR(
INDEX(
FILTER(
MAP(
reglas!$B$2:$B$240,
reglas!$C$2:$C$240,
reglas!$D$2:$D$240,
reglas!$E$2:$E$240,
LAMBDA(rEmisor,rPatron,rConcepto,rTipo,
IF(
AND(
OR(
UPPER(TRIM(rEmisor))=UPPER(TRIM(C2082)),
UPPER(TRIM(rEmisor))=""CUALQUIERA""
),
OR(
UPPER(TRI"&amp;"M(rTipo))=""SOLO EMISOR"",
AND(
UPPER(TRIM(rTipo))=""EXACTA"",
UPPER(TRIM(AG2082))=UPPER(TRIM(rPatron))
),
AND(
OR(
UPPER(TRIM(rTipo))=""CONTIENE"",
UPPER(TRIM(rTipo))=""COINCIDENCIA""
),
ISNUMBER(SEARCH(UPPER(TRIM(rPatron)),UPPER(TRIM(D2082))))
)
)
),
rC"&amp;"oncepto,
""""
)
)
),
MAP(
reglas!$B$2:$B$240,
reglas!$C$2:$C$240,
reglas!$D$2:$D$240,
reglas!$E$2:$E$240,
LAMBDA(rEmisor,rPatron,rConcepto,rTipo,
IF(
AND(
OR(
UPPER(TRIM(rEmisor))=UPPER(TRIM(C2082)),
UPPER(TRIM(rEmisor))=""CUALQUIERA""
),
OR(
UPPER(TRIM(r"&amp;"Tipo))=""SOLO EMISOR"",
AND(
UPPER(TRIM(rTipo))=""EXACTA"",
UPPER(TRIM(D2082))=UPPER(TRIM(rPatron))
),
AND(
OR(
UPPER(TRIM(rTipo))=""CONTIENE"",
UPPER(TRIM(rTipo))=""COINCIDENCIA""
),
ISNUMBER(SEARCH(UPPER(TRIM(rPatron)),UPPER(TRIM(D2082))))
)
)
),
rConce"&amp;"pto,
""""
)
)
)&lt;&gt;""""
),
1
),
""""
)"),"N/A")</f>
        <v>N/A</v>
      </c>
      <c r="L2082" s="27"/>
      <c r="M2082" s="27"/>
      <c r="N2082" s="27"/>
      <c r="O2082" s="27"/>
      <c r="P2082" s="27"/>
      <c r="Q2082" s="27"/>
      <c r="R2082" s="27"/>
      <c r="S2082" s="27"/>
      <c r="T2082" s="27"/>
      <c r="U2082" s="27"/>
      <c r="V2082" s="27"/>
      <c r="W2082" s="27"/>
      <c r="X2082" s="27"/>
      <c r="Y2082" s="27"/>
    </row>
    <row r="2083">
      <c r="A2083" s="32"/>
      <c r="B2083" s="28" t="s">
        <v>29</v>
      </c>
      <c r="C2083" s="29" t="s">
        <v>172</v>
      </c>
      <c r="D2083" s="29" t="s">
        <v>2034</v>
      </c>
      <c r="E2083" s="30">
        <v>11500.0</v>
      </c>
      <c r="F2083" s="28">
        <v>0.0</v>
      </c>
      <c r="G2083" s="28" t="s">
        <v>250</v>
      </c>
      <c r="H2083" s="28">
        <f t="array" ref="H2083">INDEX(CC!C:C,MATCH(1,(CC!A:A=G2083)*(CC!B:B=I2083),0))</f>
        <v>1402</v>
      </c>
      <c r="I2083" s="28" t="s">
        <v>25</v>
      </c>
      <c r="J2083" s="31">
        <v>11500.0</v>
      </c>
      <c r="K2083" s="28" t="str">
        <f>IFERROR(__xludf.DUMMYFUNCTION("IFERROR(
INDEX(
FILTER(
MAP(
reglas!$B$2:$B$240,
reglas!$C$2:$C$240,
reglas!$D$2:$D$240,
reglas!$E$2:$E$240,
LAMBDA(rEmisor,rPatron,rConcepto,rTipo,
IF(
AND(
OR(
UPPER(TRIM(rEmisor))=UPPER(TRIM(C2083)),
UPPER(TRIM(rEmisor))=""CUALQUIERA""
),
OR(
UPPER(TRI"&amp;"M(rTipo))=""SOLO EMISOR"",
AND(
UPPER(TRIM(rTipo))=""EXACTA"",
UPPER(TRIM(AG2083))=UPPER(TRIM(rPatron))
),
AND(
OR(
UPPER(TRIM(rTipo))=""CONTIENE"",
UPPER(TRIM(rTipo))=""COINCIDENCIA""
),
ISNUMBER(SEARCH(UPPER(TRIM(rPatron)),UPPER(TRIM(D2083))))
)
)
),
rC"&amp;"oncepto,
""""
)
)
),
MAP(
reglas!$B$2:$B$240,
reglas!$C$2:$C$240,
reglas!$D$2:$D$240,
reglas!$E$2:$E$240,
LAMBDA(rEmisor,rPatron,rConcepto,rTipo,
IF(
AND(
OR(
UPPER(TRIM(rEmisor))=UPPER(TRIM(C2083)),
UPPER(TRIM(rEmisor))=""CUALQUIERA""
),
OR(
UPPER(TRIM(r"&amp;"Tipo))=""SOLO EMISOR"",
AND(
UPPER(TRIM(rTipo))=""EXACTA"",
UPPER(TRIM(D2083))=UPPER(TRIM(rPatron))
),
AND(
OR(
UPPER(TRIM(rTipo))=""CONTIENE"",
UPPER(TRIM(rTipo))=""COINCIDENCIA""
),
ISNUMBER(SEARCH(UPPER(TRIM(rPatron)),UPPER(TRIM(D2083))))
)
)
),
rConce"&amp;"pto,
""""
)
)
)&lt;&gt;""""
),
1
),
""""
)"),"TRANSPORTE")</f>
        <v>TRANSPORTE</v>
      </c>
      <c r="L2083" s="27"/>
      <c r="M2083" s="27"/>
      <c r="N2083" s="27"/>
      <c r="O2083" s="27"/>
      <c r="P2083" s="27"/>
      <c r="Q2083" s="27"/>
      <c r="R2083" s="27"/>
      <c r="S2083" s="27"/>
      <c r="T2083" s="27"/>
      <c r="U2083" s="27"/>
      <c r="V2083" s="27"/>
      <c r="W2083" s="27"/>
      <c r="X2083" s="27"/>
      <c r="Y2083" s="27"/>
    </row>
    <row r="2084">
      <c r="A2084" s="32"/>
      <c r="B2084" s="28" t="s">
        <v>29</v>
      </c>
      <c r="C2084" s="29" t="s">
        <v>266</v>
      </c>
      <c r="D2084" s="29" t="s">
        <v>2093</v>
      </c>
      <c r="E2084" s="28">
        <v>258.62</v>
      </c>
      <c r="F2084" s="28">
        <v>0.0</v>
      </c>
      <c r="G2084" s="28" t="s">
        <v>84</v>
      </c>
      <c r="H2084" s="28">
        <f t="array" ref="H2084">INDEX(CC!C:C,MATCH(1,(CC!A:A=G2084)*(CC!B:B=I2084),0))</f>
        <v>1002</v>
      </c>
      <c r="I2084" s="28" t="s">
        <v>25</v>
      </c>
      <c r="J2084" s="31">
        <v>258.62</v>
      </c>
      <c r="K2084" s="28" t="str">
        <f>IFERROR(__xludf.DUMMYFUNCTION("IFERROR(
INDEX(
FILTER(
MAP(
reglas!$B$2:$B$240,
reglas!$C$2:$C$240,
reglas!$D$2:$D$240,
reglas!$E$2:$E$240,
LAMBDA(rEmisor,rPatron,rConcepto,rTipo,
IF(
AND(
OR(
UPPER(TRIM(rEmisor))=UPPER(TRIM(C2084)),
UPPER(TRIM(rEmisor))=""CUALQUIERA""
),
OR(
UPPER(TRI"&amp;"M(rTipo))=""SOLO EMISOR"",
AND(
UPPER(TRIM(rTipo))=""EXACTA"",
UPPER(TRIM(AG2084))=UPPER(TRIM(rPatron))
),
AND(
OR(
UPPER(TRIM(rTipo))=""CONTIENE"",
UPPER(TRIM(rTipo))=""COINCIDENCIA""
),
ISNUMBER(SEARCH(UPPER(TRIM(rPatron)),UPPER(TRIM(D2084))))
)
)
),
rC"&amp;"oncepto,
""""
)
)
),
MAP(
reglas!$B$2:$B$240,
reglas!$C$2:$C$240,
reglas!$D$2:$D$240,
reglas!$E$2:$E$240,
LAMBDA(rEmisor,rPatron,rConcepto,rTipo,
IF(
AND(
OR(
UPPER(TRIM(rEmisor))=UPPER(TRIM(C2084)),
UPPER(TRIM(rEmisor))=""CUALQUIERA""
),
OR(
UPPER(TRIM(r"&amp;"Tipo))=""SOLO EMISOR"",
AND(
UPPER(TRIM(rTipo))=""EXACTA"",
UPPER(TRIM(D2084))=UPPER(TRIM(rPatron))
),
AND(
OR(
UPPER(TRIM(rTipo))=""CONTIENE"",
UPPER(TRIM(rTipo))=""COINCIDENCIA""
),
ISNUMBER(SEARCH(UPPER(TRIM(rPatron)),UPPER(TRIM(D2084))))
)
)
),
rConce"&amp;"pto,
""""
)
)
)&lt;&gt;""""
),
1
),
""""
)"),"VIATICOS")</f>
        <v>VIATICOS</v>
      </c>
      <c r="L2084" s="27"/>
      <c r="M2084" s="27"/>
      <c r="N2084" s="27"/>
      <c r="O2084" s="27"/>
      <c r="P2084" s="27"/>
      <c r="Q2084" s="27"/>
      <c r="R2084" s="27"/>
      <c r="S2084" s="27"/>
      <c r="T2084" s="27"/>
      <c r="U2084" s="27"/>
      <c r="V2084" s="27"/>
      <c r="W2084" s="27"/>
      <c r="X2084" s="27"/>
      <c r="Y2084" s="27"/>
    </row>
    <row r="2085">
      <c r="A2085" s="32"/>
      <c r="B2085" s="32"/>
      <c r="C2085" s="32"/>
      <c r="D2085" s="32"/>
      <c r="E2085" s="32"/>
      <c r="F2085" s="32"/>
      <c r="G2085" s="32"/>
      <c r="H2085" s="28"/>
      <c r="I2085" s="32"/>
      <c r="J2085" s="33"/>
      <c r="K2085" s="28"/>
      <c r="L2085" s="27"/>
      <c r="M2085" s="27"/>
      <c r="N2085" s="27"/>
      <c r="O2085" s="27"/>
      <c r="P2085" s="27"/>
      <c r="Q2085" s="27"/>
      <c r="R2085" s="27"/>
      <c r="S2085" s="27"/>
      <c r="T2085" s="27"/>
      <c r="U2085" s="27"/>
      <c r="V2085" s="27"/>
      <c r="W2085" s="27"/>
      <c r="X2085" s="27"/>
      <c r="Y2085" s="27"/>
    </row>
    <row r="2086">
      <c r="A2086" s="32"/>
      <c r="B2086" s="32"/>
      <c r="C2086" s="32"/>
      <c r="D2086" s="32"/>
      <c r="E2086" s="32"/>
      <c r="F2086" s="32"/>
      <c r="G2086" s="32"/>
      <c r="H2086" s="28"/>
      <c r="I2086" s="32"/>
      <c r="J2086" s="33"/>
      <c r="K2086" s="28"/>
      <c r="L2086" s="27"/>
      <c r="M2086" s="27"/>
      <c r="N2086" s="27"/>
      <c r="O2086" s="27"/>
      <c r="P2086" s="27"/>
      <c r="Q2086" s="27"/>
      <c r="R2086" s="27"/>
      <c r="S2086" s="27"/>
      <c r="T2086" s="27"/>
      <c r="U2086" s="27"/>
      <c r="V2086" s="27"/>
      <c r="W2086" s="27"/>
      <c r="X2086" s="27"/>
      <c r="Y2086" s="27"/>
    </row>
    <row r="2087">
      <c r="A2087" s="32"/>
      <c r="B2087" s="32"/>
      <c r="C2087" s="32"/>
      <c r="D2087" s="32"/>
      <c r="E2087" s="32"/>
      <c r="F2087" s="32"/>
      <c r="G2087" s="32"/>
      <c r="H2087" s="28"/>
      <c r="I2087" s="32"/>
      <c r="J2087" s="33"/>
      <c r="K2087" s="28"/>
      <c r="L2087" s="27"/>
      <c r="M2087" s="27"/>
      <c r="N2087" s="27"/>
      <c r="O2087" s="27"/>
      <c r="P2087" s="27"/>
      <c r="Q2087" s="27"/>
      <c r="R2087" s="27"/>
      <c r="S2087" s="27"/>
      <c r="T2087" s="27"/>
      <c r="U2087" s="27"/>
      <c r="V2087" s="27"/>
      <c r="W2087" s="27"/>
      <c r="X2087" s="27"/>
      <c r="Y2087" s="27"/>
    </row>
    <row r="2088">
      <c r="A2088" s="32"/>
      <c r="B2088" s="32"/>
      <c r="C2088" s="32"/>
      <c r="D2088" s="32"/>
      <c r="E2088" s="32"/>
      <c r="F2088" s="32"/>
      <c r="G2088" s="32"/>
      <c r="H2088" s="28"/>
      <c r="I2088" s="32"/>
      <c r="J2088" s="33"/>
      <c r="K2088" s="28"/>
      <c r="L2088" s="27"/>
      <c r="M2088" s="27"/>
      <c r="N2088" s="27"/>
      <c r="O2088" s="27"/>
      <c r="P2088" s="27"/>
      <c r="Q2088" s="27"/>
      <c r="R2088" s="27"/>
      <c r="S2088" s="27"/>
      <c r="T2088" s="27"/>
      <c r="U2088" s="27"/>
      <c r="V2088" s="27"/>
      <c r="W2088" s="27"/>
      <c r="X2088" s="27"/>
      <c r="Y2088" s="27"/>
    </row>
    <row r="2089">
      <c r="A2089" s="32"/>
      <c r="B2089" s="32"/>
      <c r="C2089" s="32"/>
      <c r="D2089" s="32"/>
      <c r="E2089" s="32"/>
      <c r="F2089" s="32"/>
      <c r="G2089" s="32"/>
      <c r="H2089" s="28"/>
      <c r="I2089" s="32"/>
      <c r="J2089" s="33"/>
      <c r="K2089" s="28"/>
      <c r="L2089" s="27"/>
      <c r="M2089" s="27"/>
      <c r="N2089" s="27"/>
      <c r="O2089" s="27"/>
      <c r="P2089" s="27"/>
      <c r="Q2089" s="27"/>
      <c r="R2089" s="27"/>
      <c r="S2089" s="27"/>
      <c r="T2089" s="27"/>
      <c r="U2089" s="27"/>
      <c r="V2089" s="27"/>
      <c r="W2089" s="27"/>
      <c r="X2089" s="27"/>
      <c r="Y2089" s="27"/>
    </row>
    <row r="2090">
      <c r="A2090" s="32"/>
      <c r="B2090" s="32"/>
      <c r="C2090" s="32"/>
      <c r="D2090" s="32"/>
      <c r="E2090" s="32"/>
      <c r="F2090" s="32"/>
      <c r="G2090" s="32"/>
      <c r="H2090" s="28"/>
      <c r="I2090" s="32"/>
      <c r="J2090" s="33"/>
      <c r="K2090" s="28"/>
      <c r="L2090" s="27"/>
      <c r="M2090" s="27"/>
      <c r="N2090" s="27"/>
      <c r="O2090" s="27"/>
      <c r="P2090" s="27"/>
      <c r="Q2090" s="27"/>
      <c r="R2090" s="27"/>
      <c r="S2090" s="27"/>
      <c r="T2090" s="27"/>
      <c r="U2090" s="27"/>
      <c r="V2090" s="27"/>
      <c r="W2090" s="27"/>
      <c r="X2090" s="27"/>
      <c r="Y2090" s="27"/>
    </row>
    <row r="2091">
      <c r="A2091" s="32"/>
      <c r="B2091" s="32"/>
      <c r="C2091" s="32"/>
      <c r="D2091" s="32"/>
      <c r="E2091" s="32"/>
      <c r="F2091" s="32"/>
      <c r="G2091" s="32"/>
      <c r="H2091" s="28"/>
      <c r="I2091" s="32"/>
      <c r="J2091" s="33"/>
      <c r="K2091" s="28"/>
      <c r="L2091" s="27"/>
      <c r="M2091" s="27"/>
      <c r="N2091" s="27"/>
      <c r="O2091" s="27"/>
      <c r="P2091" s="27"/>
      <c r="Q2091" s="27"/>
      <c r="R2091" s="27"/>
      <c r="S2091" s="27"/>
      <c r="T2091" s="27"/>
      <c r="U2091" s="27"/>
      <c r="V2091" s="27"/>
      <c r="W2091" s="27"/>
      <c r="X2091" s="27"/>
      <c r="Y2091" s="27"/>
    </row>
    <row r="2092">
      <c r="A2092" s="32"/>
      <c r="B2092" s="32"/>
      <c r="C2092" s="32"/>
      <c r="D2092" s="32"/>
      <c r="E2092" s="32"/>
      <c r="F2092" s="32"/>
      <c r="G2092" s="32"/>
      <c r="H2092" s="28"/>
      <c r="I2092" s="32"/>
      <c r="J2092" s="33"/>
      <c r="K2092" s="28"/>
      <c r="L2092" s="27"/>
      <c r="M2092" s="27"/>
      <c r="N2092" s="27"/>
      <c r="O2092" s="27"/>
      <c r="P2092" s="27"/>
      <c r="Q2092" s="27"/>
      <c r="R2092" s="27"/>
      <c r="S2092" s="27"/>
      <c r="T2092" s="27"/>
      <c r="U2092" s="27"/>
      <c r="V2092" s="27"/>
      <c r="W2092" s="27"/>
      <c r="X2092" s="27"/>
      <c r="Y2092" s="27"/>
    </row>
    <row r="2093">
      <c r="A2093" s="32"/>
      <c r="B2093" s="32"/>
      <c r="C2093" s="32"/>
      <c r="D2093" s="32"/>
      <c r="E2093" s="32"/>
      <c r="F2093" s="32"/>
      <c r="G2093" s="32"/>
      <c r="H2093" s="28"/>
      <c r="I2093" s="32"/>
      <c r="J2093" s="33"/>
      <c r="K2093" s="28"/>
      <c r="L2093" s="27"/>
      <c r="M2093" s="27"/>
      <c r="N2093" s="27"/>
      <c r="O2093" s="27"/>
      <c r="P2093" s="27"/>
      <c r="Q2093" s="27"/>
      <c r="R2093" s="27"/>
      <c r="S2093" s="27"/>
      <c r="T2093" s="27"/>
      <c r="U2093" s="27"/>
      <c r="V2093" s="27"/>
      <c r="W2093" s="27"/>
      <c r="X2093" s="27"/>
      <c r="Y2093" s="27"/>
    </row>
    <row r="2094">
      <c r="A2094" s="32"/>
      <c r="B2094" s="32"/>
      <c r="C2094" s="32"/>
      <c r="D2094" s="32"/>
      <c r="E2094" s="32"/>
      <c r="F2094" s="32"/>
      <c r="G2094" s="32"/>
      <c r="H2094" s="28"/>
      <c r="I2094" s="32"/>
      <c r="J2094" s="33"/>
      <c r="K2094" s="28"/>
      <c r="L2094" s="27"/>
      <c r="M2094" s="27"/>
      <c r="N2094" s="27"/>
      <c r="O2094" s="27"/>
      <c r="P2094" s="27"/>
      <c r="Q2094" s="27"/>
      <c r="R2094" s="27"/>
      <c r="S2094" s="27"/>
      <c r="T2094" s="27"/>
      <c r="U2094" s="27"/>
      <c r="V2094" s="27"/>
      <c r="W2094" s="27"/>
      <c r="X2094" s="27"/>
      <c r="Y2094" s="27"/>
    </row>
    <row r="2095">
      <c r="A2095" s="32"/>
      <c r="B2095" s="32"/>
      <c r="C2095" s="32"/>
      <c r="D2095" s="32"/>
      <c r="E2095" s="32"/>
      <c r="F2095" s="32"/>
      <c r="G2095" s="32"/>
      <c r="H2095" s="28"/>
      <c r="I2095" s="32"/>
      <c r="J2095" s="33"/>
      <c r="K2095" s="28"/>
      <c r="L2095" s="27"/>
      <c r="M2095" s="27"/>
      <c r="N2095" s="27"/>
      <c r="O2095" s="27"/>
      <c r="P2095" s="27"/>
      <c r="Q2095" s="27"/>
      <c r="R2095" s="27"/>
      <c r="S2095" s="27"/>
      <c r="T2095" s="27"/>
      <c r="U2095" s="27"/>
      <c r="V2095" s="27"/>
      <c r="W2095" s="27"/>
      <c r="X2095" s="27"/>
      <c r="Y2095" s="27"/>
    </row>
    <row r="2096">
      <c r="A2096" s="32"/>
      <c r="B2096" s="32"/>
      <c r="C2096" s="32"/>
      <c r="D2096" s="32"/>
      <c r="E2096" s="32"/>
      <c r="F2096" s="32"/>
      <c r="G2096" s="32"/>
      <c r="H2096" s="28"/>
      <c r="I2096" s="32"/>
      <c r="J2096" s="33"/>
      <c r="K2096" s="28"/>
      <c r="L2096" s="27"/>
      <c r="M2096" s="27"/>
      <c r="N2096" s="27"/>
      <c r="O2096" s="27"/>
      <c r="P2096" s="27"/>
      <c r="Q2096" s="27"/>
      <c r="R2096" s="27"/>
      <c r="S2096" s="27"/>
      <c r="T2096" s="27"/>
      <c r="U2096" s="27"/>
      <c r="V2096" s="27"/>
      <c r="W2096" s="27"/>
      <c r="X2096" s="27"/>
      <c r="Y2096" s="27"/>
    </row>
    <row r="2097">
      <c r="A2097" s="32"/>
      <c r="B2097" s="32"/>
      <c r="C2097" s="32"/>
      <c r="D2097" s="32"/>
      <c r="E2097" s="32"/>
      <c r="F2097" s="32"/>
      <c r="G2097" s="32"/>
      <c r="H2097" s="28"/>
      <c r="I2097" s="32"/>
      <c r="J2097" s="33"/>
      <c r="K2097" s="28"/>
      <c r="L2097" s="27"/>
      <c r="M2097" s="27"/>
      <c r="N2097" s="27"/>
      <c r="O2097" s="27"/>
      <c r="P2097" s="27"/>
      <c r="Q2097" s="27"/>
      <c r="R2097" s="27"/>
      <c r="S2097" s="27"/>
      <c r="T2097" s="27"/>
      <c r="U2097" s="27"/>
      <c r="V2097" s="27"/>
      <c r="W2097" s="27"/>
      <c r="X2097" s="27"/>
      <c r="Y2097" s="27"/>
    </row>
    <row r="2098">
      <c r="A2098" s="32"/>
      <c r="B2098" s="32"/>
      <c r="C2098" s="32"/>
      <c r="D2098" s="32"/>
      <c r="E2098" s="32"/>
      <c r="F2098" s="32"/>
      <c r="G2098" s="32"/>
      <c r="H2098" s="28"/>
      <c r="I2098" s="32"/>
      <c r="J2098" s="33"/>
      <c r="K2098" s="28"/>
      <c r="L2098" s="27"/>
      <c r="M2098" s="27"/>
      <c r="N2098" s="27"/>
      <c r="O2098" s="27"/>
      <c r="P2098" s="27"/>
      <c r="Q2098" s="27"/>
      <c r="R2098" s="27"/>
      <c r="S2098" s="27"/>
      <c r="T2098" s="27"/>
      <c r="U2098" s="27"/>
      <c r="V2098" s="27"/>
      <c r="W2098" s="27"/>
      <c r="X2098" s="27"/>
      <c r="Y2098" s="27"/>
    </row>
    <row r="2099">
      <c r="A2099" s="32"/>
      <c r="B2099" s="32"/>
      <c r="C2099" s="32"/>
      <c r="D2099" s="32"/>
      <c r="E2099" s="32"/>
      <c r="F2099" s="32"/>
      <c r="G2099" s="32"/>
      <c r="H2099" s="28"/>
      <c r="I2099" s="32"/>
      <c r="J2099" s="33"/>
      <c r="K2099" s="28"/>
      <c r="L2099" s="27"/>
      <c r="M2099" s="27"/>
      <c r="N2099" s="27"/>
      <c r="O2099" s="27"/>
      <c r="P2099" s="27"/>
      <c r="Q2099" s="27"/>
      <c r="R2099" s="27"/>
      <c r="S2099" s="27"/>
      <c r="T2099" s="27"/>
      <c r="U2099" s="27"/>
      <c r="V2099" s="27"/>
      <c r="W2099" s="27"/>
      <c r="X2099" s="27"/>
      <c r="Y2099" s="27"/>
    </row>
    <row r="2100">
      <c r="A2100" s="32"/>
      <c r="B2100" s="32"/>
      <c r="C2100" s="32"/>
      <c r="D2100" s="32"/>
      <c r="E2100" s="32"/>
      <c r="F2100" s="32"/>
      <c r="G2100" s="32"/>
      <c r="H2100" s="28"/>
      <c r="I2100" s="32"/>
      <c r="J2100" s="33"/>
      <c r="K2100" s="28"/>
      <c r="L2100" s="27"/>
      <c r="M2100" s="27"/>
      <c r="N2100" s="27"/>
      <c r="O2100" s="27"/>
      <c r="P2100" s="27"/>
      <c r="Q2100" s="27"/>
      <c r="R2100" s="27"/>
      <c r="S2100" s="27"/>
      <c r="T2100" s="27"/>
      <c r="U2100" s="27"/>
      <c r="V2100" s="27"/>
      <c r="W2100" s="27"/>
      <c r="X2100" s="27"/>
      <c r="Y2100" s="27"/>
    </row>
    <row r="2101">
      <c r="A2101" s="32"/>
      <c r="B2101" s="32"/>
      <c r="C2101" s="32"/>
      <c r="D2101" s="32"/>
      <c r="E2101" s="32"/>
      <c r="F2101" s="32"/>
      <c r="G2101" s="32"/>
      <c r="H2101" s="28"/>
      <c r="I2101" s="32"/>
      <c r="J2101" s="33"/>
      <c r="K2101" s="28"/>
      <c r="L2101" s="27"/>
      <c r="M2101" s="27"/>
      <c r="N2101" s="27"/>
      <c r="O2101" s="27"/>
      <c r="P2101" s="27"/>
      <c r="Q2101" s="27"/>
      <c r="R2101" s="27"/>
      <c r="S2101" s="27"/>
      <c r="T2101" s="27"/>
      <c r="U2101" s="27"/>
      <c r="V2101" s="27"/>
      <c r="W2101" s="27"/>
      <c r="X2101" s="27"/>
      <c r="Y2101" s="27"/>
    </row>
    <row r="2102">
      <c r="A2102" s="32"/>
      <c r="B2102" s="32"/>
      <c r="C2102" s="32"/>
      <c r="D2102" s="32"/>
      <c r="E2102" s="32"/>
      <c r="F2102" s="32"/>
      <c r="G2102" s="32"/>
      <c r="H2102" s="28"/>
      <c r="I2102" s="32"/>
      <c r="J2102" s="33"/>
      <c r="K2102" s="28"/>
      <c r="L2102" s="27"/>
      <c r="M2102" s="27"/>
      <c r="N2102" s="27"/>
      <c r="O2102" s="27"/>
      <c r="P2102" s="27"/>
      <c r="Q2102" s="27"/>
      <c r="R2102" s="27"/>
      <c r="S2102" s="27"/>
      <c r="T2102" s="27"/>
      <c r="U2102" s="27"/>
      <c r="V2102" s="27"/>
      <c r="W2102" s="27"/>
      <c r="X2102" s="27"/>
      <c r="Y2102" s="27"/>
    </row>
    <row r="2103">
      <c r="A2103" s="32"/>
      <c r="B2103" s="32"/>
      <c r="C2103" s="32"/>
      <c r="D2103" s="32"/>
      <c r="E2103" s="32"/>
      <c r="F2103" s="32"/>
      <c r="G2103" s="32"/>
      <c r="H2103" s="28"/>
      <c r="I2103" s="32"/>
      <c r="J2103" s="33"/>
      <c r="K2103" s="28"/>
      <c r="L2103" s="27"/>
      <c r="M2103" s="27"/>
      <c r="N2103" s="27"/>
      <c r="O2103" s="27"/>
      <c r="P2103" s="27"/>
      <c r="Q2103" s="27"/>
      <c r="R2103" s="27"/>
      <c r="S2103" s="27"/>
      <c r="T2103" s="27"/>
      <c r="U2103" s="27"/>
      <c r="V2103" s="27"/>
      <c r="W2103" s="27"/>
      <c r="X2103" s="27"/>
      <c r="Y2103" s="27"/>
    </row>
    <row r="2104">
      <c r="A2104" s="32"/>
      <c r="B2104" s="32"/>
      <c r="C2104" s="32"/>
      <c r="D2104" s="32"/>
      <c r="E2104" s="32"/>
      <c r="F2104" s="32"/>
      <c r="G2104" s="32"/>
      <c r="H2104" s="28"/>
      <c r="I2104" s="32"/>
      <c r="J2104" s="33"/>
      <c r="K2104" s="28"/>
      <c r="L2104" s="27"/>
      <c r="M2104" s="27"/>
      <c r="N2104" s="27"/>
      <c r="O2104" s="27"/>
      <c r="P2104" s="27"/>
      <c r="Q2104" s="27"/>
      <c r="R2104" s="27"/>
      <c r="S2104" s="27"/>
      <c r="T2104" s="27"/>
      <c r="U2104" s="27"/>
      <c r="V2104" s="27"/>
      <c r="W2104" s="27"/>
      <c r="X2104" s="27"/>
      <c r="Y2104" s="27"/>
    </row>
    <row r="2105">
      <c r="A2105" s="32"/>
      <c r="B2105" s="32"/>
      <c r="C2105" s="32"/>
      <c r="D2105" s="32"/>
      <c r="E2105" s="32"/>
      <c r="F2105" s="32"/>
      <c r="G2105" s="32"/>
      <c r="H2105" s="28"/>
      <c r="I2105" s="32"/>
      <c r="J2105" s="33"/>
      <c r="K2105" s="28"/>
      <c r="L2105" s="27"/>
      <c r="M2105" s="27"/>
      <c r="N2105" s="27"/>
      <c r="O2105" s="27"/>
      <c r="P2105" s="27"/>
      <c r="Q2105" s="27"/>
      <c r="R2105" s="27"/>
      <c r="S2105" s="27"/>
      <c r="T2105" s="27"/>
      <c r="U2105" s="27"/>
      <c r="V2105" s="27"/>
      <c r="W2105" s="27"/>
      <c r="X2105" s="27"/>
      <c r="Y2105" s="27"/>
    </row>
    <row r="2106">
      <c r="A2106" s="32"/>
      <c r="B2106" s="32"/>
      <c r="C2106" s="32"/>
      <c r="D2106" s="32"/>
      <c r="E2106" s="32"/>
      <c r="F2106" s="32"/>
      <c r="G2106" s="32"/>
      <c r="H2106" s="28"/>
      <c r="I2106" s="32"/>
      <c r="J2106" s="33"/>
      <c r="K2106" s="28"/>
      <c r="L2106" s="27"/>
      <c r="M2106" s="27"/>
      <c r="N2106" s="27"/>
      <c r="O2106" s="27"/>
      <c r="P2106" s="27"/>
      <c r="Q2106" s="27"/>
      <c r="R2106" s="27"/>
      <c r="S2106" s="27"/>
      <c r="T2106" s="27"/>
      <c r="U2106" s="27"/>
      <c r="V2106" s="27"/>
      <c r="W2106" s="27"/>
      <c r="X2106" s="27"/>
      <c r="Y2106" s="27"/>
    </row>
    <row r="2107">
      <c r="A2107" s="32"/>
      <c r="B2107" s="32"/>
      <c r="C2107" s="32"/>
      <c r="D2107" s="32"/>
      <c r="E2107" s="32"/>
      <c r="F2107" s="32"/>
      <c r="G2107" s="32"/>
      <c r="H2107" s="28"/>
      <c r="I2107" s="32"/>
      <c r="J2107" s="33"/>
      <c r="K2107" s="28"/>
      <c r="L2107" s="27"/>
      <c r="M2107" s="27"/>
      <c r="N2107" s="27"/>
      <c r="O2107" s="27"/>
      <c r="P2107" s="27"/>
      <c r="Q2107" s="27"/>
      <c r="R2107" s="27"/>
      <c r="S2107" s="27"/>
      <c r="T2107" s="27"/>
      <c r="U2107" s="27"/>
      <c r="V2107" s="27"/>
      <c r="W2107" s="27"/>
      <c r="X2107" s="27"/>
      <c r="Y2107" s="27"/>
    </row>
    <row r="2108">
      <c r="A2108" s="32"/>
      <c r="B2108" s="32"/>
      <c r="C2108" s="32"/>
      <c r="D2108" s="32"/>
      <c r="E2108" s="32"/>
      <c r="F2108" s="32"/>
      <c r="G2108" s="32"/>
      <c r="H2108" s="28"/>
      <c r="I2108" s="32"/>
      <c r="J2108" s="33"/>
      <c r="K2108" s="28"/>
      <c r="L2108" s="27"/>
      <c r="M2108" s="27"/>
      <c r="N2108" s="27"/>
      <c r="O2108" s="27"/>
      <c r="P2108" s="27"/>
      <c r="Q2108" s="27"/>
      <c r="R2108" s="27"/>
      <c r="S2108" s="27"/>
      <c r="T2108" s="27"/>
      <c r="U2108" s="27"/>
      <c r="V2108" s="27"/>
      <c r="W2108" s="27"/>
      <c r="X2108" s="27"/>
      <c r="Y2108" s="27"/>
    </row>
    <row r="2109">
      <c r="A2109" s="32"/>
      <c r="B2109" s="32"/>
      <c r="C2109" s="32"/>
      <c r="D2109" s="32"/>
      <c r="E2109" s="32"/>
      <c r="F2109" s="32"/>
      <c r="G2109" s="32"/>
      <c r="H2109" s="28"/>
      <c r="I2109" s="32"/>
      <c r="J2109" s="33"/>
      <c r="K2109" s="28"/>
      <c r="L2109" s="27"/>
      <c r="M2109" s="27"/>
      <c r="N2109" s="27"/>
      <c r="O2109" s="27"/>
      <c r="P2109" s="27"/>
      <c r="Q2109" s="27"/>
      <c r="R2109" s="27"/>
      <c r="S2109" s="27"/>
      <c r="T2109" s="27"/>
      <c r="U2109" s="27"/>
      <c r="V2109" s="27"/>
      <c r="W2109" s="27"/>
      <c r="X2109" s="27"/>
      <c r="Y2109" s="27"/>
    </row>
    <row r="2110">
      <c r="A2110" s="32"/>
      <c r="B2110" s="32"/>
      <c r="C2110" s="32"/>
      <c r="D2110" s="32"/>
      <c r="E2110" s="32"/>
      <c r="F2110" s="32"/>
      <c r="G2110" s="32"/>
      <c r="H2110" s="28"/>
      <c r="I2110" s="32"/>
      <c r="J2110" s="33"/>
      <c r="K2110" s="28"/>
      <c r="L2110" s="27"/>
      <c r="M2110" s="27"/>
      <c r="N2110" s="27"/>
      <c r="O2110" s="27"/>
      <c r="P2110" s="27"/>
      <c r="Q2110" s="27"/>
      <c r="R2110" s="27"/>
      <c r="S2110" s="27"/>
      <c r="T2110" s="27"/>
      <c r="U2110" s="27"/>
      <c r="V2110" s="27"/>
      <c r="W2110" s="27"/>
      <c r="X2110" s="27"/>
      <c r="Y2110" s="27"/>
    </row>
    <row r="2111">
      <c r="A2111" s="32"/>
      <c r="B2111" s="32"/>
      <c r="C2111" s="32"/>
      <c r="D2111" s="32"/>
      <c r="E2111" s="32"/>
      <c r="F2111" s="32"/>
      <c r="G2111" s="32"/>
      <c r="H2111" s="28"/>
      <c r="I2111" s="32"/>
      <c r="J2111" s="33"/>
      <c r="K2111" s="28"/>
      <c r="L2111" s="27"/>
      <c r="M2111" s="27"/>
      <c r="N2111" s="27"/>
      <c r="O2111" s="27"/>
      <c r="P2111" s="27"/>
      <c r="Q2111" s="27"/>
      <c r="R2111" s="27"/>
      <c r="S2111" s="27"/>
      <c r="T2111" s="27"/>
      <c r="U2111" s="27"/>
      <c r="V2111" s="27"/>
      <c r="W2111" s="27"/>
      <c r="X2111" s="27"/>
      <c r="Y2111" s="27"/>
    </row>
    <row r="2112">
      <c r="A2112" s="32"/>
      <c r="B2112" s="32"/>
      <c r="C2112" s="32"/>
      <c r="D2112" s="32"/>
      <c r="E2112" s="32"/>
      <c r="F2112" s="32"/>
      <c r="G2112" s="32"/>
      <c r="H2112" s="28"/>
      <c r="I2112" s="32"/>
      <c r="J2112" s="33"/>
      <c r="K2112" s="28"/>
      <c r="L2112" s="27"/>
      <c r="M2112" s="27"/>
      <c r="N2112" s="27"/>
      <c r="O2112" s="27"/>
      <c r="P2112" s="27"/>
      <c r="Q2112" s="27"/>
      <c r="R2112" s="27"/>
      <c r="S2112" s="27"/>
      <c r="T2112" s="27"/>
      <c r="U2112" s="27"/>
      <c r="V2112" s="27"/>
      <c r="W2112" s="27"/>
      <c r="X2112" s="27"/>
      <c r="Y2112" s="27"/>
    </row>
    <row r="2113">
      <c r="A2113" s="32"/>
      <c r="B2113" s="32"/>
      <c r="C2113" s="32"/>
      <c r="D2113" s="32"/>
      <c r="E2113" s="32"/>
      <c r="F2113" s="32"/>
      <c r="G2113" s="32"/>
      <c r="H2113" s="28"/>
      <c r="I2113" s="32"/>
      <c r="J2113" s="33"/>
      <c r="K2113" s="28"/>
      <c r="L2113" s="27"/>
      <c r="M2113" s="27"/>
      <c r="N2113" s="27"/>
      <c r="O2113" s="27"/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</row>
    <row r="2114">
      <c r="A2114" s="32"/>
      <c r="B2114" s="32"/>
      <c r="C2114" s="32"/>
      <c r="D2114" s="32"/>
      <c r="E2114" s="32"/>
      <c r="F2114" s="32"/>
      <c r="G2114" s="32"/>
      <c r="H2114" s="28"/>
      <c r="I2114" s="32"/>
      <c r="J2114" s="33"/>
      <c r="K2114" s="28"/>
      <c r="L2114" s="27"/>
      <c r="M2114" s="27"/>
      <c r="N2114" s="27"/>
      <c r="O2114" s="27"/>
      <c r="P2114" s="27"/>
      <c r="Q2114" s="27"/>
      <c r="R2114" s="27"/>
      <c r="S2114" s="27"/>
      <c r="T2114" s="27"/>
      <c r="U2114" s="27"/>
      <c r="V2114" s="27"/>
      <c r="W2114" s="27"/>
      <c r="X2114" s="27"/>
      <c r="Y2114" s="27"/>
    </row>
    <row r="2115">
      <c r="A2115" s="32"/>
      <c r="B2115" s="32"/>
      <c r="C2115" s="32"/>
      <c r="D2115" s="32"/>
      <c r="E2115" s="32"/>
      <c r="F2115" s="32"/>
      <c r="G2115" s="32"/>
      <c r="H2115" s="28"/>
      <c r="I2115" s="32"/>
      <c r="J2115" s="33"/>
      <c r="K2115" s="28"/>
      <c r="L2115" s="27"/>
      <c r="M2115" s="27"/>
      <c r="N2115" s="27"/>
      <c r="O2115" s="27"/>
      <c r="P2115" s="27"/>
      <c r="Q2115" s="27"/>
      <c r="R2115" s="27"/>
      <c r="S2115" s="27"/>
      <c r="T2115" s="27"/>
      <c r="U2115" s="27"/>
      <c r="V2115" s="27"/>
      <c r="W2115" s="27"/>
      <c r="X2115" s="27"/>
      <c r="Y2115" s="27"/>
    </row>
    <row r="2116">
      <c r="A2116" s="32"/>
      <c r="B2116" s="32"/>
      <c r="C2116" s="32"/>
      <c r="D2116" s="32"/>
      <c r="E2116" s="32"/>
      <c r="F2116" s="32"/>
      <c r="G2116" s="32"/>
      <c r="H2116" s="28"/>
      <c r="I2116" s="32"/>
      <c r="J2116" s="33"/>
      <c r="K2116" s="28"/>
      <c r="L2116" s="27"/>
      <c r="M2116" s="27"/>
      <c r="N2116" s="27"/>
      <c r="O2116" s="27"/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</row>
    <row r="2117">
      <c r="A2117" s="32"/>
      <c r="B2117" s="32"/>
      <c r="C2117" s="32"/>
      <c r="D2117" s="32"/>
      <c r="E2117" s="32"/>
      <c r="F2117" s="32"/>
      <c r="G2117" s="32"/>
      <c r="H2117" s="28"/>
      <c r="I2117" s="32"/>
      <c r="J2117" s="33"/>
      <c r="K2117" s="28"/>
      <c r="L2117" s="27"/>
      <c r="M2117" s="27"/>
      <c r="N2117" s="27"/>
      <c r="O2117" s="27"/>
      <c r="P2117" s="27"/>
      <c r="Q2117" s="27"/>
      <c r="R2117" s="27"/>
      <c r="S2117" s="27"/>
      <c r="T2117" s="27"/>
      <c r="U2117" s="27"/>
      <c r="V2117" s="27"/>
      <c r="W2117" s="27"/>
      <c r="X2117" s="27"/>
      <c r="Y2117" s="27"/>
    </row>
    <row r="2118">
      <c r="A2118" s="32"/>
      <c r="B2118" s="32"/>
      <c r="C2118" s="32"/>
      <c r="D2118" s="32"/>
      <c r="E2118" s="32"/>
      <c r="F2118" s="32"/>
      <c r="G2118" s="32"/>
      <c r="H2118" s="28"/>
      <c r="I2118" s="32"/>
      <c r="J2118" s="33"/>
      <c r="K2118" s="28"/>
      <c r="L2118" s="27"/>
      <c r="M2118" s="27"/>
      <c r="N2118" s="27"/>
      <c r="O2118" s="27"/>
      <c r="P2118" s="27"/>
      <c r="Q2118" s="27"/>
      <c r="R2118" s="27"/>
      <c r="S2118" s="27"/>
      <c r="T2118" s="27"/>
      <c r="U2118" s="27"/>
      <c r="V2118" s="27"/>
      <c r="W2118" s="27"/>
      <c r="X2118" s="27"/>
      <c r="Y2118" s="27"/>
    </row>
    <row r="2119">
      <c r="A2119" s="32"/>
      <c r="B2119" s="32"/>
      <c r="C2119" s="32"/>
      <c r="D2119" s="32"/>
      <c r="E2119" s="32"/>
      <c r="F2119" s="32"/>
      <c r="G2119" s="32"/>
      <c r="H2119" s="28"/>
      <c r="I2119" s="32"/>
      <c r="J2119" s="33"/>
      <c r="K2119" s="28"/>
      <c r="L2119" s="27"/>
      <c r="M2119" s="27"/>
      <c r="N2119" s="27"/>
      <c r="O2119" s="27"/>
      <c r="P2119" s="27"/>
      <c r="Q2119" s="27"/>
      <c r="R2119" s="27"/>
      <c r="S2119" s="27"/>
      <c r="T2119" s="27"/>
      <c r="U2119" s="27"/>
      <c r="V2119" s="27"/>
      <c r="W2119" s="27"/>
      <c r="X2119" s="27"/>
      <c r="Y2119" s="27"/>
    </row>
    <row r="2120">
      <c r="A2120" s="32"/>
      <c r="B2120" s="32"/>
      <c r="C2120" s="32"/>
      <c r="D2120" s="32"/>
      <c r="E2120" s="32"/>
      <c r="F2120" s="32"/>
      <c r="G2120" s="32"/>
      <c r="H2120" s="28"/>
      <c r="I2120" s="32"/>
      <c r="J2120" s="33"/>
      <c r="K2120" s="28"/>
      <c r="L2120" s="27"/>
      <c r="M2120" s="27"/>
      <c r="N2120" s="27"/>
      <c r="O2120" s="27"/>
      <c r="P2120" s="27"/>
      <c r="Q2120" s="27"/>
      <c r="R2120" s="27"/>
      <c r="S2120" s="27"/>
      <c r="T2120" s="27"/>
      <c r="U2120" s="27"/>
      <c r="V2120" s="27"/>
      <c r="W2120" s="27"/>
      <c r="X2120" s="27"/>
      <c r="Y2120" s="27"/>
    </row>
    <row r="2121">
      <c r="A2121" s="32"/>
      <c r="B2121" s="32"/>
      <c r="C2121" s="32"/>
      <c r="D2121" s="32"/>
      <c r="E2121" s="32"/>
      <c r="F2121" s="32"/>
      <c r="G2121" s="32"/>
      <c r="H2121" s="28"/>
      <c r="I2121" s="32"/>
      <c r="J2121" s="33"/>
      <c r="K2121" s="28"/>
      <c r="L2121" s="27"/>
      <c r="M2121" s="27"/>
      <c r="N2121" s="27"/>
      <c r="O2121" s="27"/>
      <c r="P2121" s="27"/>
      <c r="Q2121" s="27"/>
      <c r="R2121" s="27"/>
      <c r="S2121" s="27"/>
      <c r="T2121" s="27"/>
      <c r="U2121" s="27"/>
      <c r="V2121" s="27"/>
      <c r="W2121" s="27"/>
      <c r="X2121" s="27"/>
      <c r="Y2121" s="27"/>
    </row>
    <row r="2122">
      <c r="A2122" s="32"/>
      <c r="B2122" s="32"/>
      <c r="C2122" s="32"/>
      <c r="D2122" s="32"/>
      <c r="E2122" s="32"/>
      <c r="F2122" s="32"/>
      <c r="G2122" s="32"/>
      <c r="H2122" s="28"/>
      <c r="I2122" s="32"/>
      <c r="J2122" s="33"/>
      <c r="K2122" s="28"/>
      <c r="L2122" s="27"/>
      <c r="M2122" s="27"/>
      <c r="N2122" s="27"/>
      <c r="O2122" s="27"/>
      <c r="P2122" s="27"/>
      <c r="Q2122" s="27"/>
      <c r="R2122" s="27"/>
      <c r="S2122" s="27"/>
      <c r="T2122" s="27"/>
      <c r="U2122" s="27"/>
      <c r="V2122" s="27"/>
      <c r="W2122" s="27"/>
      <c r="X2122" s="27"/>
      <c r="Y2122" s="27"/>
    </row>
    <row r="2123">
      <c r="A2123" s="32"/>
      <c r="B2123" s="32"/>
      <c r="C2123" s="32"/>
      <c r="D2123" s="32"/>
      <c r="E2123" s="32"/>
      <c r="F2123" s="32"/>
      <c r="G2123" s="32"/>
      <c r="H2123" s="28"/>
      <c r="I2123" s="32"/>
      <c r="J2123" s="33"/>
      <c r="K2123" s="28"/>
      <c r="L2123" s="27"/>
      <c r="M2123" s="27"/>
      <c r="N2123" s="27"/>
      <c r="O2123" s="27"/>
      <c r="P2123" s="27"/>
      <c r="Q2123" s="27"/>
      <c r="R2123" s="27"/>
      <c r="S2123" s="27"/>
      <c r="T2123" s="27"/>
      <c r="U2123" s="27"/>
      <c r="V2123" s="27"/>
      <c r="W2123" s="27"/>
      <c r="X2123" s="27"/>
      <c r="Y2123" s="27"/>
    </row>
    <row r="2124">
      <c r="A2124" s="32"/>
      <c r="B2124" s="32"/>
      <c r="C2124" s="32"/>
      <c r="D2124" s="32"/>
      <c r="E2124" s="32"/>
      <c r="F2124" s="32"/>
      <c r="G2124" s="32"/>
      <c r="H2124" s="28"/>
      <c r="I2124" s="32"/>
      <c r="J2124" s="33"/>
      <c r="K2124" s="28"/>
      <c r="L2124" s="27"/>
      <c r="M2124" s="27"/>
      <c r="N2124" s="27"/>
      <c r="O2124" s="27"/>
      <c r="P2124" s="27"/>
      <c r="Q2124" s="27"/>
      <c r="R2124" s="27"/>
      <c r="S2124" s="27"/>
      <c r="T2124" s="27"/>
      <c r="U2124" s="27"/>
      <c r="V2124" s="27"/>
      <c r="W2124" s="27"/>
      <c r="X2124" s="27"/>
      <c r="Y2124" s="27"/>
    </row>
    <row r="2125">
      <c r="A2125" s="32"/>
      <c r="B2125" s="32"/>
      <c r="C2125" s="32"/>
      <c r="D2125" s="32"/>
      <c r="E2125" s="32"/>
      <c r="F2125" s="32"/>
      <c r="G2125" s="32"/>
      <c r="H2125" s="28"/>
      <c r="I2125" s="32"/>
      <c r="J2125" s="33"/>
      <c r="K2125" s="28"/>
      <c r="L2125" s="27"/>
      <c r="M2125" s="27"/>
      <c r="N2125" s="27"/>
      <c r="O2125" s="27"/>
      <c r="P2125" s="27"/>
      <c r="Q2125" s="27"/>
      <c r="R2125" s="27"/>
      <c r="S2125" s="27"/>
      <c r="T2125" s="27"/>
      <c r="U2125" s="27"/>
      <c r="V2125" s="27"/>
      <c r="W2125" s="27"/>
      <c r="X2125" s="27"/>
      <c r="Y2125" s="27"/>
    </row>
    <row r="2126">
      <c r="A2126" s="32"/>
      <c r="B2126" s="32"/>
      <c r="C2126" s="32"/>
      <c r="D2126" s="32"/>
      <c r="E2126" s="32"/>
      <c r="F2126" s="32"/>
      <c r="G2126" s="32"/>
      <c r="H2126" s="28"/>
      <c r="I2126" s="32"/>
      <c r="J2126" s="33"/>
      <c r="K2126" s="28"/>
      <c r="L2126" s="27"/>
      <c r="M2126" s="27"/>
      <c r="N2126" s="27"/>
      <c r="O2126" s="27"/>
      <c r="P2126" s="27"/>
      <c r="Q2126" s="27"/>
      <c r="R2126" s="27"/>
      <c r="S2126" s="27"/>
      <c r="T2126" s="27"/>
      <c r="U2126" s="27"/>
      <c r="V2126" s="27"/>
      <c r="W2126" s="27"/>
      <c r="X2126" s="27"/>
      <c r="Y2126" s="27"/>
    </row>
    <row r="2127">
      <c r="A2127" s="32"/>
      <c r="B2127" s="32"/>
      <c r="C2127" s="32"/>
      <c r="D2127" s="32"/>
      <c r="E2127" s="32"/>
      <c r="F2127" s="32"/>
      <c r="G2127" s="32"/>
      <c r="H2127" s="28"/>
      <c r="I2127" s="32"/>
      <c r="J2127" s="33"/>
      <c r="K2127" s="28"/>
      <c r="L2127" s="27"/>
      <c r="M2127" s="27"/>
      <c r="N2127" s="27"/>
      <c r="O2127" s="27"/>
      <c r="P2127" s="27"/>
      <c r="Q2127" s="27"/>
      <c r="R2127" s="27"/>
      <c r="S2127" s="27"/>
      <c r="T2127" s="27"/>
      <c r="U2127" s="27"/>
      <c r="V2127" s="27"/>
      <c r="W2127" s="27"/>
      <c r="X2127" s="27"/>
      <c r="Y2127" s="27"/>
    </row>
    <row r="2128">
      <c r="A2128" s="32"/>
      <c r="B2128" s="32"/>
      <c r="C2128" s="32"/>
      <c r="D2128" s="32"/>
      <c r="E2128" s="32"/>
      <c r="F2128" s="32"/>
      <c r="G2128" s="32"/>
      <c r="H2128" s="28"/>
      <c r="I2128" s="32"/>
      <c r="J2128" s="33"/>
      <c r="K2128" s="28"/>
      <c r="L2128" s="27"/>
      <c r="M2128" s="27"/>
      <c r="N2128" s="27"/>
      <c r="O2128" s="27"/>
      <c r="P2128" s="27"/>
      <c r="Q2128" s="27"/>
      <c r="R2128" s="27"/>
      <c r="S2128" s="27"/>
      <c r="T2128" s="27"/>
      <c r="U2128" s="27"/>
      <c r="V2128" s="27"/>
      <c r="W2128" s="27"/>
      <c r="X2128" s="27"/>
      <c r="Y2128" s="27"/>
    </row>
    <row r="2129">
      <c r="A2129" s="32"/>
      <c r="B2129" s="32"/>
      <c r="C2129" s="32"/>
      <c r="D2129" s="32"/>
      <c r="E2129" s="32"/>
      <c r="F2129" s="32"/>
      <c r="G2129" s="32"/>
      <c r="H2129" s="28"/>
      <c r="I2129" s="32"/>
      <c r="J2129" s="33"/>
      <c r="K2129" s="28"/>
      <c r="L2129" s="27"/>
      <c r="M2129" s="27"/>
      <c r="N2129" s="27"/>
      <c r="O2129" s="27"/>
      <c r="P2129" s="27"/>
      <c r="Q2129" s="27"/>
      <c r="R2129" s="27"/>
      <c r="S2129" s="27"/>
      <c r="T2129" s="27"/>
      <c r="U2129" s="27"/>
      <c r="V2129" s="27"/>
      <c r="W2129" s="27"/>
      <c r="X2129" s="27"/>
      <c r="Y2129" s="27"/>
    </row>
    <row r="2130">
      <c r="A2130" s="32"/>
      <c r="B2130" s="32"/>
      <c r="C2130" s="32"/>
      <c r="D2130" s="32"/>
      <c r="E2130" s="32"/>
      <c r="F2130" s="32"/>
      <c r="G2130" s="32"/>
      <c r="H2130" s="28"/>
      <c r="I2130" s="32"/>
      <c r="J2130" s="33"/>
      <c r="K2130" s="28"/>
      <c r="L2130" s="27"/>
      <c r="M2130" s="27"/>
      <c r="N2130" s="27"/>
      <c r="O2130" s="27"/>
      <c r="P2130" s="27"/>
      <c r="Q2130" s="27"/>
      <c r="R2130" s="27"/>
      <c r="S2130" s="27"/>
      <c r="T2130" s="27"/>
      <c r="U2130" s="27"/>
      <c r="V2130" s="27"/>
      <c r="W2130" s="27"/>
      <c r="X2130" s="27"/>
      <c r="Y2130" s="27"/>
    </row>
    <row r="2131">
      <c r="A2131" s="32"/>
      <c r="B2131" s="32"/>
      <c r="C2131" s="32"/>
      <c r="D2131" s="32"/>
      <c r="E2131" s="32"/>
      <c r="F2131" s="32"/>
      <c r="G2131" s="32"/>
      <c r="H2131" s="28"/>
      <c r="I2131" s="32"/>
      <c r="J2131" s="33"/>
      <c r="K2131" s="28"/>
      <c r="L2131" s="27"/>
      <c r="M2131" s="27"/>
      <c r="N2131" s="27"/>
      <c r="O2131" s="27"/>
      <c r="P2131" s="27"/>
      <c r="Q2131" s="27"/>
      <c r="R2131" s="27"/>
      <c r="S2131" s="27"/>
      <c r="T2131" s="27"/>
      <c r="U2131" s="27"/>
      <c r="V2131" s="27"/>
      <c r="W2131" s="27"/>
      <c r="X2131" s="27"/>
      <c r="Y2131" s="27"/>
    </row>
    <row r="2132">
      <c r="A2132" s="32"/>
      <c r="B2132" s="32"/>
      <c r="C2132" s="32"/>
      <c r="D2132" s="32"/>
      <c r="E2132" s="32"/>
      <c r="F2132" s="32"/>
      <c r="G2132" s="32"/>
      <c r="H2132" s="28"/>
      <c r="I2132" s="32"/>
      <c r="J2132" s="33"/>
      <c r="K2132" s="28"/>
      <c r="L2132" s="27"/>
      <c r="M2132" s="27"/>
      <c r="N2132" s="27"/>
      <c r="O2132" s="27"/>
      <c r="P2132" s="27"/>
      <c r="Q2132" s="27"/>
      <c r="R2132" s="27"/>
      <c r="S2132" s="27"/>
      <c r="T2132" s="27"/>
      <c r="U2132" s="27"/>
      <c r="V2132" s="27"/>
      <c r="W2132" s="27"/>
      <c r="X2132" s="27"/>
      <c r="Y2132" s="27"/>
    </row>
    <row r="2133">
      <c r="A2133" s="32"/>
      <c r="B2133" s="32"/>
      <c r="C2133" s="32"/>
      <c r="D2133" s="32"/>
      <c r="E2133" s="32"/>
      <c r="F2133" s="32"/>
      <c r="G2133" s="32"/>
      <c r="H2133" s="28"/>
      <c r="I2133" s="32"/>
      <c r="J2133" s="33"/>
      <c r="K2133" s="28"/>
      <c r="L2133" s="27"/>
      <c r="M2133" s="27"/>
      <c r="N2133" s="27"/>
      <c r="O2133" s="27"/>
      <c r="P2133" s="27"/>
      <c r="Q2133" s="27"/>
      <c r="R2133" s="27"/>
      <c r="S2133" s="27"/>
      <c r="T2133" s="27"/>
      <c r="U2133" s="27"/>
      <c r="V2133" s="27"/>
      <c r="W2133" s="27"/>
      <c r="X2133" s="27"/>
      <c r="Y2133" s="27"/>
    </row>
    <row r="2134">
      <c r="A2134" s="32"/>
      <c r="B2134" s="32"/>
      <c r="C2134" s="32"/>
      <c r="D2134" s="32"/>
      <c r="E2134" s="32"/>
      <c r="F2134" s="32"/>
      <c r="G2134" s="32"/>
      <c r="H2134" s="28"/>
      <c r="I2134" s="32"/>
      <c r="J2134" s="33"/>
      <c r="K2134" s="28"/>
      <c r="L2134" s="27"/>
      <c r="M2134" s="27"/>
      <c r="N2134" s="27"/>
      <c r="O2134" s="27"/>
      <c r="P2134" s="27"/>
      <c r="Q2134" s="27"/>
      <c r="R2134" s="27"/>
      <c r="S2134" s="27"/>
      <c r="T2134" s="27"/>
      <c r="U2134" s="27"/>
      <c r="V2134" s="27"/>
      <c r="W2134" s="27"/>
      <c r="X2134" s="27"/>
      <c r="Y2134" s="27"/>
    </row>
    <row r="2135">
      <c r="A2135" s="32"/>
      <c r="B2135" s="32"/>
      <c r="C2135" s="32"/>
      <c r="D2135" s="32"/>
      <c r="E2135" s="32"/>
      <c r="F2135" s="32"/>
      <c r="G2135" s="32"/>
      <c r="H2135" s="28"/>
      <c r="I2135" s="32"/>
      <c r="J2135" s="33"/>
      <c r="K2135" s="28"/>
      <c r="L2135" s="27"/>
      <c r="M2135" s="27"/>
      <c r="N2135" s="27"/>
      <c r="O2135" s="27"/>
      <c r="P2135" s="27"/>
      <c r="Q2135" s="27"/>
      <c r="R2135" s="27"/>
      <c r="S2135" s="27"/>
      <c r="T2135" s="27"/>
      <c r="U2135" s="27"/>
      <c r="V2135" s="27"/>
      <c r="W2135" s="27"/>
      <c r="X2135" s="27"/>
      <c r="Y2135" s="27"/>
    </row>
    <row r="2136">
      <c r="A2136" s="32"/>
      <c r="B2136" s="32"/>
      <c r="C2136" s="32"/>
      <c r="D2136" s="32"/>
      <c r="E2136" s="32"/>
      <c r="F2136" s="32"/>
      <c r="G2136" s="32"/>
      <c r="H2136" s="28"/>
      <c r="I2136" s="32"/>
      <c r="J2136" s="33"/>
      <c r="K2136" s="28"/>
      <c r="L2136" s="27"/>
      <c r="M2136" s="27"/>
      <c r="N2136" s="27"/>
      <c r="O2136" s="27"/>
      <c r="P2136" s="27"/>
      <c r="Q2136" s="27"/>
      <c r="R2136" s="27"/>
      <c r="S2136" s="27"/>
      <c r="T2136" s="27"/>
      <c r="U2136" s="27"/>
      <c r="V2136" s="27"/>
      <c r="W2136" s="27"/>
      <c r="X2136" s="27"/>
      <c r="Y2136" s="27"/>
    </row>
    <row r="2137">
      <c r="A2137" s="32"/>
      <c r="B2137" s="32"/>
      <c r="C2137" s="32"/>
      <c r="D2137" s="32"/>
      <c r="E2137" s="32"/>
      <c r="F2137" s="32"/>
      <c r="G2137" s="32"/>
      <c r="H2137" s="28"/>
      <c r="I2137" s="32"/>
      <c r="J2137" s="33"/>
      <c r="K2137" s="28"/>
      <c r="L2137" s="27"/>
      <c r="M2137" s="27"/>
      <c r="N2137" s="27"/>
      <c r="O2137" s="27"/>
      <c r="P2137" s="27"/>
      <c r="Q2137" s="27"/>
      <c r="R2137" s="27"/>
      <c r="S2137" s="27"/>
      <c r="T2137" s="27"/>
      <c r="U2137" s="27"/>
      <c r="V2137" s="27"/>
      <c r="W2137" s="27"/>
      <c r="X2137" s="27"/>
      <c r="Y2137" s="27"/>
    </row>
    <row r="2138">
      <c r="A2138" s="32"/>
      <c r="B2138" s="32"/>
      <c r="C2138" s="32"/>
      <c r="D2138" s="32"/>
      <c r="E2138" s="32"/>
      <c r="F2138" s="32"/>
      <c r="G2138" s="32"/>
      <c r="H2138" s="28"/>
      <c r="I2138" s="32"/>
      <c r="J2138" s="33"/>
      <c r="K2138" s="28"/>
      <c r="L2138" s="27"/>
      <c r="M2138" s="27"/>
      <c r="N2138" s="27"/>
      <c r="O2138" s="27"/>
      <c r="P2138" s="27"/>
      <c r="Q2138" s="27"/>
      <c r="R2138" s="27"/>
      <c r="S2138" s="27"/>
      <c r="T2138" s="27"/>
      <c r="U2138" s="27"/>
      <c r="V2138" s="27"/>
      <c r="W2138" s="27"/>
      <c r="X2138" s="27"/>
      <c r="Y2138" s="27"/>
    </row>
    <row r="2139">
      <c r="A2139" s="32"/>
      <c r="B2139" s="32"/>
      <c r="C2139" s="32"/>
      <c r="D2139" s="32"/>
      <c r="E2139" s="32"/>
      <c r="F2139" s="32"/>
      <c r="G2139" s="32"/>
      <c r="H2139" s="28"/>
      <c r="I2139" s="32"/>
      <c r="J2139" s="33"/>
      <c r="K2139" s="28"/>
      <c r="L2139" s="27"/>
      <c r="M2139" s="27"/>
      <c r="N2139" s="27"/>
      <c r="O2139" s="27"/>
      <c r="P2139" s="27"/>
      <c r="Q2139" s="27"/>
      <c r="R2139" s="27"/>
      <c r="S2139" s="27"/>
      <c r="T2139" s="27"/>
      <c r="U2139" s="27"/>
      <c r="V2139" s="27"/>
      <c r="W2139" s="27"/>
      <c r="X2139" s="27"/>
      <c r="Y2139" s="27"/>
    </row>
    <row r="2140">
      <c r="A2140" s="32"/>
      <c r="B2140" s="32"/>
      <c r="C2140" s="32"/>
      <c r="D2140" s="32"/>
      <c r="E2140" s="32"/>
      <c r="F2140" s="32"/>
      <c r="G2140" s="32"/>
      <c r="H2140" s="28"/>
      <c r="I2140" s="32"/>
      <c r="J2140" s="33"/>
      <c r="K2140" s="28"/>
      <c r="L2140" s="27"/>
      <c r="M2140" s="27"/>
      <c r="N2140" s="27"/>
      <c r="O2140" s="27"/>
      <c r="P2140" s="27"/>
      <c r="Q2140" s="27"/>
      <c r="R2140" s="27"/>
      <c r="S2140" s="27"/>
      <c r="T2140" s="27"/>
      <c r="U2140" s="27"/>
      <c r="V2140" s="27"/>
      <c r="W2140" s="27"/>
      <c r="X2140" s="27"/>
      <c r="Y2140" s="27"/>
    </row>
    <row r="2141">
      <c r="A2141" s="32"/>
      <c r="B2141" s="32"/>
      <c r="C2141" s="32"/>
      <c r="D2141" s="32"/>
      <c r="E2141" s="32"/>
      <c r="F2141" s="32"/>
      <c r="G2141" s="32"/>
      <c r="H2141" s="28"/>
      <c r="I2141" s="32"/>
      <c r="J2141" s="33"/>
      <c r="K2141" s="28"/>
      <c r="L2141" s="27"/>
      <c r="M2141" s="27"/>
      <c r="N2141" s="27"/>
      <c r="O2141" s="27"/>
      <c r="P2141" s="27"/>
      <c r="Q2141" s="27"/>
      <c r="R2141" s="27"/>
      <c r="S2141" s="27"/>
      <c r="T2141" s="27"/>
      <c r="U2141" s="27"/>
      <c r="V2141" s="27"/>
      <c r="W2141" s="27"/>
      <c r="X2141" s="27"/>
      <c r="Y2141" s="27"/>
    </row>
    <row r="2142">
      <c r="A2142" s="32"/>
      <c r="B2142" s="32"/>
      <c r="C2142" s="32"/>
      <c r="D2142" s="32"/>
      <c r="E2142" s="32"/>
      <c r="F2142" s="32"/>
      <c r="G2142" s="32"/>
      <c r="H2142" s="28"/>
      <c r="I2142" s="32"/>
      <c r="J2142" s="33"/>
      <c r="K2142" s="28"/>
      <c r="L2142" s="27"/>
      <c r="M2142" s="27"/>
      <c r="N2142" s="27"/>
      <c r="O2142" s="27"/>
      <c r="P2142" s="27"/>
      <c r="Q2142" s="27"/>
      <c r="R2142" s="27"/>
      <c r="S2142" s="27"/>
      <c r="T2142" s="27"/>
      <c r="U2142" s="27"/>
      <c r="V2142" s="27"/>
      <c r="W2142" s="27"/>
      <c r="X2142" s="27"/>
      <c r="Y2142" s="27"/>
    </row>
    <row r="2143">
      <c r="A2143" s="32"/>
      <c r="B2143" s="32"/>
      <c r="C2143" s="32"/>
      <c r="D2143" s="32"/>
      <c r="E2143" s="32"/>
      <c r="F2143" s="32"/>
      <c r="G2143" s="32"/>
      <c r="H2143" s="28"/>
      <c r="I2143" s="32"/>
      <c r="J2143" s="33"/>
      <c r="K2143" s="28"/>
      <c r="L2143" s="27"/>
      <c r="M2143" s="27"/>
      <c r="N2143" s="27"/>
      <c r="O2143" s="27"/>
      <c r="P2143" s="27"/>
      <c r="Q2143" s="27"/>
      <c r="R2143" s="27"/>
      <c r="S2143" s="27"/>
      <c r="T2143" s="27"/>
      <c r="U2143" s="27"/>
      <c r="V2143" s="27"/>
      <c r="W2143" s="27"/>
      <c r="X2143" s="27"/>
      <c r="Y2143" s="27"/>
    </row>
    <row r="2144">
      <c r="A2144" s="32"/>
      <c r="B2144" s="32"/>
      <c r="C2144" s="32"/>
      <c r="D2144" s="32"/>
      <c r="E2144" s="32"/>
      <c r="F2144" s="32"/>
      <c r="G2144" s="32"/>
      <c r="H2144" s="28"/>
      <c r="I2144" s="32"/>
      <c r="J2144" s="33"/>
      <c r="K2144" s="28"/>
      <c r="L2144" s="27"/>
      <c r="M2144" s="27"/>
      <c r="N2144" s="27"/>
      <c r="O2144" s="27"/>
      <c r="P2144" s="27"/>
      <c r="Q2144" s="27"/>
      <c r="R2144" s="27"/>
      <c r="S2144" s="27"/>
      <c r="T2144" s="27"/>
      <c r="U2144" s="27"/>
      <c r="V2144" s="27"/>
      <c r="W2144" s="27"/>
      <c r="X2144" s="27"/>
      <c r="Y2144" s="27"/>
    </row>
    <row r="2145">
      <c r="A2145" s="32"/>
      <c r="B2145" s="32"/>
      <c r="C2145" s="32"/>
      <c r="D2145" s="32"/>
      <c r="E2145" s="32"/>
      <c r="F2145" s="32"/>
      <c r="G2145" s="32"/>
      <c r="H2145" s="28"/>
      <c r="I2145" s="32"/>
      <c r="J2145" s="33"/>
      <c r="K2145" s="28"/>
      <c r="L2145" s="27"/>
      <c r="M2145" s="27"/>
      <c r="N2145" s="27"/>
      <c r="O2145" s="27"/>
      <c r="P2145" s="27"/>
      <c r="Q2145" s="27"/>
      <c r="R2145" s="27"/>
      <c r="S2145" s="27"/>
      <c r="T2145" s="27"/>
      <c r="U2145" s="27"/>
      <c r="V2145" s="27"/>
      <c r="W2145" s="27"/>
      <c r="X2145" s="27"/>
      <c r="Y2145" s="27"/>
    </row>
    <row r="2146">
      <c r="A2146" s="32"/>
      <c r="B2146" s="32"/>
      <c r="C2146" s="32"/>
      <c r="D2146" s="32"/>
      <c r="E2146" s="32"/>
      <c r="F2146" s="32"/>
      <c r="G2146" s="32"/>
      <c r="H2146" s="28"/>
      <c r="I2146" s="32"/>
      <c r="J2146" s="33"/>
      <c r="K2146" s="28"/>
      <c r="L2146" s="27"/>
      <c r="M2146" s="27"/>
      <c r="N2146" s="27"/>
      <c r="O2146" s="27"/>
      <c r="P2146" s="27"/>
      <c r="Q2146" s="27"/>
      <c r="R2146" s="27"/>
      <c r="S2146" s="27"/>
      <c r="T2146" s="27"/>
      <c r="U2146" s="27"/>
      <c r="V2146" s="27"/>
      <c r="W2146" s="27"/>
      <c r="X2146" s="27"/>
      <c r="Y2146" s="27"/>
    </row>
    <row r="2147">
      <c r="A2147" s="32"/>
      <c r="B2147" s="32"/>
      <c r="C2147" s="32"/>
      <c r="D2147" s="32"/>
      <c r="E2147" s="32"/>
      <c r="F2147" s="32"/>
      <c r="G2147" s="32"/>
      <c r="H2147" s="28"/>
      <c r="I2147" s="32"/>
      <c r="J2147" s="33"/>
      <c r="K2147" s="28"/>
      <c r="L2147" s="27"/>
      <c r="M2147" s="27"/>
      <c r="N2147" s="27"/>
      <c r="O2147" s="27"/>
      <c r="P2147" s="27"/>
      <c r="Q2147" s="27"/>
      <c r="R2147" s="27"/>
      <c r="S2147" s="27"/>
      <c r="T2147" s="27"/>
      <c r="U2147" s="27"/>
      <c r="V2147" s="27"/>
      <c r="W2147" s="27"/>
      <c r="X2147" s="27"/>
      <c r="Y2147" s="27"/>
    </row>
    <row r="2148">
      <c r="A2148" s="32"/>
      <c r="B2148" s="32"/>
      <c r="C2148" s="32"/>
      <c r="D2148" s="32"/>
      <c r="E2148" s="32"/>
      <c r="F2148" s="32"/>
      <c r="G2148" s="32"/>
      <c r="H2148" s="28"/>
      <c r="I2148" s="32"/>
      <c r="J2148" s="33"/>
      <c r="K2148" s="28"/>
      <c r="L2148" s="27"/>
      <c r="M2148" s="27"/>
      <c r="N2148" s="27"/>
      <c r="O2148" s="27"/>
      <c r="P2148" s="27"/>
      <c r="Q2148" s="27"/>
      <c r="R2148" s="27"/>
      <c r="S2148" s="27"/>
      <c r="T2148" s="27"/>
      <c r="U2148" s="27"/>
      <c r="V2148" s="27"/>
      <c r="W2148" s="27"/>
      <c r="X2148" s="27"/>
      <c r="Y2148" s="27"/>
    </row>
    <row r="2149">
      <c r="A2149" s="32"/>
      <c r="B2149" s="32"/>
      <c r="C2149" s="32"/>
      <c r="D2149" s="32"/>
      <c r="E2149" s="32"/>
      <c r="F2149" s="32"/>
      <c r="G2149" s="32"/>
      <c r="H2149" s="28"/>
      <c r="I2149" s="32"/>
      <c r="J2149" s="33"/>
      <c r="K2149" s="28"/>
      <c r="L2149" s="27"/>
      <c r="M2149" s="27"/>
      <c r="N2149" s="27"/>
      <c r="O2149" s="27"/>
      <c r="P2149" s="27"/>
      <c r="Q2149" s="27"/>
      <c r="R2149" s="27"/>
      <c r="S2149" s="27"/>
      <c r="T2149" s="27"/>
      <c r="U2149" s="27"/>
      <c r="V2149" s="27"/>
      <c r="W2149" s="27"/>
      <c r="X2149" s="27"/>
      <c r="Y2149" s="27"/>
    </row>
    <row r="2150">
      <c r="A2150" s="32"/>
      <c r="B2150" s="32"/>
      <c r="C2150" s="32"/>
      <c r="D2150" s="32"/>
      <c r="E2150" s="32"/>
      <c r="F2150" s="32"/>
      <c r="G2150" s="32"/>
      <c r="H2150" s="28"/>
      <c r="I2150" s="32"/>
      <c r="J2150" s="33"/>
      <c r="K2150" s="28"/>
      <c r="L2150" s="27"/>
      <c r="M2150" s="27"/>
      <c r="N2150" s="27"/>
      <c r="O2150" s="27"/>
      <c r="P2150" s="27"/>
      <c r="Q2150" s="27"/>
      <c r="R2150" s="27"/>
      <c r="S2150" s="27"/>
      <c r="T2150" s="27"/>
      <c r="U2150" s="27"/>
      <c r="V2150" s="27"/>
      <c r="W2150" s="27"/>
      <c r="X2150" s="27"/>
      <c r="Y2150" s="27"/>
    </row>
    <row r="2151">
      <c r="A2151" s="32"/>
      <c r="B2151" s="32"/>
      <c r="C2151" s="32"/>
      <c r="D2151" s="32"/>
      <c r="E2151" s="32"/>
      <c r="F2151" s="32"/>
      <c r="G2151" s="32"/>
      <c r="H2151" s="28"/>
      <c r="I2151" s="32"/>
      <c r="J2151" s="33"/>
      <c r="K2151" s="28"/>
      <c r="L2151" s="27"/>
      <c r="M2151" s="27"/>
      <c r="N2151" s="27"/>
      <c r="O2151" s="27"/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</row>
    <row r="2152">
      <c r="A2152" s="32"/>
      <c r="B2152" s="32"/>
      <c r="C2152" s="32"/>
      <c r="D2152" s="32"/>
      <c r="E2152" s="32"/>
      <c r="F2152" s="32"/>
      <c r="G2152" s="32"/>
      <c r="H2152" s="28"/>
      <c r="I2152" s="32"/>
      <c r="J2152" s="33"/>
      <c r="K2152" s="28"/>
      <c r="L2152" s="27"/>
      <c r="M2152" s="27"/>
      <c r="N2152" s="27"/>
      <c r="O2152" s="27"/>
      <c r="P2152" s="27"/>
      <c r="Q2152" s="27"/>
      <c r="R2152" s="27"/>
      <c r="S2152" s="27"/>
      <c r="T2152" s="27"/>
      <c r="U2152" s="27"/>
      <c r="V2152" s="27"/>
      <c r="W2152" s="27"/>
      <c r="X2152" s="27"/>
      <c r="Y2152" s="27"/>
    </row>
    <row r="2153">
      <c r="A2153" s="32"/>
      <c r="B2153" s="32"/>
      <c r="C2153" s="32"/>
      <c r="D2153" s="32"/>
      <c r="E2153" s="32"/>
      <c r="F2153" s="32"/>
      <c r="G2153" s="32"/>
      <c r="H2153" s="28"/>
      <c r="I2153" s="32"/>
      <c r="J2153" s="33"/>
      <c r="K2153" s="28"/>
      <c r="L2153" s="27"/>
      <c r="M2153" s="27"/>
      <c r="N2153" s="27"/>
      <c r="O2153" s="27"/>
      <c r="P2153" s="27"/>
      <c r="Q2153" s="27"/>
      <c r="R2153" s="27"/>
      <c r="S2153" s="27"/>
      <c r="T2153" s="27"/>
      <c r="U2153" s="27"/>
      <c r="V2153" s="27"/>
      <c r="W2153" s="27"/>
      <c r="X2153" s="27"/>
      <c r="Y2153" s="27"/>
    </row>
    <row r="2154">
      <c r="A2154" s="32"/>
      <c r="B2154" s="32"/>
      <c r="C2154" s="32"/>
      <c r="D2154" s="32"/>
      <c r="E2154" s="32"/>
      <c r="F2154" s="32"/>
      <c r="G2154" s="32"/>
      <c r="H2154" s="28"/>
      <c r="I2154" s="32"/>
      <c r="J2154" s="33"/>
      <c r="K2154" s="28"/>
      <c r="L2154" s="27"/>
      <c r="M2154" s="27"/>
      <c r="N2154" s="27"/>
      <c r="O2154" s="27"/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</row>
    <row r="2155">
      <c r="A2155" s="32"/>
      <c r="B2155" s="32"/>
      <c r="C2155" s="32"/>
      <c r="D2155" s="32"/>
      <c r="E2155" s="32"/>
      <c r="F2155" s="32"/>
      <c r="G2155" s="32"/>
      <c r="H2155" s="28"/>
      <c r="I2155" s="32"/>
      <c r="J2155" s="33"/>
      <c r="K2155" s="28"/>
      <c r="L2155" s="27"/>
      <c r="M2155" s="27"/>
      <c r="N2155" s="27"/>
      <c r="O2155" s="27"/>
      <c r="P2155" s="27"/>
      <c r="Q2155" s="27"/>
      <c r="R2155" s="27"/>
      <c r="S2155" s="27"/>
      <c r="T2155" s="27"/>
      <c r="U2155" s="27"/>
      <c r="V2155" s="27"/>
      <c r="W2155" s="27"/>
      <c r="X2155" s="27"/>
      <c r="Y2155" s="27"/>
    </row>
    <row r="2156">
      <c r="A2156" s="32"/>
      <c r="B2156" s="32"/>
      <c r="C2156" s="32"/>
      <c r="D2156" s="32"/>
      <c r="E2156" s="32"/>
      <c r="F2156" s="32"/>
      <c r="G2156" s="32"/>
      <c r="H2156" s="28"/>
      <c r="I2156" s="32"/>
      <c r="J2156" s="33"/>
      <c r="K2156" s="28"/>
      <c r="L2156" s="27"/>
      <c r="M2156" s="27"/>
      <c r="N2156" s="27"/>
      <c r="O2156" s="27"/>
      <c r="P2156" s="27"/>
      <c r="Q2156" s="27"/>
      <c r="R2156" s="27"/>
      <c r="S2156" s="27"/>
      <c r="T2156" s="27"/>
      <c r="U2156" s="27"/>
      <c r="V2156" s="27"/>
      <c r="W2156" s="27"/>
      <c r="X2156" s="27"/>
      <c r="Y2156" s="27"/>
    </row>
    <row r="2157">
      <c r="A2157" s="32"/>
      <c r="B2157" s="32"/>
      <c r="C2157" s="32"/>
      <c r="D2157" s="32"/>
      <c r="E2157" s="32"/>
      <c r="F2157" s="32"/>
      <c r="G2157" s="32"/>
      <c r="H2157" s="28"/>
      <c r="I2157" s="32"/>
      <c r="J2157" s="33"/>
      <c r="K2157" s="28"/>
      <c r="L2157" s="27"/>
      <c r="M2157" s="27"/>
      <c r="N2157" s="27"/>
      <c r="O2157" s="27"/>
      <c r="P2157" s="27"/>
      <c r="Q2157" s="27"/>
      <c r="R2157" s="27"/>
      <c r="S2157" s="27"/>
      <c r="T2157" s="27"/>
      <c r="U2157" s="27"/>
      <c r="V2157" s="27"/>
      <c r="W2157" s="27"/>
      <c r="X2157" s="27"/>
      <c r="Y2157" s="27"/>
    </row>
    <row r="2158">
      <c r="A2158" s="32"/>
      <c r="B2158" s="32"/>
      <c r="C2158" s="32"/>
      <c r="D2158" s="32"/>
      <c r="E2158" s="32"/>
      <c r="F2158" s="32"/>
      <c r="G2158" s="32"/>
      <c r="H2158" s="28"/>
      <c r="I2158" s="32"/>
      <c r="J2158" s="33"/>
      <c r="K2158" s="28"/>
      <c r="L2158" s="27"/>
      <c r="M2158" s="27"/>
      <c r="N2158" s="27"/>
      <c r="O2158" s="27"/>
      <c r="P2158" s="27"/>
      <c r="Q2158" s="27"/>
      <c r="R2158" s="27"/>
      <c r="S2158" s="27"/>
      <c r="T2158" s="27"/>
      <c r="U2158" s="27"/>
      <c r="V2158" s="27"/>
      <c r="W2158" s="27"/>
      <c r="X2158" s="27"/>
      <c r="Y2158" s="27"/>
    </row>
    <row r="2159">
      <c r="A2159" s="32"/>
      <c r="B2159" s="32"/>
      <c r="C2159" s="32"/>
      <c r="D2159" s="32"/>
      <c r="E2159" s="32"/>
      <c r="F2159" s="32"/>
      <c r="G2159" s="32"/>
      <c r="H2159" s="28"/>
      <c r="I2159" s="32"/>
      <c r="J2159" s="33"/>
      <c r="K2159" s="28"/>
      <c r="L2159" s="27"/>
      <c r="M2159" s="27"/>
      <c r="N2159" s="27"/>
      <c r="O2159" s="27"/>
      <c r="P2159" s="27"/>
      <c r="Q2159" s="27"/>
      <c r="R2159" s="27"/>
      <c r="S2159" s="27"/>
      <c r="T2159" s="27"/>
      <c r="U2159" s="27"/>
      <c r="V2159" s="27"/>
      <c r="W2159" s="27"/>
      <c r="X2159" s="27"/>
      <c r="Y2159" s="27"/>
    </row>
    <row r="2160">
      <c r="A2160" s="32"/>
      <c r="B2160" s="32"/>
      <c r="C2160" s="32"/>
      <c r="D2160" s="32"/>
      <c r="E2160" s="32"/>
      <c r="F2160" s="32"/>
      <c r="G2160" s="32"/>
      <c r="H2160" s="28"/>
      <c r="I2160" s="32"/>
      <c r="J2160" s="33"/>
      <c r="K2160" s="28"/>
      <c r="L2160" s="27"/>
      <c r="M2160" s="27"/>
      <c r="N2160" s="27"/>
      <c r="O2160" s="27"/>
      <c r="P2160" s="27"/>
      <c r="Q2160" s="27"/>
      <c r="R2160" s="27"/>
      <c r="S2160" s="27"/>
      <c r="T2160" s="27"/>
      <c r="U2160" s="27"/>
      <c r="V2160" s="27"/>
      <c r="W2160" s="27"/>
      <c r="X2160" s="27"/>
      <c r="Y2160" s="27"/>
    </row>
    <row r="2161">
      <c r="A2161" s="32"/>
      <c r="B2161" s="32"/>
      <c r="C2161" s="32"/>
      <c r="D2161" s="32"/>
      <c r="E2161" s="32"/>
      <c r="F2161" s="32"/>
      <c r="G2161" s="32"/>
      <c r="H2161" s="28"/>
      <c r="I2161" s="32"/>
      <c r="J2161" s="33"/>
      <c r="K2161" s="28"/>
      <c r="L2161" s="27"/>
      <c r="M2161" s="27"/>
      <c r="N2161" s="27"/>
      <c r="O2161" s="27"/>
      <c r="P2161" s="27"/>
      <c r="Q2161" s="27"/>
      <c r="R2161" s="27"/>
      <c r="S2161" s="27"/>
      <c r="T2161" s="27"/>
      <c r="U2161" s="27"/>
      <c r="V2161" s="27"/>
      <c r="W2161" s="27"/>
      <c r="X2161" s="27"/>
      <c r="Y2161" s="27"/>
    </row>
    <row r="2162">
      <c r="A2162" s="32"/>
      <c r="B2162" s="32"/>
      <c r="C2162" s="32"/>
      <c r="D2162" s="32"/>
      <c r="E2162" s="32"/>
      <c r="F2162" s="32"/>
      <c r="G2162" s="32"/>
      <c r="H2162" s="28"/>
      <c r="I2162" s="32"/>
      <c r="J2162" s="33"/>
      <c r="K2162" s="28"/>
      <c r="L2162" s="27"/>
      <c r="M2162" s="27"/>
      <c r="N2162" s="27"/>
      <c r="O2162" s="27"/>
      <c r="P2162" s="27"/>
      <c r="Q2162" s="27"/>
      <c r="R2162" s="27"/>
      <c r="S2162" s="27"/>
      <c r="T2162" s="27"/>
      <c r="U2162" s="27"/>
      <c r="V2162" s="27"/>
      <c r="W2162" s="27"/>
      <c r="X2162" s="27"/>
      <c r="Y2162" s="27"/>
    </row>
    <row r="2163">
      <c r="A2163" s="32"/>
      <c r="B2163" s="32"/>
      <c r="C2163" s="32"/>
      <c r="D2163" s="32"/>
      <c r="E2163" s="32"/>
      <c r="F2163" s="32"/>
      <c r="G2163" s="32"/>
      <c r="H2163" s="28"/>
      <c r="I2163" s="32"/>
      <c r="J2163" s="33"/>
      <c r="K2163" s="28"/>
      <c r="L2163" s="27"/>
      <c r="M2163" s="27"/>
      <c r="N2163" s="27"/>
      <c r="O2163" s="27"/>
      <c r="P2163" s="27"/>
      <c r="Q2163" s="27"/>
      <c r="R2163" s="27"/>
      <c r="S2163" s="27"/>
      <c r="T2163" s="27"/>
      <c r="U2163" s="27"/>
      <c r="V2163" s="27"/>
      <c r="W2163" s="27"/>
      <c r="X2163" s="27"/>
      <c r="Y2163" s="27"/>
    </row>
    <row r="2164">
      <c r="A2164" s="32"/>
      <c r="B2164" s="32"/>
      <c r="C2164" s="32"/>
      <c r="D2164" s="32"/>
      <c r="E2164" s="32"/>
      <c r="F2164" s="32"/>
      <c r="G2164" s="32"/>
      <c r="H2164" s="28"/>
      <c r="I2164" s="32"/>
      <c r="J2164" s="33"/>
      <c r="K2164" s="28"/>
      <c r="L2164" s="27"/>
      <c r="M2164" s="27"/>
      <c r="N2164" s="27"/>
      <c r="O2164" s="27"/>
      <c r="P2164" s="27"/>
      <c r="Q2164" s="27"/>
      <c r="R2164" s="27"/>
      <c r="S2164" s="27"/>
      <c r="T2164" s="27"/>
      <c r="U2164" s="27"/>
      <c r="V2164" s="27"/>
      <c r="W2164" s="27"/>
      <c r="X2164" s="27"/>
      <c r="Y2164" s="27"/>
    </row>
    <row r="2165">
      <c r="A2165" s="32"/>
      <c r="B2165" s="32"/>
      <c r="C2165" s="32"/>
      <c r="D2165" s="32"/>
      <c r="E2165" s="32"/>
      <c r="F2165" s="32"/>
      <c r="G2165" s="32"/>
      <c r="H2165" s="28"/>
      <c r="I2165" s="32"/>
      <c r="J2165" s="33"/>
      <c r="K2165" s="28"/>
      <c r="L2165" s="27"/>
      <c r="M2165" s="27"/>
      <c r="N2165" s="27"/>
      <c r="O2165" s="27"/>
      <c r="P2165" s="27"/>
      <c r="Q2165" s="27"/>
      <c r="R2165" s="27"/>
      <c r="S2165" s="27"/>
      <c r="T2165" s="27"/>
      <c r="U2165" s="27"/>
      <c r="V2165" s="27"/>
      <c r="W2165" s="27"/>
      <c r="X2165" s="27"/>
      <c r="Y2165" s="27"/>
    </row>
    <row r="2166">
      <c r="A2166" s="32"/>
      <c r="B2166" s="32"/>
      <c r="C2166" s="32"/>
      <c r="D2166" s="32"/>
      <c r="E2166" s="32"/>
      <c r="F2166" s="32"/>
      <c r="G2166" s="32"/>
      <c r="H2166" s="28"/>
      <c r="I2166" s="32"/>
      <c r="J2166" s="33"/>
      <c r="K2166" s="28"/>
      <c r="L2166" s="27"/>
      <c r="M2166" s="27"/>
      <c r="N2166" s="27"/>
      <c r="O2166" s="27"/>
      <c r="P2166" s="27"/>
      <c r="Q2166" s="27"/>
      <c r="R2166" s="27"/>
      <c r="S2166" s="27"/>
      <c r="T2166" s="27"/>
      <c r="U2166" s="27"/>
      <c r="V2166" s="27"/>
      <c r="W2166" s="27"/>
      <c r="X2166" s="27"/>
      <c r="Y2166" s="27"/>
    </row>
    <row r="2167">
      <c r="A2167" s="32"/>
      <c r="B2167" s="32"/>
      <c r="C2167" s="32"/>
      <c r="D2167" s="32"/>
      <c r="E2167" s="32"/>
      <c r="F2167" s="32"/>
      <c r="G2167" s="32"/>
      <c r="H2167" s="28"/>
      <c r="I2167" s="32"/>
      <c r="J2167" s="33"/>
      <c r="K2167" s="28"/>
      <c r="L2167" s="27"/>
      <c r="M2167" s="27"/>
      <c r="N2167" s="27"/>
      <c r="O2167" s="27"/>
      <c r="P2167" s="27"/>
      <c r="Q2167" s="27"/>
      <c r="R2167" s="27"/>
      <c r="S2167" s="27"/>
      <c r="T2167" s="27"/>
      <c r="U2167" s="27"/>
      <c r="V2167" s="27"/>
      <c r="W2167" s="27"/>
      <c r="X2167" s="27"/>
      <c r="Y2167" s="27"/>
    </row>
    <row r="2168">
      <c r="A2168" s="32"/>
      <c r="B2168" s="32"/>
      <c r="C2168" s="32"/>
      <c r="D2168" s="32"/>
      <c r="E2168" s="32"/>
      <c r="F2168" s="32"/>
      <c r="G2168" s="32"/>
      <c r="H2168" s="28"/>
      <c r="I2168" s="32"/>
      <c r="J2168" s="33"/>
      <c r="K2168" s="28"/>
      <c r="L2168" s="27"/>
      <c r="M2168" s="27"/>
      <c r="N2168" s="27"/>
      <c r="O2168" s="27"/>
      <c r="P2168" s="27"/>
      <c r="Q2168" s="27"/>
      <c r="R2168" s="27"/>
      <c r="S2168" s="27"/>
      <c r="T2168" s="27"/>
      <c r="U2168" s="27"/>
      <c r="V2168" s="27"/>
      <c r="W2168" s="27"/>
      <c r="X2168" s="27"/>
      <c r="Y2168" s="27"/>
    </row>
    <row r="2169">
      <c r="A2169" s="32"/>
      <c r="B2169" s="32"/>
      <c r="C2169" s="32"/>
      <c r="D2169" s="32"/>
      <c r="E2169" s="32"/>
      <c r="F2169" s="32"/>
      <c r="G2169" s="32"/>
      <c r="H2169" s="28"/>
      <c r="I2169" s="32"/>
      <c r="J2169" s="33"/>
      <c r="K2169" s="28"/>
      <c r="L2169" s="27"/>
      <c r="M2169" s="27"/>
      <c r="N2169" s="27"/>
      <c r="O2169" s="27"/>
      <c r="P2169" s="27"/>
      <c r="Q2169" s="27"/>
      <c r="R2169" s="27"/>
      <c r="S2169" s="27"/>
      <c r="T2169" s="27"/>
      <c r="U2169" s="27"/>
      <c r="V2169" s="27"/>
      <c r="W2169" s="27"/>
      <c r="X2169" s="27"/>
      <c r="Y2169" s="27"/>
    </row>
    <row r="2170">
      <c r="A2170" s="32"/>
      <c r="B2170" s="32"/>
      <c r="C2170" s="32"/>
      <c r="D2170" s="32"/>
      <c r="E2170" s="32"/>
      <c r="F2170" s="32"/>
      <c r="G2170" s="32"/>
      <c r="H2170" s="28"/>
      <c r="I2170" s="32"/>
      <c r="J2170" s="33"/>
      <c r="K2170" s="28"/>
      <c r="L2170" s="27"/>
      <c r="M2170" s="27"/>
      <c r="N2170" s="27"/>
      <c r="O2170" s="27"/>
      <c r="P2170" s="27"/>
      <c r="Q2170" s="27"/>
      <c r="R2170" s="27"/>
      <c r="S2170" s="27"/>
      <c r="T2170" s="27"/>
      <c r="U2170" s="27"/>
      <c r="V2170" s="27"/>
      <c r="W2170" s="27"/>
      <c r="X2170" s="27"/>
      <c r="Y2170" s="27"/>
    </row>
    <row r="2171">
      <c r="A2171" s="32"/>
      <c r="B2171" s="32"/>
      <c r="C2171" s="32"/>
      <c r="D2171" s="32"/>
      <c r="E2171" s="32"/>
      <c r="F2171" s="32"/>
      <c r="G2171" s="32"/>
      <c r="H2171" s="28"/>
      <c r="I2171" s="32"/>
      <c r="J2171" s="33"/>
      <c r="K2171" s="28"/>
      <c r="L2171" s="27"/>
      <c r="M2171" s="27"/>
      <c r="N2171" s="27"/>
      <c r="O2171" s="27"/>
      <c r="P2171" s="27"/>
      <c r="Q2171" s="27"/>
      <c r="R2171" s="27"/>
      <c r="S2171" s="27"/>
      <c r="T2171" s="27"/>
      <c r="U2171" s="27"/>
      <c r="V2171" s="27"/>
      <c r="W2171" s="27"/>
      <c r="X2171" s="27"/>
      <c r="Y2171" s="27"/>
    </row>
    <row r="2172">
      <c r="A2172" s="32"/>
      <c r="B2172" s="32"/>
      <c r="C2172" s="32"/>
      <c r="D2172" s="32"/>
      <c r="E2172" s="32"/>
      <c r="F2172" s="32"/>
      <c r="G2172" s="32"/>
      <c r="H2172" s="28"/>
      <c r="I2172" s="32"/>
      <c r="J2172" s="33"/>
      <c r="K2172" s="28"/>
      <c r="L2172" s="27"/>
      <c r="M2172" s="27"/>
      <c r="N2172" s="27"/>
      <c r="O2172" s="27"/>
      <c r="P2172" s="27"/>
      <c r="Q2172" s="27"/>
      <c r="R2172" s="27"/>
      <c r="S2172" s="27"/>
      <c r="T2172" s="27"/>
      <c r="U2172" s="27"/>
      <c r="V2172" s="27"/>
      <c r="W2172" s="27"/>
      <c r="X2172" s="27"/>
      <c r="Y2172" s="27"/>
    </row>
    <row r="2173">
      <c r="A2173" s="32"/>
      <c r="B2173" s="32"/>
      <c r="C2173" s="32"/>
      <c r="D2173" s="32"/>
      <c r="E2173" s="32"/>
      <c r="F2173" s="32"/>
      <c r="G2173" s="32"/>
      <c r="H2173" s="28"/>
      <c r="I2173" s="32"/>
      <c r="J2173" s="33"/>
      <c r="K2173" s="28"/>
      <c r="L2173" s="27"/>
      <c r="M2173" s="27"/>
      <c r="N2173" s="27"/>
      <c r="O2173" s="27"/>
      <c r="P2173" s="27"/>
      <c r="Q2173" s="27"/>
      <c r="R2173" s="27"/>
      <c r="S2173" s="27"/>
      <c r="T2173" s="27"/>
      <c r="U2173" s="27"/>
      <c r="V2173" s="27"/>
      <c r="W2173" s="27"/>
      <c r="X2173" s="27"/>
      <c r="Y2173" s="27"/>
    </row>
    <row r="2174">
      <c r="A2174" s="32"/>
      <c r="B2174" s="32"/>
      <c r="C2174" s="32"/>
      <c r="D2174" s="32"/>
      <c r="E2174" s="32"/>
      <c r="F2174" s="32"/>
      <c r="G2174" s="32"/>
      <c r="H2174" s="28"/>
      <c r="I2174" s="32"/>
      <c r="J2174" s="33"/>
      <c r="K2174" s="28"/>
      <c r="L2174" s="27"/>
      <c r="M2174" s="27"/>
      <c r="N2174" s="27"/>
      <c r="O2174" s="27"/>
      <c r="P2174" s="27"/>
      <c r="Q2174" s="27"/>
      <c r="R2174" s="27"/>
      <c r="S2174" s="27"/>
      <c r="T2174" s="27"/>
      <c r="U2174" s="27"/>
      <c r="V2174" s="27"/>
      <c r="W2174" s="27"/>
      <c r="X2174" s="27"/>
      <c r="Y2174" s="27"/>
    </row>
    <row r="2175">
      <c r="A2175" s="32"/>
      <c r="B2175" s="32"/>
      <c r="C2175" s="32"/>
      <c r="D2175" s="32"/>
      <c r="E2175" s="32"/>
      <c r="F2175" s="32"/>
      <c r="G2175" s="32"/>
      <c r="H2175" s="28"/>
      <c r="I2175" s="32"/>
      <c r="J2175" s="33"/>
      <c r="K2175" s="28"/>
      <c r="L2175" s="27"/>
      <c r="M2175" s="27"/>
      <c r="N2175" s="27"/>
      <c r="O2175" s="27"/>
      <c r="P2175" s="27"/>
      <c r="Q2175" s="27"/>
      <c r="R2175" s="27"/>
      <c r="S2175" s="27"/>
      <c r="T2175" s="27"/>
      <c r="U2175" s="27"/>
      <c r="V2175" s="27"/>
      <c r="W2175" s="27"/>
      <c r="X2175" s="27"/>
      <c r="Y2175" s="27"/>
    </row>
    <row r="2176">
      <c r="A2176" s="32"/>
      <c r="B2176" s="32"/>
      <c r="C2176" s="32"/>
      <c r="D2176" s="32"/>
      <c r="E2176" s="32"/>
      <c r="F2176" s="32"/>
      <c r="G2176" s="32"/>
      <c r="H2176" s="28"/>
      <c r="I2176" s="32"/>
      <c r="J2176" s="33"/>
      <c r="K2176" s="28"/>
      <c r="L2176" s="27"/>
      <c r="M2176" s="27"/>
      <c r="N2176" s="27"/>
      <c r="O2176" s="27"/>
      <c r="P2176" s="27"/>
      <c r="Q2176" s="27"/>
      <c r="R2176" s="27"/>
      <c r="S2176" s="27"/>
      <c r="T2176" s="27"/>
      <c r="U2176" s="27"/>
      <c r="V2176" s="27"/>
      <c r="W2176" s="27"/>
      <c r="X2176" s="27"/>
      <c r="Y2176" s="27"/>
    </row>
    <row r="2177">
      <c r="A2177" s="32"/>
      <c r="B2177" s="32"/>
      <c r="C2177" s="32"/>
      <c r="D2177" s="32"/>
      <c r="E2177" s="32"/>
      <c r="F2177" s="32"/>
      <c r="G2177" s="32"/>
      <c r="H2177" s="28"/>
      <c r="I2177" s="32"/>
      <c r="J2177" s="33"/>
      <c r="K2177" s="28"/>
      <c r="L2177" s="27"/>
      <c r="M2177" s="27"/>
      <c r="N2177" s="27"/>
      <c r="O2177" s="27"/>
      <c r="P2177" s="27"/>
      <c r="Q2177" s="27"/>
      <c r="R2177" s="27"/>
      <c r="S2177" s="27"/>
      <c r="T2177" s="27"/>
      <c r="U2177" s="27"/>
      <c r="V2177" s="27"/>
      <c r="W2177" s="27"/>
      <c r="X2177" s="27"/>
      <c r="Y2177" s="27"/>
    </row>
    <row r="2178">
      <c r="A2178" s="32"/>
      <c r="B2178" s="32"/>
      <c r="C2178" s="32"/>
      <c r="D2178" s="32"/>
      <c r="E2178" s="32"/>
      <c r="F2178" s="32"/>
      <c r="G2178" s="32"/>
      <c r="H2178" s="28"/>
      <c r="I2178" s="32"/>
      <c r="J2178" s="33"/>
      <c r="K2178" s="28"/>
      <c r="L2178" s="27"/>
      <c r="M2178" s="27"/>
      <c r="N2178" s="27"/>
      <c r="O2178" s="27"/>
      <c r="P2178" s="27"/>
      <c r="Q2178" s="27"/>
      <c r="R2178" s="27"/>
      <c r="S2178" s="27"/>
      <c r="T2178" s="27"/>
      <c r="U2178" s="27"/>
      <c r="V2178" s="27"/>
      <c r="W2178" s="27"/>
      <c r="X2178" s="27"/>
      <c r="Y2178" s="27"/>
    </row>
    <row r="2179">
      <c r="A2179" s="32"/>
      <c r="B2179" s="32"/>
      <c r="C2179" s="32"/>
      <c r="D2179" s="32"/>
      <c r="E2179" s="32"/>
      <c r="F2179" s="32"/>
      <c r="G2179" s="32"/>
      <c r="H2179" s="28"/>
      <c r="I2179" s="32"/>
      <c r="J2179" s="33"/>
      <c r="K2179" s="28"/>
      <c r="L2179" s="27"/>
      <c r="M2179" s="27"/>
      <c r="N2179" s="27"/>
      <c r="O2179" s="27"/>
      <c r="P2179" s="27"/>
      <c r="Q2179" s="27"/>
      <c r="R2179" s="27"/>
      <c r="S2179" s="27"/>
      <c r="T2179" s="27"/>
      <c r="U2179" s="27"/>
      <c r="V2179" s="27"/>
      <c r="W2179" s="27"/>
      <c r="X2179" s="27"/>
      <c r="Y2179" s="27"/>
    </row>
    <row r="2180">
      <c r="A2180" s="32"/>
      <c r="B2180" s="32"/>
      <c r="C2180" s="32"/>
      <c r="D2180" s="32"/>
      <c r="E2180" s="32"/>
      <c r="F2180" s="32"/>
      <c r="G2180" s="32"/>
      <c r="H2180" s="28"/>
      <c r="I2180" s="32"/>
      <c r="J2180" s="33"/>
      <c r="K2180" s="28"/>
      <c r="L2180" s="27"/>
      <c r="M2180" s="27"/>
      <c r="N2180" s="27"/>
      <c r="O2180" s="27"/>
      <c r="P2180" s="27"/>
      <c r="Q2180" s="27"/>
      <c r="R2180" s="27"/>
      <c r="S2180" s="27"/>
      <c r="T2180" s="27"/>
      <c r="U2180" s="27"/>
      <c r="V2180" s="27"/>
      <c r="W2180" s="27"/>
      <c r="X2180" s="27"/>
      <c r="Y2180" s="27"/>
    </row>
    <row r="2181">
      <c r="A2181" s="32"/>
      <c r="B2181" s="32"/>
      <c r="C2181" s="32"/>
      <c r="D2181" s="32"/>
      <c r="E2181" s="32"/>
      <c r="F2181" s="32"/>
      <c r="G2181" s="32"/>
      <c r="H2181" s="28"/>
      <c r="I2181" s="32"/>
      <c r="J2181" s="33"/>
      <c r="K2181" s="28"/>
      <c r="L2181" s="27"/>
      <c r="M2181" s="27"/>
      <c r="N2181" s="27"/>
      <c r="O2181" s="27"/>
      <c r="P2181" s="27"/>
      <c r="Q2181" s="27"/>
      <c r="R2181" s="27"/>
      <c r="S2181" s="27"/>
      <c r="T2181" s="27"/>
      <c r="U2181" s="27"/>
      <c r="V2181" s="27"/>
      <c r="W2181" s="27"/>
      <c r="X2181" s="27"/>
      <c r="Y2181" s="27"/>
    </row>
    <row r="2182">
      <c r="A2182" s="32"/>
      <c r="B2182" s="32"/>
      <c r="C2182" s="32"/>
      <c r="D2182" s="32"/>
      <c r="E2182" s="32"/>
      <c r="F2182" s="32"/>
      <c r="G2182" s="32"/>
      <c r="H2182" s="28"/>
      <c r="I2182" s="32"/>
      <c r="J2182" s="33"/>
      <c r="K2182" s="28"/>
      <c r="L2182" s="27"/>
      <c r="M2182" s="27"/>
      <c r="N2182" s="27"/>
      <c r="O2182" s="27"/>
      <c r="P2182" s="27"/>
      <c r="Q2182" s="27"/>
      <c r="R2182" s="27"/>
      <c r="S2182" s="27"/>
      <c r="T2182" s="27"/>
      <c r="U2182" s="27"/>
      <c r="V2182" s="27"/>
      <c r="W2182" s="27"/>
      <c r="X2182" s="27"/>
      <c r="Y2182" s="27"/>
    </row>
    <row r="2183">
      <c r="A2183" s="32"/>
      <c r="B2183" s="32"/>
      <c r="C2183" s="32"/>
      <c r="D2183" s="32"/>
      <c r="E2183" s="32"/>
      <c r="F2183" s="32"/>
      <c r="G2183" s="32"/>
      <c r="H2183" s="28"/>
      <c r="I2183" s="32"/>
      <c r="J2183" s="33"/>
      <c r="K2183" s="28"/>
      <c r="L2183" s="27"/>
      <c r="M2183" s="27"/>
      <c r="N2183" s="27"/>
      <c r="O2183" s="27"/>
      <c r="P2183" s="27"/>
      <c r="Q2183" s="27"/>
      <c r="R2183" s="27"/>
      <c r="S2183" s="27"/>
      <c r="T2183" s="27"/>
      <c r="U2183" s="27"/>
      <c r="V2183" s="27"/>
      <c r="W2183" s="27"/>
      <c r="X2183" s="27"/>
      <c r="Y2183" s="27"/>
    </row>
    <row r="2184">
      <c r="A2184" s="32"/>
      <c r="B2184" s="32"/>
      <c r="C2184" s="32"/>
      <c r="D2184" s="32"/>
      <c r="E2184" s="32"/>
      <c r="F2184" s="32"/>
      <c r="G2184" s="32"/>
      <c r="H2184" s="28"/>
      <c r="I2184" s="32"/>
      <c r="J2184" s="33"/>
      <c r="K2184" s="28"/>
      <c r="L2184" s="27"/>
      <c r="M2184" s="27"/>
      <c r="N2184" s="27"/>
      <c r="O2184" s="27"/>
      <c r="P2184" s="27"/>
      <c r="Q2184" s="27"/>
      <c r="R2184" s="27"/>
      <c r="S2184" s="27"/>
      <c r="T2184" s="27"/>
      <c r="U2184" s="27"/>
      <c r="V2184" s="27"/>
      <c r="W2184" s="27"/>
      <c r="X2184" s="27"/>
      <c r="Y2184" s="27"/>
    </row>
    <row r="2185">
      <c r="A2185" s="32"/>
      <c r="B2185" s="32"/>
      <c r="C2185" s="32"/>
      <c r="D2185" s="32"/>
      <c r="E2185" s="32"/>
      <c r="F2185" s="32"/>
      <c r="G2185" s="32"/>
      <c r="H2185" s="28"/>
      <c r="I2185" s="32"/>
      <c r="J2185" s="33"/>
      <c r="K2185" s="28"/>
      <c r="L2185" s="27"/>
      <c r="M2185" s="27"/>
      <c r="N2185" s="27"/>
      <c r="O2185" s="27"/>
      <c r="P2185" s="27"/>
      <c r="Q2185" s="27"/>
      <c r="R2185" s="27"/>
      <c r="S2185" s="27"/>
      <c r="T2185" s="27"/>
      <c r="U2185" s="27"/>
      <c r="V2185" s="27"/>
      <c r="W2185" s="27"/>
      <c r="X2185" s="27"/>
      <c r="Y2185" s="27"/>
    </row>
    <row r="2186">
      <c r="A2186" s="32"/>
      <c r="B2186" s="32"/>
      <c r="C2186" s="32"/>
      <c r="D2186" s="32"/>
      <c r="E2186" s="32"/>
      <c r="F2186" s="32"/>
      <c r="G2186" s="32"/>
      <c r="H2186" s="28"/>
      <c r="I2186" s="32"/>
      <c r="J2186" s="33"/>
      <c r="K2186" s="28"/>
      <c r="L2186" s="27"/>
      <c r="M2186" s="27"/>
      <c r="N2186" s="27"/>
      <c r="O2186" s="27"/>
      <c r="P2186" s="27"/>
      <c r="Q2186" s="27"/>
      <c r="R2186" s="27"/>
      <c r="S2186" s="27"/>
      <c r="T2186" s="27"/>
      <c r="U2186" s="27"/>
      <c r="V2186" s="27"/>
      <c r="W2186" s="27"/>
      <c r="X2186" s="27"/>
      <c r="Y2186" s="27"/>
    </row>
    <row r="2187">
      <c r="A2187" s="32"/>
      <c r="B2187" s="32"/>
      <c r="C2187" s="32"/>
      <c r="D2187" s="32"/>
      <c r="E2187" s="32"/>
      <c r="F2187" s="32"/>
      <c r="G2187" s="32"/>
      <c r="H2187" s="28"/>
      <c r="I2187" s="32"/>
      <c r="J2187" s="33"/>
      <c r="K2187" s="28"/>
      <c r="L2187" s="27"/>
      <c r="M2187" s="27"/>
      <c r="N2187" s="27"/>
      <c r="O2187" s="27"/>
      <c r="P2187" s="27"/>
      <c r="Q2187" s="27"/>
      <c r="R2187" s="27"/>
      <c r="S2187" s="27"/>
      <c r="T2187" s="27"/>
      <c r="U2187" s="27"/>
      <c r="V2187" s="27"/>
      <c r="W2187" s="27"/>
      <c r="X2187" s="27"/>
      <c r="Y2187" s="27"/>
    </row>
    <row r="2188">
      <c r="A2188" s="32"/>
      <c r="B2188" s="32"/>
      <c r="C2188" s="32"/>
      <c r="D2188" s="32"/>
      <c r="E2188" s="32"/>
      <c r="F2188" s="32"/>
      <c r="G2188" s="32"/>
      <c r="H2188" s="28"/>
      <c r="I2188" s="32"/>
      <c r="J2188" s="33"/>
      <c r="K2188" s="28"/>
      <c r="L2188" s="27"/>
      <c r="M2188" s="27"/>
      <c r="N2188" s="27"/>
      <c r="O2188" s="27"/>
      <c r="P2188" s="27"/>
      <c r="Q2188" s="27"/>
      <c r="R2188" s="27"/>
      <c r="S2188" s="27"/>
      <c r="T2188" s="27"/>
      <c r="U2188" s="27"/>
      <c r="V2188" s="27"/>
      <c r="W2188" s="27"/>
      <c r="X2188" s="27"/>
      <c r="Y2188" s="27"/>
    </row>
    <row r="2189">
      <c r="A2189" s="32"/>
      <c r="B2189" s="32"/>
      <c r="C2189" s="32"/>
      <c r="D2189" s="32"/>
      <c r="E2189" s="32"/>
      <c r="F2189" s="32"/>
      <c r="G2189" s="32"/>
      <c r="H2189" s="28"/>
      <c r="I2189" s="32"/>
      <c r="J2189" s="33"/>
      <c r="K2189" s="28"/>
      <c r="L2189" s="27"/>
      <c r="M2189" s="27"/>
      <c r="N2189" s="27"/>
      <c r="O2189" s="27"/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</row>
    <row r="2190">
      <c r="A2190" s="32"/>
      <c r="B2190" s="32"/>
      <c r="C2190" s="32"/>
      <c r="D2190" s="32"/>
      <c r="E2190" s="32"/>
      <c r="F2190" s="32"/>
      <c r="G2190" s="32"/>
      <c r="H2190" s="28"/>
      <c r="I2190" s="32"/>
      <c r="J2190" s="33"/>
      <c r="K2190" s="28"/>
      <c r="L2190" s="27"/>
      <c r="M2190" s="27"/>
      <c r="N2190" s="27"/>
      <c r="O2190" s="27"/>
      <c r="P2190" s="27"/>
      <c r="Q2190" s="27"/>
      <c r="R2190" s="27"/>
      <c r="S2190" s="27"/>
      <c r="T2190" s="27"/>
      <c r="U2190" s="27"/>
      <c r="V2190" s="27"/>
      <c r="W2190" s="27"/>
      <c r="X2190" s="27"/>
      <c r="Y2190" s="27"/>
    </row>
    <row r="2191">
      <c r="A2191" s="32"/>
      <c r="B2191" s="32"/>
      <c r="C2191" s="32"/>
      <c r="D2191" s="32"/>
      <c r="E2191" s="32"/>
      <c r="F2191" s="32"/>
      <c r="G2191" s="32"/>
      <c r="H2191" s="28"/>
      <c r="I2191" s="32"/>
      <c r="J2191" s="33"/>
      <c r="K2191" s="28"/>
      <c r="L2191" s="27"/>
      <c r="M2191" s="27"/>
      <c r="N2191" s="27"/>
      <c r="O2191" s="27"/>
      <c r="P2191" s="27"/>
      <c r="Q2191" s="27"/>
      <c r="R2191" s="27"/>
      <c r="S2191" s="27"/>
      <c r="T2191" s="27"/>
      <c r="U2191" s="27"/>
      <c r="V2191" s="27"/>
      <c r="W2191" s="27"/>
      <c r="X2191" s="27"/>
      <c r="Y2191" s="27"/>
    </row>
    <row r="2192">
      <c r="A2192" s="32"/>
      <c r="B2192" s="32"/>
      <c r="C2192" s="32"/>
      <c r="D2192" s="32"/>
      <c r="E2192" s="32"/>
      <c r="F2192" s="32"/>
      <c r="G2192" s="32"/>
      <c r="H2192" s="28"/>
      <c r="I2192" s="32"/>
      <c r="J2192" s="33"/>
      <c r="K2192" s="28"/>
      <c r="L2192" s="27"/>
      <c r="M2192" s="27"/>
      <c r="N2192" s="27"/>
      <c r="O2192" s="27"/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</row>
    <row r="2193">
      <c r="A2193" s="32"/>
      <c r="B2193" s="32"/>
      <c r="C2193" s="32"/>
      <c r="D2193" s="32"/>
      <c r="E2193" s="32"/>
      <c r="F2193" s="32"/>
      <c r="G2193" s="32"/>
      <c r="H2193" s="28"/>
      <c r="I2193" s="32"/>
      <c r="J2193" s="33"/>
      <c r="K2193" s="28"/>
      <c r="L2193" s="27"/>
      <c r="M2193" s="27"/>
      <c r="N2193" s="27"/>
      <c r="O2193" s="27"/>
      <c r="P2193" s="27"/>
      <c r="Q2193" s="27"/>
      <c r="R2193" s="27"/>
      <c r="S2193" s="27"/>
      <c r="T2193" s="27"/>
      <c r="U2193" s="27"/>
      <c r="V2193" s="27"/>
      <c r="W2193" s="27"/>
      <c r="X2193" s="27"/>
      <c r="Y2193" s="27"/>
    </row>
    <row r="2194">
      <c r="A2194" s="32"/>
      <c r="B2194" s="32"/>
      <c r="C2194" s="32"/>
      <c r="D2194" s="32"/>
      <c r="E2194" s="32"/>
      <c r="F2194" s="32"/>
      <c r="G2194" s="32"/>
      <c r="H2194" s="28"/>
      <c r="I2194" s="32"/>
      <c r="J2194" s="33"/>
      <c r="K2194" s="28"/>
      <c r="L2194" s="27"/>
      <c r="M2194" s="27"/>
      <c r="N2194" s="27"/>
      <c r="O2194" s="27"/>
      <c r="P2194" s="27"/>
      <c r="Q2194" s="27"/>
      <c r="R2194" s="27"/>
      <c r="S2194" s="27"/>
      <c r="T2194" s="27"/>
      <c r="U2194" s="27"/>
      <c r="V2194" s="27"/>
      <c r="W2194" s="27"/>
      <c r="X2194" s="27"/>
      <c r="Y2194" s="27"/>
    </row>
    <row r="2195">
      <c r="A2195" s="32"/>
      <c r="B2195" s="32"/>
      <c r="C2195" s="32"/>
      <c r="D2195" s="32"/>
      <c r="E2195" s="32"/>
      <c r="F2195" s="32"/>
      <c r="G2195" s="32"/>
      <c r="H2195" s="28"/>
      <c r="I2195" s="32"/>
      <c r="J2195" s="33"/>
      <c r="K2195" s="28"/>
      <c r="L2195" s="27"/>
      <c r="M2195" s="27"/>
      <c r="N2195" s="27"/>
      <c r="O2195" s="27"/>
      <c r="P2195" s="27"/>
      <c r="Q2195" s="27"/>
      <c r="R2195" s="27"/>
      <c r="S2195" s="27"/>
      <c r="T2195" s="27"/>
      <c r="U2195" s="27"/>
      <c r="V2195" s="27"/>
      <c r="W2195" s="27"/>
      <c r="X2195" s="27"/>
      <c r="Y2195" s="27"/>
    </row>
    <row r="2196">
      <c r="A2196" s="32"/>
      <c r="B2196" s="32"/>
      <c r="C2196" s="32"/>
      <c r="D2196" s="32"/>
      <c r="E2196" s="32"/>
      <c r="F2196" s="32"/>
      <c r="G2196" s="32"/>
      <c r="H2196" s="28"/>
      <c r="I2196" s="32"/>
      <c r="J2196" s="33"/>
      <c r="K2196" s="28"/>
      <c r="L2196" s="27"/>
      <c r="M2196" s="27"/>
      <c r="N2196" s="27"/>
      <c r="O2196" s="27"/>
      <c r="P2196" s="27"/>
      <c r="Q2196" s="27"/>
      <c r="R2196" s="27"/>
      <c r="S2196" s="27"/>
      <c r="T2196" s="27"/>
      <c r="U2196" s="27"/>
      <c r="V2196" s="27"/>
      <c r="W2196" s="27"/>
      <c r="X2196" s="27"/>
      <c r="Y2196" s="27"/>
    </row>
    <row r="2197">
      <c r="A2197" s="32"/>
      <c r="B2197" s="32"/>
      <c r="C2197" s="32"/>
      <c r="D2197" s="32"/>
      <c r="E2197" s="32"/>
      <c r="F2197" s="32"/>
      <c r="G2197" s="32"/>
      <c r="H2197" s="28"/>
      <c r="I2197" s="32"/>
      <c r="J2197" s="33"/>
      <c r="K2197" s="28"/>
      <c r="L2197" s="27"/>
      <c r="M2197" s="27"/>
      <c r="N2197" s="27"/>
      <c r="O2197" s="27"/>
      <c r="P2197" s="27"/>
      <c r="Q2197" s="27"/>
      <c r="R2197" s="27"/>
      <c r="S2197" s="27"/>
      <c r="T2197" s="27"/>
      <c r="U2197" s="27"/>
      <c r="V2197" s="27"/>
      <c r="W2197" s="27"/>
      <c r="X2197" s="27"/>
      <c r="Y2197" s="27"/>
    </row>
    <row r="2198">
      <c r="A2198" s="32"/>
      <c r="B2198" s="32"/>
      <c r="C2198" s="32"/>
      <c r="D2198" s="32"/>
      <c r="E2198" s="32"/>
      <c r="F2198" s="32"/>
      <c r="G2198" s="32"/>
      <c r="H2198" s="28"/>
      <c r="I2198" s="32"/>
      <c r="J2198" s="33"/>
      <c r="K2198" s="28"/>
      <c r="L2198" s="27"/>
      <c r="M2198" s="27"/>
      <c r="N2198" s="27"/>
      <c r="O2198" s="27"/>
      <c r="P2198" s="27"/>
      <c r="Q2198" s="27"/>
      <c r="R2198" s="27"/>
      <c r="S2198" s="27"/>
      <c r="T2198" s="27"/>
      <c r="U2198" s="27"/>
      <c r="V2198" s="27"/>
      <c r="W2198" s="27"/>
      <c r="X2198" s="27"/>
      <c r="Y2198" s="27"/>
    </row>
    <row r="2199">
      <c r="A2199" s="32"/>
      <c r="B2199" s="32"/>
      <c r="C2199" s="32"/>
      <c r="D2199" s="32"/>
      <c r="E2199" s="32"/>
      <c r="F2199" s="32"/>
      <c r="G2199" s="32"/>
      <c r="H2199" s="28"/>
      <c r="I2199" s="32"/>
      <c r="J2199" s="33"/>
      <c r="K2199" s="28"/>
      <c r="L2199" s="27"/>
      <c r="M2199" s="27"/>
      <c r="N2199" s="27"/>
      <c r="O2199" s="27"/>
      <c r="P2199" s="27"/>
      <c r="Q2199" s="27"/>
      <c r="R2199" s="27"/>
      <c r="S2199" s="27"/>
      <c r="T2199" s="27"/>
      <c r="U2199" s="27"/>
      <c r="V2199" s="27"/>
      <c r="W2199" s="27"/>
      <c r="X2199" s="27"/>
      <c r="Y2199" s="27"/>
    </row>
    <row r="2200">
      <c r="A2200" s="32"/>
      <c r="B2200" s="32"/>
      <c r="C2200" s="32"/>
      <c r="D2200" s="32"/>
      <c r="E2200" s="32"/>
      <c r="F2200" s="32"/>
      <c r="G2200" s="32"/>
      <c r="H2200" s="28"/>
      <c r="I2200" s="32"/>
      <c r="J2200" s="33"/>
      <c r="K2200" s="28"/>
      <c r="L2200" s="27"/>
      <c r="M2200" s="27"/>
      <c r="N2200" s="27"/>
      <c r="O2200" s="27"/>
      <c r="P2200" s="27"/>
      <c r="Q2200" s="27"/>
      <c r="R2200" s="27"/>
      <c r="S2200" s="27"/>
      <c r="T2200" s="27"/>
      <c r="U2200" s="27"/>
      <c r="V2200" s="27"/>
      <c r="W2200" s="27"/>
      <c r="X2200" s="27"/>
      <c r="Y2200" s="27"/>
    </row>
    <row r="2201">
      <c r="A2201" s="32"/>
      <c r="B2201" s="32"/>
      <c r="C2201" s="32"/>
      <c r="D2201" s="32"/>
      <c r="E2201" s="32"/>
      <c r="F2201" s="32"/>
      <c r="G2201" s="32"/>
      <c r="H2201" s="28"/>
      <c r="I2201" s="32"/>
      <c r="J2201" s="33"/>
      <c r="K2201" s="28"/>
      <c r="L2201" s="27"/>
      <c r="M2201" s="27"/>
      <c r="N2201" s="27"/>
      <c r="O2201" s="27"/>
      <c r="P2201" s="27"/>
      <c r="Q2201" s="27"/>
      <c r="R2201" s="27"/>
      <c r="S2201" s="27"/>
      <c r="T2201" s="27"/>
      <c r="U2201" s="27"/>
      <c r="V2201" s="27"/>
      <c r="W2201" s="27"/>
      <c r="X2201" s="27"/>
      <c r="Y2201" s="27"/>
    </row>
    <row r="2202">
      <c r="A2202" s="32"/>
      <c r="B2202" s="32"/>
      <c r="C2202" s="32"/>
      <c r="D2202" s="32"/>
      <c r="E2202" s="32"/>
      <c r="F2202" s="32"/>
      <c r="G2202" s="32"/>
      <c r="H2202" s="28"/>
      <c r="I2202" s="32"/>
      <c r="J2202" s="33"/>
      <c r="K2202" s="28"/>
      <c r="L2202" s="27"/>
      <c r="M2202" s="27"/>
      <c r="N2202" s="27"/>
      <c r="O2202" s="27"/>
      <c r="P2202" s="27"/>
      <c r="Q2202" s="27"/>
      <c r="R2202" s="27"/>
      <c r="S2202" s="27"/>
      <c r="T2202" s="27"/>
      <c r="U2202" s="27"/>
      <c r="V2202" s="27"/>
      <c r="W2202" s="27"/>
      <c r="X2202" s="27"/>
      <c r="Y2202" s="27"/>
    </row>
    <row r="2203">
      <c r="A2203" s="32"/>
      <c r="B2203" s="32"/>
      <c r="C2203" s="32"/>
      <c r="D2203" s="32"/>
      <c r="E2203" s="32"/>
      <c r="F2203" s="32"/>
      <c r="G2203" s="32"/>
      <c r="H2203" s="28"/>
      <c r="I2203" s="32"/>
      <c r="J2203" s="33"/>
      <c r="K2203" s="28"/>
      <c r="L2203" s="27"/>
      <c r="M2203" s="27"/>
      <c r="N2203" s="27"/>
      <c r="O2203" s="27"/>
      <c r="P2203" s="27"/>
      <c r="Q2203" s="27"/>
      <c r="R2203" s="27"/>
      <c r="S2203" s="27"/>
      <c r="T2203" s="27"/>
      <c r="U2203" s="27"/>
      <c r="V2203" s="27"/>
      <c r="W2203" s="27"/>
      <c r="X2203" s="27"/>
      <c r="Y2203" s="27"/>
    </row>
    <row r="2204">
      <c r="A2204" s="32"/>
      <c r="B2204" s="32"/>
      <c r="C2204" s="32"/>
      <c r="D2204" s="32"/>
      <c r="E2204" s="32"/>
      <c r="F2204" s="32"/>
      <c r="G2204" s="32"/>
      <c r="H2204" s="28"/>
      <c r="I2204" s="32"/>
      <c r="J2204" s="33"/>
      <c r="K2204" s="28"/>
      <c r="L2204" s="27"/>
      <c r="M2204" s="27"/>
      <c r="N2204" s="27"/>
      <c r="O2204" s="27"/>
      <c r="P2204" s="27"/>
      <c r="Q2204" s="27"/>
      <c r="R2204" s="27"/>
      <c r="S2204" s="27"/>
      <c r="T2204" s="27"/>
      <c r="U2204" s="27"/>
      <c r="V2204" s="27"/>
      <c r="W2204" s="27"/>
      <c r="X2204" s="27"/>
      <c r="Y2204" s="27"/>
    </row>
    <row r="2205">
      <c r="A2205" s="32"/>
      <c r="B2205" s="32"/>
      <c r="C2205" s="32"/>
      <c r="D2205" s="32"/>
      <c r="E2205" s="32"/>
      <c r="F2205" s="32"/>
      <c r="G2205" s="32"/>
      <c r="H2205" s="28"/>
      <c r="I2205" s="32"/>
      <c r="J2205" s="33"/>
      <c r="K2205" s="28"/>
      <c r="L2205" s="27"/>
      <c r="M2205" s="27"/>
      <c r="N2205" s="27"/>
      <c r="O2205" s="27"/>
      <c r="P2205" s="27"/>
      <c r="Q2205" s="27"/>
      <c r="R2205" s="27"/>
      <c r="S2205" s="27"/>
      <c r="T2205" s="27"/>
      <c r="U2205" s="27"/>
      <c r="V2205" s="27"/>
      <c r="W2205" s="27"/>
      <c r="X2205" s="27"/>
      <c r="Y2205" s="27"/>
    </row>
    <row r="2206">
      <c r="A2206" s="32"/>
      <c r="B2206" s="32"/>
      <c r="C2206" s="32"/>
      <c r="D2206" s="32"/>
      <c r="E2206" s="32"/>
      <c r="F2206" s="32"/>
      <c r="G2206" s="32"/>
      <c r="H2206" s="28"/>
      <c r="I2206" s="32"/>
      <c r="J2206" s="33"/>
      <c r="K2206" s="28"/>
      <c r="L2206" s="27"/>
      <c r="M2206" s="27"/>
      <c r="N2206" s="27"/>
      <c r="O2206" s="27"/>
      <c r="P2206" s="27"/>
      <c r="Q2206" s="27"/>
      <c r="R2206" s="27"/>
      <c r="S2206" s="27"/>
      <c r="T2206" s="27"/>
      <c r="U2206" s="27"/>
      <c r="V2206" s="27"/>
      <c r="W2206" s="27"/>
      <c r="X2206" s="27"/>
      <c r="Y2206" s="27"/>
    </row>
    <row r="2207">
      <c r="A2207" s="32"/>
      <c r="B2207" s="32"/>
      <c r="C2207" s="32"/>
      <c r="D2207" s="32"/>
      <c r="E2207" s="32"/>
      <c r="F2207" s="32"/>
      <c r="G2207" s="32"/>
      <c r="H2207" s="28"/>
      <c r="I2207" s="32"/>
      <c r="J2207" s="33"/>
      <c r="K2207" s="28"/>
      <c r="L2207" s="27"/>
      <c r="M2207" s="27"/>
      <c r="N2207" s="27"/>
      <c r="O2207" s="27"/>
      <c r="P2207" s="27"/>
      <c r="Q2207" s="27"/>
      <c r="R2207" s="27"/>
      <c r="S2207" s="27"/>
      <c r="T2207" s="27"/>
      <c r="U2207" s="27"/>
      <c r="V2207" s="27"/>
      <c r="W2207" s="27"/>
      <c r="X2207" s="27"/>
      <c r="Y2207" s="27"/>
    </row>
    <row r="2208">
      <c r="A2208" s="32"/>
      <c r="B2208" s="32"/>
      <c r="C2208" s="32"/>
      <c r="D2208" s="32"/>
      <c r="E2208" s="32"/>
      <c r="F2208" s="32"/>
      <c r="G2208" s="32"/>
      <c r="H2208" s="28"/>
      <c r="I2208" s="32"/>
      <c r="J2208" s="33"/>
      <c r="K2208" s="28"/>
      <c r="L2208" s="27"/>
      <c r="M2208" s="27"/>
      <c r="N2208" s="27"/>
      <c r="O2208" s="27"/>
      <c r="P2208" s="27"/>
      <c r="Q2208" s="27"/>
      <c r="R2208" s="27"/>
      <c r="S2208" s="27"/>
      <c r="T2208" s="27"/>
      <c r="U2208" s="27"/>
      <c r="V2208" s="27"/>
      <c r="W2208" s="27"/>
      <c r="X2208" s="27"/>
      <c r="Y2208" s="27"/>
    </row>
    <row r="2209">
      <c r="A2209" s="32"/>
      <c r="B2209" s="32"/>
      <c r="C2209" s="32"/>
      <c r="D2209" s="32"/>
      <c r="E2209" s="32"/>
      <c r="F2209" s="32"/>
      <c r="G2209" s="32"/>
      <c r="H2209" s="28"/>
      <c r="I2209" s="32"/>
      <c r="J2209" s="33"/>
      <c r="K2209" s="28"/>
      <c r="L2209" s="27"/>
      <c r="M2209" s="27"/>
      <c r="N2209" s="27"/>
      <c r="O2209" s="27"/>
      <c r="P2209" s="27"/>
      <c r="Q2209" s="27"/>
      <c r="R2209" s="27"/>
      <c r="S2209" s="27"/>
      <c r="T2209" s="27"/>
      <c r="U2209" s="27"/>
      <c r="V2209" s="27"/>
      <c r="W2209" s="27"/>
      <c r="X2209" s="27"/>
      <c r="Y2209" s="27"/>
    </row>
    <row r="2210">
      <c r="A2210" s="32"/>
      <c r="B2210" s="32"/>
      <c r="C2210" s="32"/>
      <c r="D2210" s="32"/>
      <c r="E2210" s="32"/>
      <c r="F2210" s="32"/>
      <c r="G2210" s="32"/>
      <c r="H2210" s="28"/>
      <c r="I2210" s="32"/>
      <c r="J2210" s="33"/>
      <c r="K2210" s="28"/>
      <c r="L2210" s="27"/>
      <c r="M2210" s="27"/>
      <c r="N2210" s="27"/>
      <c r="O2210" s="27"/>
      <c r="P2210" s="27"/>
      <c r="Q2210" s="27"/>
      <c r="R2210" s="27"/>
      <c r="S2210" s="27"/>
      <c r="T2210" s="27"/>
      <c r="U2210" s="27"/>
      <c r="V2210" s="27"/>
      <c r="W2210" s="27"/>
      <c r="X2210" s="27"/>
      <c r="Y2210" s="27"/>
    </row>
    <row r="2211">
      <c r="A2211" s="32"/>
      <c r="B2211" s="32"/>
      <c r="C2211" s="32"/>
      <c r="D2211" s="32"/>
      <c r="E2211" s="32"/>
      <c r="F2211" s="32"/>
      <c r="G2211" s="32"/>
      <c r="H2211" s="28"/>
      <c r="I2211" s="32"/>
      <c r="J2211" s="33"/>
      <c r="K2211" s="28"/>
      <c r="L2211" s="27"/>
      <c r="M2211" s="27"/>
      <c r="N2211" s="27"/>
      <c r="O2211" s="27"/>
      <c r="P2211" s="27"/>
      <c r="Q2211" s="27"/>
      <c r="R2211" s="27"/>
      <c r="S2211" s="27"/>
      <c r="T2211" s="27"/>
      <c r="U2211" s="27"/>
      <c r="V2211" s="27"/>
      <c r="W2211" s="27"/>
      <c r="X2211" s="27"/>
      <c r="Y2211" s="27"/>
    </row>
    <row r="2212">
      <c r="A2212" s="32"/>
      <c r="B2212" s="32"/>
      <c r="C2212" s="32"/>
      <c r="D2212" s="32"/>
      <c r="E2212" s="32"/>
      <c r="F2212" s="32"/>
      <c r="G2212" s="32"/>
      <c r="H2212" s="28"/>
      <c r="I2212" s="32"/>
      <c r="J2212" s="33"/>
      <c r="K2212" s="28"/>
      <c r="L2212" s="27"/>
      <c r="M2212" s="27"/>
      <c r="N2212" s="27"/>
      <c r="O2212" s="27"/>
      <c r="P2212" s="27"/>
      <c r="Q2212" s="27"/>
      <c r="R2212" s="27"/>
      <c r="S2212" s="27"/>
      <c r="T2212" s="27"/>
      <c r="U2212" s="27"/>
      <c r="V2212" s="27"/>
      <c r="W2212" s="27"/>
      <c r="X2212" s="27"/>
      <c r="Y2212" s="27"/>
    </row>
    <row r="2213">
      <c r="A2213" s="32"/>
      <c r="B2213" s="32"/>
      <c r="C2213" s="32"/>
      <c r="D2213" s="32"/>
      <c r="E2213" s="32"/>
      <c r="F2213" s="32"/>
      <c r="G2213" s="32"/>
      <c r="H2213" s="28"/>
      <c r="I2213" s="32"/>
      <c r="J2213" s="33"/>
      <c r="K2213" s="28"/>
      <c r="L2213" s="27"/>
      <c r="M2213" s="27"/>
      <c r="N2213" s="27"/>
      <c r="O2213" s="27"/>
      <c r="P2213" s="27"/>
      <c r="Q2213" s="27"/>
      <c r="R2213" s="27"/>
      <c r="S2213" s="27"/>
      <c r="T2213" s="27"/>
      <c r="U2213" s="27"/>
      <c r="V2213" s="27"/>
      <c r="W2213" s="27"/>
      <c r="X2213" s="27"/>
      <c r="Y2213" s="27"/>
    </row>
    <row r="2214">
      <c r="A2214" s="32"/>
      <c r="B2214" s="32"/>
      <c r="C2214" s="32"/>
      <c r="D2214" s="32"/>
      <c r="E2214" s="32"/>
      <c r="F2214" s="32"/>
      <c r="G2214" s="32"/>
      <c r="H2214" s="28"/>
      <c r="I2214" s="32"/>
      <c r="J2214" s="33"/>
      <c r="K2214" s="28"/>
      <c r="L2214" s="27"/>
      <c r="M2214" s="27"/>
      <c r="N2214" s="27"/>
      <c r="O2214" s="27"/>
      <c r="P2214" s="27"/>
      <c r="Q2214" s="27"/>
      <c r="R2214" s="27"/>
      <c r="S2214" s="27"/>
      <c r="T2214" s="27"/>
      <c r="U2214" s="27"/>
      <c r="V2214" s="27"/>
      <c r="W2214" s="27"/>
      <c r="X2214" s="27"/>
      <c r="Y2214" s="27"/>
    </row>
    <row r="2215">
      <c r="A2215" s="32"/>
      <c r="B2215" s="32"/>
      <c r="C2215" s="32"/>
      <c r="D2215" s="32"/>
      <c r="E2215" s="32"/>
      <c r="F2215" s="32"/>
      <c r="G2215" s="32"/>
      <c r="H2215" s="28"/>
      <c r="I2215" s="32"/>
      <c r="J2215" s="33"/>
      <c r="K2215" s="28"/>
      <c r="L2215" s="27"/>
      <c r="M2215" s="27"/>
      <c r="N2215" s="27"/>
      <c r="O2215" s="27"/>
      <c r="P2215" s="27"/>
      <c r="Q2215" s="27"/>
      <c r="R2215" s="27"/>
      <c r="S2215" s="27"/>
      <c r="T2215" s="27"/>
      <c r="U2215" s="27"/>
      <c r="V2215" s="27"/>
      <c r="W2215" s="27"/>
      <c r="X2215" s="27"/>
      <c r="Y2215" s="27"/>
    </row>
    <row r="2216">
      <c r="A2216" s="32"/>
      <c r="B2216" s="32"/>
      <c r="C2216" s="32"/>
      <c r="D2216" s="32"/>
      <c r="E2216" s="32"/>
      <c r="F2216" s="32"/>
      <c r="G2216" s="32"/>
      <c r="H2216" s="28"/>
      <c r="I2216" s="32"/>
      <c r="J2216" s="33"/>
      <c r="K2216" s="28"/>
      <c r="L2216" s="27"/>
      <c r="M2216" s="27"/>
      <c r="N2216" s="27"/>
      <c r="O2216" s="27"/>
      <c r="P2216" s="27"/>
      <c r="Q2216" s="27"/>
      <c r="R2216" s="27"/>
      <c r="S2216" s="27"/>
      <c r="T2216" s="27"/>
      <c r="U2216" s="27"/>
      <c r="V2216" s="27"/>
      <c r="W2216" s="27"/>
      <c r="X2216" s="27"/>
      <c r="Y2216" s="27"/>
    </row>
    <row r="2217">
      <c r="A2217" s="32"/>
      <c r="B2217" s="32"/>
      <c r="C2217" s="32"/>
      <c r="D2217" s="32"/>
      <c r="E2217" s="32"/>
      <c r="F2217" s="32"/>
      <c r="G2217" s="32"/>
      <c r="H2217" s="28"/>
      <c r="I2217" s="32"/>
      <c r="J2217" s="33"/>
      <c r="K2217" s="28"/>
      <c r="L2217" s="27"/>
      <c r="M2217" s="27"/>
      <c r="N2217" s="27"/>
      <c r="O2217" s="27"/>
      <c r="P2217" s="27"/>
      <c r="Q2217" s="27"/>
      <c r="R2217" s="27"/>
      <c r="S2217" s="27"/>
      <c r="T2217" s="27"/>
      <c r="U2217" s="27"/>
      <c r="V2217" s="27"/>
      <c r="W2217" s="27"/>
      <c r="X2217" s="27"/>
      <c r="Y2217" s="27"/>
    </row>
    <row r="2218">
      <c r="A2218" s="32"/>
      <c r="B2218" s="32"/>
      <c r="C2218" s="32"/>
      <c r="D2218" s="32"/>
      <c r="E2218" s="32"/>
      <c r="F2218" s="32"/>
      <c r="G2218" s="32"/>
      <c r="H2218" s="28"/>
      <c r="I2218" s="32"/>
      <c r="J2218" s="33"/>
      <c r="K2218" s="28"/>
      <c r="L2218" s="27"/>
      <c r="M2218" s="27"/>
      <c r="N2218" s="27"/>
      <c r="O2218" s="27"/>
      <c r="P2218" s="27"/>
      <c r="Q2218" s="27"/>
      <c r="R2218" s="27"/>
      <c r="S2218" s="27"/>
      <c r="T2218" s="27"/>
      <c r="U2218" s="27"/>
      <c r="V2218" s="27"/>
      <c r="W2218" s="27"/>
      <c r="X2218" s="27"/>
      <c r="Y2218" s="27"/>
    </row>
    <row r="2219">
      <c r="A2219" s="32"/>
      <c r="B2219" s="32"/>
      <c r="C2219" s="32"/>
      <c r="D2219" s="32"/>
      <c r="E2219" s="32"/>
      <c r="F2219" s="32"/>
      <c r="G2219" s="32"/>
      <c r="H2219" s="28"/>
      <c r="I2219" s="32"/>
      <c r="J2219" s="33"/>
      <c r="K2219" s="28"/>
      <c r="L2219" s="27"/>
      <c r="M2219" s="27"/>
      <c r="N2219" s="27"/>
      <c r="O2219" s="27"/>
      <c r="P2219" s="27"/>
      <c r="Q2219" s="27"/>
      <c r="R2219" s="27"/>
      <c r="S2219" s="27"/>
      <c r="T2219" s="27"/>
      <c r="U2219" s="27"/>
      <c r="V2219" s="27"/>
      <c r="W2219" s="27"/>
      <c r="X2219" s="27"/>
      <c r="Y2219" s="27"/>
    </row>
    <row r="2220">
      <c r="A2220" s="32"/>
      <c r="B2220" s="32"/>
      <c r="C2220" s="32"/>
      <c r="D2220" s="32"/>
      <c r="E2220" s="32"/>
      <c r="F2220" s="32"/>
      <c r="G2220" s="32"/>
      <c r="H2220" s="28"/>
      <c r="I2220" s="32"/>
      <c r="J2220" s="33"/>
      <c r="K2220" s="28"/>
      <c r="L2220" s="27"/>
      <c r="M2220" s="27"/>
      <c r="N2220" s="27"/>
      <c r="O2220" s="27"/>
      <c r="P2220" s="27"/>
      <c r="Q2220" s="27"/>
      <c r="R2220" s="27"/>
      <c r="S2220" s="27"/>
      <c r="T2220" s="27"/>
      <c r="U2220" s="27"/>
      <c r="V2220" s="27"/>
      <c r="W2220" s="27"/>
      <c r="X2220" s="27"/>
      <c r="Y2220" s="27"/>
    </row>
    <row r="2221">
      <c r="A2221" s="32"/>
      <c r="B2221" s="32"/>
      <c r="C2221" s="32"/>
      <c r="D2221" s="32"/>
      <c r="E2221" s="32"/>
      <c r="F2221" s="32"/>
      <c r="G2221" s="32"/>
      <c r="H2221" s="28"/>
      <c r="I2221" s="32"/>
      <c r="J2221" s="33"/>
      <c r="K2221" s="28"/>
      <c r="L2221" s="27"/>
      <c r="M2221" s="27"/>
      <c r="N2221" s="27"/>
      <c r="O2221" s="27"/>
      <c r="P2221" s="27"/>
      <c r="Q2221" s="27"/>
      <c r="R2221" s="27"/>
      <c r="S2221" s="27"/>
      <c r="T2221" s="27"/>
      <c r="U2221" s="27"/>
      <c r="V2221" s="27"/>
      <c r="W2221" s="27"/>
      <c r="X2221" s="27"/>
      <c r="Y2221" s="27"/>
    </row>
    <row r="2222">
      <c r="A2222" s="32"/>
      <c r="B2222" s="32"/>
      <c r="C2222" s="32"/>
      <c r="D2222" s="32"/>
      <c r="E2222" s="32"/>
      <c r="F2222" s="32"/>
      <c r="G2222" s="32"/>
      <c r="H2222" s="28"/>
      <c r="I2222" s="32"/>
      <c r="J2222" s="33"/>
      <c r="K2222" s="28"/>
      <c r="L2222" s="27"/>
      <c r="M2222" s="27"/>
      <c r="N2222" s="27"/>
      <c r="O2222" s="27"/>
      <c r="P2222" s="27"/>
      <c r="Q2222" s="27"/>
      <c r="R2222" s="27"/>
      <c r="S2222" s="27"/>
      <c r="T2222" s="27"/>
      <c r="U2222" s="27"/>
      <c r="V2222" s="27"/>
      <c r="W2222" s="27"/>
      <c r="X2222" s="27"/>
      <c r="Y2222" s="27"/>
    </row>
    <row r="2223">
      <c r="A2223" s="32"/>
      <c r="B2223" s="32"/>
      <c r="C2223" s="32"/>
      <c r="D2223" s="32"/>
      <c r="E2223" s="32"/>
      <c r="F2223" s="32"/>
      <c r="G2223" s="32"/>
      <c r="H2223" s="28"/>
      <c r="I2223" s="32"/>
      <c r="J2223" s="33"/>
      <c r="K2223" s="28"/>
      <c r="L2223" s="27"/>
      <c r="M2223" s="27"/>
      <c r="N2223" s="27"/>
      <c r="O2223" s="27"/>
      <c r="P2223" s="27"/>
      <c r="Q2223" s="27"/>
      <c r="R2223" s="27"/>
      <c r="S2223" s="27"/>
      <c r="T2223" s="27"/>
      <c r="U2223" s="27"/>
      <c r="V2223" s="27"/>
      <c r="W2223" s="27"/>
      <c r="X2223" s="27"/>
      <c r="Y2223" s="27"/>
    </row>
    <row r="2224">
      <c r="A2224" s="32"/>
      <c r="B2224" s="32"/>
      <c r="C2224" s="32"/>
      <c r="D2224" s="32"/>
      <c r="E2224" s="32"/>
      <c r="F2224" s="32"/>
      <c r="G2224" s="32"/>
      <c r="H2224" s="28"/>
      <c r="I2224" s="32"/>
      <c r="J2224" s="33"/>
      <c r="K2224" s="28"/>
      <c r="L2224" s="27"/>
      <c r="M2224" s="27"/>
      <c r="N2224" s="27"/>
      <c r="O2224" s="27"/>
      <c r="P2224" s="27"/>
      <c r="Q2224" s="27"/>
      <c r="R2224" s="27"/>
      <c r="S2224" s="27"/>
      <c r="T2224" s="27"/>
      <c r="U2224" s="27"/>
      <c r="V2224" s="27"/>
      <c r="W2224" s="27"/>
      <c r="X2224" s="27"/>
      <c r="Y2224" s="27"/>
    </row>
    <row r="2225">
      <c r="A2225" s="32"/>
      <c r="B2225" s="32"/>
      <c r="C2225" s="32"/>
      <c r="D2225" s="32"/>
      <c r="E2225" s="32"/>
      <c r="F2225" s="32"/>
      <c r="G2225" s="32"/>
      <c r="H2225" s="28"/>
      <c r="I2225" s="32"/>
      <c r="J2225" s="33"/>
      <c r="K2225" s="28"/>
      <c r="L2225" s="27"/>
      <c r="M2225" s="27"/>
      <c r="N2225" s="27"/>
      <c r="O2225" s="27"/>
      <c r="P2225" s="27"/>
      <c r="Q2225" s="27"/>
      <c r="R2225" s="27"/>
      <c r="S2225" s="27"/>
      <c r="T2225" s="27"/>
      <c r="U2225" s="27"/>
      <c r="V2225" s="27"/>
      <c r="W2225" s="27"/>
      <c r="X2225" s="27"/>
      <c r="Y2225" s="27"/>
    </row>
    <row r="2226">
      <c r="A2226" s="32"/>
      <c r="B2226" s="32"/>
      <c r="C2226" s="32"/>
      <c r="D2226" s="32"/>
      <c r="E2226" s="32"/>
      <c r="F2226" s="32"/>
      <c r="G2226" s="32"/>
      <c r="H2226" s="28"/>
      <c r="I2226" s="32"/>
      <c r="J2226" s="33"/>
      <c r="K2226" s="28"/>
      <c r="L2226" s="27"/>
      <c r="M2226" s="27"/>
      <c r="N2226" s="27"/>
      <c r="O2226" s="27"/>
      <c r="P2226" s="27"/>
      <c r="Q2226" s="27"/>
      <c r="R2226" s="27"/>
      <c r="S2226" s="27"/>
      <c r="T2226" s="27"/>
      <c r="U2226" s="27"/>
      <c r="V2226" s="27"/>
      <c r="W2226" s="27"/>
      <c r="X2226" s="27"/>
      <c r="Y2226" s="27"/>
    </row>
    <row r="2227">
      <c r="A2227" s="32"/>
      <c r="B2227" s="32"/>
      <c r="C2227" s="32"/>
      <c r="D2227" s="32"/>
      <c r="E2227" s="32"/>
      <c r="F2227" s="32"/>
      <c r="G2227" s="32"/>
      <c r="H2227" s="28"/>
      <c r="I2227" s="32"/>
      <c r="J2227" s="33"/>
      <c r="K2227" s="28"/>
      <c r="L2227" s="27"/>
      <c r="M2227" s="27"/>
      <c r="N2227" s="27"/>
      <c r="O2227" s="27"/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</row>
    <row r="2228">
      <c r="A2228" s="32"/>
      <c r="B2228" s="32"/>
      <c r="C2228" s="32"/>
      <c r="D2228" s="32"/>
      <c r="E2228" s="32"/>
      <c r="F2228" s="32"/>
      <c r="G2228" s="32"/>
      <c r="H2228" s="28"/>
      <c r="I2228" s="32"/>
      <c r="J2228" s="33"/>
      <c r="K2228" s="28"/>
      <c r="L2228" s="27"/>
      <c r="M2228" s="27"/>
      <c r="N2228" s="27"/>
      <c r="O2228" s="27"/>
      <c r="P2228" s="27"/>
      <c r="Q2228" s="27"/>
      <c r="R2228" s="27"/>
      <c r="S2228" s="27"/>
      <c r="T2228" s="27"/>
      <c r="U2228" s="27"/>
      <c r="V2228" s="27"/>
      <c r="W2228" s="27"/>
      <c r="X2228" s="27"/>
      <c r="Y2228" s="27"/>
    </row>
    <row r="2229">
      <c r="A2229" s="32"/>
      <c r="B2229" s="32"/>
      <c r="C2229" s="32"/>
      <c r="D2229" s="32"/>
      <c r="E2229" s="32"/>
      <c r="F2229" s="32"/>
      <c r="G2229" s="32"/>
      <c r="H2229" s="28"/>
      <c r="I2229" s="32"/>
      <c r="J2229" s="33"/>
      <c r="K2229" s="28"/>
      <c r="L2229" s="27"/>
      <c r="M2229" s="27"/>
      <c r="N2229" s="27"/>
      <c r="O2229" s="27"/>
      <c r="P2229" s="27"/>
      <c r="Q2229" s="27"/>
      <c r="R2229" s="27"/>
      <c r="S2229" s="27"/>
      <c r="T2229" s="27"/>
      <c r="U2229" s="27"/>
      <c r="V2229" s="27"/>
      <c r="W2229" s="27"/>
      <c r="X2229" s="27"/>
      <c r="Y2229" s="27"/>
    </row>
    <row r="2230">
      <c r="A2230" s="32"/>
      <c r="B2230" s="32"/>
      <c r="C2230" s="32"/>
      <c r="D2230" s="32"/>
      <c r="E2230" s="32"/>
      <c r="F2230" s="32"/>
      <c r="G2230" s="32"/>
      <c r="H2230" s="28"/>
      <c r="I2230" s="32"/>
      <c r="J2230" s="33"/>
      <c r="K2230" s="28"/>
      <c r="L2230" s="27"/>
      <c r="M2230" s="27"/>
      <c r="N2230" s="27"/>
      <c r="O2230" s="27"/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</row>
    <row r="2231">
      <c r="A2231" s="32"/>
      <c r="B2231" s="32"/>
      <c r="C2231" s="32"/>
      <c r="D2231" s="32"/>
      <c r="E2231" s="32"/>
      <c r="F2231" s="32"/>
      <c r="G2231" s="32"/>
      <c r="H2231" s="28"/>
      <c r="I2231" s="32"/>
      <c r="J2231" s="33"/>
      <c r="K2231" s="28"/>
      <c r="L2231" s="27"/>
      <c r="M2231" s="27"/>
      <c r="N2231" s="27"/>
      <c r="O2231" s="27"/>
      <c r="P2231" s="27"/>
      <c r="Q2231" s="27"/>
      <c r="R2231" s="27"/>
      <c r="S2231" s="27"/>
      <c r="T2231" s="27"/>
      <c r="U2231" s="27"/>
      <c r="V2231" s="27"/>
      <c r="W2231" s="27"/>
      <c r="X2231" s="27"/>
      <c r="Y2231" s="27"/>
    </row>
    <row r="2232">
      <c r="A2232" s="32"/>
      <c r="B2232" s="32"/>
      <c r="C2232" s="32"/>
      <c r="D2232" s="32"/>
      <c r="E2232" s="32"/>
      <c r="F2232" s="32"/>
      <c r="G2232" s="32"/>
      <c r="H2232" s="28"/>
      <c r="I2232" s="32"/>
      <c r="J2232" s="33"/>
      <c r="K2232" s="28"/>
      <c r="L2232" s="27"/>
      <c r="M2232" s="27"/>
      <c r="N2232" s="27"/>
      <c r="O2232" s="27"/>
      <c r="P2232" s="27"/>
      <c r="Q2232" s="27"/>
      <c r="R2232" s="27"/>
      <c r="S2232" s="27"/>
      <c r="T2232" s="27"/>
      <c r="U2232" s="27"/>
      <c r="V2232" s="27"/>
      <c r="W2232" s="27"/>
      <c r="X2232" s="27"/>
      <c r="Y2232" s="27"/>
    </row>
    <row r="2233">
      <c r="A2233" s="32"/>
      <c r="B2233" s="32"/>
      <c r="C2233" s="32"/>
      <c r="D2233" s="32"/>
      <c r="E2233" s="32"/>
      <c r="F2233" s="32"/>
      <c r="G2233" s="32"/>
      <c r="H2233" s="28"/>
      <c r="I2233" s="32"/>
      <c r="J2233" s="33"/>
      <c r="K2233" s="28"/>
      <c r="L2233" s="27"/>
      <c r="M2233" s="27"/>
      <c r="N2233" s="27"/>
      <c r="O2233" s="27"/>
      <c r="P2233" s="27"/>
      <c r="Q2233" s="27"/>
      <c r="R2233" s="27"/>
      <c r="S2233" s="27"/>
      <c r="T2233" s="27"/>
      <c r="U2233" s="27"/>
      <c r="V2233" s="27"/>
      <c r="W2233" s="27"/>
      <c r="X2233" s="27"/>
      <c r="Y2233" s="27"/>
    </row>
    <row r="2234">
      <c r="A2234" s="32"/>
      <c r="B2234" s="32"/>
      <c r="C2234" s="32"/>
      <c r="D2234" s="32"/>
      <c r="E2234" s="32"/>
      <c r="F2234" s="32"/>
      <c r="G2234" s="32"/>
      <c r="H2234" s="28"/>
      <c r="I2234" s="32"/>
      <c r="J2234" s="33"/>
      <c r="K2234" s="28"/>
      <c r="L2234" s="27"/>
      <c r="M2234" s="27"/>
      <c r="N2234" s="27"/>
      <c r="O2234" s="27"/>
      <c r="P2234" s="27"/>
      <c r="Q2234" s="27"/>
      <c r="R2234" s="27"/>
      <c r="S2234" s="27"/>
      <c r="T2234" s="27"/>
      <c r="U2234" s="27"/>
      <c r="V2234" s="27"/>
      <c r="W2234" s="27"/>
      <c r="X2234" s="27"/>
      <c r="Y2234" s="27"/>
    </row>
    <row r="2235">
      <c r="A2235" s="32"/>
      <c r="B2235" s="32"/>
      <c r="C2235" s="32"/>
      <c r="D2235" s="32"/>
      <c r="E2235" s="32"/>
      <c r="F2235" s="32"/>
      <c r="G2235" s="32"/>
      <c r="H2235" s="28"/>
      <c r="I2235" s="32"/>
      <c r="J2235" s="33"/>
      <c r="K2235" s="28"/>
      <c r="L2235" s="27"/>
      <c r="M2235" s="27"/>
      <c r="N2235" s="27"/>
      <c r="O2235" s="27"/>
      <c r="P2235" s="27"/>
      <c r="Q2235" s="27"/>
      <c r="R2235" s="27"/>
      <c r="S2235" s="27"/>
      <c r="T2235" s="27"/>
      <c r="U2235" s="27"/>
      <c r="V2235" s="27"/>
      <c r="W2235" s="27"/>
      <c r="X2235" s="27"/>
      <c r="Y2235" s="27"/>
    </row>
    <row r="2236">
      <c r="A2236" s="32"/>
      <c r="B2236" s="32"/>
      <c r="C2236" s="32"/>
      <c r="D2236" s="32"/>
      <c r="E2236" s="32"/>
      <c r="F2236" s="32"/>
      <c r="G2236" s="32"/>
      <c r="H2236" s="28"/>
      <c r="I2236" s="32"/>
      <c r="J2236" s="33"/>
      <c r="K2236" s="28"/>
      <c r="L2236" s="27"/>
      <c r="M2236" s="27"/>
      <c r="N2236" s="27"/>
      <c r="O2236" s="27"/>
      <c r="P2236" s="27"/>
      <c r="Q2236" s="27"/>
      <c r="R2236" s="27"/>
      <c r="S2236" s="27"/>
      <c r="T2236" s="27"/>
      <c r="U2236" s="27"/>
      <c r="V2236" s="27"/>
      <c r="W2236" s="27"/>
      <c r="X2236" s="27"/>
      <c r="Y2236" s="27"/>
    </row>
    <row r="2237">
      <c r="A2237" s="32"/>
      <c r="B2237" s="32"/>
      <c r="C2237" s="32"/>
      <c r="D2237" s="32"/>
      <c r="E2237" s="32"/>
      <c r="F2237" s="32"/>
      <c r="G2237" s="32"/>
      <c r="H2237" s="28"/>
      <c r="I2237" s="32"/>
      <c r="J2237" s="33"/>
      <c r="K2237" s="28"/>
      <c r="L2237" s="27"/>
      <c r="M2237" s="27"/>
      <c r="N2237" s="27"/>
      <c r="O2237" s="27"/>
      <c r="P2237" s="27"/>
      <c r="Q2237" s="27"/>
      <c r="R2237" s="27"/>
      <c r="S2237" s="27"/>
      <c r="T2237" s="27"/>
      <c r="U2237" s="27"/>
      <c r="V2237" s="27"/>
      <c r="W2237" s="27"/>
      <c r="X2237" s="27"/>
      <c r="Y2237" s="27"/>
    </row>
    <row r="2238">
      <c r="A2238" s="32"/>
      <c r="B2238" s="32"/>
      <c r="C2238" s="32"/>
      <c r="D2238" s="32"/>
      <c r="E2238" s="32"/>
      <c r="F2238" s="32"/>
      <c r="G2238" s="32"/>
      <c r="H2238" s="28"/>
      <c r="I2238" s="32"/>
      <c r="J2238" s="33"/>
      <c r="K2238" s="28"/>
      <c r="L2238" s="27"/>
      <c r="M2238" s="27"/>
      <c r="N2238" s="27"/>
      <c r="O2238" s="27"/>
      <c r="P2238" s="27"/>
      <c r="Q2238" s="27"/>
      <c r="R2238" s="27"/>
      <c r="S2238" s="27"/>
      <c r="T2238" s="27"/>
      <c r="U2238" s="27"/>
      <c r="V2238" s="27"/>
      <c r="W2238" s="27"/>
      <c r="X2238" s="27"/>
      <c r="Y2238" s="27"/>
    </row>
    <row r="2239">
      <c r="A2239" s="32"/>
      <c r="B2239" s="32"/>
      <c r="C2239" s="32"/>
      <c r="D2239" s="32"/>
      <c r="E2239" s="32"/>
      <c r="F2239" s="32"/>
      <c r="G2239" s="32"/>
      <c r="H2239" s="28"/>
      <c r="I2239" s="32"/>
      <c r="J2239" s="33"/>
      <c r="K2239" s="28"/>
      <c r="L2239" s="27"/>
      <c r="M2239" s="27"/>
      <c r="N2239" s="27"/>
      <c r="O2239" s="27"/>
      <c r="P2239" s="27"/>
      <c r="Q2239" s="27"/>
      <c r="R2239" s="27"/>
      <c r="S2239" s="27"/>
      <c r="T2239" s="27"/>
      <c r="U2239" s="27"/>
      <c r="V2239" s="27"/>
      <c r="W2239" s="27"/>
      <c r="X2239" s="27"/>
      <c r="Y2239" s="27"/>
    </row>
    <row r="2240">
      <c r="A2240" s="32"/>
      <c r="B2240" s="32"/>
      <c r="C2240" s="32"/>
      <c r="D2240" s="32"/>
      <c r="E2240" s="32"/>
      <c r="F2240" s="32"/>
      <c r="G2240" s="32"/>
      <c r="H2240" s="28"/>
      <c r="I2240" s="32"/>
      <c r="J2240" s="33"/>
      <c r="K2240" s="28"/>
      <c r="L2240" s="27"/>
      <c r="M2240" s="27"/>
      <c r="N2240" s="27"/>
      <c r="O2240" s="27"/>
      <c r="P2240" s="27"/>
      <c r="Q2240" s="27"/>
      <c r="R2240" s="27"/>
      <c r="S2240" s="27"/>
      <c r="T2240" s="27"/>
      <c r="U2240" s="27"/>
      <c r="V2240" s="27"/>
      <c r="W2240" s="27"/>
      <c r="X2240" s="27"/>
      <c r="Y2240" s="27"/>
    </row>
    <row r="2241">
      <c r="A2241" s="32"/>
      <c r="B2241" s="32"/>
      <c r="C2241" s="32"/>
      <c r="D2241" s="32"/>
      <c r="E2241" s="32"/>
      <c r="F2241" s="32"/>
      <c r="G2241" s="32"/>
      <c r="H2241" s="28"/>
      <c r="I2241" s="32"/>
      <c r="J2241" s="33"/>
      <c r="K2241" s="28"/>
      <c r="L2241" s="27"/>
      <c r="M2241" s="27"/>
      <c r="N2241" s="27"/>
      <c r="O2241" s="27"/>
      <c r="P2241" s="27"/>
      <c r="Q2241" s="27"/>
      <c r="R2241" s="27"/>
      <c r="S2241" s="27"/>
      <c r="T2241" s="27"/>
      <c r="U2241" s="27"/>
      <c r="V2241" s="27"/>
      <c r="W2241" s="27"/>
      <c r="X2241" s="27"/>
      <c r="Y2241" s="27"/>
    </row>
    <row r="2242">
      <c r="A2242" s="32"/>
      <c r="B2242" s="32"/>
      <c r="C2242" s="32"/>
      <c r="D2242" s="32"/>
      <c r="E2242" s="32"/>
      <c r="F2242" s="32"/>
      <c r="G2242" s="32"/>
      <c r="H2242" s="28"/>
      <c r="I2242" s="32"/>
      <c r="J2242" s="33"/>
      <c r="K2242" s="28"/>
      <c r="L2242" s="27"/>
      <c r="M2242" s="27"/>
      <c r="N2242" s="27"/>
      <c r="O2242" s="27"/>
      <c r="P2242" s="27"/>
      <c r="Q2242" s="27"/>
      <c r="R2242" s="27"/>
      <c r="S2242" s="27"/>
      <c r="T2242" s="27"/>
      <c r="U2242" s="27"/>
      <c r="V2242" s="27"/>
      <c r="W2242" s="27"/>
      <c r="X2242" s="27"/>
      <c r="Y2242" s="27"/>
    </row>
    <row r="2243">
      <c r="A2243" s="32"/>
      <c r="B2243" s="32"/>
      <c r="C2243" s="32"/>
      <c r="D2243" s="32"/>
      <c r="E2243" s="32"/>
      <c r="F2243" s="32"/>
      <c r="G2243" s="32"/>
      <c r="H2243" s="28"/>
      <c r="I2243" s="32"/>
      <c r="J2243" s="33"/>
      <c r="K2243" s="28"/>
      <c r="L2243" s="27"/>
      <c r="M2243" s="27"/>
      <c r="N2243" s="27"/>
      <c r="O2243" s="27"/>
      <c r="P2243" s="27"/>
      <c r="Q2243" s="27"/>
      <c r="R2243" s="27"/>
      <c r="S2243" s="27"/>
      <c r="T2243" s="27"/>
      <c r="U2243" s="27"/>
      <c r="V2243" s="27"/>
      <c r="W2243" s="27"/>
      <c r="X2243" s="27"/>
      <c r="Y2243" s="27"/>
    </row>
    <row r="2244">
      <c r="A2244" s="32"/>
      <c r="B2244" s="32"/>
      <c r="C2244" s="32"/>
      <c r="D2244" s="32"/>
      <c r="E2244" s="32"/>
      <c r="F2244" s="32"/>
      <c r="G2244" s="32"/>
      <c r="H2244" s="28"/>
      <c r="I2244" s="32"/>
      <c r="J2244" s="33"/>
      <c r="K2244" s="28"/>
      <c r="L2244" s="27"/>
      <c r="M2244" s="27"/>
      <c r="N2244" s="27"/>
      <c r="O2244" s="27"/>
      <c r="P2244" s="27"/>
      <c r="Q2244" s="27"/>
      <c r="R2244" s="27"/>
      <c r="S2244" s="27"/>
      <c r="T2244" s="27"/>
      <c r="U2244" s="27"/>
      <c r="V2244" s="27"/>
      <c r="W2244" s="27"/>
      <c r="X2244" s="27"/>
      <c r="Y2244" s="27"/>
    </row>
    <row r="2245">
      <c r="A2245" s="32"/>
      <c r="B2245" s="32"/>
      <c r="C2245" s="32"/>
      <c r="D2245" s="32"/>
      <c r="E2245" s="32"/>
      <c r="F2245" s="32"/>
      <c r="G2245" s="32"/>
      <c r="H2245" s="28"/>
      <c r="I2245" s="32"/>
      <c r="J2245" s="33"/>
      <c r="K2245" s="28"/>
      <c r="L2245" s="27"/>
      <c r="M2245" s="27"/>
      <c r="N2245" s="27"/>
      <c r="O2245" s="27"/>
      <c r="P2245" s="27"/>
      <c r="Q2245" s="27"/>
      <c r="R2245" s="27"/>
      <c r="S2245" s="27"/>
      <c r="T2245" s="27"/>
      <c r="U2245" s="27"/>
      <c r="V2245" s="27"/>
      <c r="W2245" s="27"/>
      <c r="X2245" s="27"/>
      <c r="Y2245" s="27"/>
    </row>
    <row r="2246">
      <c r="A2246" s="32"/>
      <c r="B2246" s="32"/>
      <c r="C2246" s="32"/>
      <c r="D2246" s="32"/>
      <c r="E2246" s="32"/>
      <c r="F2246" s="32"/>
      <c r="G2246" s="32"/>
      <c r="H2246" s="28"/>
      <c r="I2246" s="32"/>
      <c r="J2246" s="33"/>
      <c r="K2246" s="28"/>
      <c r="L2246" s="27"/>
      <c r="M2246" s="27"/>
      <c r="N2246" s="27"/>
      <c r="O2246" s="27"/>
      <c r="P2246" s="27"/>
      <c r="Q2246" s="27"/>
      <c r="R2246" s="27"/>
      <c r="S2246" s="27"/>
      <c r="T2246" s="27"/>
      <c r="U2246" s="27"/>
      <c r="V2246" s="27"/>
      <c r="W2246" s="27"/>
      <c r="X2246" s="27"/>
      <c r="Y2246" s="27"/>
    </row>
    <row r="2247">
      <c r="A2247" s="32"/>
      <c r="B2247" s="32"/>
      <c r="C2247" s="32"/>
      <c r="D2247" s="32"/>
      <c r="E2247" s="32"/>
      <c r="F2247" s="32"/>
      <c r="G2247" s="32"/>
      <c r="H2247" s="28"/>
      <c r="I2247" s="32"/>
      <c r="J2247" s="33"/>
      <c r="K2247" s="28"/>
      <c r="L2247" s="27"/>
      <c r="M2247" s="27"/>
      <c r="N2247" s="27"/>
      <c r="O2247" s="27"/>
      <c r="P2247" s="27"/>
      <c r="Q2247" s="27"/>
      <c r="R2247" s="27"/>
      <c r="S2247" s="27"/>
      <c r="T2247" s="27"/>
      <c r="U2247" s="27"/>
      <c r="V2247" s="27"/>
      <c r="W2247" s="27"/>
      <c r="X2247" s="27"/>
      <c r="Y2247" s="27"/>
    </row>
    <row r="2248">
      <c r="A2248" s="32"/>
      <c r="B2248" s="32"/>
      <c r="C2248" s="32"/>
      <c r="D2248" s="32"/>
      <c r="E2248" s="32"/>
      <c r="F2248" s="32"/>
      <c r="G2248" s="32"/>
      <c r="H2248" s="28"/>
      <c r="I2248" s="32"/>
      <c r="J2248" s="33"/>
      <c r="K2248" s="28"/>
      <c r="L2248" s="27"/>
      <c r="M2248" s="27"/>
      <c r="N2248" s="27"/>
      <c r="O2248" s="27"/>
      <c r="P2248" s="27"/>
      <c r="Q2248" s="27"/>
      <c r="R2248" s="27"/>
      <c r="S2248" s="27"/>
      <c r="T2248" s="27"/>
      <c r="U2248" s="27"/>
      <c r="V2248" s="27"/>
      <c r="W2248" s="27"/>
      <c r="X2248" s="27"/>
      <c r="Y2248" s="27"/>
    </row>
    <row r="2249">
      <c r="A2249" s="32"/>
      <c r="B2249" s="32"/>
      <c r="C2249" s="32"/>
      <c r="D2249" s="32"/>
      <c r="E2249" s="32"/>
      <c r="F2249" s="32"/>
      <c r="G2249" s="32"/>
      <c r="H2249" s="28"/>
      <c r="I2249" s="32"/>
      <c r="J2249" s="33"/>
      <c r="K2249" s="28"/>
      <c r="L2249" s="27"/>
      <c r="M2249" s="27"/>
      <c r="N2249" s="27"/>
      <c r="O2249" s="27"/>
      <c r="P2249" s="27"/>
      <c r="Q2249" s="27"/>
      <c r="R2249" s="27"/>
      <c r="S2249" s="27"/>
      <c r="T2249" s="27"/>
      <c r="U2249" s="27"/>
      <c r="V2249" s="27"/>
      <c r="W2249" s="27"/>
      <c r="X2249" s="27"/>
      <c r="Y2249" s="27"/>
    </row>
    <row r="2250">
      <c r="A2250" s="32"/>
      <c r="B2250" s="32"/>
      <c r="C2250" s="32"/>
      <c r="D2250" s="32"/>
      <c r="E2250" s="32"/>
      <c r="F2250" s="32"/>
      <c r="G2250" s="32"/>
      <c r="H2250" s="28"/>
      <c r="I2250" s="32"/>
      <c r="J2250" s="33"/>
      <c r="K2250" s="28"/>
      <c r="L2250" s="27"/>
      <c r="M2250" s="27"/>
      <c r="N2250" s="27"/>
      <c r="O2250" s="27"/>
      <c r="P2250" s="27"/>
      <c r="Q2250" s="27"/>
      <c r="R2250" s="27"/>
      <c r="S2250" s="27"/>
      <c r="T2250" s="27"/>
      <c r="U2250" s="27"/>
      <c r="V2250" s="27"/>
      <c r="W2250" s="27"/>
      <c r="X2250" s="27"/>
      <c r="Y2250" s="27"/>
    </row>
    <row r="2251">
      <c r="A2251" s="32"/>
      <c r="B2251" s="32"/>
      <c r="C2251" s="32"/>
      <c r="D2251" s="32"/>
      <c r="E2251" s="32"/>
      <c r="F2251" s="32"/>
      <c r="G2251" s="32"/>
      <c r="H2251" s="28"/>
      <c r="I2251" s="32"/>
      <c r="J2251" s="33"/>
      <c r="K2251" s="28"/>
      <c r="L2251" s="27"/>
      <c r="M2251" s="27"/>
      <c r="N2251" s="27"/>
      <c r="O2251" s="27"/>
      <c r="P2251" s="27"/>
      <c r="Q2251" s="27"/>
      <c r="R2251" s="27"/>
      <c r="S2251" s="27"/>
      <c r="T2251" s="27"/>
      <c r="U2251" s="27"/>
      <c r="V2251" s="27"/>
      <c r="W2251" s="27"/>
      <c r="X2251" s="27"/>
      <c r="Y2251" s="27"/>
    </row>
    <row r="2252">
      <c r="A2252" s="32"/>
      <c r="B2252" s="32"/>
      <c r="C2252" s="32"/>
      <c r="D2252" s="32"/>
      <c r="E2252" s="32"/>
      <c r="F2252" s="32"/>
      <c r="G2252" s="32"/>
      <c r="H2252" s="28"/>
      <c r="I2252" s="32"/>
      <c r="J2252" s="33"/>
      <c r="K2252" s="28"/>
      <c r="L2252" s="27"/>
      <c r="M2252" s="27"/>
      <c r="N2252" s="27"/>
      <c r="O2252" s="27"/>
      <c r="P2252" s="27"/>
      <c r="Q2252" s="27"/>
      <c r="R2252" s="27"/>
      <c r="S2252" s="27"/>
      <c r="T2252" s="27"/>
      <c r="U2252" s="27"/>
      <c r="V2252" s="27"/>
      <c r="W2252" s="27"/>
      <c r="X2252" s="27"/>
      <c r="Y2252" s="27"/>
    </row>
    <row r="2253">
      <c r="A2253" s="32"/>
      <c r="B2253" s="32"/>
      <c r="C2253" s="32"/>
      <c r="D2253" s="32"/>
      <c r="E2253" s="32"/>
      <c r="F2253" s="32"/>
      <c r="G2253" s="32"/>
      <c r="H2253" s="28"/>
      <c r="I2253" s="32"/>
      <c r="J2253" s="33"/>
      <c r="K2253" s="28"/>
      <c r="L2253" s="27"/>
      <c r="M2253" s="27"/>
      <c r="N2253" s="27"/>
      <c r="O2253" s="27"/>
      <c r="P2253" s="27"/>
      <c r="Q2253" s="27"/>
      <c r="R2253" s="27"/>
      <c r="S2253" s="27"/>
      <c r="T2253" s="27"/>
      <c r="U2253" s="27"/>
      <c r="V2253" s="27"/>
      <c r="W2253" s="27"/>
      <c r="X2253" s="27"/>
      <c r="Y2253" s="27"/>
    </row>
    <row r="2254">
      <c r="A2254" s="32"/>
      <c r="B2254" s="32"/>
      <c r="C2254" s="32"/>
      <c r="D2254" s="32"/>
      <c r="E2254" s="32"/>
      <c r="F2254" s="32"/>
      <c r="G2254" s="32"/>
      <c r="H2254" s="28"/>
      <c r="I2254" s="32"/>
      <c r="J2254" s="33"/>
      <c r="K2254" s="28"/>
      <c r="L2254" s="27"/>
      <c r="M2254" s="27"/>
      <c r="N2254" s="27"/>
      <c r="O2254" s="27"/>
      <c r="P2254" s="27"/>
      <c r="Q2254" s="27"/>
      <c r="R2254" s="27"/>
      <c r="S2254" s="27"/>
      <c r="T2254" s="27"/>
      <c r="U2254" s="27"/>
      <c r="V2254" s="27"/>
      <c r="W2254" s="27"/>
      <c r="X2254" s="27"/>
      <c r="Y2254" s="27"/>
    </row>
    <row r="2255">
      <c r="A2255" s="32"/>
      <c r="B2255" s="32"/>
      <c r="C2255" s="32"/>
      <c r="D2255" s="32"/>
      <c r="E2255" s="32"/>
      <c r="F2255" s="32"/>
      <c r="G2255" s="32"/>
      <c r="H2255" s="28"/>
      <c r="I2255" s="32"/>
      <c r="J2255" s="33"/>
      <c r="K2255" s="28"/>
      <c r="L2255" s="27"/>
      <c r="M2255" s="27"/>
      <c r="N2255" s="27"/>
      <c r="O2255" s="27"/>
      <c r="P2255" s="27"/>
      <c r="Q2255" s="27"/>
      <c r="R2255" s="27"/>
      <c r="S2255" s="27"/>
      <c r="T2255" s="27"/>
      <c r="U2255" s="27"/>
      <c r="V2255" s="27"/>
      <c r="W2255" s="27"/>
      <c r="X2255" s="27"/>
      <c r="Y2255" s="27"/>
    </row>
    <row r="2256">
      <c r="A2256" s="32"/>
      <c r="B2256" s="32"/>
      <c r="C2256" s="32"/>
      <c r="D2256" s="32"/>
      <c r="E2256" s="32"/>
      <c r="F2256" s="32"/>
      <c r="G2256" s="32"/>
      <c r="H2256" s="28"/>
      <c r="I2256" s="32"/>
      <c r="J2256" s="33"/>
      <c r="K2256" s="28"/>
      <c r="L2256" s="27"/>
      <c r="M2256" s="27"/>
      <c r="N2256" s="27"/>
      <c r="O2256" s="27"/>
      <c r="P2256" s="27"/>
      <c r="Q2256" s="27"/>
      <c r="R2256" s="27"/>
      <c r="S2256" s="27"/>
      <c r="T2256" s="27"/>
      <c r="U2256" s="27"/>
      <c r="V2256" s="27"/>
      <c r="W2256" s="27"/>
      <c r="X2256" s="27"/>
      <c r="Y2256" s="27"/>
    </row>
    <row r="2257">
      <c r="A2257" s="32"/>
      <c r="B2257" s="32"/>
      <c r="C2257" s="32"/>
      <c r="D2257" s="32"/>
      <c r="E2257" s="32"/>
      <c r="F2257" s="32"/>
      <c r="G2257" s="32"/>
      <c r="H2257" s="28"/>
      <c r="I2257" s="32"/>
      <c r="J2257" s="33"/>
      <c r="K2257" s="28"/>
      <c r="L2257" s="27"/>
      <c r="M2257" s="27"/>
      <c r="N2257" s="27"/>
      <c r="O2257" s="27"/>
      <c r="P2257" s="27"/>
      <c r="Q2257" s="27"/>
      <c r="R2257" s="27"/>
      <c r="S2257" s="27"/>
      <c r="T2257" s="27"/>
      <c r="U2257" s="27"/>
      <c r="V2257" s="27"/>
      <c r="W2257" s="27"/>
      <c r="X2257" s="27"/>
      <c r="Y2257" s="27"/>
    </row>
    <row r="2258">
      <c r="A2258" s="32"/>
      <c r="B2258" s="32"/>
      <c r="C2258" s="32"/>
      <c r="D2258" s="32"/>
      <c r="E2258" s="32"/>
      <c r="F2258" s="32"/>
      <c r="G2258" s="32"/>
      <c r="H2258" s="28"/>
      <c r="I2258" s="32"/>
      <c r="J2258" s="33"/>
      <c r="K2258" s="28"/>
      <c r="L2258" s="27"/>
      <c r="M2258" s="27"/>
      <c r="N2258" s="27"/>
      <c r="O2258" s="27"/>
      <c r="P2258" s="27"/>
      <c r="Q2258" s="27"/>
      <c r="R2258" s="27"/>
      <c r="S2258" s="27"/>
      <c r="T2258" s="27"/>
      <c r="U2258" s="27"/>
      <c r="V2258" s="27"/>
      <c r="W2258" s="27"/>
      <c r="X2258" s="27"/>
      <c r="Y2258" s="27"/>
    </row>
    <row r="2259">
      <c r="A2259" s="32"/>
      <c r="B2259" s="32"/>
      <c r="C2259" s="32"/>
      <c r="D2259" s="32"/>
      <c r="E2259" s="32"/>
      <c r="F2259" s="32"/>
      <c r="G2259" s="32"/>
      <c r="H2259" s="28"/>
      <c r="I2259" s="32"/>
      <c r="J2259" s="33"/>
      <c r="K2259" s="28"/>
      <c r="L2259" s="27"/>
      <c r="M2259" s="27"/>
      <c r="N2259" s="27"/>
      <c r="O2259" s="27"/>
      <c r="P2259" s="27"/>
      <c r="Q2259" s="27"/>
      <c r="R2259" s="27"/>
      <c r="S2259" s="27"/>
      <c r="T2259" s="27"/>
      <c r="U2259" s="27"/>
      <c r="V2259" s="27"/>
      <c r="W2259" s="27"/>
      <c r="X2259" s="27"/>
      <c r="Y2259" s="27"/>
    </row>
    <row r="2260">
      <c r="A2260" s="32"/>
      <c r="B2260" s="32"/>
      <c r="C2260" s="32"/>
      <c r="D2260" s="32"/>
      <c r="E2260" s="32"/>
      <c r="F2260" s="32"/>
      <c r="G2260" s="32"/>
      <c r="H2260" s="28"/>
      <c r="I2260" s="32"/>
      <c r="J2260" s="33"/>
      <c r="K2260" s="28"/>
      <c r="L2260" s="27"/>
      <c r="M2260" s="27"/>
      <c r="N2260" s="27"/>
      <c r="O2260" s="27"/>
      <c r="P2260" s="27"/>
      <c r="Q2260" s="27"/>
      <c r="R2260" s="27"/>
      <c r="S2260" s="27"/>
      <c r="T2260" s="27"/>
      <c r="U2260" s="27"/>
      <c r="V2260" s="27"/>
      <c r="W2260" s="27"/>
      <c r="X2260" s="27"/>
      <c r="Y2260" s="27"/>
    </row>
    <row r="2261">
      <c r="A2261" s="32"/>
      <c r="B2261" s="32"/>
      <c r="C2261" s="32"/>
      <c r="D2261" s="32"/>
      <c r="E2261" s="32"/>
      <c r="F2261" s="32"/>
      <c r="G2261" s="32"/>
      <c r="H2261" s="28"/>
      <c r="I2261" s="32"/>
      <c r="J2261" s="33"/>
      <c r="K2261" s="28"/>
      <c r="L2261" s="27"/>
      <c r="M2261" s="27"/>
      <c r="N2261" s="27"/>
      <c r="O2261" s="27"/>
      <c r="P2261" s="27"/>
      <c r="Q2261" s="27"/>
      <c r="R2261" s="27"/>
      <c r="S2261" s="27"/>
      <c r="T2261" s="27"/>
      <c r="U2261" s="27"/>
      <c r="V2261" s="27"/>
      <c r="W2261" s="27"/>
      <c r="X2261" s="27"/>
      <c r="Y2261" s="27"/>
    </row>
    <row r="2262">
      <c r="A2262" s="32"/>
      <c r="B2262" s="32"/>
      <c r="C2262" s="32"/>
      <c r="D2262" s="32"/>
      <c r="E2262" s="32"/>
      <c r="F2262" s="32"/>
      <c r="G2262" s="32"/>
      <c r="H2262" s="28"/>
      <c r="I2262" s="32"/>
      <c r="J2262" s="33"/>
      <c r="K2262" s="28"/>
      <c r="L2262" s="27"/>
      <c r="M2262" s="27"/>
      <c r="N2262" s="27"/>
      <c r="O2262" s="27"/>
      <c r="P2262" s="27"/>
      <c r="Q2262" s="27"/>
      <c r="R2262" s="27"/>
      <c r="S2262" s="27"/>
      <c r="T2262" s="27"/>
      <c r="U2262" s="27"/>
      <c r="V2262" s="27"/>
      <c r="W2262" s="27"/>
      <c r="X2262" s="27"/>
      <c r="Y2262" s="27"/>
    </row>
    <row r="2263">
      <c r="A2263" s="32"/>
      <c r="B2263" s="32"/>
      <c r="C2263" s="32"/>
      <c r="D2263" s="32"/>
      <c r="E2263" s="32"/>
      <c r="F2263" s="32"/>
      <c r="G2263" s="32"/>
      <c r="H2263" s="28"/>
      <c r="I2263" s="32"/>
      <c r="J2263" s="33"/>
      <c r="K2263" s="28"/>
      <c r="L2263" s="27"/>
      <c r="M2263" s="27"/>
      <c r="N2263" s="27"/>
      <c r="O2263" s="27"/>
      <c r="P2263" s="27"/>
      <c r="Q2263" s="27"/>
      <c r="R2263" s="27"/>
      <c r="S2263" s="27"/>
      <c r="T2263" s="27"/>
      <c r="U2263" s="27"/>
      <c r="V2263" s="27"/>
      <c r="W2263" s="27"/>
      <c r="X2263" s="27"/>
      <c r="Y2263" s="27"/>
    </row>
    <row r="2264">
      <c r="A2264" s="32"/>
      <c r="B2264" s="32"/>
      <c r="C2264" s="32"/>
      <c r="D2264" s="32"/>
      <c r="E2264" s="32"/>
      <c r="F2264" s="32"/>
      <c r="G2264" s="32"/>
      <c r="H2264" s="28"/>
      <c r="I2264" s="32"/>
      <c r="J2264" s="33"/>
      <c r="K2264" s="28"/>
      <c r="L2264" s="27"/>
      <c r="M2264" s="27"/>
      <c r="N2264" s="27"/>
      <c r="O2264" s="27"/>
      <c r="P2264" s="27"/>
      <c r="Q2264" s="27"/>
      <c r="R2264" s="27"/>
      <c r="S2264" s="27"/>
      <c r="T2264" s="27"/>
      <c r="U2264" s="27"/>
      <c r="V2264" s="27"/>
      <c r="W2264" s="27"/>
      <c r="X2264" s="27"/>
      <c r="Y2264" s="27"/>
    </row>
    <row r="2265">
      <c r="A2265" s="32"/>
      <c r="B2265" s="32"/>
      <c r="C2265" s="32"/>
      <c r="D2265" s="32"/>
      <c r="E2265" s="32"/>
      <c r="F2265" s="32"/>
      <c r="G2265" s="32"/>
      <c r="H2265" s="28"/>
      <c r="I2265" s="32"/>
      <c r="J2265" s="33"/>
      <c r="K2265" s="28"/>
      <c r="L2265" s="27"/>
      <c r="M2265" s="27"/>
      <c r="N2265" s="27"/>
      <c r="O2265" s="27"/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</row>
    <row r="2266">
      <c r="A2266" s="32"/>
      <c r="B2266" s="32"/>
      <c r="C2266" s="32"/>
      <c r="D2266" s="32"/>
      <c r="E2266" s="32"/>
      <c r="F2266" s="32"/>
      <c r="G2266" s="32"/>
      <c r="H2266" s="28"/>
      <c r="I2266" s="32"/>
      <c r="J2266" s="33"/>
      <c r="K2266" s="28"/>
      <c r="L2266" s="27"/>
      <c r="M2266" s="27"/>
      <c r="N2266" s="27"/>
      <c r="O2266" s="27"/>
      <c r="P2266" s="27"/>
      <c r="Q2266" s="27"/>
      <c r="R2266" s="27"/>
      <c r="S2266" s="27"/>
      <c r="T2266" s="27"/>
      <c r="U2266" s="27"/>
      <c r="V2266" s="27"/>
      <c r="W2266" s="27"/>
      <c r="X2266" s="27"/>
      <c r="Y2266" s="27"/>
    </row>
    <row r="2267">
      <c r="A2267" s="32"/>
      <c r="B2267" s="32"/>
      <c r="C2267" s="32"/>
      <c r="D2267" s="32"/>
      <c r="E2267" s="32"/>
      <c r="F2267" s="32"/>
      <c r="G2267" s="32"/>
      <c r="H2267" s="28"/>
      <c r="I2267" s="32"/>
      <c r="J2267" s="33"/>
      <c r="K2267" s="28"/>
      <c r="L2267" s="27"/>
      <c r="M2267" s="27"/>
      <c r="N2267" s="27"/>
      <c r="O2267" s="27"/>
      <c r="P2267" s="27"/>
      <c r="Q2267" s="27"/>
      <c r="R2267" s="27"/>
      <c r="S2267" s="27"/>
      <c r="T2267" s="27"/>
      <c r="U2267" s="27"/>
      <c r="V2267" s="27"/>
      <c r="W2267" s="27"/>
      <c r="X2267" s="27"/>
      <c r="Y2267" s="27"/>
    </row>
    <row r="2268">
      <c r="A2268" s="32"/>
      <c r="B2268" s="32"/>
      <c r="C2268" s="32"/>
      <c r="D2268" s="32"/>
      <c r="E2268" s="32"/>
      <c r="F2268" s="32"/>
      <c r="G2268" s="32"/>
      <c r="H2268" s="28"/>
      <c r="I2268" s="32"/>
      <c r="J2268" s="33"/>
      <c r="K2268" s="28"/>
      <c r="L2268" s="27"/>
      <c r="M2268" s="27"/>
      <c r="N2268" s="27"/>
      <c r="O2268" s="27"/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</row>
    <row r="2269">
      <c r="A2269" s="32"/>
      <c r="B2269" s="32"/>
      <c r="C2269" s="32"/>
      <c r="D2269" s="32"/>
      <c r="E2269" s="32"/>
      <c r="F2269" s="32"/>
      <c r="G2269" s="32"/>
      <c r="H2269" s="28"/>
      <c r="I2269" s="32"/>
      <c r="J2269" s="33"/>
      <c r="K2269" s="28"/>
      <c r="L2269" s="27"/>
      <c r="M2269" s="27"/>
      <c r="N2269" s="27"/>
      <c r="O2269" s="27"/>
      <c r="P2269" s="27"/>
      <c r="Q2269" s="27"/>
      <c r="R2269" s="27"/>
      <c r="S2269" s="27"/>
      <c r="T2269" s="27"/>
      <c r="U2269" s="27"/>
      <c r="V2269" s="27"/>
      <c r="W2269" s="27"/>
      <c r="X2269" s="27"/>
      <c r="Y2269" s="27"/>
    </row>
    <row r="2270">
      <c r="A2270" s="32"/>
      <c r="B2270" s="32"/>
      <c r="C2270" s="32"/>
      <c r="D2270" s="32"/>
      <c r="E2270" s="32"/>
      <c r="F2270" s="32"/>
      <c r="G2270" s="32"/>
      <c r="H2270" s="28"/>
      <c r="I2270" s="32"/>
      <c r="J2270" s="33"/>
      <c r="K2270" s="28"/>
      <c r="L2270" s="27"/>
      <c r="M2270" s="27"/>
      <c r="N2270" s="27"/>
      <c r="O2270" s="27"/>
      <c r="P2270" s="27"/>
      <c r="Q2270" s="27"/>
      <c r="R2270" s="27"/>
      <c r="S2270" s="27"/>
      <c r="T2270" s="27"/>
      <c r="U2270" s="27"/>
      <c r="V2270" s="27"/>
      <c r="W2270" s="27"/>
      <c r="X2270" s="27"/>
      <c r="Y2270" s="27"/>
    </row>
    <row r="2271">
      <c r="A2271" s="32"/>
      <c r="B2271" s="32"/>
      <c r="C2271" s="32"/>
      <c r="D2271" s="32"/>
      <c r="E2271" s="32"/>
      <c r="F2271" s="32"/>
      <c r="G2271" s="32"/>
      <c r="H2271" s="28"/>
      <c r="I2271" s="32"/>
      <c r="J2271" s="33"/>
      <c r="K2271" s="28"/>
      <c r="L2271" s="27"/>
      <c r="M2271" s="27"/>
      <c r="N2271" s="27"/>
      <c r="O2271" s="27"/>
      <c r="P2271" s="27"/>
      <c r="Q2271" s="27"/>
      <c r="R2271" s="27"/>
      <c r="S2271" s="27"/>
      <c r="T2271" s="27"/>
      <c r="U2271" s="27"/>
      <c r="V2271" s="27"/>
      <c r="W2271" s="27"/>
      <c r="X2271" s="27"/>
      <c r="Y2271" s="27"/>
    </row>
    <row r="2272">
      <c r="A2272" s="32"/>
      <c r="B2272" s="32"/>
      <c r="C2272" s="32"/>
      <c r="D2272" s="32"/>
      <c r="E2272" s="32"/>
      <c r="F2272" s="32"/>
      <c r="G2272" s="32"/>
      <c r="H2272" s="28"/>
      <c r="I2272" s="32"/>
      <c r="J2272" s="33"/>
      <c r="K2272" s="28"/>
      <c r="L2272" s="27"/>
      <c r="M2272" s="27"/>
      <c r="N2272" s="27"/>
      <c r="O2272" s="27"/>
      <c r="P2272" s="27"/>
      <c r="Q2272" s="27"/>
      <c r="R2272" s="27"/>
      <c r="S2272" s="27"/>
      <c r="T2272" s="27"/>
      <c r="U2272" s="27"/>
      <c r="V2272" s="27"/>
      <c r="W2272" s="27"/>
      <c r="X2272" s="27"/>
      <c r="Y2272" s="27"/>
    </row>
    <row r="2273">
      <c r="A2273" s="32"/>
      <c r="B2273" s="32"/>
      <c r="C2273" s="32"/>
      <c r="D2273" s="32"/>
      <c r="E2273" s="32"/>
      <c r="F2273" s="32"/>
      <c r="G2273" s="32"/>
      <c r="H2273" s="28"/>
      <c r="I2273" s="32"/>
      <c r="J2273" s="33"/>
      <c r="K2273" s="28"/>
      <c r="L2273" s="27"/>
      <c r="M2273" s="27"/>
      <c r="N2273" s="27"/>
      <c r="O2273" s="27"/>
      <c r="P2273" s="27"/>
      <c r="Q2273" s="27"/>
      <c r="R2273" s="27"/>
      <c r="S2273" s="27"/>
      <c r="T2273" s="27"/>
      <c r="U2273" s="27"/>
      <c r="V2273" s="27"/>
      <c r="W2273" s="27"/>
      <c r="X2273" s="27"/>
      <c r="Y2273" s="27"/>
    </row>
    <row r="2274">
      <c r="A2274" s="32"/>
      <c r="B2274" s="32"/>
      <c r="C2274" s="32"/>
      <c r="D2274" s="32"/>
      <c r="E2274" s="32"/>
      <c r="F2274" s="32"/>
      <c r="G2274" s="32"/>
      <c r="H2274" s="28"/>
      <c r="I2274" s="32"/>
      <c r="J2274" s="33"/>
      <c r="K2274" s="28"/>
      <c r="L2274" s="27"/>
      <c r="M2274" s="27"/>
      <c r="N2274" s="27"/>
      <c r="O2274" s="27"/>
      <c r="P2274" s="27"/>
      <c r="Q2274" s="27"/>
      <c r="R2274" s="27"/>
      <c r="S2274" s="27"/>
      <c r="T2274" s="27"/>
      <c r="U2274" s="27"/>
      <c r="V2274" s="27"/>
      <c r="W2274" s="27"/>
      <c r="X2274" s="27"/>
      <c r="Y2274" s="27"/>
    </row>
    <row r="2275">
      <c r="A2275" s="32"/>
      <c r="B2275" s="32"/>
      <c r="C2275" s="32"/>
      <c r="D2275" s="32"/>
      <c r="E2275" s="32"/>
      <c r="F2275" s="32"/>
      <c r="G2275" s="32"/>
      <c r="H2275" s="28"/>
      <c r="I2275" s="32"/>
      <c r="J2275" s="33"/>
      <c r="K2275" s="28"/>
      <c r="L2275" s="27"/>
      <c r="M2275" s="27"/>
      <c r="N2275" s="27"/>
      <c r="O2275" s="27"/>
      <c r="P2275" s="27"/>
      <c r="Q2275" s="27"/>
      <c r="R2275" s="27"/>
      <c r="S2275" s="27"/>
      <c r="T2275" s="27"/>
      <c r="U2275" s="27"/>
      <c r="V2275" s="27"/>
      <c r="W2275" s="27"/>
      <c r="X2275" s="27"/>
      <c r="Y2275" s="27"/>
    </row>
    <row r="2276">
      <c r="A2276" s="32"/>
      <c r="B2276" s="32"/>
      <c r="C2276" s="32"/>
      <c r="D2276" s="32"/>
      <c r="E2276" s="32"/>
      <c r="F2276" s="32"/>
      <c r="G2276" s="32"/>
      <c r="H2276" s="28"/>
      <c r="I2276" s="32"/>
      <c r="J2276" s="33"/>
      <c r="K2276" s="28"/>
      <c r="L2276" s="27"/>
      <c r="M2276" s="27"/>
      <c r="N2276" s="27"/>
      <c r="O2276" s="27"/>
      <c r="P2276" s="27"/>
      <c r="Q2276" s="27"/>
      <c r="R2276" s="27"/>
      <c r="S2276" s="27"/>
      <c r="T2276" s="27"/>
      <c r="U2276" s="27"/>
      <c r="V2276" s="27"/>
      <c r="W2276" s="27"/>
      <c r="X2276" s="27"/>
      <c r="Y2276" s="27"/>
    </row>
    <row r="2277">
      <c r="A2277" s="32"/>
      <c r="B2277" s="32"/>
      <c r="C2277" s="32"/>
      <c r="D2277" s="32"/>
      <c r="E2277" s="32"/>
      <c r="F2277" s="32"/>
      <c r="G2277" s="32"/>
      <c r="H2277" s="28"/>
      <c r="I2277" s="32"/>
      <c r="J2277" s="33"/>
      <c r="K2277" s="28"/>
      <c r="L2277" s="27"/>
      <c r="M2277" s="27"/>
      <c r="N2277" s="27"/>
      <c r="O2277" s="27"/>
      <c r="P2277" s="27"/>
      <c r="Q2277" s="27"/>
      <c r="R2277" s="27"/>
      <c r="S2277" s="27"/>
      <c r="T2277" s="27"/>
      <c r="U2277" s="27"/>
      <c r="V2277" s="27"/>
      <c r="W2277" s="27"/>
      <c r="X2277" s="27"/>
      <c r="Y2277" s="27"/>
    </row>
    <row r="2278">
      <c r="A2278" s="32"/>
      <c r="B2278" s="32"/>
      <c r="C2278" s="32"/>
      <c r="D2278" s="32"/>
      <c r="E2278" s="32"/>
      <c r="F2278" s="32"/>
      <c r="G2278" s="32"/>
      <c r="H2278" s="28"/>
      <c r="I2278" s="32"/>
      <c r="J2278" s="33"/>
      <c r="K2278" s="28"/>
      <c r="L2278" s="27"/>
      <c r="M2278" s="27"/>
      <c r="N2278" s="27"/>
      <c r="O2278" s="27"/>
      <c r="P2278" s="27"/>
      <c r="Q2278" s="27"/>
      <c r="R2278" s="27"/>
      <c r="S2278" s="27"/>
      <c r="T2278" s="27"/>
      <c r="U2278" s="27"/>
      <c r="V2278" s="27"/>
      <c r="W2278" s="27"/>
      <c r="X2278" s="27"/>
      <c r="Y2278" s="27"/>
    </row>
    <row r="2279">
      <c r="A2279" s="32"/>
      <c r="B2279" s="32"/>
      <c r="C2279" s="32"/>
      <c r="D2279" s="32"/>
      <c r="E2279" s="32"/>
      <c r="F2279" s="32"/>
      <c r="G2279" s="32"/>
      <c r="H2279" s="28"/>
      <c r="I2279" s="32"/>
      <c r="J2279" s="33"/>
      <c r="K2279" s="28"/>
      <c r="L2279" s="27"/>
      <c r="M2279" s="27"/>
      <c r="N2279" s="27"/>
      <c r="O2279" s="27"/>
      <c r="P2279" s="27"/>
      <c r="Q2279" s="27"/>
      <c r="R2279" s="27"/>
      <c r="S2279" s="27"/>
      <c r="T2279" s="27"/>
      <c r="U2279" s="27"/>
      <c r="V2279" s="27"/>
      <c r="W2279" s="27"/>
      <c r="X2279" s="27"/>
      <c r="Y2279" s="27"/>
    </row>
    <row r="2280">
      <c r="A2280" s="32"/>
      <c r="B2280" s="32"/>
      <c r="C2280" s="32"/>
      <c r="D2280" s="32"/>
      <c r="E2280" s="32"/>
      <c r="F2280" s="32"/>
      <c r="G2280" s="32"/>
      <c r="H2280" s="28"/>
      <c r="I2280" s="32"/>
      <c r="J2280" s="33"/>
      <c r="K2280" s="28"/>
      <c r="L2280" s="27"/>
      <c r="M2280" s="27"/>
      <c r="N2280" s="27"/>
      <c r="O2280" s="27"/>
      <c r="P2280" s="27"/>
      <c r="Q2280" s="27"/>
      <c r="R2280" s="27"/>
      <c r="S2280" s="27"/>
      <c r="T2280" s="27"/>
      <c r="U2280" s="27"/>
      <c r="V2280" s="27"/>
      <c r="W2280" s="27"/>
      <c r="X2280" s="27"/>
      <c r="Y2280" s="27"/>
    </row>
    <row r="2281">
      <c r="A2281" s="32"/>
      <c r="B2281" s="32"/>
      <c r="C2281" s="32"/>
      <c r="D2281" s="32"/>
      <c r="E2281" s="32"/>
      <c r="F2281" s="32"/>
      <c r="G2281" s="32"/>
      <c r="H2281" s="28"/>
      <c r="I2281" s="32"/>
      <c r="J2281" s="33"/>
      <c r="K2281" s="28"/>
      <c r="L2281" s="27"/>
      <c r="M2281" s="27"/>
      <c r="N2281" s="27"/>
      <c r="O2281" s="27"/>
      <c r="P2281" s="27"/>
      <c r="Q2281" s="27"/>
      <c r="R2281" s="27"/>
      <c r="S2281" s="27"/>
      <c r="T2281" s="27"/>
      <c r="U2281" s="27"/>
      <c r="V2281" s="27"/>
      <c r="W2281" s="27"/>
      <c r="X2281" s="27"/>
      <c r="Y2281" s="27"/>
    </row>
    <row r="2282">
      <c r="A2282" s="32"/>
      <c r="B2282" s="32"/>
      <c r="C2282" s="32"/>
      <c r="D2282" s="32"/>
      <c r="E2282" s="32"/>
      <c r="F2282" s="32"/>
      <c r="G2282" s="32"/>
      <c r="H2282" s="28"/>
      <c r="I2282" s="32"/>
      <c r="J2282" s="33"/>
      <c r="K2282" s="28"/>
      <c r="L2282" s="27"/>
      <c r="M2282" s="27"/>
      <c r="N2282" s="27"/>
      <c r="O2282" s="27"/>
      <c r="P2282" s="27"/>
      <c r="Q2282" s="27"/>
      <c r="R2282" s="27"/>
      <c r="S2282" s="27"/>
      <c r="T2282" s="27"/>
      <c r="U2282" s="27"/>
      <c r="V2282" s="27"/>
      <c r="W2282" s="27"/>
      <c r="X2282" s="27"/>
      <c r="Y2282" s="27"/>
    </row>
    <row r="2283">
      <c r="A2283" s="32"/>
      <c r="B2283" s="32"/>
      <c r="C2283" s="32"/>
      <c r="D2283" s="32"/>
      <c r="E2283" s="32"/>
      <c r="F2283" s="32"/>
      <c r="G2283" s="32"/>
      <c r="H2283" s="28"/>
      <c r="I2283" s="32"/>
      <c r="J2283" s="33"/>
      <c r="K2283" s="28"/>
      <c r="L2283" s="27"/>
      <c r="M2283" s="27"/>
      <c r="N2283" s="27"/>
      <c r="O2283" s="27"/>
      <c r="P2283" s="27"/>
      <c r="Q2283" s="27"/>
      <c r="R2283" s="27"/>
      <c r="S2283" s="27"/>
      <c r="T2283" s="27"/>
      <c r="U2283" s="27"/>
      <c r="V2283" s="27"/>
      <c r="W2283" s="27"/>
      <c r="X2283" s="27"/>
      <c r="Y2283" s="27"/>
    </row>
    <row r="2284">
      <c r="A2284" s="32"/>
      <c r="B2284" s="32"/>
      <c r="C2284" s="32"/>
      <c r="D2284" s="32"/>
      <c r="E2284" s="32"/>
      <c r="F2284" s="32"/>
      <c r="G2284" s="32"/>
      <c r="H2284" s="28"/>
      <c r="I2284" s="32"/>
      <c r="J2284" s="33"/>
      <c r="K2284" s="28"/>
      <c r="L2284" s="27"/>
      <c r="M2284" s="27"/>
      <c r="N2284" s="27"/>
      <c r="O2284" s="27"/>
      <c r="P2284" s="27"/>
      <c r="Q2284" s="27"/>
      <c r="R2284" s="27"/>
      <c r="S2284" s="27"/>
      <c r="T2284" s="27"/>
      <c r="U2284" s="27"/>
      <c r="V2284" s="27"/>
      <c r="W2284" s="27"/>
      <c r="X2284" s="27"/>
      <c r="Y2284" s="27"/>
    </row>
    <row r="2285">
      <c r="A2285" s="32"/>
      <c r="B2285" s="32"/>
      <c r="C2285" s="32"/>
      <c r="D2285" s="32"/>
      <c r="E2285" s="32"/>
      <c r="F2285" s="32"/>
      <c r="G2285" s="32"/>
      <c r="H2285" s="28"/>
      <c r="I2285" s="32"/>
      <c r="J2285" s="33"/>
      <c r="K2285" s="28"/>
      <c r="L2285" s="27"/>
      <c r="M2285" s="27"/>
      <c r="N2285" s="27"/>
      <c r="O2285" s="27"/>
      <c r="P2285" s="27"/>
      <c r="Q2285" s="27"/>
      <c r="R2285" s="27"/>
      <c r="S2285" s="27"/>
      <c r="T2285" s="27"/>
      <c r="U2285" s="27"/>
      <c r="V2285" s="27"/>
      <c r="W2285" s="27"/>
      <c r="X2285" s="27"/>
      <c r="Y2285" s="27"/>
    </row>
    <row r="2286">
      <c r="A2286" s="32"/>
      <c r="B2286" s="32"/>
      <c r="C2286" s="32"/>
      <c r="D2286" s="32"/>
      <c r="E2286" s="32"/>
      <c r="F2286" s="32"/>
      <c r="G2286" s="32"/>
      <c r="H2286" s="28"/>
      <c r="I2286" s="32"/>
      <c r="J2286" s="33"/>
      <c r="K2286" s="28"/>
      <c r="L2286" s="27"/>
      <c r="M2286" s="27"/>
      <c r="N2286" s="27"/>
      <c r="O2286" s="27"/>
      <c r="P2286" s="27"/>
      <c r="Q2286" s="27"/>
      <c r="R2286" s="27"/>
      <c r="S2286" s="27"/>
      <c r="T2286" s="27"/>
      <c r="U2286" s="27"/>
      <c r="V2286" s="27"/>
      <c r="W2286" s="27"/>
      <c r="X2286" s="27"/>
      <c r="Y2286" s="27"/>
    </row>
    <row r="2287">
      <c r="A2287" s="32"/>
      <c r="B2287" s="32"/>
      <c r="C2287" s="32"/>
      <c r="D2287" s="32"/>
      <c r="E2287" s="32"/>
      <c r="F2287" s="32"/>
      <c r="G2287" s="32"/>
      <c r="H2287" s="28"/>
      <c r="I2287" s="32"/>
      <c r="J2287" s="33"/>
      <c r="K2287" s="28"/>
      <c r="L2287" s="27"/>
      <c r="M2287" s="27"/>
      <c r="N2287" s="27"/>
      <c r="O2287" s="27"/>
      <c r="P2287" s="27"/>
      <c r="Q2287" s="27"/>
      <c r="R2287" s="27"/>
      <c r="S2287" s="27"/>
      <c r="T2287" s="27"/>
      <c r="U2287" s="27"/>
      <c r="V2287" s="27"/>
      <c r="W2287" s="27"/>
      <c r="X2287" s="27"/>
      <c r="Y2287" s="27"/>
    </row>
    <row r="2288">
      <c r="A2288" s="32"/>
      <c r="B2288" s="32"/>
      <c r="C2288" s="32"/>
      <c r="D2288" s="32"/>
      <c r="E2288" s="32"/>
      <c r="F2288" s="32"/>
      <c r="G2288" s="32"/>
      <c r="H2288" s="28"/>
      <c r="I2288" s="32"/>
      <c r="J2288" s="33"/>
      <c r="K2288" s="28"/>
      <c r="L2288" s="27"/>
      <c r="M2288" s="27"/>
      <c r="N2288" s="27"/>
      <c r="O2288" s="27"/>
      <c r="P2288" s="27"/>
      <c r="Q2288" s="27"/>
      <c r="R2288" s="27"/>
      <c r="S2288" s="27"/>
      <c r="T2288" s="27"/>
      <c r="U2288" s="27"/>
      <c r="V2288" s="27"/>
      <c r="W2288" s="27"/>
      <c r="X2288" s="27"/>
      <c r="Y2288" s="27"/>
    </row>
    <row r="2289">
      <c r="A2289" s="32"/>
      <c r="B2289" s="32"/>
      <c r="C2289" s="32"/>
      <c r="D2289" s="32"/>
      <c r="E2289" s="32"/>
      <c r="F2289" s="32"/>
      <c r="G2289" s="32"/>
      <c r="H2289" s="28"/>
      <c r="I2289" s="32"/>
      <c r="J2289" s="33"/>
      <c r="K2289" s="28"/>
      <c r="L2289" s="27"/>
      <c r="M2289" s="27"/>
      <c r="N2289" s="27"/>
      <c r="O2289" s="27"/>
      <c r="P2289" s="27"/>
      <c r="Q2289" s="27"/>
      <c r="R2289" s="27"/>
      <c r="S2289" s="27"/>
      <c r="T2289" s="27"/>
      <c r="U2289" s="27"/>
      <c r="V2289" s="27"/>
      <c r="W2289" s="27"/>
      <c r="X2289" s="27"/>
      <c r="Y2289" s="27"/>
    </row>
    <row r="2290">
      <c r="A2290" s="32"/>
      <c r="B2290" s="32"/>
      <c r="C2290" s="32"/>
      <c r="D2290" s="32"/>
      <c r="E2290" s="32"/>
      <c r="F2290" s="32"/>
      <c r="G2290" s="32"/>
      <c r="H2290" s="28"/>
      <c r="I2290" s="32"/>
      <c r="J2290" s="33"/>
      <c r="K2290" s="28"/>
      <c r="L2290" s="27"/>
      <c r="M2290" s="27"/>
      <c r="N2290" s="27"/>
      <c r="O2290" s="27"/>
      <c r="P2290" s="27"/>
      <c r="Q2290" s="27"/>
      <c r="R2290" s="27"/>
      <c r="S2290" s="27"/>
      <c r="T2290" s="27"/>
      <c r="U2290" s="27"/>
      <c r="V2290" s="27"/>
      <c r="W2290" s="27"/>
      <c r="X2290" s="27"/>
      <c r="Y2290" s="27"/>
    </row>
    <row r="2291">
      <c r="A2291" s="32"/>
      <c r="B2291" s="32"/>
      <c r="C2291" s="32"/>
      <c r="D2291" s="32"/>
      <c r="E2291" s="32"/>
      <c r="F2291" s="32"/>
      <c r="G2291" s="32"/>
      <c r="H2291" s="28"/>
      <c r="I2291" s="32"/>
      <c r="J2291" s="33"/>
      <c r="K2291" s="28"/>
      <c r="L2291" s="27"/>
      <c r="M2291" s="27"/>
      <c r="N2291" s="27"/>
      <c r="O2291" s="27"/>
      <c r="P2291" s="27"/>
      <c r="Q2291" s="27"/>
      <c r="R2291" s="27"/>
      <c r="S2291" s="27"/>
      <c r="T2291" s="27"/>
      <c r="U2291" s="27"/>
      <c r="V2291" s="27"/>
      <c r="W2291" s="27"/>
      <c r="X2291" s="27"/>
      <c r="Y2291" s="27"/>
    </row>
    <row r="2292">
      <c r="A2292" s="32"/>
      <c r="B2292" s="32"/>
      <c r="C2292" s="32"/>
      <c r="D2292" s="32"/>
      <c r="E2292" s="32"/>
      <c r="F2292" s="32"/>
      <c r="G2292" s="32"/>
      <c r="H2292" s="28"/>
      <c r="I2292" s="32"/>
      <c r="J2292" s="33"/>
      <c r="K2292" s="28"/>
      <c r="L2292" s="27"/>
      <c r="M2292" s="27"/>
      <c r="N2292" s="27"/>
      <c r="O2292" s="27"/>
      <c r="P2292" s="27"/>
      <c r="Q2292" s="27"/>
      <c r="R2292" s="27"/>
      <c r="S2292" s="27"/>
      <c r="T2292" s="27"/>
      <c r="U2292" s="27"/>
      <c r="V2292" s="27"/>
      <c r="W2292" s="27"/>
      <c r="X2292" s="27"/>
      <c r="Y2292" s="27"/>
    </row>
    <row r="2293">
      <c r="A2293" s="32"/>
      <c r="B2293" s="32"/>
      <c r="C2293" s="32"/>
      <c r="D2293" s="32"/>
      <c r="E2293" s="32"/>
      <c r="F2293" s="32"/>
      <c r="G2293" s="32"/>
      <c r="H2293" s="28"/>
      <c r="I2293" s="32"/>
      <c r="J2293" s="33"/>
      <c r="K2293" s="28"/>
      <c r="L2293" s="27"/>
      <c r="M2293" s="27"/>
      <c r="N2293" s="27"/>
      <c r="O2293" s="27"/>
      <c r="P2293" s="27"/>
      <c r="Q2293" s="27"/>
      <c r="R2293" s="27"/>
      <c r="S2293" s="27"/>
      <c r="T2293" s="27"/>
      <c r="U2293" s="27"/>
      <c r="V2293" s="27"/>
      <c r="W2293" s="27"/>
      <c r="X2293" s="27"/>
      <c r="Y2293" s="27"/>
    </row>
    <row r="2294">
      <c r="A2294" s="32"/>
      <c r="B2294" s="32"/>
      <c r="C2294" s="32"/>
      <c r="D2294" s="32"/>
      <c r="E2294" s="32"/>
      <c r="F2294" s="32"/>
      <c r="G2294" s="32"/>
      <c r="H2294" s="28"/>
      <c r="I2294" s="32"/>
      <c r="J2294" s="33"/>
      <c r="K2294" s="28"/>
      <c r="L2294" s="27"/>
      <c r="M2294" s="27"/>
      <c r="N2294" s="27"/>
      <c r="O2294" s="27"/>
      <c r="P2294" s="27"/>
      <c r="Q2294" s="27"/>
      <c r="R2294" s="27"/>
      <c r="S2294" s="27"/>
      <c r="T2294" s="27"/>
      <c r="U2294" s="27"/>
      <c r="V2294" s="27"/>
      <c r="W2294" s="27"/>
      <c r="X2294" s="27"/>
      <c r="Y2294" s="27"/>
    </row>
    <row r="2295">
      <c r="A2295" s="32"/>
      <c r="B2295" s="32"/>
      <c r="C2295" s="32"/>
      <c r="D2295" s="32"/>
      <c r="E2295" s="32"/>
      <c r="F2295" s="32"/>
      <c r="G2295" s="32"/>
      <c r="H2295" s="28"/>
      <c r="I2295" s="32"/>
      <c r="J2295" s="33"/>
      <c r="K2295" s="28"/>
      <c r="L2295" s="27"/>
      <c r="M2295" s="27"/>
      <c r="N2295" s="27"/>
      <c r="O2295" s="27"/>
      <c r="P2295" s="27"/>
      <c r="Q2295" s="27"/>
      <c r="R2295" s="27"/>
      <c r="S2295" s="27"/>
      <c r="T2295" s="27"/>
      <c r="U2295" s="27"/>
      <c r="V2295" s="27"/>
      <c r="W2295" s="27"/>
      <c r="X2295" s="27"/>
      <c r="Y2295" s="27"/>
    </row>
    <row r="2296">
      <c r="A2296" s="32"/>
      <c r="B2296" s="32"/>
      <c r="C2296" s="32"/>
      <c r="D2296" s="32"/>
      <c r="E2296" s="32"/>
      <c r="F2296" s="32"/>
      <c r="G2296" s="32"/>
      <c r="H2296" s="28"/>
      <c r="I2296" s="32"/>
      <c r="J2296" s="33"/>
      <c r="K2296" s="28"/>
      <c r="L2296" s="27"/>
      <c r="M2296" s="27"/>
      <c r="N2296" s="27"/>
      <c r="O2296" s="27"/>
      <c r="P2296" s="27"/>
      <c r="Q2296" s="27"/>
      <c r="R2296" s="27"/>
      <c r="S2296" s="27"/>
      <c r="T2296" s="27"/>
      <c r="U2296" s="27"/>
      <c r="V2296" s="27"/>
      <c r="W2296" s="27"/>
      <c r="X2296" s="27"/>
      <c r="Y2296" s="27"/>
    </row>
    <row r="2297">
      <c r="A2297" s="32"/>
      <c r="B2297" s="32"/>
      <c r="C2297" s="32"/>
      <c r="D2297" s="32"/>
      <c r="E2297" s="32"/>
      <c r="F2297" s="32"/>
      <c r="G2297" s="32"/>
      <c r="H2297" s="28"/>
      <c r="I2297" s="32"/>
      <c r="J2297" s="33"/>
      <c r="K2297" s="28"/>
      <c r="L2297" s="27"/>
      <c r="M2297" s="27"/>
      <c r="N2297" s="27"/>
      <c r="O2297" s="27"/>
      <c r="P2297" s="27"/>
      <c r="Q2297" s="27"/>
      <c r="R2297" s="27"/>
      <c r="S2297" s="27"/>
      <c r="T2297" s="27"/>
      <c r="U2297" s="27"/>
      <c r="V2297" s="27"/>
      <c r="W2297" s="27"/>
      <c r="X2297" s="27"/>
      <c r="Y2297" s="27"/>
    </row>
    <row r="2298">
      <c r="A2298" s="32"/>
      <c r="B2298" s="32"/>
      <c r="C2298" s="32"/>
      <c r="D2298" s="32"/>
      <c r="E2298" s="32"/>
      <c r="F2298" s="32"/>
      <c r="G2298" s="32"/>
      <c r="H2298" s="28"/>
      <c r="I2298" s="32"/>
      <c r="J2298" s="33"/>
      <c r="K2298" s="28"/>
      <c r="L2298" s="27"/>
      <c r="M2298" s="27"/>
      <c r="N2298" s="27"/>
      <c r="O2298" s="27"/>
      <c r="P2298" s="27"/>
      <c r="Q2298" s="27"/>
      <c r="R2298" s="27"/>
      <c r="S2298" s="27"/>
      <c r="T2298" s="27"/>
      <c r="U2298" s="27"/>
      <c r="V2298" s="27"/>
      <c r="W2298" s="27"/>
      <c r="X2298" s="27"/>
      <c r="Y2298" s="27"/>
    </row>
    <row r="2299">
      <c r="A2299" s="32"/>
      <c r="B2299" s="32"/>
      <c r="C2299" s="32"/>
      <c r="D2299" s="32"/>
      <c r="E2299" s="32"/>
      <c r="F2299" s="32"/>
      <c r="G2299" s="32"/>
      <c r="H2299" s="28"/>
      <c r="I2299" s="32"/>
      <c r="J2299" s="33"/>
      <c r="K2299" s="28"/>
      <c r="L2299" s="27"/>
      <c r="M2299" s="27"/>
      <c r="N2299" s="27"/>
      <c r="O2299" s="27"/>
      <c r="P2299" s="27"/>
      <c r="Q2299" s="27"/>
      <c r="R2299" s="27"/>
      <c r="S2299" s="27"/>
      <c r="T2299" s="27"/>
      <c r="U2299" s="27"/>
      <c r="V2299" s="27"/>
      <c r="W2299" s="27"/>
      <c r="X2299" s="27"/>
      <c r="Y2299" s="27"/>
    </row>
    <row r="2300">
      <c r="A2300" s="32"/>
      <c r="B2300" s="32"/>
      <c r="C2300" s="32"/>
      <c r="D2300" s="32"/>
      <c r="E2300" s="32"/>
      <c r="F2300" s="32"/>
      <c r="G2300" s="32"/>
      <c r="H2300" s="28"/>
      <c r="I2300" s="32"/>
      <c r="J2300" s="33"/>
      <c r="K2300" s="28"/>
      <c r="L2300" s="27"/>
      <c r="M2300" s="27"/>
      <c r="N2300" s="27"/>
      <c r="O2300" s="27"/>
      <c r="P2300" s="27"/>
      <c r="Q2300" s="27"/>
      <c r="R2300" s="27"/>
      <c r="S2300" s="27"/>
      <c r="T2300" s="27"/>
      <c r="U2300" s="27"/>
      <c r="V2300" s="27"/>
      <c r="W2300" s="27"/>
      <c r="X2300" s="27"/>
      <c r="Y2300" s="27"/>
    </row>
    <row r="2301">
      <c r="A2301" s="32"/>
      <c r="B2301" s="32"/>
      <c r="C2301" s="32"/>
      <c r="D2301" s="32"/>
      <c r="E2301" s="32"/>
      <c r="F2301" s="32"/>
      <c r="G2301" s="32"/>
      <c r="H2301" s="28"/>
      <c r="I2301" s="32"/>
      <c r="J2301" s="33"/>
      <c r="K2301" s="28"/>
      <c r="L2301" s="27"/>
      <c r="M2301" s="27"/>
      <c r="N2301" s="27"/>
      <c r="O2301" s="27"/>
      <c r="P2301" s="27"/>
      <c r="Q2301" s="27"/>
      <c r="R2301" s="27"/>
      <c r="S2301" s="27"/>
      <c r="T2301" s="27"/>
      <c r="U2301" s="27"/>
      <c r="V2301" s="27"/>
      <c r="W2301" s="27"/>
      <c r="X2301" s="27"/>
      <c r="Y2301" s="27"/>
    </row>
    <row r="2302">
      <c r="A2302" s="32"/>
      <c r="B2302" s="32"/>
      <c r="C2302" s="32"/>
      <c r="D2302" s="32"/>
      <c r="E2302" s="32"/>
      <c r="F2302" s="32"/>
      <c r="G2302" s="32"/>
      <c r="H2302" s="28"/>
      <c r="I2302" s="32"/>
      <c r="J2302" s="33"/>
      <c r="K2302" s="28"/>
      <c r="L2302" s="27"/>
      <c r="M2302" s="27"/>
      <c r="N2302" s="27"/>
      <c r="O2302" s="27"/>
      <c r="P2302" s="27"/>
      <c r="Q2302" s="27"/>
      <c r="R2302" s="27"/>
      <c r="S2302" s="27"/>
      <c r="T2302" s="27"/>
      <c r="U2302" s="27"/>
      <c r="V2302" s="27"/>
      <c r="W2302" s="27"/>
      <c r="X2302" s="27"/>
      <c r="Y2302" s="27"/>
    </row>
    <row r="2303">
      <c r="A2303" s="32"/>
      <c r="B2303" s="32"/>
      <c r="C2303" s="32"/>
      <c r="D2303" s="32"/>
      <c r="E2303" s="32"/>
      <c r="F2303" s="32"/>
      <c r="G2303" s="32"/>
      <c r="H2303" s="28"/>
      <c r="I2303" s="32"/>
      <c r="J2303" s="33"/>
      <c r="K2303" s="28"/>
      <c r="L2303" s="27"/>
      <c r="M2303" s="27"/>
      <c r="N2303" s="27"/>
      <c r="O2303" s="27"/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</row>
    <row r="2304">
      <c r="A2304" s="32"/>
      <c r="B2304" s="32"/>
      <c r="C2304" s="32"/>
      <c r="D2304" s="32"/>
      <c r="E2304" s="32"/>
      <c r="F2304" s="32"/>
      <c r="G2304" s="32"/>
      <c r="H2304" s="28"/>
      <c r="I2304" s="32"/>
      <c r="J2304" s="33"/>
      <c r="K2304" s="28"/>
      <c r="L2304" s="27"/>
      <c r="M2304" s="27"/>
      <c r="N2304" s="27"/>
      <c r="O2304" s="27"/>
      <c r="P2304" s="27"/>
      <c r="Q2304" s="27"/>
      <c r="R2304" s="27"/>
      <c r="S2304" s="27"/>
      <c r="T2304" s="27"/>
      <c r="U2304" s="27"/>
      <c r="V2304" s="27"/>
      <c r="W2304" s="27"/>
      <c r="X2304" s="27"/>
      <c r="Y2304" s="27"/>
    </row>
    <row r="2305">
      <c r="A2305" s="32"/>
      <c r="B2305" s="32"/>
      <c r="C2305" s="32"/>
      <c r="D2305" s="32"/>
      <c r="E2305" s="32"/>
      <c r="F2305" s="32"/>
      <c r="G2305" s="32"/>
      <c r="H2305" s="28"/>
      <c r="I2305" s="32"/>
      <c r="J2305" s="33"/>
      <c r="K2305" s="28"/>
      <c r="L2305" s="27"/>
      <c r="M2305" s="27"/>
      <c r="N2305" s="27"/>
      <c r="O2305" s="27"/>
      <c r="P2305" s="27"/>
      <c r="Q2305" s="27"/>
      <c r="R2305" s="27"/>
      <c r="S2305" s="27"/>
      <c r="T2305" s="27"/>
      <c r="U2305" s="27"/>
      <c r="V2305" s="27"/>
      <c r="W2305" s="27"/>
      <c r="X2305" s="27"/>
      <c r="Y2305" s="27"/>
    </row>
    <row r="2306">
      <c r="A2306" s="32"/>
      <c r="B2306" s="32"/>
      <c r="C2306" s="32"/>
      <c r="D2306" s="32"/>
      <c r="E2306" s="32"/>
      <c r="F2306" s="32"/>
      <c r="G2306" s="32"/>
      <c r="H2306" s="28"/>
      <c r="I2306" s="32"/>
      <c r="J2306" s="33"/>
      <c r="K2306" s="28"/>
      <c r="L2306" s="27"/>
      <c r="M2306" s="27"/>
      <c r="N2306" s="27"/>
      <c r="O2306" s="27"/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</row>
    <row r="2307">
      <c r="A2307" s="32"/>
      <c r="B2307" s="32"/>
      <c r="C2307" s="32"/>
      <c r="D2307" s="32"/>
      <c r="E2307" s="32"/>
      <c r="F2307" s="32"/>
      <c r="G2307" s="32"/>
      <c r="H2307" s="28"/>
      <c r="I2307" s="32"/>
      <c r="J2307" s="33"/>
      <c r="K2307" s="28"/>
      <c r="L2307" s="27"/>
      <c r="M2307" s="27"/>
      <c r="N2307" s="27"/>
      <c r="O2307" s="27"/>
      <c r="P2307" s="27"/>
      <c r="Q2307" s="27"/>
      <c r="R2307" s="27"/>
      <c r="S2307" s="27"/>
      <c r="T2307" s="27"/>
      <c r="U2307" s="27"/>
      <c r="V2307" s="27"/>
      <c r="W2307" s="27"/>
      <c r="X2307" s="27"/>
      <c r="Y2307" s="27"/>
    </row>
    <row r="2308">
      <c r="A2308" s="32"/>
      <c r="B2308" s="32"/>
      <c r="C2308" s="32"/>
      <c r="D2308" s="32"/>
      <c r="E2308" s="32"/>
      <c r="F2308" s="32"/>
      <c r="G2308" s="32"/>
      <c r="H2308" s="28"/>
      <c r="I2308" s="32"/>
      <c r="J2308" s="33"/>
      <c r="K2308" s="28"/>
      <c r="L2308" s="27"/>
      <c r="M2308" s="27"/>
      <c r="N2308" s="27"/>
      <c r="O2308" s="27"/>
      <c r="P2308" s="27"/>
      <c r="Q2308" s="27"/>
      <c r="R2308" s="27"/>
      <c r="S2308" s="27"/>
      <c r="T2308" s="27"/>
      <c r="U2308" s="27"/>
      <c r="V2308" s="27"/>
      <c r="W2308" s="27"/>
      <c r="X2308" s="27"/>
      <c r="Y2308" s="27"/>
    </row>
    <row r="2309">
      <c r="A2309" s="32"/>
      <c r="B2309" s="32"/>
      <c r="C2309" s="32"/>
      <c r="D2309" s="32"/>
      <c r="E2309" s="32"/>
      <c r="F2309" s="32"/>
      <c r="G2309" s="32"/>
      <c r="H2309" s="28"/>
      <c r="I2309" s="32"/>
      <c r="J2309" s="33"/>
      <c r="K2309" s="28"/>
      <c r="L2309" s="27"/>
      <c r="M2309" s="27"/>
      <c r="N2309" s="27"/>
      <c r="O2309" s="27"/>
      <c r="P2309" s="27"/>
      <c r="Q2309" s="27"/>
      <c r="R2309" s="27"/>
      <c r="S2309" s="27"/>
      <c r="T2309" s="27"/>
      <c r="U2309" s="27"/>
      <c r="V2309" s="27"/>
      <c r="W2309" s="27"/>
      <c r="X2309" s="27"/>
      <c r="Y2309" s="27"/>
    </row>
    <row r="2310">
      <c r="A2310" s="32"/>
      <c r="B2310" s="32"/>
      <c r="C2310" s="32"/>
      <c r="D2310" s="32"/>
      <c r="E2310" s="32"/>
      <c r="F2310" s="32"/>
      <c r="G2310" s="32"/>
      <c r="H2310" s="28"/>
      <c r="I2310" s="32"/>
      <c r="J2310" s="33"/>
      <c r="K2310" s="28"/>
      <c r="L2310" s="27"/>
      <c r="M2310" s="27"/>
      <c r="N2310" s="27"/>
      <c r="O2310" s="27"/>
      <c r="P2310" s="27"/>
      <c r="Q2310" s="27"/>
      <c r="R2310" s="27"/>
      <c r="S2310" s="27"/>
      <c r="T2310" s="27"/>
      <c r="U2310" s="27"/>
      <c r="V2310" s="27"/>
      <c r="W2310" s="27"/>
      <c r="X2310" s="27"/>
      <c r="Y2310" s="27"/>
    </row>
    <row r="2311">
      <c r="A2311" s="32"/>
      <c r="B2311" s="32"/>
      <c r="C2311" s="32"/>
      <c r="D2311" s="32"/>
      <c r="E2311" s="32"/>
      <c r="F2311" s="32"/>
      <c r="G2311" s="32"/>
      <c r="H2311" s="28"/>
      <c r="I2311" s="32"/>
      <c r="J2311" s="33"/>
      <c r="K2311" s="28"/>
      <c r="L2311" s="27"/>
      <c r="M2311" s="27"/>
      <c r="N2311" s="27"/>
      <c r="O2311" s="27"/>
      <c r="P2311" s="27"/>
      <c r="Q2311" s="27"/>
      <c r="R2311" s="27"/>
      <c r="S2311" s="27"/>
      <c r="T2311" s="27"/>
      <c r="U2311" s="27"/>
      <c r="V2311" s="27"/>
      <c r="W2311" s="27"/>
      <c r="X2311" s="27"/>
      <c r="Y2311" s="27"/>
    </row>
    <row r="2312">
      <c r="A2312" s="32"/>
      <c r="B2312" s="32"/>
      <c r="C2312" s="32"/>
      <c r="D2312" s="32"/>
      <c r="E2312" s="32"/>
      <c r="F2312" s="32"/>
      <c r="G2312" s="32"/>
      <c r="H2312" s="28"/>
      <c r="I2312" s="32"/>
      <c r="J2312" s="33"/>
      <c r="K2312" s="28"/>
      <c r="L2312" s="27"/>
      <c r="M2312" s="27"/>
      <c r="N2312" s="27"/>
      <c r="O2312" s="27"/>
      <c r="P2312" s="27"/>
      <c r="Q2312" s="27"/>
      <c r="R2312" s="27"/>
      <c r="S2312" s="27"/>
      <c r="T2312" s="27"/>
      <c r="U2312" s="27"/>
      <c r="V2312" s="27"/>
      <c r="W2312" s="27"/>
      <c r="X2312" s="27"/>
      <c r="Y2312" s="27"/>
    </row>
    <row r="2313">
      <c r="A2313" s="32"/>
      <c r="B2313" s="32"/>
      <c r="C2313" s="32"/>
      <c r="D2313" s="32"/>
      <c r="E2313" s="32"/>
      <c r="F2313" s="32"/>
      <c r="G2313" s="32"/>
      <c r="H2313" s="28"/>
      <c r="I2313" s="32"/>
      <c r="J2313" s="33"/>
      <c r="K2313" s="28"/>
      <c r="L2313" s="27"/>
      <c r="M2313" s="27"/>
      <c r="N2313" s="27"/>
      <c r="O2313" s="27"/>
      <c r="P2313" s="27"/>
      <c r="Q2313" s="27"/>
      <c r="R2313" s="27"/>
      <c r="S2313" s="27"/>
      <c r="T2313" s="27"/>
      <c r="U2313" s="27"/>
      <c r="V2313" s="27"/>
      <c r="W2313" s="27"/>
      <c r="X2313" s="27"/>
      <c r="Y2313" s="27"/>
    </row>
    <row r="2314">
      <c r="A2314" s="32"/>
      <c r="B2314" s="32"/>
      <c r="C2314" s="32"/>
      <c r="D2314" s="32"/>
      <c r="E2314" s="32"/>
      <c r="F2314" s="32"/>
      <c r="G2314" s="32"/>
      <c r="H2314" s="28"/>
      <c r="I2314" s="32"/>
      <c r="J2314" s="33"/>
      <c r="K2314" s="28"/>
      <c r="L2314" s="27"/>
      <c r="M2314" s="27"/>
      <c r="N2314" s="27"/>
      <c r="O2314" s="27"/>
      <c r="P2314" s="27"/>
      <c r="Q2314" s="27"/>
      <c r="R2314" s="27"/>
      <c r="S2314" s="27"/>
      <c r="T2314" s="27"/>
      <c r="U2314" s="27"/>
      <c r="V2314" s="27"/>
      <c r="W2314" s="27"/>
      <c r="X2314" s="27"/>
      <c r="Y2314" s="27"/>
    </row>
    <row r="2315">
      <c r="A2315" s="32"/>
      <c r="B2315" s="32"/>
      <c r="C2315" s="32"/>
      <c r="D2315" s="32"/>
      <c r="E2315" s="32"/>
      <c r="F2315" s="32"/>
      <c r="G2315" s="32"/>
      <c r="H2315" s="28"/>
      <c r="I2315" s="32"/>
      <c r="J2315" s="33"/>
      <c r="K2315" s="28"/>
      <c r="L2315" s="27"/>
      <c r="M2315" s="27"/>
      <c r="N2315" s="27"/>
      <c r="O2315" s="27"/>
      <c r="P2315" s="27"/>
      <c r="Q2315" s="27"/>
      <c r="R2315" s="27"/>
      <c r="S2315" s="27"/>
      <c r="T2315" s="27"/>
      <c r="U2315" s="27"/>
      <c r="V2315" s="27"/>
      <c r="W2315" s="27"/>
      <c r="X2315" s="27"/>
      <c r="Y2315" s="27"/>
    </row>
    <row r="2316">
      <c r="A2316" s="32"/>
      <c r="B2316" s="32"/>
      <c r="C2316" s="32"/>
      <c r="D2316" s="32"/>
      <c r="E2316" s="32"/>
      <c r="F2316" s="32"/>
      <c r="G2316" s="32"/>
      <c r="H2316" s="28"/>
      <c r="I2316" s="32"/>
      <c r="J2316" s="33"/>
      <c r="K2316" s="28"/>
      <c r="L2316" s="27"/>
      <c r="M2316" s="27"/>
      <c r="N2316" s="27"/>
      <c r="O2316" s="27"/>
      <c r="P2316" s="27"/>
      <c r="Q2316" s="27"/>
      <c r="R2316" s="27"/>
      <c r="S2316" s="27"/>
      <c r="T2316" s="27"/>
      <c r="U2316" s="27"/>
      <c r="V2316" s="27"/>
      <c r="W2316" s="27"/>
      <c r="X2316" s="27"/>
      <c r="Y2316" s="27"/>
    </row>
    <row r="2317">
      <c r="A2317" s="32"/>
      <c r="B2317" s="32"/>
      <c r="C2317" s="32"/>
      <c r="D2317" s="32"/>
      <c r="E2317" s="32"/>
      <c r="F2317" s="32"/>
      <c r="G2317" s="32"/>
      <c r="H2317" s="28"/>
      <c r="I2317" s="32"/>
      <c r="J2317" s="33"/>
      <c r="K2317" s="28"/>
      <c r="L2317" s="27"/>
      <c r="M2317" s="27"/>
      <c r="N2317" s="27"/>
      <c r="O2317" s="27"/>
      <c r="P2317" s="27"/>
      <c r="Q2317" s="27"/>
      <c r="R2317" s="27"/>
      <c r="S2317" s="27"/>
      <c r="T2317" s="27"/>
      <c r="U2317" s="27"/>
      <c r="V2317" s="27"/>
      <c r="W2317" s="27"/>
      <c r="X2317" s="27"/>
      <c r="Y2317" s="27"/>
    </row>
    <row r="2318">
      <c r="A2318" s="32"/>
      <c r="B2318" s="32"/>
      <c r="C2318" s="32"/>
      <c r="D2318" s="32"/>
      <c r="E2318" s="32"/>
      <c r="F2318" s="32"/>
      <c r="G2318" s="32"/>
      <c r="H2318" s="28"/>
      <c r="I2318" s="32"/>
      <c r="J2318" s="33"/>
      <c r="K2318" s="28"/>
      <c r="L2318" s="27"/>
      <c r="M2318" s="27"/>
      <c r="N2318" s="27"/>
      <c r="O2318" s="27"/>
      <c r="P2318" s="27"/>
      <c r="Q2318" s="27"/>
      <c r="R2318" s="27"/>
      <c r="S2318" s="27"/>
      <c r="T2318" s="27"/>
      <c r="U2318" s="27"/>
      <c r="V2318" s="27"/>
      <c r="W2318" s="27"/>
      <c r="X2318" s="27"/>
      <c r="Y2318" s="27"/>
    </row>
    <row r="2319">
      <c r="A2319" s="32"/>
      <c r="B2319" s="32"/>
      <c r="C2319" s="32"/>
      <c r="D2319" s="32"/>
      <c r="E2319" s="32"/>
      <c r="F2319" s="32"/>
      <c r="G2319" s="32"/>
      <c r="H2319" s="28"/>
      <c r="I2319" s="32"/>
      <c r="J2319" s="33"/>
      <c r="K2319" s="28"/>
      <c r="L2319" s="27"/>
      <c r="M2319" s="27"/>
      <c r="N2319" s="27"/>
      <c r="O2319" s="27"/>
      <c r="P2319" s="27"/>
      <c r="Q2319" s="27"/>
      <c r="R2319" s="27"/>
      <c r="S2319" s="27"/>
      <c r="T2319" s="27"/>
      <c r="U2319" s="27"/>
      <c r="V2319" s="27"/>
      <c r="W2319" s="27"/>
      <c r="X2319" s="27"/>
      <c r="Y2319" s="27"/>
    </row>
    <row r="2320">
      <c r="A2320" s="32"/>
      <c r="B2320" s="32"/>
      <c r="C2320" s="32"/>
      <c r="D2320" s="32"/>
      <c r="E2320" s="32"/>
      <c r="F2320" s="32"/>
      <c r="G2320" s="32"/>
      <c r="H2320" s="28"/>
      <c r="I2320" s="32"/>
      <c r="J2320" s="33"/>
      <c r="K2320" s="28"/>
      <c r="L2320" s="27"/>
      <c r="M2320" s="27"/>
      <c r="N2320" s="27"/>
      <c r="O2320" s="27"/>
      <c r="P2320" s="27"/>
      <c r="Q2320" s="27"/>
      <c r="R2320" s="27"/>
      <c r="S2320" s="27"/>
      <c r="T2320" s="27"/>
      <c r="U2320" s="27"/>
      <c r="V2320" s="27"/>
      <c r="W2320" s="27"/>
      <c r="X2320" s="27"/>
      <c r="Y2320" s="27"/>
    </row>
    <row r="2321">
      <c r="A2321" s="32"/>
      <c r="B2321" s="32"/>
      <c r="C2321" s="32"/>
      <c r="D2321" s="32"/>
      <c r="E2321" s="32"/>
      <c r="F2321" s="32"/>
      <c r="G2321" s="32"/>
      <c r="H2321" s="28"/>
      <c r="I2321" s="32"/>
      <c r="J2321" s="33"/>
      <c r="K2321" s="28"/>
      <c r="L2321" s="27"/>
      <c r="M2321" s="27"/>
      <c r="N2321" s="27"/>
      <c r="O2321" s="27"/>
      <c r="P2321" s="27"/>
      <c r="Q2321" s="27"/>
      <c r="R2321" s="27"/>
      <c r="S2321" s="27"/>
      <c r="T2321" s="27"/>
      <c r="U2321" s="27"/>
      <c r="V2321" s="27"/>
      <c r="W2321" s="27"/>
      <c r="X2321" s="27"/>
      <c r="Y2321" s="27"/>
    </row>
    <row r="2322">
      <c r="A2322" s="32"/>
      <c r="B2322" s="32"/>
      <c r="C2322" s="32"/>
      <c r="D2322" s="32"/>
      <c r="E2322" s="32"/>
      <c r="F2322" s="32"/>
      <c r="G2322" s="32"/>
      <c r="H2322" s="28"/>
      <c r="I2322" s="32"/>
      <c r="J2322" s="33"/>
      <c r="K2322" s="28"/>
      <c r="L2322" s="27"/>
      <c r="M2322" s="27"/>
      <c r="N2322" s="27"/>
      <c r="O2322" s="27"/>
      <c r="P2322" s="27"/>
      <c r="Q2322" s="27"/>
      <c r="R2322" s="27"/>
      <c r="S2322" s="27"/>
      <c r="T2322" s="27"/>
      <c r="U2322" s="27"/>
      <c r="V2322" s="27"/>
      <c r="W2322" s="27"/>
      <c r="X2322" s="27"/>
      <c r="Y2322" s="27"/>
    </row>
    <row r="2323">
      <c r="A2323" s="32"/>
      <c r="B2323" s="32"/>
      <c r="C2323" s="32"/>
      <c r="D2323" s="32"/>
      <c r="E2323" s="32"/>
      <c r="F2323" s="32"/>
      <c r="G2323" s="32"/>
      <c r="H2323" s="28"/>
      <c r="I2323" s="32"/>
      <c r="J2323" s="33"/>
      <c r="K2323" s="28"/>
      <c r="L2323" s="27"/>
      <c r="M2323" s="27"/>
      <c r="N2323" s="27"/>
      <c r="O2323" s="27"/>
      <c r="P2323" s="27"/>
      <c r="Q2323" s="27"/>
      <c r="R2323" s="27"/>
      <c r="S2323" s="27"/>
      <c r="T2323" s="27"/>
      <c r="U2323" s="27"/>
      <c r="V2323" s="27"/>
      <c r="W2323" s="27"/>
      <c r="X2323" s="27"/>
      <c r="Y2323" s="27"/>
    </row>
    <row r="2324">
      <c r="A2324" s="32"/>
      <c r="B2324" s="32"/>
      <c r="C2324" s="32"/>
      <c r="D2324" s="32"/>
      <c r="E2324" s="32"/>
      <c r="F2324" s="32"/>
      <c r="G2324" s="32"/>
      <c r="H2324" s="28"/>
      <c r="I2324" s="32"/>
      <c r="J2324" s="33"/>
      <c r="K2324" s="28"/>
      <c r="L2324" s="27"/>
      <c r="M2324" s="27"/>
      <c r="N2324" s="27"/>
      <c r="O2324" s="27"/>
      <c r="P2324" s="27"/>
      <c r="Q2324" s="27"/>
      <c r="R2324" s="27"/>
      <c r="S2324" s="27"/>
      <c r="T2324" s="27"/>
      <c r="U2324" s="27"/>
      <c r="V2324" s="27"/>
      <c r="W2324" s="27"/>
      <c r="X2324" s="27"/>
      <c r="Y2324" s="27"/>
    </row>
    <row r="2325">
      <c r="A2325" s="32"/>
      <c r="B2325" s="32"/>
      <c r="C2325" s="32"/>
      <c r="D2325" s="32"/>
      <c r="E2325" s="32"/>
      <c r="F2325" s="32"/>
      <c r="G2325" s="32"/>
      <c r="H2325" s="28"/>
      <c r="I2325" s="32"/>
      <c r="J2325" s="33"/>
      <c r="K2325" s="28"/>
      <c r="L2325" s="27"/>
      <c r="M2325" s="27"/>
      <c r="N2325" s="27"/>
      <c r="O2325" s="27"/>
      <c r="P2325" s="27"/>
      <c r="Q2325" s="27"/>
      <c r="R2325" s="27"/>
      <c r="S2325" s="27"/>
      <c r="T2325" s="27"/>
      <c r="U2325" s="27"/>
      <c r="V2325" s="27"/>
      <c r="W2325" s="27"/>
      <c r="X2325" s="27"/>
      <c r="Y2325" s="27"/>
    </row>
    <row r="2326">
      <c r="A2326" s="32"/>
      <c r="B2326" s="32"/>
      <c r="C2326" s="32"/>
      <c r="D2326" s="32"/>
      <c r="E2326" s="32"/>
      <c r="F2326" s="32"/>
      <c r="G2326" s="32"/>
      <c r="H2326" s="28"/>
      <c r="I2326" s="32"/>
      <c r="J2326" s="33"/>
      <c r="K2326" s="28"/>
      <c r="L2326" s="27"/>
      <c r="M2326" s="27"/>
      <c r="N2326" s="27"/>
      <c r="O2326" s="27"/>
      <c r="P2326" s="27"/>
      <c r="Q2326" s="27"/>
      <c r="R2326" s="27"/>
      <c r="S2326" s="27"/>
      <c r="T2326" s="27"/>
      <c r="U2326" s="27"/>
      <c r="V2326" s="27"/>
      <c r="W2326" s="27"/>
      <c r="X2326" s="27"/>
      <c r="Y2326" s="27"/>
    </row>
    <row r="2327">
      <c r="A2327" s="32"/>
      <c r="B2327" s="32"/>
      <c r="C2327" s="32"/>
      <c r="D2327" s="32"/>
      <c r="E2327" s="32"/>
      <c r="F2327" s="32"/>
      <c r="G2327" s="32"/>
      <c r="H2327" s="28"/>
      <c r="I2327" s="32"/>
      <c r="J2327" s="33"/>
      <c r="K2327" s="28"/>
      <c r="L2327" s="27"/>
      <c r="M2327" s="27"/>
      <c r="N2327" s="27"/>
      <c r="O2327" s="27"/>
      <c r="P2327" s="27"/>
      <c r="Q2327" s="27"/>
      <c r="R2327" s="27"/>
      <c r="S2327" s="27"/>
      <c r="T2327" s="27"/>
      <c r="U2327" s="27"/>
      <c r="V2327" s="27"/>
      <c r="W2327" s="27"/>
      <c r="X2327" s="27"/>
      <c r="Y2327" s="27"/>
    </row>
    <row r="2328">
      <c r="A2328" s="32"/>
      <c r="B2328" s="32"/>
      <c r="C2328" s="32"/>
      <c r="D2328" s="32"/>
      <c r="E2328" s="32"/>
      <c r="F2328" s="32"/>
      <c r="G2328" s="32"/>
      <c r="H2328" s="28"/>
      <c r="I2328" s="32"/>
      <c r="J2328" s="33"/>
      <c r="K2328" s="28"/>
      <c r="L2328" s="27"/>
      <c r="M2328" s="27"/>
      <c r="N2328" s="27"/>
      <c r="O2328" s="27"/>
      <c r="P2328" s="27"/>
      <c r="Q2328" s="27"/>
      <c r="R2328" s="27"/>
      <c r="S2328" s="27"/>
      <c r="T2328" s="27"/>
      <c r="U2328" s="27"/>
      <c r="V2328" s="27"/>
      <c r="W2328" s="27"/>
      <c r="X2328" s="27"/>
      <c r="Y2328" s="27"/>
    </row>
    <row r="2329">
      <c r="A2329" s="32"/>
      <c r="B2329" s="32"/>
      <c r="C2329" s="32"/>
      <c r="D2329" s="32"/>
      <c r="E2329" s="32"/>
      <c r="F2329" s="32"/>
      <c r="G2329" s="32"/>
      <c r="H2329" s="28"/>
      <c r="I2329" s="32"/>
      <c r="J2329" s="33"/>
      <c r="K2329" s="28"/>
      <c r="L2329" s="27"/>
      <c r="M2329" s="27"/>
      <c r="N2329" s="27"/>
      <c r="O2329" s="27"/>
      <c r="P2329" s="27"/>
      <c r="Q2329" s="27"/>
      <c r="R2329" s="27"/>
      <c r="S2329" s="27"/>
      <c r="T2329" s="27"/>
      <c r="U2329" s="27"/>
      <c r="V2329" s="27"/>
      <c r="W2329" s="27"/>
      <c r="X2329" s="27"/>
      <c r="Y2329" s="27"/>
    </row>
    <row r="2330">
      <c r="A2330" s="32"/>
      <c r="B2330" s="32"/>
      <c r="C2330" s="32"/>
      <c r="D2330" s="32"/>
      <c r="E2330" s="32"/>
      <c r="F2330" s="32"/>
      <c r="G2330" s="32"/>
      <c r="H2330" s="28"/>
      <c r="I2330" s="32"/>
      <c r="J2330" s="33"/>
      <c r="K2330" s="28"/>
      <c r="L2330" s="27"/>
      <c r="M2330" s="27"/>
      <c r="N2330" s="27"/>
      <c r="O2330" s="27"/>
      <c r="P2330" s="27"/>
      <c r="Q2330" s="27"/>
      <c r="R2330" s="27"/>
      <c r="S2330" s="27"/>
      <c r="T2330" s="27"/>
      <c r="U2330" s="27"/>
      <c r="V2330" s="27"/>
      <c r="W2330" s="27"/>
      <c r="X2330" s="27"/>
      <c r="Y2330" s="27"/>
    </row>
    <row r="2331">
      <c r="A2331" s="32"/>
      <c r="B2331" s="32"/>
      <c r="C2331" s="32"/>
      <c r="D2331" s="32"/>
      <c r="E2331" s="32"/>
      <c r="F2331" s="32"/>
      <c r="G2331" s="32"/>
      <c r="H2331" s="28"/>
      <c r="I2331" s="32"/>
      <c r="J2331" s="33"/>
      <c r="K2331" s="28"/>
      <c r="L2331" s="27"/>
      <c r="M2331" s="27"/>
      <c r="N2331" s="27"/>
      <c r="O2331" s="27"/>
      <c r="P2331" s="27"/>
      <c r="Q2331" s="27"/>
      <c r="R2331" s="27"/>
      <c r="S2331" s="27"/>
      <c r="T2331" s="27"/>
      <c r="U2331" s="27"/>
      <c r="V2331" s="27"/>
      <c r="W2331" s="27"/>
      <c r="X2331" s="27"/>
      <c r="Y2331" s="27"/>
    </row>
    <row r="2332">
      <c r="A2332" s="32"/>
      <c r="B2332" s="32"/>
      <c r="C2332" s="32"/>
      <c r="D2332" s="32"/>
      <c r="E2332" s="32"/>
      <c r="F2332" s="32"/>
      <c r="G2332" s="32"/>
      <c r="H2332" s="28"/>
      <c r="I2332" s="32"/>
      <c r="J2332" s="33"/>
      <c r="K2332" s="28"/>
      <c r="L2332" s="27"/>
      <c r="M2332" s="27"/>
      <c r="N2332" s="27"/>
      <c r="O2332" s="27"/>
      <c r="P2332" s="27"/>
      <c r="Q2332" s="27"/>
      <c r="R2332" s="27"/>
      <c r="S2332" s="27"/>
      <c r="T2332" s="27"/>
      <c r="U2332" s="27"/>
      <c r="V2332" s="27"/>
      <c r="W2332" s="27"/>
      <c r="X2332" s="27"/>
      <c r="Y2332" s="27"/>
    </row>
    <row r="2333">
      <c r="A2333" s="32"/>
      <c r="B2333" s="32"/>
      <c r="C2333" s="32"/>
      <c r="D2333" s="32"/>
      <c r="E2333" s="32"/>
      <c r="F2333" s="32"/>
      <c r="G2333" s="32"/>
      <c r="H2333" s="28"/>
      <c r="I2333" s="32"/>
      <c r="J2333" s="33"/>
      <c r="K2333" s="28"/>
      <c r="L2333" s="27"/>
      <c r="M2333" s="27"/>
      <c r="N2333" s="27"/>
      <c r="O2333" s="27"/>
      <c r="P2333" s="27"/>
      <c r="Q2333" s="27"/>
      <c r="R2333" s="27"/>
      <c r="S2333" s="27"/>
      <c r="T2333" s="27"/>
      <c r="U2333" s="27"/>
      <c r="V2333" s="27"/>
      <c r="W2333" s="27"/>
      <c r="X2333" s="27"/>
      <c r="Y2333" s="27"/>
    </row>
    <row r="2334">
      <c r="A2334" s="32"/>
      <c r="B2334" s="32"/>
      <c r="C2334" s="32"/>
      <c r="D2334" s="32"/>
      <c r="E2334" s="32"/>
      <c r="F2334" s="32"/>
      <c r="G2334" s="32"/>
      <c r="H2334" s="28"/>
      <c r="I2334" s="32"/>
      <c r="J2334" s="33"/>
      <c r="K2334" s="28"/>
      <c r="L2334" s="27"/>
      <c r="M2334" s="27"/>
      <c r="N2334" s="27"/>
      <c r="O2334" s="27"/>
      <c r="P2334" s="27"/>
      <c r="Q2334" s="27"/>
      <c r="R2334" s="27"/>
      <c r="S2334" s="27"/>
      <c r="T2334" s="27"/>
      <c r="U2334" s="27"/>
      <c r="V2334" s="27"/>
      <c r="W2334" s="27"/>
      <c r="X2334" s="27"/>
      <c r="Y2334" s="27"/>
    </row>
    <row r="2335">
      <c r="A2335" s="32"/>
      <c r="B2335" s="32"/>
      <c r="C2335" s="32"/>
      <c r="D2335" s="32"/>
      <c r="E2335" s="32"/>
      <c r="F2335" s="32"/>
      <c r="G2335" s="32"/>
      <c r="H2335" s="28"/>
      <c r="I2335" s="32"/>
      <c r="J2335" s="33"/>
      <c r="K2335" s="28"/>
      <c r="L2335" s="27"/>
      <c r="M2335" s="27"/>
      <c r="N2335" s="27"/>
      <c r="O2335" s="27"/>
      <c r="P2335" s="27"/>
      <c r="Q2335" s="27"/>
      <c r="R2335" s="27"/>
      <c r="S2335" s="27"/>
      <c r="T2335" s="27"/>
      <c r="U2335" s="27"/>
      <c r="V2335" s="27"/>
      <c r="W2335" s="27"/>
      <c r="X2335" s="27"/>
      <c r="Y2335" s="27"/>
    </row>
    <row r="2336">
      <c r="A2336" s="32"/>
      <c r="B2336" s="32"/>
      <c r="C2336" s="32"/>
      <c r="D2336" s="32"/>
      <c r="E2336" s="32"/>
      <c r="F2336" s="32"/>
      <c r="G2336" s="32"/>
      <c r="H2336" s="28"/>
      <c r="I2336" s="32"/>
      <c r="J2336" s="33"/>
      <c r="K2336" s="28"/>
      <c r="L2336" s="27"/>
      <c r="M2336" s="27"/>
      <c r="N2336" s="27"/>
      <c r="O2336" s="27"/>
      <c r="P2336" s="27"/>
      <c r="Q2336" s="27"/>
      <c r="R2336" s="27"/>
      <c r="S2336" s="27"/>
      <c r="T2336" s="27"/>
      <c r="U2336" s="27"/>
      <c r="V2336" s="27"/>
      <c r="W2336" s="27"/>
      <c r="X2336" s="27"/>
      <c r="Y2336" s="27"/>
    </row>
    <row r="2337">
      <c r="A2337" s="32"/>
      <c r="B2337" s="32"/>
      <c r="C2337" s="32"/>
      <c r="D2337" s="32"/>
      <c r="E2337" s="32"/>
      <c r="F2337" s="32"/>
      <c r="G2337" s="32"/>
      <c r="H2337" s="28"/>
      <c r="I2337" s="32"/>
      <c r="J2337" s="33"/>
      <c r="K2337" s="28"/>
      <c r="L2337" s="27"/>
      <c r="M2337" s="27"/>
      <c r="N2337" s="27"/>
      <c r="O2337" s="27"/>
      <c r="P2337" s="27"/>
      <c r="Q2337" s="27"/>
      <c r="R2337" s="27"/>
      <c r="S2337" s="27"/>
      <c r="T2337" s="27"/>
      <c r="U2337" s="27"/>
      <c r="V2337" s="27"/>
      <c r="W2337" s="27"/>
      <c r="X2337" s="27"/>
      <c r="Y2337" s="27"/>
    </row>
    <row r="2338">
      <c r="A2338" s="32"/>
      <c r="B2338" s="32"/>
      <c r="C2338" s="32"/>
      <c r="D2338" s="32"/>
      <c r="E2338" s="32"/>
      <c r="F2338" s="32"/>
      <c r="G2338" s="32"/>
      <c r="H2338" s="28"/>
      <c r="I2338" s="32"/>
      <c r="J2338" s="33"/>
      <c r="K2338" s="28"/>
      <c r="L2338" s="27"/>
      <c r="M2338" s="27"/>
      <c r="N2338" s="27"/>
      <c r="O2338" s="27"/>
      <c r="P2338" s="27"/>
      <c r="Q2338" s="27"/>
      <c r="R2338" s="27"/>
      <c r="S2338" s="27"/>
      <c r="T2338" s="27"/>
      <c r="U2338" s="27"/>
      <c r="V2338" s="27"/>
      <c r="W2338" s="27"/>
      <c r="X2338" s="27"/>
      <c r="Y2338" s="27"/>
    </row>
    <row r="2339">
      <c r="A2339" s="32"/>
      <c r="B2339" s="32"/>
      <c r="C2339" s="32"/>
      <c r="D2339" s="32"/>
      <c r="E2339" s="32"/>
      <c r="F2339" s="32"/>
      <c r="G2339" s="32"/>
      <c r="H2339" s="28"/>
      <c r="I2339" s="32"/>
      <c r="J2339" s="33"/>
      <c r="K2339" s="28"/>
      <c r="L2339" s="27"/>
      <c r="M2339" s="27"/>
      <c r="N2339" s="27"/>
      <c r="O2339" s="27"/>
      <c r="P2339" s="27"/>
      <c r="Q2339" s="27"/>
      <c r="R2339" s="27"/>
      <c r="S2339" s="27"/>
      <c r="T2339" s="27"/>
      <c r="U2339" s="27"/>
      <c r="V2339" s="27"/>
      <c r="W2339" s="27"/>
      <c r="X2339" s="27"/>
      <c r="Y2339" s="27"/>
    </row>
    <row r="2340">
      <c r="A2340" s="32"/>
      <c r="B2340" s="32"/>
      <c r="C2340" s="32"/>
      <c r="D2340" s="32"/>
      <c r="E2340" s="32"/>
      <c r="F2340" s="32"/>
      <c r="G2340" s="32"/>
      <c r="H2340" s="28"/>
      <c r="I2340" s="32"/>
      <c r="J2340" s="33"/>
      <c r="K2340" s="28"/>
      <c r="L2340" s="27"/>
      <c r="M2340" s="27"/>
      <c r="N2340" s="27"/>
      <c r="O2340" s="27"/>
      <c r="P2340" s="27"/>
      <c r="Q2340" s="27"/>
      <c r="R2340" s="27"/>
      <c r="S2340" s="27"/>
      <c r="T2340" s="27"/>
      <c r="U2340" s="27"/>
      <c r="V2340" s="27"/>
      <c r="W2340" s="27"/>
      <c r="X2340" s="27"/>
      <c r="Y2340" s="27"/>
    </row>
    <row r="2341">
      <c r="A2341" s="32"/>
      <c r="B2341" s="32"/>
      <c r="C2341" s="32"/>
      <c r="D2341" s="32"/>
      <c r="E2341" s="32"/>
      <c r="F2341" s="32"/>
      <c r="G2341" s="32"/>
      <c r="H2341" s="28"/>
      <c r="I2341" s="32"/>
      <c r="J2341" s="33"/>
      <c r="K2341" s="28"/>
      <c r="L2341" s="27"/>
      <c r="M2341" s="27"/>
      <c r="N2341" s="27"/>
      <c r="O2341" s="27"/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</row>
    <row r="2342">
      <c r="A2342" s="32"/>
      <c r="B2342" s="32"/>
      <c r="C2342" s="32"/>
      <c r="D2342" s="32"/>
      <c r="E2342" s="32"/>
      <c r="F2342" s="32"/>
      <c r="G2342" s="32"/>
      <c r="H2342" s="28"/>
      <c r="I2342" s="32"/>
      <c r="J2342" s="33"/>
      <c r="K2342" s="28"/>
      <c r="L2342" s="27"/>
      <c r="M2342" s="27"/>
      <c r="N2342" s="27"/>
      <c r="O2342" s="27"/>
      <c r="P2342" s="27"/>
      <c r="Q2342" s="27"/>
      <c r="R2342" s="27"/>
      <c r="S2342" s="27"/>
      <c r="T2342" s="27"/>
      <c r="U2342" s="27"/>
      <c r="V2342" s="27"/>
      <c r="W2342" s="27"/>
      <c r="X2342" s="27"/>
      <c r="Y2342" s="27"/>
    </row>
    <row r="2343">
      <c r="A2343" s="32"/>
      <c r="B2343" s="32"/>
      <c r="C2343" s="32"/>
      <c r="D2343" s="32"/>
      <c r="E2343" s="32"/>
      <c r="F2343" s="32"/>
      <c r="G2343" s="32"/>
      <c r="H2343" s="28"/>
      <c r="I2343" s="32"/>
      <c r="J2343" s="33"/>
      <c r="K2343" s="28"/>
      <c r="L2343" s="27"/>
      <c r="M2343" s="27"/>
      <c r="N2343" s="27"/>
      <c r="O2343" s="27"/>
      <c r="P2343" s="27"/>
      <c r="Q2343" s="27"/>
      <c r="R2343" s="27"/>
      <c r="S2343" s="27"/>
      <c r="T2343" s="27"/>
      <c r="U2343" s="27"/>
      <c r="V2343" s="27"/>
      <c r="W2343" s="27"/>
      <c r="X2343" s="27"/>
      <c r="Y2343" s="27"/>
    </row>
    <row r="2344">
      <c r="A2344" s="32"/>
      <c r="B2344" s="32"/>
      <c r="C2344" s="32"/>
      <c r="D2344" s="32"/>
      <c r="E2344" s="32"/>
      <c r="F2344" s="32"/>
      <c r="G2344" s="32"/>
      <c r="H2344" s="28"/>
      <c r="I2344" s="32"/>
      <c r="J2344" s="33"/>
      <c r="K2344" s="28"/>
      <c r="L2344" s="27"/>
      <c r="M2344" s="27"/>
      <c r="N2344" s="27"/>
      <c r="O2344" s="27"/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</row>
    <row r="2345">
      <c r="A2345" s="32"/>
      <c r="B2345" s="32"/>
      <c r="C2345" s="32"/>
      <c r="D2345" s="32"/>
      <c r="E2345" s="32"/>
      <c r="F2345" s="32"/>
      <c r="G2345" s="32"/>
      <c r="H2345" s="28"/>
      <c r="I2345" s="32"/>
      <c r="J2345" s="33"/>
      <c r="K2345" s="28"/>
      <c r="L2345" s="27"/>
      <c r="M2345" s="27"/>
      <c r="N2345" s="27"/>
      <c r="O2345" s="27"/>
      <c r="P2345" s="27"/>
      <c r="Q2345" s="27"/>
      <c r="R2345" s="27"/>
      <c r="S2345" s="27"/>
      <c r="T2345" s="27"/>
      <c r="U2345" s="27"/>
      <c r="V2345" s="27"/>
      <c r="W2345" s="27"/>
      <c r="X2345" s="27"/>
      <c r="Y2345" s="27"/>
    </row>
    <row r="2346">
      <c r="A2346" s="32"/>
      <c r="B2346" s="32"/>
      <c r="C2346" s="32"/>
      <c r="D2346" s="32"/>
      <c r="E2346" s="32"/>
      <c r="F2346" s="32"/>
      <c r="G2346" s="32"/>
      <c r="H2346" s="28"/>
      <c r="I2346" s="32"/>
      <c r="J2346" s="33"/>
      <c r="K2346" s="28"/>
      <c r="L2346" s="27"/>
      <c r="M2346" s="27"/>
      <c r="N2346" s="27"/>
      <c r="O2346" s="27"/>
      <c r="P2346" s="27"/>
      <c r="Q2346" s="27"/>
      <c r="R2346" s="27"/>
      <c r="S2346" s="27"/>
      <c r="T2346" s="27"/>
      <c r="U2346" s="27"/>
      <c r="V2346" s="27"/>
      <c r="W2346" s="27"/>
      <c r="X2346" s="27"/>
      <c r="Y2346" s="27"/>
    </row>
    <row r="2347">
      <c r="A2347" s="32"/>
      <c r="B2347" s="32"/>
      <c r="C2347" s="32"/>
      <c r="D2347" s="32"/>
      <c r="E2347" s="32"/>
      <c r="F2347" s="32"/>
      <c r="G2347" s="32"/>
      <c r="H2347" s="28"/>
      <c r="I2347" s="32"/>
      <c r="J2347" s="33"/>
      <c r="K2347" s="28"/>
      <c r="L2347" s="27"/>
      <c r="M2347" s="27"/>
      <c r="N2347" s="27"/>
      <c r="O2347" s="27"/>
      <c r="P2347" s="27"/>
      <c r="Q2347" s="27"/>
      <c r="R2347" s="27"/>
      <c r="S2347" s="27"/>
      <c r="T2347" s="27"/>
      <c r="U2347" s="27"/>
      <c r="V2347" s="27"/>
      <c r="W2347" s="27"/>
      <c r="X2347" s="27"/>
      <c r="Y2347" s="27"/>
    </row>
    <row r="2348">
      <c r="A2348" s="32"/>
      <c r="B2348" s="32"/>
      <c r="C2348" s="32"/>
      <c r="D2348" s="32"/>
      <c r="E2348" s="32"/>
      <c r="F2348" s="32"/>
      <c r="G2348" s="32"/>
      <c r="H2348" s="28"/>
      <c r="I2348" s="32"/>
      <c r="J2348" s="33"/>
      <c r="K2348" s="28"/>
      <c r="L2348" s="27"/>
      <c r="M2348" s="27"/>
      <c r="N2348" s="27"/>
      <c r="O2348" s="27"/>
      <c r="P2348" s="27"/>
      <c r="Q2348" s="27"/>
      <c r="R2348" s="27"/>
      <c r="S2348" s="27"/>
      <c r="T2348" s="27"/>
      <c r="U2348" s="27"/>
      <c r="V2348" s="27"/>
      <c r="W2348" s="27"/>
      <c r="X2348" s="27"/>
      <c r="Y2348" s="27"/>
    </row>
    <row r="2349">
      <c r="A2349" s="32"/>
      <c r="B2349" s="32"/>
      <c r="C2349" s="32"/>
      <c r="D2349" s="32"/>
      <c r="E2349" s="32"/>
      <c r="F2349" s="32"/>
      <c r="G2349" s="32"/>
      <c r="H2349" s="28"/>
      <c r="I2349" s="32"/>
      <c r="J2349" s="33"/>
      <c r="K2349" s="28"/>
      <c r="L2349" s="27"/>
      <c r="M2349" s="27"/>
      <c r="N2349" s="27"/>
      <c r="O2349" s="27"/>
      <c r="P2349" s="27"/>
      <c r="Q2349" s="27"/>
      <c r="R2349" s="27"/>
      <c r="S2349" s="27"/>
      <c r="T2349" s="27"/>
      <c r="U2349" s="27"/>
      <c r="V2349" s="27"/>
      <c r="W2349" s="27"/>
      <c r="X2349" s="27"/>
      <c r="Y2349" s="27"/>
    </row>
    <row r="2350">
      <c r="A2350" s="32"/>
      <c r="B2350" s="32"/>
      <c r="C2350" s="32"/>
      <c r="D2350" s="32"/>
      <c r="E2350" s="32"/>
      <c r="F2350" s="32"/>
      <c r="G2350" s="32"/>
      <c r="H2350" s="28"/>
      <c r="I2350" s="32"/>
      <c r="J2350" s="33"/>
      <c r="K2350" s="28"/>
      <c r="L2350" s="27"/>
      <c r="M2350" s="27"/>
      <c r="N2350" s="27"/>
      <c r="O2350" s="27"/>
      <c r="P2350" s="27"/>
      <c r="Q2350" s="27"/>
      <c r="R2350" s="27"/>
      <c r="S2350" s="27"/>
      <c r="T2350" s="27"/>
      <c r="U2350" s="27"/>
      <c r="V2350" s="27"/>
      <c r="W2350" s="27"/>
      <c r="X2350" s="27"/>
      <c r="Y2350" s="27"/>
    </row>
    <row r="2351">
      <c r="A2351" s="32"/>
      <c r="B2351" s="32"/>
      <c r="C2351" s="32"/>
      <c r="D2351" s="32"/>
      <c r="E2351" s="32"/>
      <c r="F2351" s="32"/>
      <c r="G2351" s="32"/>
      <c r="H2351" s="28"/>
      <c r="I2351" s="32"/>
      <c r="J2351" s="33"/>
      <c r="K2351" s="28"/>
      <c r="L2351" s="27"/>
      <c r="M2351" s="27"/>
      <c r="N2351" s="27"/>
      <c r="O2351" s="27"/>
      <c r="P2351" s="27"/>
      <c r="Q2351" s="27"/>
      <c r="R2351" s="27"/>
      <c r="S2351" s="27"/>
      <c r="T2351" s="27"/>
      <c r="U2351" s="27"/>
      <c r="V2351" s="27"/>
      <c r="W2351" s="27"/>
      <c r="X2351" s="27"/>
      <c r="Y2351" s="27"/>
    </row>
    <row r="2352">
      <c r="A2352" s="32"/>
      <c r="B2352" s="32"/>
      <c r="C2352" s="32"/>
      <c r="D2352" s="32"/>
      <c r="E2352" s="32"/>
      <c r="F2352" s="32"/>
      <c r="G2352" s="32"/>
      <c r="H2352" s="28"/>
      <c r="I2352" s="32"/>
      <c r="J2352" s="33"/>
      <c r="K2352" s="28"/>
      <c r="L2352" s="27"/>
      <c r="M2352" s="27"/>
      <c r="N2352" s="27"/>
      <c r="O2352" s="27"/>
      <c r="P2352" s="27"/>
      <c r="Q2352" s="27"/>
      <c r="R2352" s="27"/>
      <c r="S2352" s="27"/>
      <c r="T2352" s="27"/>
      <c r="U2352" s="27"/>
      <c r="V2352" s="27"/>
      <c r="W2352" s="27"/>
      <c r="X2352" s="27"/>
      <c r="Y2352" s="27"/>
    </row>
    <row r="2353">
      <c r="A2353" s="32"/>
      <c r="B2353" s="32"/>
      <c r="C2353" s="32"/>
      <c r="D2353" s="32"/>
      <c r="E2353" s="32"/>
      <c r="F2353" s="32"/>
      <c r="G2353" s="32"/>
      <c r="H2353" s="28"/>
      <c r="I2353" s="32"/>
      <c r="J2353" s="33"/>
      <c r="K2353" s="28"/>
      <c r="L2353" s="27"/>
      <c r="M2353" s="27"/>
      <c r="N2353" s="27"/>
      <c r="O2353" s="27"/>
      <c r="P2353" s="27"/>
      <c r="Q2353" s="27"/>
      <c r="R2353" s="27"/>
      <c r="S2353" s="27"/>
      <c r="T2353" s="27"/>
      <c r="U2353" s="27"/>
      <c r="V2353" s="27"/>
      <c r="W2353" s="27"/>
      <c r="X2353" s="27"/>
      <c r="Y2353" s="27"/>
    </row>
    <row r="2354">
      <c r="A2354" s="32"/>
      <c r="B2354" s="32"/>
      <c r="C2354" s="32"/>
      <c r="D2354" s="32"/>
      <c r="E2354" s="32"/>
      <c r="F2354" s="32"/>
      <c r="G2354" s="32"/>
      <c r="H2354" s="28"/>
      <c r="I2354" s="32"/>
      <c r="J2354" s="33"/>
      <c r="K2354" s="28"/>
      <c r="L2354" s="27"/>
      <c r="M2354" s="27"/>
      <c r="N2354" s="27"/>
      <c r="O2354" s="27"/>
      <c r="P2354" s="27"/>
      <c r="Q2354" s="27"/>
      <c r="R2354" s="27"/>
      <c r="S2354" s="27"/>
      <c r="T2354" s="27"/>
      <c r="U2354" s="27"/>
      <c r="V2354" s="27"/>
      <c r="W2354" s="27"/>
      <c r="X2354" s="27"/>
      <c r="Y2354" s="27"/>
    </row>
    <row r="2355">
      <c r="A2355" s="32"/>
      <c r="B2355" s="32"/>
      <c r="C2355" s="32"/>
      <c r="D2355" s="32"/>
      <c r="E2355" s="32"/>
      <c r="F2355" s="32"/>
      <c r="G2355" s="32"/>
      <c r="H2355" s="28"/>
      <c r="I2355" s="32"/>
      <c r="J2355" s="33"/>
      <c r="K2355" s="28"/>
      <c r="L2355" s="27"/>
      <c r="M2355" s="27"/>
      <c r="N2355" s="27"/>
      <c r="O2355" s="27"/>
      <c r="P2355" s="27"/>
      <c r="Q2355" s="27"/>
      <c r="R2355" s="27"/>
      <c r="S2355" s="27"/>
      <c r="T2355" s="27"/>
      <c r="U2355" s="27"/>
      <c r="V2355" s="27"/>
      <c r="W2355" s="27"/>
      <c r="X2355" s="27"/>
      <c r="Y2355" s="27"/>
    </row>
    <row r="2356">
      <c r="A2356" s="32"/>
      <c r="B2356" s="32"/>
      <c r="C2356" s="32"/>
      <c r="D2356" s="32"/>
      <c r="E2356" s="32"/>
      <c r="F2356" s="32"/>
      <c r="G2356" s="32"/>
      <c r="H2356" s="28"/>
      <c r="I2356" s="32"/>
      <c r="J2356" s="33"/>
      <c r="K2356" s="28"/>
      <c r="L2356" s="27"/>
      <c r="M2356" s="27"/>
      <c r="N2356" s="27"/>
      <c r="O2356" s="27"/>
      <c r="P2356" s="27"/>
      <c r="Q2356" s="27"/>
      <c r="R2356" s="27"/>
      <c r="S2356" s="27"/>
      <c r="T2356" s="27"/>
      <c r="U2356" s="27"/>
      <c r="V2356" s="27"/>
      <c r="W2356" s="27"/>
      <c r="X2356" s="27"/>
      <c r="Y2356" s="27"/>
    </row>
    <row r="2357">
      <c r="A2357" s="32"/>
      <c r="B2357" s="32"/>
      <c r="C2357" s="32"/>
      <c r="D2357" s="32"/>
      <c r="E2357" s="32"/>
      <c r="F2357" s="32"/>
      <c r="G2357" s="32"/>
      <c r="H2357" s="28"/>
      <c r="I2357" s="32"/>
      <c r="J2357" s="33"/>
      <c r="K2357" s="28"/>
      <c r="L2357" s="27"/>
      <c r="M2357" s="27"/>
      <c r="N2357" s="27"/>
      <c r="O2357" s="27"/>
      <c r="P2357" s="27"/>
      <c r="Q2357" s="27"/>
      <c r="R2357" s="27"/>
      <c r="S2357" s="27"/>
      <c r="T2357" s="27"/>
      <c r="U2357" s="27"/>
      <c r="V2357" s="27"/>
      <c r="W2357" s="27"/>
      <c r="X2357" s="27"/>
      <c r="Y2357" s="27"/>
    </row>
    <row r="2358">
      <c r="A2358" s="32"/>
      <c r="B2358" s="32"/>
      <c r="C2358" s="32"/>
      <c r="D2358" s="32"/>
      <c r="E2358" s="32"/>
      <c r="F2358" s="32"/>
      <c r="G2358" s="32"/>
      <c r="H2358" s="28"/>
      <c r="I2358" s="32"/>
      <c r="J2358" s="33"/>
      <c r="K2358" s="28"/>
      <c r="L2358" s="27"/>
      <c r="M2358" s="27"/>
      <c r="N2358" s="27"/>
      <c r="O2358" s="27"/>
      <c r="P2358" s="27"/>
      <c r="Q2358" s="27"/>
      <c r="R2358" s="27"/>
      <c r="S2358" s="27"/>
      <c r="T2358" s="27"/>
      <c r="U2358" s="27"/>
      <c r="V2358" s="27"/>
      <c r="W2358" s="27"/>
      <c r="X2358" s="27"/>
      <c r="Y2358" s="27"/>
    </row>
    <row r="2359">
      <c r="A2359" s="32"/>
      <c r="B2359" s="32"/>
      <c r="C2359" s="32"/>
      <c r="D2359" s="32"/>
      <c r="E2359" s="32"/>
      <c r="F2359" s="32"/>
      <c r="G2359" s="32"/>
      <c r="H2359" s="28"/>
      <c r="I2359" s="32"/>
      <c r="J2359" s="33"/>
      <c r="K2359" s="28"/>
      <c r="L2359" s="27"/>
      <c r="M2359" s="27"/>
      <c r="N2359" s="27"/>
      <c r="O2359" s="27"/>
      <c r="P2359" s="27"/>
      <c r="Q2359" s="27"/>
      <c r="R2359" s="27"/>
      <c r="S2359" s="27"/>
      <c r="T2359" s="27"/>
      <c r="U2359" s="27"/>
      <c r="V2359" s="27"/>
      <c r="W2359" s="27"/>
      <c r="X2359" s="27"/>
      <c r="Y2359" s="27"/>
    </row>
    <row r="2360">
      <c r="A2360" s="32"/>
      <c r="B2360" s="32"/>
      <c r="C2360" s="32"/>
      <c r="D2360" s="32"/>
      <c r="E2360" s="32"/>
      <c r="F2360" s="32"/>
      <c r="G2360" s="32"/>
      <c r="H2360" s="28"/>
      <c r="I2360" s="32"/>
      <c r="J2360" s="33"/>
      <c r="K2360" s="28"/>
      <c r="L2360" s="27"/>
      <c r="M2360" s="27"/>
      <c r="N2360" s="27"/>
      <c r="O2360" s="27"/>
      <c r="P2360" s="27"/>
      <c r="Q2360" s="27"/>
      <c r="R2360" s="27"/>
      <c r="S2360" s="27"/>
      <c r="T2360" s="27"/>
      <c r="U2360" s="27"/>
      <c r="V2360" s="27"/>
      <c r="W2360" s="27"/>
      <c r="X2360" s="27"/>
      <c r="Y2360" s="27"/>
    </row>
    <row r="2361">
      <c r="A2361" s="32"/>
      <c r="B2361" s="32"/>
      <c r="C2361" s="32"/>
      <c r="D2361" s="32"/>
      <c r="E2361" s="32"/>
      <c r="F2361" s="32"/>
      <c r="G2361" s="32"/>
      <c r="H2361" s="28"/>
      <c r="I2361" s="32"/>
      <c r="J2361" s="33"/>
      <c r="K2361" s="28"/>
      <c r="L2361" s="27"/>
      <c r="M2361" s="27"/>
      <c r="N2361" s="27"/>
      <c r="O2361" s="27"/>
      <c r="P2361" s="27"/>
      <c r="Q2361" s="27"/>
      <c r="R2361" s="27"/>
      <c r="S2361" s="27"/>
      <c r="T2361" s="27"/>
      <c r="U2361" s="27"/>
      <c r="V2361" s="27"/>
      <c r="W2361" s="27"/>
      <c r="X2361" s="27"/>
      <c r="Y2361" s="27"/>
    </row>
    <row r="2362">
      <c r="A2362" s="32"/>
      <c r="B2362" s="32"/>
      <c r="C2362" s="32"/>
      <c r="D2362" s="32"/>
      <c r="E2362" s="32"/>
      <c r="F2362" s="32"/>
      <c r="G2362" s="32"/>
      <c r="H2362" s="28"/>
      <c r="I2362" s="32"/>
      <c r="J2362" s="33"/>
      <c r="K2362" s="28"/>
      <c r="L2362" s="27"/>
      <c r="M2362" s="27"/>
      <c r="N2362" s="27"/>
      <c r="O2362" s="27"/>
      <c r="P2362" s="27"/>
      <c r="Q2362" s="27"/>
      <c r="R2362" s="27"/>
      <c r="S2362" s="27"/>
      <c r="T2362" s="27"/>
      <c r="U2362" s="27"/>
      <c r="V2362" s="27"/>
      <c r="W2362" s="27"/>
      <c r="X2362" s="27"/>
      <c r="Y2362" s="27"/>
    </row>
    <row r="2363">
      <c r="A2363" s="32"/>
      <c r="B2363" s="32"/>
      <c r="C2363" s="32"/>
      <c r="D2363" s="32"/>
      <c r="E2363" s="32"/>
      <c r="F2363" s="32"/>
      <c r="G2363" s="32"/>
      <c r="H2363" s="28"/>
      <c r="I2363" s="32"/>
      <c r="J2363" s="33"/>
      <c r="K2363" s="28"/>
      <c r="L2363" s="27"/>
      <c r="M2363" s="27"/>
      <c r="N2363" s="27"/>
      <c r="O2363" s="27"/>
      <c r="P2363" s="27"/>
      <c r="Q2363" s="27"/>
      <c r="R2363" s="27"/>
      <c r="S2363" s="27"/>
      <c r="T2363" s="27"/>
      <c r="U2363" s="27"/>
      <c r="V2363" s="27"/>
      <c r="W2363" s="27"/>
      <c r="X2363" s="27"/>
      <c r="Y2363" s="27"/>
    </row>
    <row r="2364">
      <c r="A2364" s="32"/>
      <c r="B2364" s="32"/>
      <c r="C2364" s="32"/>
      <c r="D2364" s="32"/>
      <c r="E2364" s="32"/>
      <c r="F2364" s="32"/>
      <c r="G2364" s="32"/>
      <c r="H2364" s="28"/>
      <c r="I2364" s="32"/>
      <c r="J2364" s="33"/>
      <c r="K2364" s="28"/>
      <c r="L2364" s="27"/>
      <c r="M2364" s="27"/>
      <c r="N2364" s="27"/>
      <c r="O2364" s="27"/>
      <c r="P2364" s="27"/>
      <c r="Q2364" s="27"/>
      <c r="R2364" s="27"/>
      <c r="S2364" s="27"/>
      <c r="T2364" s="27"/>
      <c r="U2364" s="27"/>
      <c r="V2364" s="27"/>
      <c r="W2364" s="27"/>
      <c r="X2364" s="27"/>
      <c r="Y2364" s="27"/>
    </row>
    <row r="2365">
      <c r="A2365" s="32"/>
      <c r="B2365" s="32"/>
      <c r="C2365" s="32"/>
      <c r="D2365" s="32"/>
      <c r="E2365" s="32"/>
      <c r="F2365" s="32"/>
      <c r="G2365" s="32"/>
      <c r="H2365" s="28"/>
      <c r="I2365" s="32"/>
      <c r="J2365" s="33"/>
      <c r="K2365" s="28"/>
      <c r="L2365" s="27"/>
      <c r="M2365" s="27"/>
      <c r="N2365" s="27"/>
      <c r="O2365" s="27"/>
      <c r="P2365" s="27"/>
      <c r="Q2365" s="27"/>
      <c r="R2365" s="27"/>
      <c r="S2365" s="27"/>
      <c r="T2365" s="27"/>
      <c r="U2365" s="27"/>
      <c r="V2365" s="27"/>
      <c r="W2365" s="27"/>
      <c r="X2365" s="27"/>
      <c r="Y2365" s="27"/>
    </row>
    <row r="2366">
      <c r="A2366" s="32"/>
      <c r="B2366" s="32"/>
      <c r="C2366" s="32"/>
      <c r="D2366" s="32"/>
      <c r="E2366" s="32"/>
      <c r="F2366" s="32"/>
      <c r="G2366" s="32"/>
      <c r="H2366" s="28"/>
      <c r="I2366" s="32"/>
      <c r="J2366" s="33"/>
      <c r="K2366" s="28"/>
      <c r="L2366" s="27"/>
      <c r="M2366" s="27"/>
      <c r="N2366" s="27"/>
      <c r="O2366" s="27"/>
      <c r="P2366" s="27"/>
      <c r="Q2366" s="27"/>
      <c r="R2366" s="27"/>
      <c r="S2366" s="27"/>
      <c r="T2366" s="27"/>
      <c r="U2366" s="27"/>
      <c r="V2366" s="27"/>
      <c r="W2366" s="27"/>
      <c r="X2366" s="27"/>
      <c r="Y2366" s="27"/>
    </row>
    <row r="2367">
      <c r="A2367" s="32"/>
      <c r="B2367" s="32"/>
      <c r="C2367" s="32"/>
      <c r="D2367" s="32"/>
      <c r="E2367" s="32"/>
      <c r="F2367" s="32"/>
      <c r="G2367" s="32"/>
      <c r="H2367" s="28"/>
      <c r="I2367" s="32"/>
      <c r="J2367" s="33"/>
      <c r="K2367" s="28"/>
      <c r="L2367" s="27"/>
      <c r="M2367" s="27"/>
      <c r="N2367" s="27"/>
      <c r="O2367" s="27"/>
      <c r="P2367" s="27"/>
      <c r="Q2367" s="27"/>
      <c r="R2367" s="27"/>
      <c r="S2367" s="27"/>
      <c r="T2367" s="27"/>
      <c r="U2367" s="27"/>
      <c r="V2367" s="27"/>
      <c r="W2367" s="27"/>
      <c r="X2367" s="27"/>
      <c r="Y2367" s="27"/>
    </row>
    <row r="2368">
      <c r="A2368" s="32"/>
      <c r="B2368" s="32"/>
      <c r="C2368" s="32"/>
      <c r="D2368" s="32"/>
      <c r="E2368" s="32"/>
      <c r="F2368" s="32"/>
      <c r="G2368" s="32"/>
      <c r="H2368" s="28"/>
      <c r="I2368" s="32"/>
      <c r="J2368" s="33"/>
      <c r="K2368" s="28"/>
      <c r="L2368" s="27"/>
      <c r="M2368" s="27"/>
      <c r="N2368" s="27"/>
      <c r="O2368" s="27"/>
      <c r="P2368" s="27"/>
      <c r="Q2368" s="27"/>
      <c r="R2368" s="27"/>
      <c r="S2368" s="27"/>
      <c r="T2368" s="27"/>
      <c r="U2368" s="27"/>
      <c r="V2368" s="27"/>
      <c r="W2368" s="27"/>
      <c r="X2368" s="27"/>
      <c r="Y2368" s="27"/>
    </row>
    <row r="2369">
      <c r="A2369" s="32"/>
      <c r="B2369" s="32"/>
      <c r="C2369" s="32"/>
      <c r="D2369" s="32"/>
      <c r="E2369" s="32"/>
      <c r="F2369" s="32"/>
      <c r="G2369" s="32"/>
      <c r="H2369" s="28"/>
      <c r="I2369" s="32"/>
      <c r="J2369" s="33"/>
      <c r="K2369" s="28"/>
      <c r="L2369" s="27"/>
      <c r="M2369" s="27"/>
      <c r="N2369" s="27"/>
      <c r="O2369" s="27"/>
      <c r="P2369" s="27"/>
      <c r="Q2369" s="27"/>
      <c r="R2369" s="27"/>
      <c r="S2369" s="27"/>
      <c r="T2369" s="27"/>
      <c r="U2369" s="27"/>
      <c r="V2369" s="27"/>
      <c r="W2369" s="27"/>
      <c r="X2369" s="27"/>
      <c r="Y2369" s="27"/>
    </row>
    <row r="2370">
      <c r="A2370" s="32"/>
      <c r="B2370" s="32"/>
      <c r="C2370" s="32"/>
      <c r="D2370" s="32"/>
      <c r="E2370" s="32"/>
      <c r="F2370" s="32"/>
      <c r="G2370" s="32"/>
      <c r="H2370" s="28"/>
      <c r="I2370" s="32"/>
      <c r="J2370" s="33"/>
      <c r="K2370" s="28"/>
      <c r="L2370" s="27"/>
      <c r="M2370" s="27"/>
      <c r="N2370" s="27"/>
      <c r="O2370" s="27"/>
      <c r="P2370" s="27"/>
      <c r="Q2370" s="27"/>
      <c r="R2370" s="27"/>
      <c r="S2370" s="27"/>
      <c r="T2370" s="27"/>
      <c r="U2370" s="27"/>
      <c r="V2370" s="27"/>
      <c r="W2370" s="27"/>
      <c r="X2370" s="27"/>
      <c r="Y2370" s="27"/>
    </row>
    <row r="2371">
      <c r="A2371" s="32"/>
      <c r="B2371" s="32"/>
      <c r="C2371" s="32"/>
      <c r="D2371" s="32"/>
      <c r="E2371" s="32"/>
      <c r="F2371" s="32"/>
      <c r="G2371" s="32"/>
      <c r="H2371" s="28"/>
      <c r="I2371" s="32"/>
      <c r="J2371" s="33"/>
      <c r="K2371" s="28"/>
      <c r="L2371" s="27"/>
      <c r="M2371" s="27"/>
      <c r="N2371" s="27"/>
      <c r="O2371" s="27"/>
      <c r="P2371" s="27"/>
      <c r="Q2371" s="27"/>
      <c r="R2371" s="27"/>
      <c r="S2371" s="27"/>
      <c r="T2371" s="27"/>
      <c r="U2371" s="27"/>
      <c r="V2371" s="27"/>
      <c r="W2371" s="27"/>
      <c r="X2371" s="27"/>
      <c r="Y2371" s="27"/>
    </row>
    <row r="2372">
      <c r="A2372" s="32"/>
      <c r="B2372" s="32"/>
      <c r="C2372" s="32"/>
      <c r="D2372" s="32"/>
      <c r="E2372" s="32"/>
      <c r="F2372" s="32"/>
      <c r="G2372" s="32"/>
      <c r="H2372" s="28"/>
      <c r="I2372" s="32"/>
      <c r="J2372" s="33"/>
      <c r="K2372" s="28"/>
      <c r="L2372" s="27"/>
      <c r="M2372" s="27"/>
      <c r="N2372" s="27"/>
      <c r="O2372" s="27"/>
      <c r="P2372" s="27"/>
      <c r="Q2372" s="27"/>
      <c r="R2372" s="27"/>
      <c r="S2372" s="27"/>
      <c r="T2372" s="27"/>
      <c r="U2372" s="27"/>
      <c r="V2372" s="27"/>
      <c r="W2372" s="27"/>
      <c r="X2372" s="27"/>
      <c r="Y2372" s="27"/>
    </row>
    <row r="2373">
      <c r="A2373" s="32"/>
      <c r="B2373" s="32"/>
      <c r="C2373" s="32"/>
      <c r="D2373" s="32"/>
      <c r="E2373" s="32"/>
      <c r="F2373" s="32"/>
      <c r="G2373" s="32"/>
      <c r="H2373" s="28"/>
      <c r="I2373" s="32"/>
      <c r="J2373" s="33"/>
      <c r="K2373" s="28"/>
      <c r="L2373" s="27"/>
      <c r="M2373" s="27"/>
      <c r="N2373" s="27"/>
      <c r="O2373" s="27"/>
      <c r="P2373" s="27"/>
      <c r="Q2373" s="27"/>
      <c r="R2373" s="27"/>
      <c r="S2373" s="27"/>
      <c r="T2373" s="27"/>
      <c r="U2373" s="27"/>
      <c r="V2373" s="27"/>
      <c r="W2373" s="27"/>
      <c r="X2373" s="27"/>
      <c r="Y2373" s="27"/>
    </row>
    <row r="2374">
      <c r="A2374" s="32"/>
      <c r="B2374" s="32"/>
      <c r="C2374" s="32"/>
      <c r="D2374" s="32"/>
      <c r="E2374" s="32"/>
      <c r="F2374" s="32"/>
      <c r="G2374" s="32"/>
      <c r="H2374" s="28"/>
      <c r="I2374" s="32"/>
      <c r="J2374" s="33"/>
      <c r="K2374" s="28"/>
      <c r="L2374" s="27"/>
      <c r="M2374" s="27"/>
      <c r="N2374" s="27"/>
      <c r="O2374" s="27"/>
      <c r="P2374" s="27"/>
      <c r="Q2374" s="27"/>
      <c r="R2374" s="27"/>
      <c r="S2374" s="27"/>
      <c r="T2374" s="27"/>
      <c r="U2374" s="27"/>
      <c r="V2374" s="27"/>
      <c r="W2374" s="27"/>
      <c r="X2374" s="27"/>
      <c r="Y2374" s="27"/>
    </row>
    <row r="2375">
      <c r="A2375" s="32"/>
      <c r="B2375" s="32"/>
      <c r="C2375" s="32"/>
      <c r="D2375" s="32"/>
      <c r="E2375" s="32"/>
      <c r="F2375" s="32"/>
      <c r="G2375" s="32"/>
      <c r="H2375" s="28"/>
      <c r="I2375" s="32"/>
      <c r="J2375" s="33"/>
      <c r="K2375" s="28"/>
      <c r="L2375" s="27"/>
      <c r="M2375" s="27"/>
      <c r="N2375" s="27"/>
      <c r="O2375" s="27"/>
      <c r="P2375" s="27"/>
      <c r="Q2375" s="27"/>
      <c r="R2375" s="27"/>
      <c r="S2375" s="27"/>
      <c r="T2375" s="27"/>
      <c r="U2375" s="27"/>
      <c r="V2375" s="27"/>
      <c r="W2375" s="27"/>
      <c r="X2375" s="27"/>
      <c r="Y2375" s="27"/>
    </row>
    <row r="2376">
      <c r="A2376" s="32"/>
      <c r="B2376" s="32"/>
      <c r="C2376" s="32"/>
      <c r="D2376" s="32"/>
      <c r="E2376" s="32"/>
      <c r="F2376" s="32"/>
      <c r="G2376" s="32"/>
      <c r="H2376" s="28"/>
      <c r="I2376" s="32"/>
      <c r="J2376" s="33"/>
      <c r="K2376" s="28"/>
      <c r="L2376" s="27"/>
      <c r="M2376" s="27"/>
      <c r="N2376" s="27"/>
      <c r="O2376" s="27"/>
      <c r="P2376" s="27"/>
      <c r="Q2376" s="27"/>
      <c r="R2376" s="27"/>
      <c r="S2376" s="27"/>
      <c r="T2376" s="27"/>
      <c r="U2376" s="27"/>
      <c r="V2376" s="27"/>
      <c r="W2376" s="27"/>
      <c r="X2376" s="27"/>
      <c r="Y2376" s="27"/>
    </row>
    <row r="2377">
      <c r="A2377" s="32"/>
      <c r="B2377" s="32"/>
      <c r="C2377" s="32"/>
      <c r="D2377" s="32"/>
      <c r="E2377" s="32"/>
      <c r="F2377" s="32"/>
      <c r="G2377" s="32"/>
      <c r="H2377" s="28"/>
      <c r="I2377" s="32"/>
      <c r="J2377" s="33"/>
      <c r="K2377" s="28"/>
      <c r="L2377" s="27"/>
      <c r="M2377" s="27"/>
      <c r="N2377" s="27"/>
      <c r="O2377" s="27"/>
      <c r="P2377" s="27"/>
      <c r="Q2377" s="27"/>
      <c r="R2377" s="27"/>
      <c r="S2377" s="27"/>
      <c r="T2377" s="27"/>
      <c r="U2377" s="27"/>
      <c r="V2377" s="27"/>
      <c r="W2377" s="27"/>
      <c r="X2377" s="27"/>
      <c r="Y2377" s="27"/>
    </row>
    <row r="2378">
      <c r="A2378" s="32"/>
      <c r="B2378" s="32"/>
      <c r="C2378" s="32"/>
      <c r="D2378" s="32"/>
      <c r="E2378" s="32"/>
      <c r="F2378" s="32"/>
      <c r="G2378" s="32"/>
      <c r="H2378" s="28"/>
      <c r="I2378" s="32"/>
      <c r="J2378" s="33"/>
      <c r="K2378" s="28"/>
      <c r="L2378" s="27"/>
      <c r="M2378" s="27"/>
      <c r="N2378" s="27"/>
      <c r="O2378" s="27"/>
      <c r="P2378" s="27"/>
      <c r="Q2378" s="27"/>
      <c r="R2378" s="27"/>
      <c r="S2378" s="27"/>
      <c r="T2378" s="27"/>
      <c r="U2378" s="27"/>
      <c r="V2378" s="27"/>
      <c r="W2378" s="27"/>
      <c r="X2378" s="27"/>
      <c r="Y2378" s="27"/>
    </row>
    <row r="2379">
      <c r="A2379" s="32"/>
      <c r="B2379" s="32"/>
      <c r="C2379" s="32"/>
      <c r="D2379" s="32"/>
      <c r="E2379" s="32"/>
      <c r="F2379" s="32"/>
      <c r="G2379" s="32"/>
      <c r="H2379" s="28"/>
      <c r="I2379" s="32"/>
      <c r="J2379" s="33"/>
      <c r="K2379" s="28"/>
      <c r="L2379" s="27"/>
      <c r="M2379" s="27"/>
      <c r="N2379" s="27"/>
      <c r="O2379" s="27"/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</row>
    <row r="2380">
      <c r="A2380" s="32"/>
      <c r="B2380" s="32"/>
      <c r="C2380" s="32"/>
      <c r="D2380" s="32"/>
      <c r="E2380" s="32"/>
      <c r="F2380" s="32"/>
      <c r="G2380" s="32"/>
      <c r="H2380" s="28"/>
      <c r="I2380" s="32"/>
      <c r="J2380" s="33"/>
      <c r="K2380" s="28"/>
      <c r="L2380" s="27"/>
      <c r="M2380" s="27"/>
      <c r="N2380" s="27"/>
      <c r="O2380" s="27"/>
      <c r="P2380" s="27"/>
      <c r="Q2380" s="27"/>
      <c r="R2380" s="27"/>
      <c r="S2380" s="27"/>
      <c r="T2380" s="27"/>
      <c r="U2380" s="27"/>
      <c r="V2380" s="27"/>
      <c r="W2380" s="27"/>
      <c r="X2380" s="27"/>
      <c r="Y2380" s="27"/>
    </row>
    <row r="2381">
      <c r="A2381" s="32"/>
      <c r="B2381" s="32"/>
      <c r="C2381" s="32"/>
      <c r="D2381" s="32"/>
      <c r="E2381" s="32"/>
      <c r="F2381" s="32"/>
      <c r="G2381" s="32"/>
      <c r="H2381" s="28"/>
      <c r="I2381" s="32"/>
      <c r="J2381" s="33"/>
      <c r="K2381" s="28"/>
      <c r="L2381" s="27"/>
      <c r="M2381" s="27"/>
      <c r="N2381" s="27"/>
      <c r="O2381" s="27"/>
      <c r="P2381" s="27"/>
      <c r="Q2381" s="27"/>
      <c r="R2381" s="27"/>
      <c r="S2381" s="27"/>
      <c r="T2381" s="27"/>
      <c r="U2381" s="27"/>
      <c r="V2381" s="27"/>
      <c r="W2381" s="27"/>
      <c r="X2381" s="27"/>
      <c r="Y2381" s="27"/>
    </row>
    <row r="2382">
      <c r="A2382" s="32"/>
      <c r="B2382" s="32"/>
      <c r="C2382" s="32"/>
      <c r="D2382" s="32"/>
      <c r="E2382" s="32"/>
      <c r="F2382" s="32"/>
      <c r="G2382" s="32"/>
      <c r="H2382" s="28"/>
      <c r="I2382" s="32"/>
      <c r="J2382" s="33"/>
      <c r="K2382" s="28"/>
      <c r="L2382" s="27"/>
      <c r="M2382" s="27"/>
      <c r="N2382" s="27"/>
      <c r="O2382" s="27"/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</row>
    <row r="2383">
      <c r="A2383" s="32"/>
      <c r="B2383" s="32"/>
      <c r="C2383" s="32"/>
      <c r="D2383" s="32"/>
      <c r="E2383" s="32"/>
      <c r="F2383" s="32"/>
      <c r="G2383" s="32"/>
      <c r="H2383" s="28"/>
      <c r="I2383" s="32"/>
      <c r="J2383" s="33"/>
      <c r="K2383" s="28"/>
      <c r="L2383" s="27"/>
      <c r="M2383" s="27"/>
      <c r="N2383" s="27"/>
      <c r="O2383" s="27"/>
      <c r="P2383" s="27"/>
      <c r="Q2383" s="27"/>
      <c r="R2383" s="27"/>
      <c r="S2383" s="27"/>
      <c r="T2383" s="27"/>
      <c r="U2383" s="27"/>
      <c r="V2383" s="27"/>
      <c r="W2383" s="27"/>
      <c r="X2383" s="27"/>
      <c r="Y2383" s="27"/>
    </row>
    <row r="2384">
      <c r="A2384" s="32"/>
      <c r="B2384" s="32"/>
      <c r="C2384" s="32"/>
      <c r="D2384" s="32"/>
      <c r="E2384" s="32"/>
      <c r="F2384" s="32"/>
      <c r="G2384" s="32"/>
      <c r="H2384" s="28"/>
      <c r="I2384" s="32"/>
      <c r="J2384" s="33"/>
      <c r="K2384" s="28"/>
      <c r="L2384" s="27"/>
      <c r="M2384" s="27"/>
      <c r="N2384" s="27"/>
      <c r="O2384" s="27"/>
      <c r="P2384" s="27"/>
      <c r="Q2384" s="27"/>
      <c r="R2384" s="27"/>
      <c r="S2384" s="27"/>
      <c r="T2384" s="27"/>
      <c r="U2384" s="27"/>
      <c r="V2384" s="27"/>
      <c r="W2384" s="27"/>
      <c r="X2384" s="27"/>
      <c r="Y2384" s="27"/>
    </row>
    <row r="2385">
      <c r="A2385" s="32"/>
      <c r="B2385" s="32"/>
      <c r="C2385" s="32"/>
      <c r="D2385" s="32"/>
      <c r="E2385" s="32"/>
      <c r="F2385" s="32"/>
      <c r="G2385" s="32"/>
      <c r="H2385" s="28"/>
      <c r="I2385" s="32"/>
      <c r="J2385" s="33"/>
      <c r="K2385" s="28"/>
      <c r="L2385" s="27"/>
      <c r="M2385" s="27"/>
      <c r="N2385" s="27"/>
      <c r="O2385" s="27"/>
      <c r="P2385" s="27"/>
      <c r="Q2385" s="27"/>
      <c r="R2385" s="27"/>
      <c r="S2385" s="27"/>
      <c r="T2385" s="27"/>
      <c r="U2385" s="27"/>
      <c r="V2385" s="27"/>
      <c r="W2385" s="27"/>
      <c r="X2385" s="27"/>
      <c r="Y2385" s="27"/>
    </row>
    <row r="2386">
      <c r="A2386" s="32"/>
      <c r="B2386" s="32"/>
      <c r="C2386" s="32"/>
      <c r="D2386" s="32"/>
      <c r="E2386" s="32"/>
      <c r="F2386" s="32"/>
      <c r="G2386" s="32"/>
      <c r="H2386" s="28"/>
      <c r="I2386" s="32"/>
      <c r="J2386" s="33"/>
      <c r="K2386" s="28"/>
      <c r="L2386" s="27"/>
      <c r="M2386" s="27"/>
      <c r="N2386" s="27"/>
      <c r="O2386" s="27"/>
      <c r="P2386" s="27"/>
      <c r="Q2386" s="27"/>
      <c r="R2386" s="27"/>
      <c r="S2386" s="27"/>
      <c r="T2386" s="27"/>
      <c r="U2386" s="27"/>
      <c r="V2386" s="27"/>
      <c r="W2386" s="27"/>
      <c r="X2386" s="27"/>
      <c r="Y2386" s="27"/>
    </row>
    <row r="2387">
      <c r="A2387" s="32"/>
      <c r="B2387" s="32"/>
      <c r="C2387" s="32"/>
      <c r="D2387" s="32"/>
      <c r="E2387" s="32"/>
      <c r="F2387" s="32"/>
      <c r="G2387" s="32"/>
      <c r="H2387" s="28"/>
      <c r="I2387" s="32"/>
      <c r="J2387" s="33"/>
      <c r="K2387" s="28"/>
      <c r="L2387" s="27"/>
      <c r="M2387" s="27"/>
      <c r="N2387" s="27"/>
      <c r="O2387" s="27"/>
      <c r="P2387" s="27"/>
      <c r="Q2387" s="27"/>
      <c r="R2387" s="27"/>
      <c r="S2387" s="27"/>
      <c r="T2387" s="27"/>
      <c r="U2387" s="27"/>
      <c r="V2387" s="27"/>
      <c r="W2387" s="27"/>
      <c r="X2387" s="27"/>
      <c r="Y2387" s="27"/>
    </row>
    <row r="2388">
      <c r="A2388" s="32"/>
      <c r="B2388" s="32"/>
      <c r="C2388" s="32"/>
      <c r="D2388" s="32"/>
      <c r="E2388" s="32"/>
      <c r="F2388" s="32"/>
      <c r="G2388" s="32"/>
      <c r="H2388" s="28"/>
      <c r="I2388" s="32"/>
      <c r="J2388" s="33"/>
      <c r="K2388" s="28"/>
      <c r="L2388" s="27"/>
      <c r="M2388" s="27"/>
      <c r="N2388" s="27"/>
      <c r="O2388" s="27"/>
      <c r="P2388" s="27"/>
      <c r="Q2388" s="27"/>
      <c r="R2388" s="27"/>
      <c r="S2388" s="27"/>
      <c r="T2388" s="27"/>
      <c r="U2388" s="27"/>
      <c r="V2388" s="27"/>
      <c r="W2388" s="27"/>
      <c r="X2388" s="27"/>
      <c r="Y2388" s="27"/>
    </row>
    <row r="2389">
      <c r="A2389" s="32"/>
      <c r="B2389" s="32"/>
      <c r="C2389" s="32"/>
      <c r="D2389" s="32"/>
      <c r="E2389" s="32"/>
      <c r="F2389" s="32"/>
      <c r="G2389" s="32"/>
      <c r="H2389" s="28"/>
      <c r="I2389" s="32"/>
      <c r="J2389" s="33"/>
      <c r="K2389" s="28"/>
      <c r="L2389" s="27"/>
      <c r="M2389" s="27"/>
      <c r="N2389" s="27"/>
      <c r="O2389" s="27"/>
      <c r="P2389" s="27"/>
      <c r="Q2389" s="27"/>
      <c r="R2389" s="27"/>
      <c r="S2389" s="27"/>
      <c r="T2389" s="27"/>
      <c r="U2389" s="27"/>
      <c r="V2389" s="27"/>
      <c r="W2389" s="27"/>
      <c r="X2389" s="27"/>
      <c r="Y2389" s="27"/>
    </row>
    <row r="2390">
      <c r="A2390" s="32"/>
      <c r="B2390" s="32"/>
      <c r="C2390" s="32"/>
      <c r="D2390" s="32"/>
      <c r="E2390" s="32"/>
      <c r="F2390" s="32"/>
      <c r="G2390" s="32"/>
      <c r="H2390" s="28"/>
      <c r="I2390" s="32"/>
      <c r="J2390" s="33"/>
      <c r="K2390" s="28"/>
      <c r="L2390" s="27"/>
      <c r="M2390" s="27"/>
      <c r="N2390" s="27"/>
      <c r="O2390" s="27"/>
      <c r="P2390" s="27"/>
      <c r="Q2390" s="27"/>
      <c r="R2390" s="27"/>
      <c r="S2390" s="27"/>
      <c r="T2390" s="27"/>
      <c r="U2390" s="27"/>
      <c r="V2390" s="27"/>
      <c r="W2390" s="27"/>
      <c r="X2390" s="27"/>
      <c r="Y2390" s="27"/>
    </row>
    <row r="2391">
      <c r="A2391" s="32"/>
      <c r="B2391" s="32"/>
      <c r="C2391" s="32"/>
      <c r="D2391" s="32"/>
      <c r="E2391" s="32"/>
      <c r="F2391" s="32"/>
      <c r="G2391" s="32"/>
      <c r="H2391" s="28"/>
      <c r="I2391" s="32"/>
      <c r="J2391" s="33"/>
      <c r="K2391" s="28"/>
      <c r="L2391" s="27"/>
      <c r="M2391" s="27"/>
      <c r="N2391" s="27"/>
      <c r="O2391" s="27"/>
      <c r="P2391" s="27"/>
      <c r="Q2391" s="27"/>
      <c r="R2391" s="27"/>
      <c r="S2391" s="27"/>
      <c r="T2391" s="27"/>
      <c r="U2391" s="27"/>
      <c r="V2391" s="27"/>
      <c r="W2391" s="27"/>
      <c r="X2391" s="27"/>
      <c r="Y2391" s="27"/>
    </row>
    <row r="2392">
      <c r="A2392" s="32"/>
      <c r="B2392" s="32"/>
      <c r="C2392" s="32"/>
      <c r="D2392" s="32"/>
      <c r="E2392" s="32"/>
      <c r="F2392" s="32"/>
      <c r="G2392" s="32"/>
      <c r="H2392" s="28"/>
      <c r="I2392" s="32"/>
      <c r="J2392" s="33"/>
      <c r="K2392" s="28"/>
      <c r="L2392" s="27"/>
      <c r="M2392" s="27"/>
      <c r="N2392" s="27"/>
      <c r="O2392" s="27"/>
      <c r="P2392" s="27"/>
      <c r="Q2392" s="27"/>
      <c r="R2392" s="27"/>
      <c r="S2392" s="27"/>
      <c r="T2392" s="27"/>
      <c r="U2392" s="27"/>
      <c r="V2392" s="27"/>
      <c r="W2392" s="27"/>
      <c r="X2392" s="27"/>
      <c r="Y2392" s="27"/>
    </row>
    <row r="2393">
      <c r="A2393" s="32"/>
      <c r="B2393" s="32"/>
      <c r="C2393" s="32"/>
      <c r="D2393" s="32"/>
      <c r="E2393" s="32"/>
      <c r="F2393" s="32"/>
      <c r="G2393" s="32"/>
      <c r="H2393" s="28"/>
      <c r="I2393" s="32"/>
      <c r="J2393" s="33"/>
      <c r="K2393" s="28"/>
      <c r="L2393" s="27"/>
      <c r="M2393" s="27"/>
      <c r="N2393" s="27"/>
      <c r="O2393" s="27"/>
      <c r="P2393" s="27"/>
      <c r="Q2393" s="27"/>
      <c r="R2393" s="27"/>
      <c r="S2393" s="27"/>
      <c r="T2393" s="27"/>
      <c r="U2393" s="27"/>
      <c r="V2393" s="27"/>
      <c r="W2393" s="27"/>
      <c r="X2393" s="27"/>
      <c r="Y2393" s="27"/>
    </row>
    <row r="2394">
      <c r="A2394" s="32"/>
      <c r="B2394" s="32"/>
      <c r="C2394" s="32"/>
      <c r="D2394" s="32"/>
      <c r="E2394" s="32"/>
      <c r="F2394" s="32"/>
      <c r="G2394" s="32"/>
      <c r="H2394" s="28"/>
      <c r="I2394" s="32"/>
      <c r="J2394" s="33"/>
      <c r="K2394" s="28"/>
      <c r="L2394" s="27"/>
      <c r="M2394" s="27"/>
      <c r="N2394" s="27"/>
      <c r="O2394" s="27"/>
      <c r="P2394" s="27"/>
      <c r="Q2394" s="27"/>
      <c r="R2394" s="27"/>
      <c r="S2394" s="27"/>
      <c r="T2394" s="27"/>
      <c r="U2394" s="27"/>
      <c r="V2394" s="27"/>
      <c r="W2394" s="27"/>
      <c r="X2394" s="27"/>
      <c r="Y2394" s="27"/>
    </row>
    <row r="2395">
      <c r="A2395" s="32"/>
      <c r="B2395" s="32"/>
      <c r="C2395" s="32"/>
      <c r="D2395" s="32"/>
      <c r="E2395" s="32"/>
      <c r="F2395" s="32"/>
      <c r="G2395" s="32"/>
      <c r="H2395" s="28"/>
      <c r="I2395" s="32"/>
      <c r="J2395" s="33"/>
      <c r="K2395" s="28"/>
      <c r="L2395" s="27"/>
      <c r="M2395" s="27"/>
      <c r="N2395" s="27"/>
      <c r="O2395" s="27"/>
      <c r="P2395" s="27"/>
      <c r="Q2395" s="27"/>
      <c r="R2395" s="27"/>
      <c r="S2395" s="27"/>
      <c r="T2395" s="27"/>
      <c r="U2395" s="27"/>
      <c r="V2395" s="27"/>
      <c r="W2395" s="27"/>
      <c r="X2395" s="27"/>
      <c r="Y2395" s="27"/>
    </row>
    <row r="2396">
      <c r="A2396" s="32"/>
      <c r="B2396" s="32"/>
      <c r="C2396" s="32"/>
      <c r="D2396" s="32"/>
      <c r="E2396" s="32"/>
      <c r="F2396" s="32"/>
      <c r="G2396" s="32"/>
      <c r="H2396" s="28"/>
      <c r="I2396" s="32"/>
      <c r="J2396" s="33"/>
      <c r="K2396" s="28"/>
      <c r="L2396" s="27"/>
      <c r="M2396" s="27"/>
      <c r="N2396" s="27"/>
      <c r="O2396" s="27"/>
      <c r="P2396" s="27"/>
      <c r="Q2396" s="27"/>
      <c r="R2396" s="27"/>
      <c r="S2396" s="27"/>
      <c r="T2396" s="27"/>
      <c r="U2396" s="27"/>
      <c r="V2396" s="27"/>
      <c r="W2396" s="27"/>
      <c r="X2396" s="27"/>
      <c r="Y2396" s="27"/>
    </row>
    <row r="2397">
      <c r="A2397" s="32"/>
      <c r="B2397" s="32"/>
      <c r="C2397" s="32"/>
      <c r="D2397" s="32"/>
      <c r="E2397" s="32"/>
      <c r="F2397" s="32"/>
      <c r="G2397" s="32"/>
      <c r="H2397" s="28"/>
      <c r="I2397" s="32"/>
      <c r="J2397" s="33"/>
      <c r="K2397" s="28"/>
      <c r="L2397" s="27"/>
      <c r="M2397" s="27"/>
      <c r="N2397" s="27"/>
      <c r="O2397" s="27"/>
      <c r="P2397" s="27"/>
      <c r="Q2397" s="27"/>
      <c r="R2397" s="27"/>
      <c r="S2397" s="27"/>
      <c r="T2397" s="27"/>
      <c r="U2397" s="27"/>
      <c r="V2397" s="27"/>
      <c r="W2397" s="27"/>
      <c r="X2397" s="27"/>
      <c r="Y2397" s="27"/>
    </row>
    <row r="2398">
      <c r="A2398" s="32"/>
      <c r="B2398" s="32"/>
      <c r="C2398" s="32"/>
      <c r="D2398" s="32"/>
      <c r="E2398" s="32"/>
      <c r="F2398" s="32"/>
      <c r="G2398" s="32"/>
      <c r="H2398" s="28"/>
      <c r="I2398" s="32"/>
      <c r="J2398" s="33"/>
      <c r="K2398" s="28"/>
      <c r="L2398" s="27"/>
      <c r="M2398" s="27"/>
      <c r="N2398" s="27"/>
      <c r="O2398" s="27"/>
      <c r="P2398" s="27"/>
      <c r="Q2398" s="27"/>
      <c r="R2398" s="27"/>
      <c r="S2398" s="27"/>
      <c r="T2398" s="27"/>
      <c r="U2398" s="27"/>
      <c r="V2398" s="27"/>
      <c r="W2398" s="27"/>
      <c r="X2398" s="27"/>
      <c r="Y2398" s="27"/>
    </row>
    <row r="2399">
      <c r="A2399" s="32"/>
      <c r="B2399" s="32"/>
      <c r="C2399" s="32"/>
      <c r="D2399" s="32"/>
      <c r="E2399" s="32"/>
      <c r="F2399" s="32"/>
      <c r="G2399" s="32"/>
      <c r="H2399" s="28"/>
      <c r="I2399" s="32"/>
      <c r="J2399" s="33"/>
      <c r="K2399" s="28"/>
      <c r="L2399" s="27"/>
      <c r="M2399" s="27"/>
      <c r="N2399" s="27"/>
      <c r="O2399" s="27"/>
      <c r="P2399" s="27"/>
      <c r="Q2399" s="27"/>
      <c r="R2399" s="27"/>
      <c r="S2399" s="27"/>
      <c r="T2399" s="27"/>
      <c r="U2399" s="27"/>
      <c r="V2399" s="27"/>
      <c r="W2399" s="27"/>
      <c r="X2399" s="27"/>
      <c r="Y2399" s="27"/>
    </row>
    <row r="2400">
      <c r="A2400" s="32"/>
      <c r="B2400" s="32"/>
      <c r="C2400" s="32"/>
      <c r="D2400" s="32"/>
      <c r="E2400" s="32"/>
      <c r="F2400" s="32"/>
      <c r="G2400" s="32"/>
      <c r="H2400" s="28"/>
      <c r="I2400" s="32"/>
      <c r="J2400" s="33"/>
      <c r="K2400" s="28"/>
      <c r="L2400" s="27"/>
      <c r="M2400" s="27"/>
      <c r="N2400" s="27"/>
      <c r="O2400" s="27"/>
      <c r="P2400" s="27"/>
      <c r="Q2400" s="27"/>
      <c r="R2400" s="27"/>
      <c r="S2400" s="27"/>
      <c r="T2400" s="27"/>
      <c r="U2400" s="27"/>
      <c r="V2400" s="27"/>
      <c r="W2400" s="27"/>
      <c r="X2400" s="27"/>
      <c r="Y2400" s="27"/>
    </row>
    <row r="2401">
      <c r="A2401" s="32"/>
      <c r="B2401" s="32"/>
      <c r="C2401" s="32"/>
      <c r="D2401" s="32"/>
      <c r="E2401" s="32"/>
      <c r="F2401" s="32"/>
      <c r="G2401" s="32"/>
      <c r="H2401" s="28"/>
      <c r="I2401" s="32"/>
      <c r="J2401" s="33"/>
      <c r="K2401" s="28"/>
      <c r="L2401" s="27"/>
      <c r="M2401" s="27"/>
      <c r="N2401" s="27"/>
      <c r="O2401" s="27"/>
      <c r="P2401" s="27"/>
      <c r="Q2401" s="27"/>
      <c r="R2401" s="27"/>
      <c r="S2401" s="27"/>
      <c r="T2401" s="27"/>
      <c r="U2401" s="27"/>
      <c r="V2401" s="27"/>
      <c r="W2401" s="27"/>
      <c r="X2401" s="27"/>
      <c r="Y2401" s="27"/>
    </row>
    <row r="2402">
      <c r="A2402" s="32"/>
      <c r="B2402" s="32"/>
      <c r="C2402" s="32"/>
      <c r="D2402" s="32"/>
      <c r="E2402" s="32"/>
      <c r="F2402" s="32"/>
      <c r="G2402" s="32"/>
      <c r="H2402" s="28"/>
      <c r="I2402" s="32"/>
      <c r="J2402" s="33"/>
      <c r="K2402" s="28"/>
      <c r="L2402" s="27"/>
      <c r="M2402" s="27"/>
      <c r="N2402" s="27"/>
      <c r="O2402" s="27"/>
      <c r="P2402" s="27"/>
      <c r="Q2402" s="27"/>
      <c r="R2402" s="27"/>
      <c r="S2402" s="27"/>
      <c r="T2402" s="27"/>
      <c r="U2402" s="27"/>
      <c r="V2402" s="27"/>
      <c r="W2402" s="27"/>
      <c r="X2402" s="27"/>
      <c r="Y2402" s="27"/>
    </row>
    <row r="2403">
      <c r="A2403" s="32"/>
      <c r="B2403" s="32"/>
      <c r="C2403" s="32"/>
      <c r="D2403" s="32"/>
      <c r="E2403" s="32"/>
      <c r="F2403" s="32"/>
      <c r="G2403" s="32"/>
      <c r="H2403" s="28"/>
      <c r="I2403" s="32"/>
      <c r="J2403" s="33"/>
      <c r="K2403" s="28"/>
      <c r="L2403" s="27"/>
      <c r="M2403" s="27"/>
      <c r="N2403" s="27"/>
      <c r="O2403" s="27"/>
      <c r="P2403" s="27"/>
      <c r="Q2403" s="27"/>
      <c r="R2403" s="27"/>
      <c r="S2403" s="27"/>
      <c r="T2403" s="27"/>
      <c r="U2403" s="27"/>
      <c r="V2403" s="27"/>
      <c r="W2403" s="27"/>
      <c r="X2403" s="27"/>
      <c r="Y2403" s="27"/>
    </row>
    <row r="2404">
      <c r="A2404" s="32"/>
      <c r="B2404" s="32"/>
      <c r="C2404" s="32"/>
      <c r="D2404" s="32"/>
      <c r="E2404" s="32"/>
      <c r="F2404" s="32"/>
      <c r="G2404" s="32"/>
      <c r="H2404" s="28"/>
      <c r="I2404" s="32"/>
      <c r="J2404" s="33"/>
      <c r="K2404" s="28"/>
      <c r="L2404" s="27"/>
      <c r="M2404" s="27"/>
      <c r="N2404" s="27"/>
      <c r="O2404" s="27"/>
      <c r="P2404" s="27"/>
      <c r="Q2404" s="27"/>
      <c r="R2404" s="27"/>
      <c r="S2404" s="27"/>
      <c r="T2404" s="27"/>
      <c r="U2404" s="27"/>
      <c r="V2404" s="27"/>
      <c r="W2404" s="27"/>
      <c r="X2404" s="27"/>
      <c r="Y2404" s="27"/>
    </row>
    <row r="2405">
      <c r="A2405" s="32"/>
      <c r="B2405" s="32"/>
      <c r="C2405" s="32"/>
      <c r="D2405" s="32"/>
      <c r="E2405" s="32"/>
      <c r="F2405" s="32"/>
      <c r="G2405" s="32"/>
      <c r="H2405" s="28"/>
      <c r="I2405" s="32"/>
      <c r="J2405" s="33"/>
      <c r="K2405" s="28"/>
      <c r="L2405" s="27"/>
      <c r="M2405" s="27"/>
      <c r="N2405" s="27"/>
      <c r="O2405" s="27"/>
      <c r="P2405" s="27"/>
      <c r="Q2405" s="27"/>
      <c r="R2405" s="27"/>
      <c r="S2405" s="27"/>
      <c r="T2405" s="27"/>
      <c r="U2405" s="27"/>
      <c r="V2405" s="27"/>
      <c r="W2405" s="27"/>
      <c r="X2405" s="27"/>
      <c r="Y2405" s="27"/>
    </row>
    <row r="2406">
      <c r="A2406" s="32"/>
      <c r="B2406" s="32"/>
      <c r="C2406" s="32"/>
      <c r="D2406" s="32"/>
      <c r="E2406" s="32"/>
      <c r="F2406" s="32"/>
      <c r="G2406" s="32"/>
      <c r="H2406" s="28"/>
      <c r="I2406" s="32"/>
      <c r="J2406" s="33"/>
      <c r="K2406" s="28"/>
      <c r="L2406" s="27"/>
      <c r="M2406" s="27"/>
      <c r="N2406" s="27"/>
      <c r="O2406" s="27"/>
      <c r="P2406" s="27"/>
      <c r="Q2406" s="27"/>
      <c r="R2406" s="27"/>
      <c r="S2406" s="27"/>
      <c r="T2406" s="27"/>
      <c r="U2406" s="27"/>
      <c r="V2406" s="27"/>
      <c r="W2406" s="27"/>
      <c r="X2406" s="27"/>
      <c r="Y2406" s="27"/>
    </row>
    <row r="2407">
      <c r="A2407" s="32"/>
      <c r="B2407" s="32"/>
      <c r="C2407" s="32"/>
      <c r="D2407" s="32"/>
      <c r="E2407" s="32"/>
      <c r="F2407" s="32"/>
      <c r="G2407" s="32"/>
      <c r="H2407" s="28"/>
      <c r="I2407" s="32"/>
      <c r="J2407" s="33"/>
      <c r="K2407" s="28"/>
      <c r="L2407" s="27"/>
      <c r="M2407" s="27"/>
      <c r="N2407" s="27"/>
      <c r="O2407" s="27"/>
      <c r="P2407" s="27"/>
      <c r="Q2407" s="27"/>
      <c r="R2407" s="27"/>
      <c r="S2407" s="27"/>
      <c r="T2407" s="27"/>
      <c r="U2407" s="27"/>
      <c r="V2407" s="27"/>
      <c r="W2407" s="27"/>
      <c r="X2407" s="27"/>
      <c r="Y2407" s="27"/>
    </row>
    <row r="2408">
      <c r="A2408" s="32"/>
      <c r="B2408" s="32"/>
      <c r="C2408" s="32"/>
      <c r="D2408" s="32"/>
      <c r="E2408" s="32"/>
      <c r="F2408" s="32"/>
      <c r="G2408" s="32"/>
      <c r="H2408" s="28"/>
      <c r="I2408" s="32"/>
      <c r="J2408" s="33"/>
      <c r="K2408" s="28"/>
      <c r="L2408" s="27"/>
      <c r="M2408" s="27"/>
      <c r="N2408" s="27"/>
      <c r="O2408" s="27"/>
      <c r="P2408" s="27"/>
      <c r="Q2408" s="27"/>
      <c r="R2408" s="27"/>
      <c r="S2408" s="27"/>
      <c r="T2408" s="27"/>
      <c r="U2408" s="27"/>
      <c r="V2408" s="27"/>
      <c r="W2408" s="27"/>
      <c r="X2408" s="27"/>
      <c r="Y2408" s="27"/>
    </row>
    <row r="2409">
      <c r="A2409" s="32"/>
      <c r="B2409" s="32"/>
      <c r="C2409" s="32"/>
      <c r="D2409" s="32"/>
      <c r="E2409" s="32"/>
      <c r="F2409" s="32"/>
      <c r="G2409" s="32"/>
      <c r="H2409" s="28"/>
      <c r="I2409" s="32"/>
      <c r="J2409" s="33"/>
      <c r="K2409" s="28"/>
      <c r="L2409" s="27"/>
      <c r="M2409" s="27"/>
      <c r="N2409" s="27"/>
      <c r="O2409" s="27"/>
      <c r="P2409" s="27"/>
      <c r="Q2409" s="27"/>
      <c r="R2409" s="27"/>
      <c r="S2409" s="27"/>
      <c r="T2409" s="27"/>
      <c r="U2409" s="27"/>
      <c r="V2409" s="27"/>
      <c r="W2409" s="27"/>
      <c r="X2409" s="27"/>
      <c r="Y2409" s="27"/>
    </row>
    <row r="2410">
      <c r="A2410" s="32"/>
      <c r="B2410" s="32"/>
      <c r="C2410" s="32"/>
      <c r="D2410" s="32"/>
      <c r="E2410" s="32"/>
      <c r="F2410" s="32"/>
      <c r="G2410" s="32"/>
      <c r="H2410" s="28"/>
      <c r="I2410" s="32"/>
      <c r="J2410" s="33"/>
      <c r="K2410" s="28"/>
      <c r="L2410" s="27"/>
      <c r="M2410" s="27"/>
      <c r="N2410" s="27"/>
      <c r="O2410" s="27"/>
      <c r="P2410" s="27"/>
      <c r="Q2410" s="27"/>
      <c r="R2410" s="27"/>
      <c r="S2410" s="27"/>
      <c r="T2410" s="27"/>
      <c r="U2410" s="27"/>
      <c r="V2410" s="27"/>
      <c r="W2410" s="27"/>
      <c r="X2410" s="27"/>
      <c r="Y2410" s="27"/>
    </row>
    <row r="2411">
      <c r="A2411" s="32"/>
      <c r="B2411" s="32"/>
      <c r="C2411" s="32"/>
      <c r="D2411" s="32"/>
      <c r="E2411" s="32"/>
      <c r="F2411" s="32"/>
      <c r="G2411" s="32"/>
      <c r="H2411" s="28"/>
      <c r="I2411" s="32"/>
      <c r="J2411" s="33"/>
      <c r="K2411" s="28"/>
      <c r="L2411" s="27"/>
      <c r="M2411" s="27"/>
      <c r="N2411" s="27"/>
      <c r="O2411" s="27"/>
      <c r="P2411" s="27"/>
      <c r="Q2411" s="27"/>
      <c r="R2411" s="27"/>
      <c r="S2411" s="27"/>
      <c r="T2411" s="27"/>
      <c r="U2411" s="27"/>
      <c r="V2411" s="27"/>
      <c r="W2411" s="27"/>
      <c r="X2411" s="27"/>
      <c r="Y2411" s="27"/>
    </row>
    <row r="2412">
      <c r="A2412" s="32"/>
      <c r="B2412" s="32"/>
      <c r="C2412" s="32"/>
      <c r="D2412" s="32"/>
      <c r="E2412" s="32"/>
      <c r="F2412" s="32"/>
      <c r="G2412" s="32"/>
      <c r="H2412" s="28"/>
      <c r="I2412" s="32"/>
      <c r="J2412" s="33"/>
      <c r="K2412" s="28"/>
      <c r="L2412" s="27"/>
      <c r="M2412" s="27"/>
      <c r="N2412" s="27"/>
      <c r="O2412" s="27"/>
      <c r="P2412" s="27"/>
      <c r="Q2412" s="27"/>
      <c r="R2412" s="27"/>
      <c r="S2412" s="27"/>
      <c r="T2412" s="27"/>
      <c r="U2412" s="27"/>
      <c r="V2412" s="27"/>
      <c r="W2412" s="27"/>
      <c r="X2412" s="27"/>
      <c r="Y2412" s="27"/>
    </row>
    <row r="2413">
      <c r="A2413" s="32"/>
      <c r="B2413" s="32"/>
      <c r="C2413" s="32"/>
      <c r="D2413" s="32"/>
      <c r="E2413" s="32"/>
      <c r="F2413" s="32"/>
      <c r="G2413" s="32"/>
      <c r="H2413" s="28"/>
      <c r="I2413" s="32"/>
      <c r="J2413" s="33"/>
      <c r="K2413" s="28"/>
      <c r="L2413" s="27"/>
      <c r="M2413" s="27"/>
      <c r="N2413" s="27"/>
      <c r="O2413" s="27"/>
      <c r="P2413" s="27"/>
      <c r="Q2413" s="27"/>
      <c r="R2413" s="27"/>
      <c r="S2413" s="27"/>
      <c r="T2413" s="27"/>
      <c r="U2413" s="27"/>
      <c r="V2413" s="27"/>
      <c r="W2413" s="27"/>
      <c r="X2413" s="27"/>
      <c r="Y2413" s="27"/>
    </row>
    <row r="2414">
      <c r="A2414" s="32"/>
      <c r="B2414" s="32"/>
      <c r="C2414" s="32"/>
      <c r="D2414" s="32"/>
      <c r="E2414" s="32"/>
      <c r="F2414" s="32"/>
      <c r="G2414" s="32"/>
      <c r="H2414" s="28"/>
      <c r="I2414" s="32"/>
      <c r="J2414" s="33"/>
      <c r="K2414" s="28"/>
      <c r="L2414" s="27"/>
      <c r="M2414" s="27"/>
      <c r="N2414" s="27"/>
      <c r="O2414" s="27"/>
      <c r="P2414" s="27"/>
      <c r="Q2414" s="27"/>
      <c r="R2414" s="27"/>
      <c r="S2414" s="27"/>
      <c r="T2414" s="27"/>
      <c r="U2414" s="27"/>
      <c r="V2414" s="27"/>
      <c r="W2414" s="27"/>
      <c r="X2414" s="27"/>
      <c r="Y2414" s="27"/>
    </row>
    <row r="2415">
      <c r="A2415" s="32"/>
      <c r="B2415" s="32"/>
      <c r="C2415" s="32"/>
      <c r="D2415" s="32"/>
      <c r="E2415" s="32"/>
      <c r="F2415" s="32"/>
      <c r="G2415" s="32"/>
      <c r="H2415" s="28"/>
      <c r="I2415" s="32"/>
      <c r="J2415" s="33"/>
      <c r="K2415" s="28"/>
      <c r="L2415" s="27"/>
      <c r="M2415" s="27"/>
      <c r="N2415" s="27"/>
      <c r="O2415" s="27"/>
      <c r="P2415" s="27"/>
      <c r="Q2415" s="27"/>
      <c r="R2415" s="27"/>
      <c r="S2415" s="27"/>
      <c r="T2415" s="27"/>
      <c r="U2415" s="27"/>
      <c r="V2415" s="27"/>
      <c r="W2415" s="27"/>
      <c r="X2415" s="27"/>
      <c r="Y2415" s="27"/>
    </row>
    <row r="2416">
      <c r="A2416" s="32"/>
      <c r="B2416" s="32"/>
      <c r="C2416" s="32"/>
      <c r="D2416" s="32"/>
      <c r="E2416" s="32"/>
      <c r="F2416" s="32"/>
      <c r="G2416" s="32"/>
      <c r="H2416" s="28"/>
      <c r="I2416" s="32"/>
      <c r="J2416" s="33"/>
      <c r="K2416" s="28"/>
      <c r="L2416" s="27"/>
      <c r="M2416" s="27"/>
      <c r="N2416" s="27"/>
      <c r="O2416" s="27"/>
      <c r="P2416" s="27"/>
      <c r="Q2416" s="27"/>
      <c r="R2416" s="27"/>
      <c r="S2416" s="27"/>
      <c r="T2416" s="27"/>
      <c r="U2416" s="27"/>
      <c r="V2416" s="27"/>
      <c r="W2416" s="27"/>
      <c r="X2416" s="27"/>
      <c r="Y2416" s="27"/>
    </row>
    <row r="2417">
      <c r="A2417" s="32"/>
      <c r="B2417" s="32"/>
      <c r="C2417" s="32"/>
      <c r="D2417" s="32"/>
      <c r="E2417" s="32"/>
      <c r="F2417" s="32"/>
      <c r="G2417" s="32"/>
      <c r="H2417" s="28"/>
      <c r="I2417" s="32"/>
      <c r="J2417" s="33"/>
      <c r="K2417" s="28"/>
      <c r="L2417" s="27"/>
      <c r="M2417" s="27"/>
      <c r="N2417" s="27"/>
      <c r="O2417" s="27"/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</row>
    <row r="2418">
      <c r="A2418" s="32"/>
      <c r="B2418" s="32"/>
      <c r="C2418" s="32"/>
      <c r="D2418" s="32"/>
      <c r="E2418" s="32"/>
      <c r="F2418" s="32"/>
      <c r="G2418" s="32"/>
      <c r="H2418" s="28"/>
      <c r="I2418" s="32"/>
      <c r="J2418" s="33"/>
      <c r="K2418" s="28"/>
      <c r="L2418" s="27"/>
      <c r="M2418" s="27"/>
      <c r="N2418" s="27"/>
      <c r="O2418" s="27"/>
      <c r="P2418" s="27"/>
      <c r="Q2418" s="27"/>
      <c r="R2418" s="27"/>
      <c r="S2418" s="27"/>
      <c r="T2418" s="27"/>
      <c r="U2418" s="27"/>
      <c r="V2418" s="27"/>
      <c r="W2418" s="27"/>
      <c r="X2418" s="27"/>
      <c r="Y2418" s="27"/>
    </row>
    <row r="2419">
      <c r="A2419" s="32"/>
      <c r="B2419" s="32"/>
      <c r="C2419" s="32"/>
      <c r="D2419" s="32"/>
      <c r="E2419" s="32"/>
      <c r="F2419" s="32"/>
      <c r="G2419" s="32"/>
      <c r="H2419" s="28"/>
      <c r="I2419" s="32"/>
      <c r="J2419" s="33"/>
      <c r="K2419" s="28"/>
      <c r="L2419" s="27"/>
      <c r="M2419" s="27"/>
      <c r="N2419" s="27"/>
      <c r="O2419" s="27"/>
      <c r="P2419" s="27"/>
      <c r="Q2419" s="27"/>
      <c r="R2419" s="27"/>
      <c r="S2419" s="27"/>
      <c r="T2419" s="27"/>
      <c r="U2419" s="27"/>
      <c r="V2419" s="27"/>
      <c r="W2419" s="27"/>
      <c r="X2419" s="27"/>
      <c r="Y2419" s="27"/>
    </row>
    <row r="2420">
      <c r="A2420" s="32"/>
      <c r="B2420" s="32"/>
      <c r="C2420" s="32"/>
      <c r="D2420" s="32"/>
      <c r="E2420" s="32"/>
      <c r="F2420" s="32"/>
      <c r="G2420" s="32"/>
      <c r="H2420" s="28"/>
      <c r="I2420" s="32"/>
      <c r="J2420" s="33"/>
      <c r="K2420" s="28"/>
      <c r="L2420" s="27"/>
      <c r="M2420" s="27"/>
      <c r="N2420" s="27"/>
      <c r="O2420" s="27"/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</row>
    <row r="2421">
      <c r="A2421" s="32"/>
      <c r="B2421" s="32"/>
      <c r="C2421" s="32"/>
      <c r="D2421" s="32"/>
      <c r="E2421" s="32"/>
      <c r="F2421" s="32"/>
      <c r="G2421" s="32"/>
      <c r="H2421" s="28"/>
      <c r="I2421" s="32"/>
      <c r="J2421" s="33"/>
      <c r="K2421" s="28"/>
      <c r="L2421" s="27"/>
      <c r="M2421" s="27"/>
      <c r="N2421" s="27"/>
      <c r="O2421" s="27"/>
      <c r="P2421" s="27"/>
      <c r="Q2421" s="27"/>
      <c r="R2421" s="27"/>
      <c r="S2421" s="27"/>
      <c r="T2421" s="27"/>
      <c r="U2421" s="27"/>
      <c r="V2421" s="27"/>
      <c r="W2421" s="27"/>
      <c r="X2421" s="27"/>
      <c r="Y2421" s="27"/>
    </row>
    <row r="2422">
      <c r="A2422" s="32"/>
      <c r="B2422" s="32"/>
      <c r="C2422" s="32"/>
      <c r="D2422" s="32"/>
      <c r="E2422" s="32"/>
      <c r="F2422" s="32"/>
      <c r="G2422" s="32"/>
      <c r="H2422" s="28"/>
      <c r="I2422" s="32"/>
      <c r="J2422" s="33"/>
      <c r="K2422" s="28"/>
      <c r="L2422" s="27"/>
      <c r="M2422" s="27"/>
      <c r="N2422" s="27"/>
      <c r="O2422" s="27"/>
      <c r="P2422" s="27"/>
      <c r="Q2422" s="27"/>
      <c r="R2422" s="27"/>
      <c r="S2422" s="27"/>
      <c r="T2422" s="27"/>
      <c r="U2422" s="27"/>
      <c r="V2422" s="27"/>
      <c r="W2422" s="27"/>
      <c r="X2422" s="27"/>
      <c r="Y2422" s="27"/>
    </row>
    <row r="2423">
      <c r="A2423" s="32"/>
      <c r="B2423" s="32"/>
      <c r="C2423" s="32"/>
      <c r="D2423" s="32"/>
      <c r="E2423" s="32"/>
      <c r="F2423" s="32"/>
      <c r="G2423" s="32"/>
      <c r="H2423" s="28"/>
      <c r="I2423" s="32"/>
      <c r="J2423" s="33"/>
      <c r="K2423" s="28"/>
      <c r="L2423" s="27"/>
      <c r="M2423" s="27"/>
      <c r="N2423" s="27"/>
      <c r="O2423" s="27"/>
      <c r="P2423" s="27"/>
      <c r="Q2423" s="27"/>
      <c r="R2423" s="27"/>
      <c r="S2423" s="27"/>
      <c r="T2423" s="27"/>
      <c r="U2423" s="27"/>
      <c r="V2423" s="27"/>
      <c r="W2423" s="27"/>
      <c r="X2423" s="27"/>
      <c r="Y2423" s="27"/>
    </row>
    <row r="2424">
      <c r="A2424" s="32"/>
      <c r="B2424" s="32"/>
      <c r="C2424" s="32"/>
      <c r="D2424" s="32"/>
      <c r="E2424" s="32"/>
      <c r="F2424" s="32"/>
      <c r="G2424" s="32"/>
      <c r="H2424" s="28"/>
      <c r="I2424" s="32"/>
      <c r="J2424" s="33"/>
      <c r="K2424" s="28"/>
      <c r="L2424" s="27"/>
      <c r="M2424" s="27"/>
      <c r="N2424" s="27"/>
      <c r="O2424" s="27"/>
      <c r="P2424" s="27"/>
      <c r="Q2424" s="27"/>
      <c r="R2424" s="27"/>
      <c r="S2424" s="27"/>
      <c r="T2424" s="27"/>
      <c r="U2424" s="27"/>
      <c r="V2424" s="27"/>
      <c r="W2424" s="27"/>
      <c r="X2424" s="27"/>
      <c r="Y2424" s="27"/>
    </row>
    <row r="2425">
      <c r="A2425" s="32"/>
      <c r="B2425" s="32"/>
      <c r="C2425" s="32"/>
      <c r="D2425" s="32"/>
      <c r="E2425" s="32"/>
      <c r="F2425" s="32"/>
      <c r="G2425" s="32"/>
      <c r="H2425" s="28"/>
      <c r="I2425" s="32"/>
      <c r="J2425" s="33"/>
      <c r="K2425" s="28"/>
      <c r="L2425" s="27"/>
      <c r="M2425" s="27"/>
      <c r="N2425" s="27"/>
      <c r="O2425" s="27"/>
      <c r="P2425" s="27"/>
      <c r="Q2425" s="27"/>
      <c r="R2425" s="27"/>
      <c r="S2425" s="27"/>
      <c r="T2425" s="27"/>
      <c r="U2425" s="27"/>
      <c r="V2425" s="27"/>
      <c r="W2425" s="27"/>
      <c r="X2425" s="27"/>
      <c r="Y2425" s="27"/>
    </row>
    <row r="2426">
      <c r="A2426" s="32"/>
      <c r="B2426" s="32"/>
      <c r="C2426" s="32"/>
      <c r="D2426" s="32"/>
      <c r="E2426" s="32"/>
      <c r="F2426" s="32"/>
      <c r="G2426" s="32"/>
      <c r="H2426" s="28"/>
      <c r="I2426" s="32"/>
      <c r="J2426" s="33"/>
      <c r="K2426" s="28"/>
      <c r="L2426" s="27"/>
      <c r="M2426" s="27"/>
      <c r="N2426" s="27"/>
      <c r="O2426" s="27"/>
      <c r="P2426" s="27"/>
      <c r="Q2426" s="27"/>
      <c r="R2426" s="27"/>
      <c r="S2426" s="27"/>
      <c r="T2426" s="27"/>
      <c r="U2426" s="27"/>
      <c r="V2426" s="27"/>
      <c r="W2426" s="27"/>
      <c r="X2426" s="27"/>
      <c r="Y2426" s="27"/>
    </row>
    <row r="2427">
      <c r="A2427" s="32"/>
      <c r="B2427" s="32"/>
      <c r="C2427" s="32"/>
      <c r="D2427" s="32"/>
      <c r="E2427" s="32"/>
      <c r="F2427" s="32"/>
      <c r="G2427" s="32"/>
      <c r="H2427" s="28"/>
      <c r="I2427" s="32"/>
      <c r="J2427" s="33"/>
      <c r="K2427" s="28"/>
      <c r="L2427" s="27"/>
      <c r="M2427" s="27"/>
      <c r="N2427" s="27"/>
      <c r="O2427" s="27"/>
      <c r="P2427" s="27"/>
      <c r="Q2427" s="27"/>
      <c r="R2427" s="27"/>
      <c r="S2427" s="27"/>
      <c r="T2427" s="27"/>
      <c r="U2427" s="27"/>
      <c r="V2427" s="27"/>
      <c r="W2427" s="27"/>
      <c r="X2427" s="27"/>
      <c r="Y2427" s="27"/>
    </row>
    <row r="2428">
      <c r="A2428" s="32"/>
      <c r="B2428" s="32"/>
      <c r="C2428" s="32"/>
      <c r="D2428" s="32"/>
      <c r="E2428" s="32"/>
      <c r="F2428" s="32"/>
      <c r="G2428" s="32"/>
      <c r="H2428" s="28"/>
      <c r="I2428" s="32"/>
      <c r="J2428" s="33"/>
      <c r="K2428" s="28"/>
      <c r="L2428" s="27"/>
      <c r="M2428" s="27"/>
      <c r="N2428" s="27"/>
      <c r="O2428" s="27"/>
      <c r="P2428" s="27"/>
      <c r="Q2428" s="27"/>
      <c r="R2428" s="27"/>
      <c r="S2428" s="27"/>
      <c r="T2428" s="27"/>
      <c r="U2428" s="27"/>
      <c r="V2428" s="27"/>
      <c r="W2428" s="27"/>
      <c r="X2428" s="27"/>
      <c r="Y2428" s="27"/>
    </row>
    <row r="2429">
      <c r="A2429" s="32"/>
      <c r="B2429" s="32"/>
      <c r="C2429" s="32"/>
      <c r="D2429" s="32"/>
      <c r="E2429" s="32"/>
      <c r="F2429" s="32"/>
      <c r="G2429" s="32"/>
      <c r="H2429" s="28"/>
      <c r="I2429" s="32"/>
      <c r="J2429" s="33"/>
      <c r="K2429" s="28"/>
      <c r="L2429" s="27"/>
      <c r="M2429" s="27"/>
      <c r="N2429" s="27"/>
      <c r="O2429" s="27"/>
      <c r="P2429" s="27"/>
      <c r="Q2429" s="27"/>
      <c r="R2429" s="27"/>
      <c r="S2429" s="27"/>
      <c r="T2429" s="27"/>
      <c r="U2429" s="27"/>
      <c r="V2429" s="27"/>
      <c r="W2429" s="27"/>
      <c r="X2429" s="27"/>
      <c r="Y2429" s="27"/>
    </row>
    <row r="2430">
      <c r="A2430" s="32"/>
      <c r="B2430" s="32"/>
      <c r="C2430" s="32"/>
      <c r="D2430" s="32"/>
      <c r="E2430" s="32"/>
      <c r="F2430" s="32"/>
      <c r="G2430" s="32"/>
      <c r="H2430" s="28"/>
      <c r="I2430" s="32"/>
      <c r="J2430" s="33"/>
      <c r="K2430" s="28"/>
      <c r="L2430" s="27"/>
      <c r="M2430" s="27"/>
      <c r="N2430" s="27"/>
      <c r="O2430" s="27"/>
      <c r="P2430" s="27"/>
      <c r="Q2430" s="27"/>
      <c r="R2430" s="27"/>
      <c r="S2430" s="27"/>
      <c r="T2430" s="27"/>
      <c r="U2430" s="27"/>
      <c r="V2430" s="27"/>
      <c r="W2430" s="27"/>
      <c r="X2430" s="27"/>
      <c r="Y2430" s="27"/>
    </row>
    <row r="2431">
      <c r="A2431" s="32"/>
      <c r="B2431" s="32"/>
      <c r="C2431" s="32"/>
      <c r="D2431" s="32"/>
      <c r="E2431" s="32"/>
      <c r="F2431" s="32"/>
      <c r="G2431" s="32"/>
      <c r="H2431" s="28"/>
      <c r="I2431" s="32"/>
      <c r="J2431" s="33"/>
      <c r="K2431" s="28"/>
      <c r="L2431" s="27"/>
      <c r="M2431" s="27"/>
      <c r="N2431" s="27"/>
      <c r="O2431" s="27"/>
      <c r="P2431" s="27"/>
      <c r="Q2431" s="27"/>
      <c r="R2431" s="27"/>
      <c r="S2431" s="27"/>
      <c r="T2431" s="27"/>
      <c r="U2431" s="27"/>
      <c r="V2431" s="27"/>
      <c r="W2431" s="27"/>
      <c r="X2431" s="27"/>
      <c r="Y2431" s="27"/>
    </row>
    <row r="2432">
      <c r="A2432" s="32"/>
      <c r="B2432" s="32"/>
      <c r="C2432" s="32"/>
      <c r="D2432" s="32"/>
      <c r="E2432" s="32"/>
      <c r="F2432" s="32"/>
      <c r="G2432" s="32"/>
      <c r="H2432" s="28"/>
      <c r="I2432" s="32"/>
      <c r="J2432" s="33"/>
      <c r="K2432" s="28"/>
      <c r="L2432" s="27"/>
      <c r="M2432" s="27"/>
      <c r="N2432" s="27"/>
      <c r="O2432" s="27"/>
      <c r="P2432" s="27"/>
      <c r="Q2432" s="27"/>
      <c r="R2432" s="27"/>
      <c r="S2432" s="27"/>
      <c r="T2432" s="27"/>
      <c r="U2432" s="27"/>
      <c r="V2432" s="27"/>
      <c r="W2432" s="27"/>
      <c r="X2432" s="27"/>
      <c r="Y2432" s="27"/>
    </row>
    <row r="2433">
      <c r="A2433" s="32"/>
      <c r="B2433" s="32"/>
      <c r="C2433" s="32"/>
      <c r="D2433" s="32"/>
      <c r="E2433" s="32"/>
      <c r="F2433" s="32"/>
      <c r="G2433" s="32"/>
      <c r="H2433" s="28"/>
      <c r="I2433" s="32"/>
      <c r="J2433" s="33"/>
      <c r="K2433" s="28"/>
      <c r="L2433" s="27"/>
      <c r="M2433" s="27"/>
      <c r="N2433" s="27"/>
      <c r="O2433" s="27"/>
      <c r="P2433" s="27"/>
      <c r="Q2433" s="27"/>
      <c r="R2433" s="27"/>
      <c r="S2433" s="27"/>
      <c r="T2433" s="27"/>
      <c r="U2433" s="27"/>
      <c r="V2433" s="27"/>
      <c r="W2433" s="27"/>
      <c r="X2433" s="27"/>
      <c r="Y2433" s="27"/>
    </row>
    <row r="2434">
      <c r="A2434" s="32"/>
      <c r="B2434" s="32"/>
      <c r="C2434" s="32"/>
      <c r="D2434" s="32"/>
      <c r="E2434" s="32"/>
      <c r="F2434" s="32"/>
      <c r="G2434" s="32"/>
      <c r="H2434" s="28"/>
      <c r="I2434" s="32"/>
      <c r="J2434" s="33"/>
      <c r="K2434" s="28"/>
      <c r="L2434" s="27"/>
      <c r="M2434" s="27"/>
      <c r="N2434" s="27"/>
      <c r="O2434" s="27"/>
      <c r="P2434" s="27"/>
      <c r="Q2434" s="27"/>
      <c r="R2434" s="27"/>
      <c r="S2434" s="27"/>
      <c r="T2434" s="27"/>
      <c r="U2434" s="27"/>
      <c r="V2434" s="27"/>
      <c r="W2434" s="27"/>
      <c r="X2434" s="27"/>
      <c r="Y2434" s="27"/>
    </row>
    <row r="2435">
      <c r="A2435" s="32"/>
      <c r="B2435" s="32"/>
      <c r="C2435" s="32"/>
      <c r="D2435" s="32"/>
      <c r="E2435" s="32"/>
      <c r="F2435" s="32"/>
      <c r="G2435" s="32"/>
      <c r="H2435" s="28"/>
      <c r="I2435" s="32"/>
      <c r="J2435" s="33"/>
      <c r="K2435" s="28"/>
      <c r="L2435" s="27"/>
      <c r="M2435" s="27"/>
      <c r="N2435" s="27"/>
      <c r="O2435" s="27"/>
      <c r="P2435" s="27"/>
      <c r="Q2435" s="27"/>
      <c r="R2435" s="27"/>
      <c r="S2435" s="27"/>
      <c r="T2435" s="27"/>
      <c r="U2435" s="27"/>
      <c r="V2435" s="27"/>
      <c r="W2435" s="27"/>
      <c r="X2435" s="27"/>
      <c r="Y2435" s="27"/>
    </row>
    <row r="2436">
      <c r="A2436" s="32"/>
      <c r="B2436" s="32"/>
      <c r="C2436" s="32"/>
      <c r="D2436" s="32"/>
      <c r="E2436" s="32"/>
      <c r="F2436" s="32"/>
      <c r="G2436" s="32"/>
      <c r="H2436" s="28"/>
      <c r="I2436" s="32"/>
      <c r="J2436" s="33"/>
      <c r="K2436" s="28"/>
      <c r="L2436" s="27"/>
      <c r="M2436" s="27"/>
      <c r="N2436" s="27"/>
      <c r="O2436" s="27"/>
      <c r="P2436" s="27"/>
      <c r="Q2436" s="27"/>
      <c r="R2436" s="27"/>
      <c r="S2436" s="27"/>
      <c r="T2436" s="27"/>
      <c r="U2436" s="27"/>
      <c r="V2436" s="27"/>
      <c r="W2436" s="27"/>
      <c r="X2436" s="27"/>
      <c r="Y2436" s="27"/>
    </row>
    <row r="2437">
      <c r="A2437" s="32"/>
      <c r="B2437" s="32"/>
      <c r="C2437" s="32"/>
      <c r="D2437" s="32"/>
      <c r="E2437" s="32"/>
      <c r="F2437" s="32"/>
      <c r="G2437" s="32"/>
      <c r="H2437" s="28"/>
      <c r="I2437" s="32"/>
      <c r="J2437" s="33"/>
      <c r="K2437" s="28"/>
      <c r="L2437" s="27"/>
      <c r="M2437" s="27"/>
      <c r="N2437" s="27"/>
      <c r="O2437" s="27"/>
      <c r="P2437" s="27"/>
      <c r="Q2437" s="27"/>
      <c r="R2437" s="27"/>
      <c r="S2437" s="27"/>
      <c r="T2437" s="27"/>
      <c r="U2437" s="27"/>
      <c r="V2437" s="27"/>
      <c r="W2437" s="27"/>
      <c r="X2437" s="27"/>
      <c r="Y2437" s="27"/>
    </row>
    <row r="2438">
      <c r="A2438" s="32"/>
      <c r="B2438" s="32"/>
      <c r="C2438" s="32"/>
      <c r="D2438" s="32"/>
      <c r="E2438" s="32"/>
      <c r="F2438" s="32"/>
      <c r="G2438" s="32"/>
      <c r="H2438" s="28"/>
      <c r="I2438" s="32"/>
      <c r="J2438" s="33"/>
      <c r="K2438" s="28"/>
      <c r="L2438" s="27"/>
      <c r="M2438" s="27"/>
      <c r="N2438" s="27"/>
      <c r="O2438" s="27"/>
      <c r="P2438" s="27"/>
      <c r="Q2438" s="27"/>
      <c r="R2438" s="27"/>
      <c r="S2438" s="27"/>
      <c r="T2438" s="27"/>
      <c r="U2438" s="27"/>
      <c r="V2438" s="27"/>
      <c r="W2438" s="27"/>
      <c r="X2438" s="27"/>
      <c r="Y2438" s="27"/>
    </row>
    <row r="2439">
      <c r="A2439" s="32"/>
      <c r="B2439" s="32"/>
      <c r="C2439" s="32"/>
      <c r="D2439" s="32"/>
      <c r="E2439" s="32"/>
      <c r="F2439" s="32"/>
      <c r="G2439" s="32"/>
      <c r="H2439" s="28"/>
      <c r="I2439" s="32"/>
      <c r="J2439" s="33"/>
      <c r="K2439" s="28"/>
      <c r="L2439" s="27"/>
      <c r="M2439" s="27"/>
      <c r="N2439" s="27"/>
      <c r="O2439" s="27"/>
      <c r="P2439" s="27"/>
      <c r="Q2439" s="27"/>
      <c r="R2439" s="27"/>
      <c r="S2439" s="27"/>
      <c r="T2439" s="27"/>
      <c r="U2439" s="27"/>
      <c r="V2439" s="27"/>
      <c r="W2439" s="27"/>
      <c r="X2439" s="27"/>
      <c r="Y2439" s="27"/>
    </row>
    <row r="2440">
      <c r="A2440" s="32"/>
      <c r="B2440" s="32"/>
      <c r="C2440" s="32"/>
      <c r="D2440" s="32"/>
      <c r="E2440" s="32"/>
      <c r="F2440" s="32"/>
      <c r="G2440" s="32"/>
      <c r="H2440" s="28"/>
      <c r="I2440" s="32"/>
      <c r="J2440" s="33"/>
      <c r="K2440" s="28"/>
      <c r="L2440" s="27"/>
      <c r="M2440" s="27"/>
      <c r="N2440" s="27"/>
      <c r="O2440" s="27"/>
      <c r="P2440" s="27"/>
      <c r="Q2440" s="27"/>
      <c r="R2440" s="27"/>
      <c r="S2440" s="27"/>
      <c r="T2440" s="27"/>
      <c r="U2440" s="27"/>
      <c r="V2440" s="27"/>
      <c r="W2440" s="27"/>
      <c r="X2440" s="27"/>
      <c r="Y2440" s="27"/>
    </row>
    <row r="2441">
      <c r="A2441" s="32"/>
      <c r="B2441" s="32"/>
      <c r="C2441" s="32"/>
      <c r="D2441" s="32"/>
      <c r="E2441" s="32"/>
      <c r="F2441" s="32"/>
      <c r="G2441" s="32"/>
      <c r="H2441" s="28"/>
      <c r="I2441" s="32"/>
      <c r="J2441" s="33"/>
      <c r="K2441" s="28"/>
      <c r="L2441" s="27"/>
      <c r="M2441" s="27"/>
      <c r="N2441" s="27"/>
      <c r="O2441" s="27"/>
      <c r="P2441" s="27"/>
      <c r="Q2441" s="27"/>
      <c r="R2441" s="27"/>
      <c r="S2441" s="27"/>
      <c r="T2441" s="27"/>
      <c r="U2441" s="27"/>
      <c r="V2441" s="27"/>
      <c r="W2441" s="27"/>
      <c r="X2441" s="27"/>
      <c r="Y2441" s="27"/>
    </row>
    <row r="2442">
      <c r="A2442" s="32"/>
      <c r="B2442" s="32"/>
      <c r="C2442" s="32"/>
      <c r="D2442" s="32"/>
      <c r="E2442" s="32"/>
      <c r="F2442" s="32"/>
      <c r="G2442" s="32"/>
      <c r="H2442" s="28"/>
      <c r="I2442" s="32"/>
      <c r="J2442" s="33"/>
      <c r="K2442" s="28"/>
      <c r="L2442" s="27"/>
      <c r="M2442" s="27"/>
      <c r="N2442" s="27"/>
      <c r="O2442" s="27"/>
      <c r="P2442" s="27"/>
      <c r="Q2442" s="27"/>
      <c r="R2442" s="27"/>
      <c r="S2442" s="27"/>
      <c r="T2442" s="27"/>
      <c r="U2442" s="27"/>
      <c r="V2442" s="27"/>
      <c r="W2442" s="27"/>
      <c r="X2442" s="27"/>
      <c r="Y2442" s="27"/>
    </row>
    <row r="2443">
      <c r="A2443" s="32"/>
      <c r="B2443" s="32"/>
      <c r="C2443" s="32"/>
      <c r="D2443" s="32"/>
      <c r="E2443" s="32"/>
      <c r="F2443" s="32"/>
      <c r="G2443" s="32"/>
      <c r="H2443" s="28"/>
      <c r="I2443" s="32"/>
      <c r="J2443" s="33"/>
      <c r="K2443" s="28"/>
      <c r="L2443" s="27"/>
      <c r="M2443" s="27"/>
      <c r="N2443" s="27"/>
      <c r="O2443" s="27"/>
      <c r="P2443" s="27"/>
      <c r="Q2443" s="27"/>
      <c r="R2443" s="27"/>
      <c r="S2443" s="27"/>
      <c r="T2443" s="27"/>
      <c r="U2443" s="27"/>
      <c r="V2443" s="27"/>
      <c r="W2443" s="27"/>
      <c r="X2443" s="27"/>
      <c r="Y2443" s="27"/>
    </row>
    <row r="2444">
      <c r="A2444" s="32"/>
      <c r="B2444" s="32"/>
      <c r="C2444" s="32"/>
      <c r="D2444" s="32"/>
      <c r="E2444" s="32"/>
      <c r="F2444" s="32"/>
      <c r="G2444" s="32"/>
      <c r="H2444" s="28"/>
      <c r="I2444" s="32"/>
      <c r="J2444" s="33"/>
      <c r="K2444" s="28"/>
      <c r="L2444" s="27"/>
      <c r="M2444" s="27"/>
      <c r="N2444" s="27"/>
      <c r="O2444" s="27"/>
      <c r="P2444" s="27"/>
      <c r="Q2444" s="27"/>
      <c r="R2444" s="27"/>
      <c r="S2444" s="27"/>
      <c r="T2444" s="27"/>
      <c r="U2444" s="27"/>
      <c r="V2444" s="27"/>
      <c r="W2444" s="27"/>
      <c r="X2444" s="27"/>
      <c r="Y2444" s="27"/>
    </row>
    <row r="2445">
      <c r="A2445" s="32"/>
      <c r="B2445" s="32"/>
      <c r="C2445" s="32"/>
      <c r="D2445" s="32"/>
      <c r="E2445" s="32"/>
      <c r="F2445" s="32"/>
      <c r="G2445" s="32"/>
      <c r="H2445" s="28"/>
      <c r="I2445" s="32"/>
      <c r="J2445" s="33"/>
      <c r="K2445" s="28"/>
      <c r="L2445" s="27"/>
      <c r="M2445" s="27"/>
      <c r="N2445" s="27"/>
      <c r="O2445" s="27"/>
      <c r="P2445" s="27"/>
      <c r="Q2445" s="27"/>
      <c r="R2445" s="27"/>
      <c r="S2445" s="27"/>
      <c r="T2445" s="27"/>
      <c r="U2445" s="27"/>
      <c r="V2445" s="27"/>
      <c r="W2445" s="27"/>
      <c r="X2445" s="27"/>
      <c r="Y2445" s="27"/>
    </row>
    <row r="2446">
      <c r="A2446" s="32"/>
      <c r="B2446" s="32"/>
      <c r="C2446" s="32"/>
      <c r="D2446" s="32"/>
      <c r="E2446" s="32"/>
      <c r="F2446" s="32"/>
      <c r="G2446" s="32"/>
      <c r="H2446" s="28"/>
      <c r="I2446" s="32"/>
      <c r="J2446" s="33"/>
      <c r="K2446" s="28"/>
      <c r="L2446" s="27"/>
      <c r="M2446" s="27"/>
      <c r="N2446" s="27"/>
      <c r="O2446" s="27"/>
      <c r="P2446" s="27"/>
      <c r="Q2446" s="27"/>
      <c r="R2446" s="27"/>
      <c r="S2446" s="27"/>
      <c r="T2446" s="27"/>
      <c r="U2446" s="27"/>
      <c r="V2446" s="27"/>
      <c r="W2446" s="27"/>
      <c r="X2446" s="27"/>
      <c r="Y2446" s="27"/>
    </row>
    <row r="2447">
      <c r="A2447" s="32"/>
      <c r="B2447" s="32"/>
      <c r="C2447" s="32"/>
      <c r="D2447" s="32"/>
      <c r="E2447" s="32"/>
      <c r="F2447" s="32"/>
      <c r="G2447" s="32"/>
      <c r="H2447" s="28"/>
      <c r="I2447" s="32"/>
      <c r="J2447" s="33"/>
      <c r="K2447" s="28"/>
      <c r="L2447" s="27"/>
      <c r="M2447" s="27"/>
      <c r="N2447" s="27"/>
      <c r="O2447" s="27"/>
      <c r="P2447" s="27"/>
      <c r="Q2447" s="27"/>
      <c r="R2447" s="27"/>
      <c r="S2447" s="27"/>
      <c r="T2447" s="27"/>
      <c r="U2447" s="27"/>
      <c r="V2447" s="27"/>
      <c r="W2447" s="27"/>
      <c r="X2447" s="27"/>
      <c r="Y2447" s="27"/>
    </row>
    <row r="2448">
      <c r="A2448" s="32"/>
      <c r="B2448" s="32"/>
      <c r="C2448" s="32"/>
      <c r="D2448" s="32"/>
      <c r="E2448" s="32"/>
      <c r="F2448" s="32"/>
      <c r="G2448" s="32"/>
      <c r="H2448" s="28"/>
      <c r="I2448" s="32"/>
      <c r="J2448" s="33"/>
      <c r="K2448" s="28"/>
      <c r="L2448" s="27"/>
      <c r="M2448" s="27"/>
      <c r="N2448" s="27"/>
      <c r="O2448" s="27"/>
      <c r="P2448" s="27"/>
      <c r="Q2448" s="27"/>
      <c r="R2448" s="27"/>
      <c r="S2448" s="27"/>
      <c r="T2448" s="27"/>
      <c r="U2448" s="27"/>
      <c r="V2448" s="27"/>
      <c r="W2448" s="27"/>
      <c r="X2448" s="27"/>
      <c r="Y2448" s="27"/>
    </row>
    <row r="2449">
      <c r="A2449" s="32"/>
      <c r="B2449" s="32"/>
      <c r="C2449" s="32"/>
      <c r="D2449" s="32"/>
      <c r="E2449" s="32"/>
      <c r="F2449" s="32"/>
      <c r="G2449" s="32"/>
      <c r="H2449" s="28"/>
      <c r="I2449" s="32"/>
      <c r="J2449" s="33"/>
      <c r="K2449" s="28"/>
      <c r="L2449" s="27"/>
      <c r="M2449" s="27"/>
      <c r="N2449" s="27"/>
      <c r="O2449" s="27"/>
      <c r="P2449" s="27"/>
      <c r="Q2449" s="27"/>
      <c r="R2449" s="27"/>
      <c r="S2449" s="27"/>
      <c r="T2449" s="27"/>
      <c r="U2449" s="27"/>
      <c r="V2449" s="27"/>
      <c r="W2449" s="27"/>
      <c r="X2449" s="27"/>
      <c r="Y2449" s="27"/>
    </row>
    <row r="2450">
      <c r="A2450" s="32"/>
      <c r="B2450" s="32"/>
      <c r="C2450" s="32"/>
      <c r="D2450" s="32"/>
      <c r="E2450" s="32"/>
      <c r="F2450" s="32"/>
      <c r="G2450" s="32"/>
      <c r="H2450" s="28"/>
      <c r="I2450" s="32"/>
      <c r="J2450" s="33"/>
      <c r="K2450" s="28"/>
      <c r="L2450" s="27"/>
      <c r="M2450" s="27"/>
      <c r="N2450" s="27"/>
      <c r="O2450" s="27"/>
      <c r="P2450" s="27"/>
      <c r="Q2450" s="27"/>
      <c r="R2450" s="27"/>
      <c r="S2450" s="27"/>
      <c r="T2450" s="27"/>
      <c r="U2450" s="27"/>
      <c r="V2450" s="27"/>
      <c r="W2450" s="27"/>
      <c r="X2450" s="27"/>
      <c r="Y2450" s="27"/>
    </row>
    <row r="2451">
      <c r="A2451" s="32"/>
      <c r="B2451" s="32"/>
      <c r="C2451" s="32"/>
      <c r="D2451" s="32"/>
      <c r="E2451" s="32"/>
      <c r="F2451" s="32"/>
      <c r="G2451" s="32"/>
      <c r="H2451" s="28"/>
      <c r="I2451" s="32"/>
      <c r="J2451" s="33"/>
      <c r="K2451" s="28"/>
      <c r="L2451" s="27"/>
      <c r="M2451" s="27"/>
      <c r="N2451" s="27"/>
      <c r="O2451" s="27"/>
      <c r="P2451" s="27"/>
      <c r="Q2451" s="27"/>
      <c r="R2451" s="27"/>
      <c r="S2451" s="27"/>
      <c r="T2451" s="27"/>
      <c r="U2451" s="27"/>
      <c r="V2451" s="27"/>
      <c r="W2451" s="27"/>
      <c r="X2451" s="27"/>
      <c r="Y2451" s="27"/>
    </row>
    <row r="2452">
      <c r="A2452" s="32"/>
      <c r="B2452" s="32"/>
      <c r="C2452" s="32"/>
      <c r="D2452" s="32"/>
      <c r="E2452" s="32"/>
      <c r="F2452" s="32"/>
      <c r="G2452" s="32"/>
      <c r="H2452" s="28"/>
      <c r="I2452" s="32"/>
      <c r="J2452" s="33"/>
      <c r="K2452" s="28"/>
      <c r="L2452" s="27"/>
      <c r="M2452" s="27"/>
      <c r="N2452" s="27"/>
      <c r="O2452" s="27"/>
      <c r="P2452" s="27"/>
      <c r="Q2452" s="27"/>
      <c r="R2452" s="27"/>
      <c r="S2452" s="27"/>
      <c r="T2452" s="27"/>
      <c r="U2452" s="27"/>
      <c r="V2452" s="27"/>
      <c r="W2452" s="27"/>
      <c r="X2452" s="27"/>
      <c r="Y2452" s="27"/>
    </row>
    <row r="2453">
      <c r="A2453" s="32"/>
      <c r="B2453" s="32"/>
      <c r="C2453" s="32"/>
      <c r="D2453" s="32"/>
      <c r="E2453" s="32"/>
      <c r="F2453" s="32"/>
      <c r="G2453" s="32"/>
      <c r="H2453" s="28"/>
      <c r="I2453" s="32"/>
      <c r="J2453" s="33"/>
      <c r="K2453" s="28"/>
      <c r="L2453" s="27"/>
      <c r="M2453" s="27"/>
      <c r="N2453" s="27"/>
      <c r="O2453" s="27"/>
      <c r="P2453" s="27"/>
      <c r="Q2453" s="27"/>
      <c r="R2453" s="27"/>
      <c r="S2453" s="27"/>
      <c r="T2453" s="27"/>
      <c r="U2453" s="27"/>
      <c r="V2453" s="27"/>
      <c r="W2453" s="27"/>
      <c r="X2453" s="27"/>
      <c r="Y2453" s="27"/>
    </row>
    <row r="2454">
      <c r="A2454" s="32"/>
      <c r="B2454" s="32"/>
      <c r="C2454" s="32"/>
      <c r="D2454" s="32"/>
      <c r="E2454" s="32"/>
      <c r="F2454" s="32"/>
      <c r="G2454" s="32"/>
      <c r="H2454" s="28"/>
      <c r="I2454" s="32"/>
      <c r="J2454" s="33"/>
      <c r="K2454" s="28"/>
      <c r="L2454" s="27"/>
      <c r="M2454" s="27"/>
      <c r="N2454" s="27"/>
      <c r="O2454" s="27"/>
      <c r="P2454" s="27"/>
      <c r="Q2454" s="27"/>
      <c r="R2454" s="27"/>
      <c r="S2454" s="27"/>
      <c r="T2454" s="27"/>
      <c r="U2454" s="27"/>
      <c r="V2454" s="27"/>
      <c r="W2454" s="27"/>
      <c r="X2454" s="27"/>
      <c r="Y2454" s="27"/>
    </row>
    <row r="2455">
      <c r="A2455" s="32"/>
      <c r="B2455" s="32"/>
      <c r="C2455" s="32"/>
      <c r="D2455" s="32"/>
      <c r="E2455" s="32"/>
      <c r="F2455" s="32"/>
      <c r="G2455" s="32"/>
      <c r="H2455" s="28"/>
      <c r="I2455" s="32"/>
      <c r="J2455" s="33"/>
      <c r="K2455" s="28"/>
      <c r="L2455" s="27"/>
      <c r="M2455" s="27"/>
      <c r="N2455" s="27"/>
      <c r="O2455" s="27"/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</row>
    <row r="2456">
      <c r="A2456" s="32"/>
      <c r="B2456" s="32"/>
      <c r="C2456" s="32"/>
      <c r="D2456" s="32"/>
      <c r="E2456" s="32"/>
      <c r="F2456" s="32"/>
      <c r="G2456" s="32"/>
      <c r="H2456" s="28"/>
      <c r="I2456" s="32"/>
      <c r="J2456" s="33"/>
      <c r="K2456" s="28"/>
      <c r="L2456" s="27"/>
      <c r="M2456" s="27"/>
      <c r="N2456" s="27"/>
      <c r="O2456" s="27"/>
      <c r="P2456" s="27"/>
      <c r="Q2456" s="27"/>
      <c r="R2456" s="27"/>
      <c r="S2456" s="27"/>
      <c r="T2456" s="27"/>
      <c r="U2456" s="27"/>
      <c r="V2456" s="27"/>
      <c r="W2456" s="27"/>
      <c r="X2456" s="27"/>
      <c r="Y2456" s="27"/>
    </row>
    <row r="2457">
      <c r="A2457" s="32"/>
      <c r="B2457" s="32"/>
      <c r="C2457" s="32"/>
      <c r="D2457" s="32"/>
      <c r="E2457" s="32"/>
      <c r="F2457" s="32"/>
      <c r="G2457" s="32"/>
      <c r="H2457" s="28"/>
      <c r="I2457" s="32"/>
      <c r="J2457" s="33"/>
      <c r="K2457" s="28"/>
      <c r="L2457" s="27"/>
      <c r="M2457" s="27"/>
      <c r="N2457" s="27"/>
      <c r="O2457" s="27"/>
      <c r="P2457" s="27"/>
      <c r="Q2457" s="27"/>
      <c r="R2457" s="27"/>
      <c r="S2457" s="27"/>
      <c r="T2457" s="27"/>
      <c r="U2457" s="27"/>
      <c r="V2457" s="27"/>
      <c r="W2457" s="27"/>
      <c r="X2457" s="27"/>
      <c r="Y2457" s="27"/>
    </row>
    <row r="2458">
      <c r="A2458" s="32"/>
      <c r="B2458" s="32"/>
      <c r="C2458" s="32"/>
      <c r="D2458" s="32"/>
      <c r="E2458" s="32"/>
      <c r="F2458" s="32"/>
      <c r="G2458" s="32"/>
      <c r="H2458" s="28"/>
      <c r="I2458" s="32"/>
      <c r="J2458" s="33"/>
      <c r="K2458" s="28"/>
      <c r="L2458" s="27"/>
      <c r="M2458" s="27"/>
      <c r="N2458" s="27"/>
      <c r="O2458" s="27"/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</row>
    <row r="2459">
      <c r="A2459" s="32"/>
      <c r="B2459" s="32"/>
      <c r="C2459" s="32"/>
      <c r="D2459" s="32"/>
      <c r="E2459" s="32"/>
      <c r="F2459" s="32"/>
      <c r="G2459" s="32"/>
      <c r="H2459" s="28"/>
      <c r="I2459" s="32"/>
      <c r="J2459" s="33"/>
      <c r="K2459" s="28"/>
      <c r="L2459" s="27"/>
      <c r="M2459" s="27"/>
      <c r="N2459" s="27"/>
      <c r="O2459" s="27"/>
      <c r="P2459" s="27"/>
      <c r="Q2459" s="27"/>
      <c r="R2459" s="27"/>
      <c r="S2459" s="27"/>
      <c r="T2459" s="27"/>
      <c r="U2459" s="27"/>
      <c r="V2459" s="27"/>
      <c r="W2459" s="27"/>
      <c r="X2459" s="27"/>
      <c r="Y2459" s="27"/>
    </row>
    <row r="2460">
      <c r="A2460" s="32"/>
      <c r="B2460" s="32"/>
      <c r="C2460" s="32"/>
      <c r="D2460" s="32"/>
      <c r="E2460" s="32"/>
      <c r="F2460" s="32"/>
      <c r="G2460" s="32"/>
      <c r="H2460" s="28"/>
      <c r="I2460" s="32"/>
      <c r="J2460" s="33"/>
      <c r="K2460" s="28"/>
      <c r="L2460" s="27"/>
      <c r="M2460" s="27"/>
      <c r="N2460" s="27"/>
      <c r="O2460" s="27"/>
      <c r="P2460" s="27"/>
      <c r="Q2460" s="27"/>
      <c r="R2460" s="27"/>
      <c r="S2460" s="27"/>
      <c r="T2460" s="27"/>
      <c r="U2460" s="27"/>
      <c r="V2460" s="27"/>
      <c r="W2460" s="27"/>
      <c r="X2460" s="27"/>
      <c r="Y2460" s="27"/>
    </row>
    <row r="2461">
      <c r="A2461" s="32"/>
      <c r="B2461" s="32"/>
      <c r="C2461" s="32"/>
      <c r="D2461" s="32"/>
      <c r="E2461" s="32"/>
      <c r="F2461" s="32"/>
      <c r="G2461" s="32"/>
      <c r="H2461" s="28"/>
      <c r="I2461" s="32"/>
      <c r="J2461" s="33"/>
      <c r="K2461" s="28"/>
      <c r="L2461" s="27"/>
      <c r="M2461" s="27"/>
      <c r="N2461" s="27"/>
      <c r="O2461" s="27"/>
      <c r="P2461" s="27"/>
      <c r="Q2461" s="27"/>
      <c r="R2461" s="27"/>
      <c r="S2461" s="27"/>
      <c r="T2461" s="27"/>
      <c r="U2461" s="27"/>
      <c r="V2461" s="27"/>
      <c r="W2461" s="27"/>
      <c r="X2461" s="27"/>
      <c r="Y2461" s="27"/>
    </row>
    <row r="2462">
      <c r="A2462" s="32"/>
      <c r="B2462" s="32"/>
      <c r="C2462" s="32"/>
      <c r="D2462" s="32"/>
      <c r="E2462" s="32"/>
      <c r="F2462" s="32"/>
      <c r="G2462" s="32"/>
      <c r="H2462" s="28"/>
      <c r="I2462" s="32"/>
      <c r="J2462" s="33"/>
      <c r="K2462" s="28"/>
      <c r="L2462" s="27"/>
      <c r="M2462" s="27"/>
      <c r="N2462" s="27"/>
      <c r="O2462" s="27"/>
      <c r="P2462" s="27"/>
      <c r="Q2462" s="27"/>
      <c r="R2462" s="27"/>
      <c r="S2462" s="27"/>
      <c r="T2462" s="27"/>
      <c r="U2462" s="27"/>
      <c r="V2462" s="27"/>
      <c r="W2462" s="27"/>
      <c r="X2462" s="27"/>
      <c r="Y2462" s="27"/>
    </row>
    <row r="2463">
      <c r="A2463" s="32"/>
      <c r="B2463" s="32"/>
      <c r="C2463" s="32"/>
      <c r="D2463" s="32"/>
      <c r="E2463" s="32"/>
      <c r="F2463" s="32"/>
      <c r="G2463" s="32"/>
      <c r="H2463" s="28"/>
      <c r="I2463" s="32"/>
      <c r="J2463" s="33"/>
      <c r="K2463" s="28"/>
      <c r="L2463" s="27"/>
      <c r="M2463" s="27"/>
      <c r="N2463" s="27"/>
      <c r="O2463" s="27"/>
      <c r="P2463" s="27"/>
      <c r="Q2463" s="27"/>
      <c r="R2463" s="27"/>
      <c r="S2463" s="27"/>
      <c r="T2463" s="27"/>
      <c r="U2463" s="27"/>
      <c r="V2463" s="27"/>
      <c r="W2463" s="27"/>
      <c r="X2463" s="27"/>
      <c r="Y2463" s="27"/>
    </row>
    <row r="2464">
      <c r="A2464" s="32"/>
      <c r="B2464" s="32"/>
      <c r="C2464" s="32"/>
      <c r="D2464" s="32"/>
      <c r="E2464" s="32"/>
      <c r="F2464" s="32"/>
      <c r="G2464" s="32"/>
      <c r="H2464" s="28"/>
      <c r="I2464" s="32"/>
      <c r="J2464" s="33"/>
      <c r="K2464" s="28"/>
      <c r="L2464" s="27"/>
      <c r="M2464" s="27"/>
      <c r="N2464" s="27"/>
      <c r="O2464" s="27"/>
      <c r="P2464" s="27"/>
      <c r="Q2464" s="27"/>
      <c r="R2464" s="27"/>
      <c r="S2464" s="27"/>
      <c r="T2464" s="27"/>
      <c r="U2464" s="27"/>
      <c r="V2464" s="27"/>
      <c r="W2464" s="27"/>
      <c r="X2464" s="27"/>
      <c r="Y2464" s="27"/>
    </row>
    <row r="2465">
      <c r="A2465" s="32"/>
      <c r="B2465" s="32"/>
      <c r="C2465" s="32"/>
      <c r="D2465" s="32"/>
      <c r="E2465" s="32"/>
      <c r="F2465" s="32"/>
      <c r="G2465" s="32"/>
      <c r="H2465" s="28"/>
      <c r="I2465" s="32"/>
      <c r="J2465" s="33"/>
      <c r="K2465" s="28"/>
      <c r="L2465" s="27"/>
      <c r="M2465" s="27"/>
      <c r="N2465" s="27"/>
      <c r="O2465" s="27"/>
      <c r="P2465" s="27"/>
      <c r="Q2465" s="27"/>
      <c r="R2465" s="27"/>
      <c r="S2465" s="27"/>
      <c r="T2465" s="27"/>
      <c r="U2465" s="27"/>
      <c r="V2465" s="27"/>
      <c r="W2465" s="27"/>
      <c r="X2465" s="27"/>
      <c r="Y2465" s="27"/>
    </row>
    <row r="2466">
      <c r="A2466" s="32"/>
      <c r="B2466" s="32"/>
      <c r="C2466" s="32"/>
      <c r="D2466" s="32"/>
      <c r="E2466" s="32"/>
      <c r="F2466" s="32"/>
      <c r="G2466" s="32"/>
      <c r="H2466" s="28"/>
      <c r="I2466" s="32"/>
      <c r="J2466" s="33"/>
      <c r="K2466" s="28"/>
      <c r="L2466" s="27"/>
      <c r="M2466" s="27"/>
      <c r="N2466" s="27"/>
      <c r="O2466" s="27"/>
      <c r="P2466" s="27"/>
      <c r="Q2466" s="27"/>
      <c r="R2466" s="27"/>
      <c r="S2466" s="27"/>
      <c r="T2466" s="27"/>
      <c r="U2466" s="27"/>
      <c r="V2466" s="27"/>
      <c r="W2466" s="27"/>
      <c r="X2466" s="27"/>
      <c r="Y2466" s="27"/>
    </row>
    <row r="2467">
      <c r="A2467" s="32"/>
      <c r="B2467" s="32"/>
      <c r="C2467" s="32"/>
      <c r="D2467" s="32"/>
      <c r="E2467" s="32"/>
      <c r="F2467" s="32"/>
      <c r="G2467" s="32"/>
      <c r="H2467" s="28"/>
      <c r="I2467" s="32"/>
      <c r="J2467" s="33"/>
      <c r="K2467" s="28"/>
      <c r="L2467" s="27"/>
      <c r="M2467" s="27"/>
      <c r="N2467" s="27"/>
      <c r="O2467" s="27"/>
      <c r="P2467" s="27"/>
      <c r="Q2467" s="27"/>
      <c r="R2467" s="27"/>
      <c r="S2467" s="27"/>
      <c r="T2467" s="27"/>
      <c r="U2467" s="27"/>
      <c r="V2467" s="27"/>
      <c r="W2467" s="27"/>
      <c r="X2467" s="27"/>
      <c r="Y2467" s="27"/>
    </row>
    <row r="2468">
      <c r="A2468" s="32"/>
      <c r="B2468" s="32"/>
      <c r="C2468" s="32"/>
      <c r="D2468" s="32"/>
      <c r="E2468" s="32"/>
      <c r="F2468" s="32"/>
      <c r="G2468" s="32"/>
      <c r="H2468" s="28"/>
      <c r="I2468" s="32"/>
      <c r="J2468" s="33"/>
      <c r="K2468" s="28"/>
      <c r="L2468" s="27"/>
      <c r="M2468" s="27"/>
      <c r="N2468" s="27"/>
      <c r="O2468" s="27"/>
      <c r="P2468" s="27"/>
      <c r="Q2468" s="27"/>
      <c r="R2468" s="27"/>
      <c r="S2468" s="27"/>
      <c r="T2468" s="27"/>
      <c r="U2468" s="27"/>
      <c r="V2468" s="27"/>
      <c r="W2468" s="27"/>
      <c r="X2468" s="27"/>
      <c r="Y2468" s="27"/>
    </row>
    <row r="2469">
      <c r="A2469" s="32"/>
      <c r="B2469" s="32"/>
      <c r="C2469" s="32"/>
      <c r="D2469" s="32"/>
      <c r="E2469" s="32"/>
      <c r="F2469" s="32"/>
      <c r="G2469" s="32"/>
      <c r="H2469" s="28"/>
      <c r="I2469" s="32"/>
      <c r="J2469" s="33"/>
      <c r="K2469" s="28"/>
      <c r="L2469" s="27"/>
      <c r="M2469" s="27"/>
      <c r="N2469" s="27"/>
      <c r="O2469" s="27"/>
      <c r="P2469" s="27"/>
      <c r="Q2469" s="27"/>
      <c r="R2469" s="27"/>
      <c r="S2469" s="27"/>
      <c r="T2469" s="27"/>
      <c r="U2469" s="27"/>
      <c r="V2469" s="27"/>
      <c r="W2469" s="27"/>
      <c r="X2469" s="27"/>
      <c r="Y2469" s="27"/>
    </row>
    <row r="2470">
      <c r="A2470" s="32"/>
      <c r="B2470" s="32"/>
      <c r="C2470" s="32"/>
      <c r="D2470" s="32"/>
      <c r="E2470" s="32"/>
      <c r="F2470" s="32"/>
      <c r="G2470" s="32"/>
      <c r="H2470" s="28"/>
      <c r="I2470" s="32"/>
      <c r="J2470" s="33"/>
      <c r="K2470" s="28"/>
      <c r="L2470" s="27"/>
      <c r="M2470" s="27"/>
      <c r="N2470" s="27"/>
      <c r="O2470" s="27"/>
      <c r="P2470" s="27"/>
      <c r="Q2470" s="27"/>
      <c r="R2470" s="27"/>
      <c r="S2470" s="27"/>
      <c r="T2470" s="27"/>
      <c r="U2470" s="27"/>
      <c r="V2470" s="27"/>
      <c r="W2470" s="27"/>
      <c r="X2470" s="27"/>
      <c r="Y2470" s="27"/>
    </row>
    <row r="2471">
      <c r="A2471" s="32"/>
      <c r="B2471" s="32"/>
      <c r="C2471" s="32"/>
      <c r="D2471" s="32"/>
      <c r="E2471" s="32"/>
      <c r="F2471" s="32"/>
      <c r="G2471" s="32"/>
      <c r="H2471" s="28"/>
      <c r="I2471" s="32"/>
      <c r="J2471" s="33"/>
      <c r="K2471" s="28"/>
      <c r="L2471" s="27"/>
      <c r="M2471" s="27"/>
      <c r="N2471" s="27"/>
      <c r="O2471" s="27"/>
      <c r="P2471" s="27"/>
      <c r="Q2471" s="27"/>
      <c r="R2471" s="27"/>
      <c r="S2471" s="27"/>
      <c r="T2471" s="27"/>
      <c r="U2471" s="27"/>
      <c r="V2471" s="27"/>
      <c r="W2471" s="27"/>
      <c r="X2471" s="27"/>
      <c r="Y2471" s="27"/>
    </row>
    <row r="2472">
      <c r="A2472" s="32"/>
      <c r="B2472" s="32"/>
      <c r="C2472" s="32"/>
      <c r="D2472" s="32"/>
      <c r="E2472" s="32"/>
      <c r="F2472" s="32"/>
      <c r="G2472" s="32"/>
      <c r="H2472" s="28"/>
      <c r="I2472" s="32"/>
      <c r="J2472" s="33"/>
      <c r="K2472" s="28"/>
      <c r="L2472" s="27"/>
      <c r="M2472" s="27"/>
      <c r="N2472" s="27"/>
      <c r="O2472" s="27"/>
      <c r="P2472" s="27"/>
      <c r="Q2472" s="27"/>
      <c r="R2472" s="27"/>
      <c r="S2472" s="27"/>
      <c r="T2472" s="27"/>
      <c r="U2472" s="27"/>
      <c r="V2472" s="27"/>
      <c r="W2472" s="27"/>
      <c r="X2472" s="27"/>
      <c r="Y2472" s="27"/>
    </row>
    <row r="2473">
      <c r="A2473" s="32"/>
      <c r="B2473" s="32"/>
      <c r="C2473" s="32"/>
      <c r="D2473" s="32"/>
      <c r="E2473" s="32"/>
      <c r="F2473" s="32"/>
      <c r="G2473" s="32"/>
      <c r="H2473" s="28"/>
      <c r="I2473" s="32"/>
      <c r="J2473" s="33"/>
      <c r="K2473" s="28"/>
      <c r="L2473" s="27"/>
      <c r="M2473" s="27"/>
      <c r="N2473" s="27"/>
      <c r="O2473" s="27"/>
      <c r="P2473" s="27"/>
      <c r="Q2473" s="27"/>
      <c r="R2473" s="27"/>
      <c r="S2473" s="27"/>
      <c r="T2473" s="27"/>
      <c r="U2473" s="27"/>
      <c r="V2473" s="27"/>
      <c r="W2473" s="27"/>
      <c r="X2473" s="27"/>
      <c r="Y2473" s="27"/>
    </row>
    <row r="2474">
      <c r="A2474" s="32"/>
      <c r="B2474" s="32"/>
      <c r="C2474" s="32"/>
      <c r="D2474" s="32"/>
      <c r="E2474" s="32"/>
      <c r="F2474" s="32"/>
      <c r="G2474" s="32"/>
      <c r="H2474" s="28"/>
      <c r="I2474" s="32"/>
      <c r="J2474" s="33"/>
      <c r="K2474" s="28"/>
      <c r="L2474" s="27"/>
      <c r="M2474" s="27"/>
      <c r="N2474" s="27"/>
      <c r="O2474" s="27"/>
      <c r="P2474" s="27"/>
      <c r="Q2474" s="27"/>
      <c r="R2474" s="27"/>
      <c r="S2474" s="27"/>
      <c r="T2474" s="27"/>
      <c r="U2474" s="27"/>
      <c r="V2474" s="27"/>
      <c r="W2474" s="27"/>
      <c r="X2474" s="27"/>
      <c r="Y2474" s="27"/>
    </row>
    <row r="2475">
      <c r="A2475" s="32"/>
      <c r="B2475" s="32"/>
      <c r="C2475" s="32"/>
      <c r="D2475" s="32"/>
      <c r="E2475" s="32"/>
      <c r="F2475" s="32"/>
      <c r="G2475" s="32"/>
      <c r="H2475" s="28"/>
      <c r="I2475" s="32"/>
      <c r="J2475" s="33"/>
      <c r="K2475" s="28"/>
      <c r="L2475" s="27"/>
      <c r="M2475" s="27"/>
      <c r="N2475" s="27"/>
      <c r="O2475" s="27"/>
      <c r="P2475" s="27"/>
      <c r="Q2475" s="27"/>
      <c r="R2475" s="27"/>
      <c r="S2475" s="27"/>
      <c r="T2475" s="27"/>
      <c r="U2475" s="27"/>
      <c r="V2475" s="27"/>
      <c r="W2475" s="27"/>
      <c r="X2475" s="27"/>
      <c r="Y2475" s="27"/>
    </row>
    <row r="2476">
      <c r="A2476" s="32"/>
      <c r="B2476" s="32"/>
      <c r="C2476" s="32"/>
      <c r="D2476" s="32"/>
      <c r="E2476" s="32"/>
      <c r="F2476" s="32"/>
      <c r="G2476" s="32"/>
      <c r="H2476" s="28"/>
      <c r="I2476" s="32"/>
      <c r="J2476" s="33"/>
      <c r="K2476" s="28"/>
      <c r="L2476" s="27"/>
      <c r="M2476" s="27"/>
      <c r="N2476" s="27"/>
      <c r="O2476" s="27"/>
      <c r="P2476" s="27"/>
      <c r="Q2476" s="27"/>
      <c r="R2476" s="27"/>
      <c r="S2476" s="27"/>
      <c r="T2476" s="27"/>
      <c r="U2476" s="27"/>
      <c r="V2476" s="27"/>
      <c r="W2476" s="27"/>
      <c r="X2476" s="27"/>
      <c r="Y2476" s="27"/>
    </row>
    <row r="2477">
      <c r="A2477" s="32"/>
      <c r="B2477" s="32"/>
      <c r="C2477" s="32"/>
      <c r="D2477" s="32"/>
      <c r="E2477" s="32"/>
      <c r="F2477" s="32"/>
      <c r="G2477" s="32"/>
      <c r="H2477" s="28"/>
      <c r="I2477" s="32"/>
      <c r="J2477" s="33"/>
      <c r="K2477" s="28"/>
      <c r="L2477" s="27"/>
      <c r="M2477" s="27"/>
      <c r="N2477" s="27"/>
      <c r="O2477" s="27"/>
      <c r="P2477" s="27"/>
      <c r="Q2477" s="27"/>
      <c r="R2477" s="27"/>
      <c r="S2477" s="27"/>
      <c r="T2477" s="27"/>
      <c r="U2477" s="27"/>
      <c r="V2477" s="27"/>
      <c r="W2477" s="27"/>
      <c r="X2477" s="27"/>
      <c r="Y2477" s="27"/>
    </row>
    <row r="2478">
      <c r="A2478" s="32"/>
      <c r="B2478" s="32"/>
      <c r="C2478" s="32"/>
      <c r="D2478" s="32"/>
      <c r="E2478" s="32"/>
      <c r="F2478" s="32"/>
      <c r="G2478" s="32"/>
      <c r="H2478" s="28"/>
      <c r="I2478" s="32"/>
      <c r="J2478" s="33"/>
      <c r="K2478" s="28"/>
      <c r="L2478" s="27"/>
      <c r="M2478" s="27"/>
      <c r="N2478" s="27"/>
      <c r="O2478" s="27"/>
      <c r="P2478" s="27"/>
      <c r="Q2478" s="27"/>
      <c r="R2478" s="27"/>
      <c r="S2478" s="27"/>
      <c r="T2478" s="27"/>
      <c r="U2478" s="27"/>
      <c r="V2478" s="27"/>
      <c r="W2478" s="27"/>
      <c r="X2478" s="27"/>
      <c r="Y2478" s="27"/>
    </row>
    <row r="2479">
      <c r="A2479" s="32"/>
      <c r="B2479" s="32"/>
      <c r="C2479" s="32"/>
      <c r="D2479" s="32"/>
      <c r="E2479" s="32"/>
      <c r="F2479" s="32"/>
      <c r="G2479" s="32"/>
      <c r="H2479" s="28"/>
      <c r="I2479" s="32"/>
      <c r="J2479" s="33"/>
      <c r="K2479" s="28"/>
      <c r="L2479" s="27"/>
      <c r="M2479" s="27"/>
      <c r="N2479" s="27"/>
      <c r="O2479" s="27"/>
      <c r="P2479" s="27"/>
      <c r="Q2479" s="27"/>
      <c r="R2479" s="27"/>
      <c r="S2479" s="27"/>
      <c r="T2479" s="27"/>
      <c r="U2479" s="27"/>
      <c r="V2479" s="27"/>
      <c r="W2479" s="27"/>
      <c r="X2479" s="27"/>
      <c r="Y2479" s="27"/>
    </row>
    <row r="2480">
      <c r="A2480" s="32"/>
      <c r="B2480" s="32"/>
      <c r="C2480" s="32"/>
      <c r="D2480" s="32"/>
      <c r="E2480" s="32"/>
      <c r="F2480" s="32"/>
      <c r="G2480" s="32"/>
      <c r="H2480" s="28"/>
      <c r="I2480" s="32"/>
      <c r="J2480" s="33"/>
      <c r="K2480" s="28"/>
      <c r="L2480" s="27"/>
      <c r="M2480" s="27"/>
      <c r="N2480" s="27"/>
      <c r="O2480" s="27"/>
      <c r="P2480" s="27"/>
      <c r="Q2480" s="27"/>
      <c r="R2480" s="27"/>
      <c r="S2480" s="27"/>
      <c r="T2480" s="27"/>
      <c r="U2480" s="27"/>
      <c r="V2480" s="27"/>
      <c r="W2480" s="27"/>
      <c r="X2480" s="27"/>
      <c r="Y2480" s="27"/>
    </row>
    <row r="2481">
      <c r="A2481" s="32"/>
      <c r="B2481" s="32"/>
      <c r="C2481" s="32"/>
      <c r="D2481" s="32"/>
      <c r="E2481" s="32"/>
      <c r="F2481" s="32"/>
      <c r="G2481" s="32"/>
      <c r="H2481" s="28"/>
      <c r="I2481" s="32"/>
      <c r="J2481" s="33"/>
      <c r="K2481" s="28"/>
      <c r="L2481" s="27"/>
      <c r="M2481" s="27"/>
      <c r="N2481" s="27"/>
      <c r="O2481" s="27"/>
      <c r="P2481" s="27"/>
      <c r="Q2481" s="27"/>
      <c r="R2481" s="27"/>
      <c r="S2481" s="27"/>
      <c r="T2481" s="27"/>
      <c r="U2481" s="27"/>
      <c r="V2481" s="27"/>
      <c r="W2481" s="27"/>
      <c r="X2481" s="27"/>
      <c r="Y2481" s="27"/>
    </row>
    <row r="2482">
      <c r="A2482" s="32"/>
      <c r="B2482" s="32"/>
      <c r="C2482" s="32"/>
      <c r="D2482" s="32"/>
      <c r="E2482" s="32"/>
      <c r="F2482" s="32"/>
      <c r="G2482" s="32"/>
      <c r="H2482" s="28"/>
      <c r="I2482" s="32"/>
      <c r="J2482" s="33"/>
      <c r="K2482" s="28"/>
      <c r="L2482" s="27"/>
      <c r="M2482" s="27"/>
      <c r="N2482" s="27"/>
      <c r="O2482" s="27"/>
      <c r="P2482" s="27"/>
      <c r="Q2482" s="27"/>
      <c r="R2482" s="27"/>
      <c r="S2482" s="27"/>
      <c r="T2482" s="27"/>
      <c r="U2482" s="27"/>
      <c r="V2482" s="27"/>
      <c r="W2482" s="27"/>
      <c r="X2482" s="27"/>
      <c r="Y2482" s="27"/>
    </row>
    <row r="2483">
      <c r="A2483" s="32"/>
      <c r="B2483" s="32"/>
      <c r="C2483" s="32"/>
      <c r="D2483" s="32"/>
      <c r="E2483" s="32"/>
      <c r="F2483" s="32"/>
      <c r="G2483" s="32"/>
      <c r="H2483" s="28"/>
      <c r="I2483" s="32"/>
      <c r="J2483" s="33"/>
      <c r="K2483" s="28"/>
      <c r="L2483" s="27"/>
      <c r="M2483" s="27"/>
      <c r="N2483" s="27"/>
      <c r="O2483" s="27"/>
      <c r="P2483" s="27"/>
      <c r="Q2483" s="27"/>
      <c r="R2483" s="27"/>
      <c r="S2483" s="27"/>
      <c r="T2483" s="27"/>
      <c r="U2483" s="27"/>
      <c r="V2483" s="27"/>
      <c r="W2483" s="27"/>
      <c r="X2483" s="27"/>
      <c r="Y2483" s="27"/>
    </row>
    <row r="2484">
      <c r="A2484" s="32"/>
      <c r="B2484" s="32"/>
      <c r="C2484" s="32"/>
      <c r="D2484" s="32"/>
      <c r="E2484" s="32"/>
      <c r="F2484" s="32"/>
      <c r="G2484" s="32"/>
      <c r="H2484" s="28"/>
      <c r="I2484" s="32"/>
      <c r="J2484" s="33"/>
      <c r="K2484" s="28"/>
      <c r="L2484" s="27"/>
      <c r="M2484" s="27"/>
      <c r="N2484" s="27"/>
      <c r="O2484" s="27"/>
      <c r="P2484" s="27"/>
      <c r="Q2484" s="27"/>
      <c r="R2484" s="27"/>
      <c r="S2484" s="27"/>
      <c r="T2484" s="27"/>
      <c r="U2484" s="27"/>
      <c r="V2484" s="27"/>
      <c r="W2484" s="27"/>
      <c r="X2484" s="27"/>
      <c r="Y2484" s="27"/>
    </row>
    <row r="2485">
      <c r="A2485" s="32"/>
      <c r="B2485" s="32"/>
      <c r="C2485" s="32"/>
      <c r="D2485" s="32"/>
      <c r="E2485" s="32"/>
      <c r="F2485" s="32"/>
      <c r="G2485" s="32"/>
      <c r="H2485" s="28"/>
      <c r="I2485" s="32"/>
      <c r="J2485" s="33"/>
      <c r="K2485" s="28"/>
      <c r="L2485" s="27"/>
      <c r="M2485" s="27"/>
      <c r="N2485" s="27"/>
      <c r="O2485" s="27"/>
      <c r="P2485" s="27"/>
      <c r="Q2485" s="27"/>
      <c r="R2485" s="27"/>
      <c r="S2485" s="27"/>
      <c r="T2485" s="27"/>
      <c r="U2485" s="27"/>
      <c r="V2485" s="27"/>
      <c r="W2485" s="27"/>
      <c r="X2485" s="27"/>
      <c r="Y2485" s="27"/>
    </row>
    <row r="2486">
      <c r="A2486" s="32"/>
      <c r="B2486" s="32"/>
      <c r="C2486" s="32"/>
      <c r="D2486" s="32"/>
      <c r="E2486" s="32"/>
      <c r="F2486" s="32"/>
      <c r="G2486" s="32"/>
      <c r="H2486" s="28"/>
      <c r="I2486" s="32"/>
      <c r="J2486" s="33"/>
      <c r="K2486" s="28"/>
      <c r="L2486" s="27"/>
      <c r="M2486" s="27"/>
      <c r="N2486" s="27"/>
      <c r="O2486" s="27"/>
      <c r="P2486" s="27"/>
      <c r="Q2486" s="27"/>
      <c r="R2486" s="27"/>
      <c r="S2486" s="27"/>
      <c r="T2486" s="27"/>
      <c r="U2486" s="27"/>
      <c r="V2486" s="27"/>
      <c r="W2486" s="27"/>
      <c r="X2486" s="27"/>
      <c r="Y2486" s="27"/>
    </row>
    <row r="2487">
      <c r="A2487" s="32"/>
      <c r="B2487" s="32"/>
      <c r="C2487" s="32"/>
      <c r="D2487" s="32"/>
      <c r="E2487" s="32"/>
      <c r="F2487" s="32"/>
      <c r="G2487" s="32"/>
      <c r="H2487" s="28"/>
      <c r="I2487" s="32"/>
      <c r="J2487" s="33"/>
      <c r="K2487" s="28"/>
      <c r="L2487" s="27"/>
      <c r="M2487" s="27"/>
      <c r="N2487" s="27"/>
      <c r="O2487" s="27"/>
      <c r="P2487" s="27"/>
      <c r="Q2487" s="27"/>
      <c r="R2487" s="27"/>
      <c r="S2487" s="27"/>
      <c r="T2487" s="27"/>
      <c r="U2487" s="27"/>
      <c r="V2487" s="27"/>
      <c r="W2487" s="27"/>
      <c r="X2487" s="27"/>
      <c r="Y2487" s="27"/>
    </row>
    <row r="2488">
      <c r="A2488" s="32"/>
      <c r="B2488" s="32"/>
      <c r="C2488" s="32"/>
      <c r="D2488" s="32"/>
      <c r="E2488" s="32"/>
      <c r="F2488" s="32"/>
      <c r="G2488" s="32"/>
      <c r="H2488" s="28"/>
      <c r="I2488" s="32"/>
      <c r="J2488" s="33"/>
      <c r="K2488" s="28"/>
      <c r="L2488" s="27"/>
      <c r="M2488" s="27"/>
      <c r="N2488" s="27"/>
      <c r="O2488" s="27"/>
      <c r="P2488" s="27"/>
      <c r="Q2488" s="27"/>
      <c r="R2488" s="27"/>
      <c r="S2488" s="27"/>
      <c r="T2488" s="27"/>
      <c r="U2488" s="27"/>
      <c r="V2488" s="27"/>
      <c r="W2488" s="27"/>
      <c r="X2488" s="27"/>
      <c r="Y2488" s="27"/>
    </row>
    <row r="2489">
      <c r="A2489" s="32"/>
      <c r="B2489" s="32"/>
      <c r="C2489" s="32"/>
      <c r="D2489" s="32"/>
      <c r="E2489" s="32"/>
      <c r="F2489" s="32"/>
      <c r="G2489" s="32"/>
      <c r="H2489" s="28"/>
      <c r="I2489" s="32"/>
      <c r="J2489" s="33"/>
      <c r="K2489" s="28"/>
      <c r="L2489" s="27"/>
      <c r="M2489" s="27"/>
      <c r="N2489" s="27"/>
      <c r="O2489" s="27"/>
      <c r="P2489" s="27"/>
      <c r="Q2489" s="27"/>
      <c r="R2489" s="27"/>
      <c r="S2489" s="27"/>
      <c r="T2489" s="27"/>
      <c r="U2489" s="27"/>
      <c r="V2489" s="27"/>
      <c r="W2489" s="27"/>
      <c r="X2489" s="27"/>
      <c r="Y2489" s="27"/>
    </row>
    <row r="2490">
      <c r="A2490" s="32"/>
      <c r="B2490" s="32"/>
      <c r="C2490" s="32"/>
      <c r="D2490" s="32"/>
      <c r="E2490" s="32"/>
      <c r="F2490" s="32"/>
      <c r="G2490" s="32"/>
      <c r="H2490" s="28"/>
      <c r="I2490" s="32"/>
      <c r="J2490" s="33"/>
      <c r="K2490" s="28"/>
      <c r="L2490" s="27"/>
      <c r="M2490" s="27"/>
      <c r="N2490" s="27"/>
      <c r="O2490" s="27"/>
      <c r="P2490" s="27"/>
      <c r="Q2490" s="27"/>
      <c r="R2490" s="27"/>
      <c r="S2490" s="27"/>
      <c r="T2490" s="27"/>
      <c r="U2490" s="27"/>
      <c r="V2490" s="27"/>
      <c r="W2490" s="27"/>
      <c r="X2490" s="27"/>
      <c r="Y2490" s="27"/>
    </row>
    <row r="2491">
      <c r="A2491" s="32"/>
      <c r="B2491" s="32"/>
      <c r="C2491" s="32"/>
      <c r="D2491" s="32"/>
      <c r="E2491" s="32"/>
      <c r="F2491" s="32"/>
      <c r="G2491" s="32"/>
      <c r="H2491" s="28"/>
      <c r="I2491" s="32"/>
      <c r="J2491" s="33"/>
      <c r="K2491" s="28"/>
      <c r="L2491" s="27"/>
      <c r="M2491" s="27"/>
      <c r="N2491" s="27"/>
      <c r="O2491" s="27"/>
      <c r="P2491" s="27"/>
      <c r="Q2491" s="27"/>
      <c r="R2491" s="27"/>
      <c r="S2491" s="27"/>
      <c r="T2491" s="27"/>
      <c r="U2491" s="27"/>
      <c r="V2491" s="27"/>
      <c r="W2491" s="27"/>
      <c r="X2491" s="27"/>
      <c r="Y2491" s="27"/>
    </row>
    <row r="2492">
      <c r="A2492" s="32"/>
      <c r="B2492" s="32"/>
      <c r="C2492" s="32"/>
      <c r="D2492" s="32"/>
      <c r="E2492" s="32"/>
      <c r="F2492" s="32"/>
      <c r="G2492" s="32"/>
      <c r="H2492" s="28"/>
      <c r="I2492" s="32"/>
      <c r="J2492" s="33"/>
      <c r="K2492" s="28"/>
      <c r="L2492" s="27"/>
      <c r="M2492" s="27"/>
      <c r="N2492" s="27"/>
      <c r="O2492" s="27"/>
      <c r="P2492" s="27"/>
      <c r="Q2492" s="27"/>
      <c r="R2492" s="27"/>
      <c r="S2492" s="27"/>
      <c r="T2492" s="27"/>
      <c r="U2492" s="27"/>
      <c r="V2492" s="27"/>
      <c r="W2492" s="27"/>
      <c r="X2492" s="27"/>
      <c r="Y2492" s="27"/>
    </row>
    <row r="2493">
      <c r="A2493" s="32"/>
      <c r="B2493" s="32"/>
      <c r="C2493" s="32"/>
      <c r="D2493" s="32"/>
      <c r="E2493" s="32"/>
      <c r="F2493" s="32"/>
      <c r="G2493" s="32"/>
      <c r="H2493" s="28"/>
      <c r="I2493" s="32"/>
      <c r="J2493" s="33"/>
      <c r="K2493" s="28"/>
      <c r="L2493" s="27"/>
      <c r="M2493" s="27"/>
      <c r="N2493" s="27"/>
      <c r="O2493" s="27"/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</row>
    <row r="2494">
      <c r="A2494" s="32"/>
      <c r="B2494" s="32"/>
      <c r="C2494" s="32"/>
      <c r="D2494" s="32"/>
      <c r="E2494" s="32"/>
      <c r="F2494" s="32"/>
      <c r="G2494" s="32"/>
      <c r="H2494" s="28"/>
      <c r="I2494" s="32"/>
      <c r="J2494" s="33"/>
      <c r="K2494" s="28"/>
      <c r="L2494" s="27"/>
      <c r="M2494" s="27"/>
      <c r="N2494" s="27"/>
      <c r="O2494" s="27"/>
      <c r="P2494" s="27"/>
      <c r="Q2494" s="27"/>
      <c r="R2494" s="27"/>
      <c r="S2494" s="27"/>
      <c r="T2494" s="27"/>
      <c r="U2494" s="27"/>
      <c r="V2494" s="27"/>
      <c r="W2494" s="27"/>
      <c r="X2494" s="27"/>
      <c r="Y2494" s="27"/>
    </row>
    <row r="2495">
      <c r="A2495" s="32"/>
      <c r="B2495" s="32"/>
      <c r="C2495" s="32"/>
      <c r="D2495" s="32"/>
      <c r="E2495" s="32"/>
      <c r="F2495" s="32"/>
      <c r="G2495" s="32"/>
      <c r="H2495" s="28"/>
      <c r="I2495" s="32"/>
      <c r="J2495" s="33"/>
      <c r="K2495" s="28"/>
      <c r="L2495" s="27"/>
      <c r="M2495" s="27"/>
      <c r="N2495" s="27"/>
      <c r="O2495" s="27"/>
      <c r="P2495" s="27"/>
      <c r="Q2495" s="27"/>
      <c r="R2495" s="27"/>
      <c r="S2495" s="27"/>
      <c r="T2495" s="27"/>
      <c r="U2495" s="27"/>
      <c r="V2495" s="27"/>
      <c r="W2495" s="27"/>
      <c r="X2495" s="27"/>
      <c r="Y2495" s="27"/>
    </row>
    <row r="2496">
      <c r="A2496" s="32"/>
      <c r="B2496" s="32"/>
      <c r="C2496" s="32"/>
      <c r="D2496" s="32"/>
      <c r="E2496" s="32"/>
      <c r="F2496" s="32"/>
      <c r="G2496" s="32"/>
      <c r="H2496" s="28"/>
      <c r="I2496" s="32"/>
      <c r="J2496" s="33"/>
      <c r="K2496" s="28"/>
      <c r="L2496" s="27"/>
      <c r="M2496" s="27"/>
      <c r="N2496" s="27"/>
      <c r="O2496" s="27"/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</row>
    <row r="2497">
      <c r="A2497" s="32"/>
      <c r="B2497" s="32"/>
      <c r="C2497" s="32"/>
      <c r="D2497" s="32"/>
      <c r="E2497" s="32"/>
      <c r="F2497" s="32"/>
      <c r="G2497" s="32"/>
      <c r="H2497" s="28"/>
      <c r="I2497" s="32"/>
      <c r="J2497" s="33"/>
      <c r="K2497" s="28"/>
      <c r="L2497" s="27"/>
      <c r="M2497" s="27"/>
      <c r="N2497" s="27"/>
      <c r="O2497" s="27"/>
      <c r="P2497" s="27"/>
      <c r="Q2497" s="27"/>
      <c r="R2497" s="27"/>
      <c r="S2497" s="27"/>
      <c r="T2497" s="27"/>
      <c r="U2497" s="27"/>
      <c r="V2497" s="27"/>
      <c r="W2497" s="27"/>
      <c r="X2497" s="27"/>
      <c r="Y2497" s="27"/>
    </row>
    <row r="2498">
      <c r="A2498" s="32"/>
      <c r="B2498" s="32"/>
      <c r="C2498" s="32"/>
      <c r="D2498" s="32"/>
      <c r="E2498" s="32"/>
      <c r="F2498" s="32"/>
      <c r="G2498" s="32"/>
      <c r="H2498" s="28"/>
      <c r="I2498" s="32"/>
      <c r="J2498" s="33"/>
      <c r="K2498" s="28"/>
      <c r="L2498" s="27"/>
      <c r="M2498" s="27"/>
      <c r="N2498" s="27"/>
      <c r="O2498" s="27"/>
      <c r="P2498" s="27"/>
      <c r="Q2498" s="27"/>
      <c r="R2498" s="27"/>
      <c r="S2498" s="27"/>
      <c r="T2498" s="27"/>
      <c r="U2498" s="27"/>
      <c r="V2498" s="27"/>
      <c r="W2498" s="27"/>
      <c r="X2498" s="27"/>
      <c r="Y2498" s="27"/>
    </row>
    <row r="2499">
      <c r="A2499" s="32"/>
      <c r="B2499" s="32"/>
      <c r="C2499" s="32"/>
      <c r="D2499" s="32"/>
      <c r="E2499" s="32"/>
      <c r="F2499" s="32"/>
      <c r="G2499" s="32"/>
      <c r="H2499" s="28"/>
      <c r="I2499" s="32"/>
      <c r="J2499" s="33"/>
      <c r="K2499" s="28"/>
      <c r="L2499" s="27"/>
      <c r="M2499" s="27"/>
      <c r="N2499" s="27"/>
      <c r="O2499" s="27"/>
      <c r="P2499" s="27"/>
      <c r="Q2499" s="27"/>
      <c r="R2499" s="27"/>
      <c r="S2499" s="27"/>
      <c r="T2499" s="27"/>
      <c r="U2499" s="27"/>
      <c r="V2499" s="27"/>
      <c r="W2499" s="27"/>
      <c r="X2499" s="27"/>
      <c r="Y2499" s="27"/>
    </row>
    <row r="2500">
      <c r="A2500" s="32"/>
      <c r="B2500" s="32"/>
      <c r="C2500" s="32"/>
      <c r="D2500" s="32"/>
      <c r="E2500" s="32"/>
      <c r="F2500" s="32"/>
      <c r="G2500" s="32"/>
      <c r="H2500" s="28"/>
      <c r="I2500" s="32"/>
      <c r="J2500" s="33"/>
      <c r="K2500" s="28"/>
      <c r="L2500" s="27"/>
      <c r="M2500" s="27"/>
      <c r="N2500" s="27"/>
      <c r="O2500" s="27"/>
      <c r="P2500" s="27"/>
      <c r="Q2500" s="27"/>
      <c r="R2500" s="27"/>
      <c r="S2500" s="27"/>
      <c r="T2500" s="27"/>
      <c r="U2500" s="27"/>
      <c r="V2500" s="27"/>
      <c r="W2500" s="27"/>
      <c r="X2500" s="27"/>
      <c r="Y2500" s="27"/>
    </row>
    <row r="2501">
      <c r="A2501" s="32"/>
      <c r="B2501" s="32"/>
      <c r="C2501" s="32"/>
      <c r="D2501" s="32"/>
      <c r="E2501" s="32"/>
      <c r="F2501" s="32"/>
      <c r="G2501" s="32"/>
      <c r="H2501" s="28"/>
      <c r="I2501" s="32"/>
      <c r="J2501" s="33"/>
      <c r="K2501" s="28"/>
      <c r="L2501" s="27"/>
      <c r="M2501" s="27"/>
      <c r="N2501" s="27"/>
      <c r="O2501" s="27"/>
      <c r="P2501" s="27"/>
      <c r="Q2501" s="27"/>
      <c r="R2501" s="27"/>
      <c r="S2501" s="27"/>
      <c r="T2501" s="27"/>
      <c r="U2501" s="27"/>
      <c r="V2501" s="27"/>
      <c r="W2501" s="27"/>
      <c r="X2501" s="27"/>
      <c r="Y2501" s="27"/>
    </row>
    <row r="2502">
      <c r="A2502" s="32"/>
      <c r="B2502" s="32"/>
      <c r="C2502" s="32"/>
      <c r="D2502" s="32"/>
      <c r="E2502" s="32"/>
      <c r="F2502" s="32"/>
      <c r="G2502" s="32"/>
      <c r="H2502" s="28"/>
      <c r="I2502" s="32"/>
      <c r="J2502" s="33"/>
      <c r="K2502" s="28"/>
      <c r="L2502" s="27"/>
      <c r="M2502" s="27"/>
      <c r="N2502" s="27"/>
      <c r="O2502" s="27"/>
      <c r="P2502" s="27"/>
      <c r="Q2502" s="27"/>
      <c r="R2502" s="27"/>
      <c r="S2502" s="27"/>
      <c r="T2502" s="27"/>
      <c r="U2502" s="27"/>
      <c r="V2502" s="27"/>
      <c r="W2502" s="27"/>
      <c r="X2502" s="27"/>
      <c r="Y2502" s="27"/>
    </row>
    <row r="2503">
      <c r="A2503" s="32"/>
      <c r="B2503" s="32"/>
      <c r="C2503" s="32"/>
      <c r="D2503" s="32"/>
      <c r="E2503" s="32"/>
      <c r="F2503" s="32"/>
      <c r="G2503" s="32"/>
      <c r="H2503" s="28"/>
      <c r="I2503" s="32"/>
      <c r="J2503" s="33"/>
      <c r="K2503" s="28"/>
      <c r="L2503" s="27"/>
      <c r="M2503" s="27"/>
      <c r="N2503" s="27"/>
      <c r="O2503" s="27"/>
      <c r="P2503" s="27"/>
      <c r="Q2503" s="27"/>
      <c r="R2503" s="27"/>
      <c r="S2503" s="27"/>
      <c r="T2503" s="27"/>
      <c r="U2503" s="27"/>
      <c r="V2503" s="27"/>
      <c r="W2503" s="27"/>
      <c r="X2503" s="27"/>
      <c r="Y2503" s="27"/>
    </row>
    <row r="2504">
      <c r="A2504" s="32"/>
      <c r="B2504" s="32"/>
      <c r="C2504" s="32"/>
      <c r="D2504" s="32"/>
      <c r="E2504" s="32"/>
      <c r="F2504" s="32"/>
      <c r="G2504" s="32"/>
      <c r="H2504" s="28"/>
      <c r="I2504" s="32"/>
      <c r="J2504" s="33"/>
      <c r="K2504" s="28"/>
      <c r="L2504" s="27"/>
      <c r="M2504" s="27"/>
      <c r="N2504" s="27"/>
      <c r="O2504" s="27"/>
      <c r="P2504" s="27"/>
      <c r="Q2504" s="27"/>
      <c r="R2504" s="27"/>
      <c r="S2504" s="27"/>
      <c r="T2504" s="27"/>
      <c r="U2504" s="27"/>
      <c r="V2504" s="27"/>
      <c r="W2504" s="27"/>
      <c r="X2504" s="27"/>
      <c r="Y2504" s="27"/>
    </row>
    <row r="2505">
      <c r="A2505" s="32"/>
      <c r="B2505" s="32"/>
      <c r="C2505" s="32"/>
      <c r="D2505" s="32"/>
      <c r="E2505" s="32"/>
      <c r="F2505" s="32"/>
      <c r="G2505" s="32"/>
      <c r="H2505" s="28"/>
      <c r="I2505" s="32"/>
      <c r="J2505" s="33"/>
      <c r="K2505" s="28"/>
      <c r="L2505" s="27"/>
      <c r="M2505" s="27"/>
      <c r="N2505" s="27"/>
      <c r="O2505" s="27"/>
      <c r="P2505" s="27"/>
      <c r="Q2505" s="27"/>
      <c r="R2505" s="27"/>
      <c r="S2505" s="27"/>
      <c r="T2505" s="27"/>
      <c r="U2505" s="27"/>
      <c r="V2505" s="27"/>
      <c r="W2505" s="27"/>
      <c r="X2505" s="27"/>
      <c r="Y2505" s="27"/>
    </row>
    <row r="2506">
      <c r="A2506" s="32"/>
      <c r="B2506" s="32"/>
      <c r="C2506" s="32"/>
      <c r="D2506" s="32"/>
      <c r="E2506" s="32"/>
      <c r="F2506" s="32"/>
      <c r="G2506" s="32"/>
      <c r="H2506" s="28"/>
      <c r="I2506" s="32"/>
      <c r="J2506" s="33"/>
      <c r="K2506" s="28"/>
      <c r="L2506" s="27"/>
      <c r="M2506" s="27"/>
      <c r="N2506" s="27"/>
      <c r="O2506" s="27"/>
      <c r="P2506" s="27"/>
      <c r="Q2506" s="27"/>
      <c r="R2506" s="27"/>
      <c r="S2506" s="27"/>
      <c r="T2506" s="27"/>
      <c r="U2506" s="27"/>
      <c r="V2506" s="27"/>
      <c r="W2506" s="27"/>
      <c r="X2506" s="27"/>
      <c r="Y2506" s="27"/>
    </row>
    <row r="2507">
      <c r="A2507" s="32"/>
      <c r="B2507" s="32"/>
      <c r="C2507" s="32"/>
      <c r="D2507" s="32"/>
      <c r="E2507" s="32"/>
      <c r="F2507" s="32"/>
      <c r="G2507" s="32"/>
      <c r="H2507" s="28"/>
      <c r="I2507" s="32"/>
      <c r="J2507" s="33"/>
      <c r="K2507" s="28"/>
      <c r="L2507" s="27"/>
      <c r="M2507" s="27"/>
      <c r="N2507" s="27"/>
      <c r="O2507" s="27"/>
      <c r="P2507" s="27"/>
      <c r="Q2507" s="27"/>
      <c r="R2507" s="27"/>
      <c r="S2507" s="27"/>
      <c r="T2507" s="27"/>
      <c r="U2507" s="27"/>
      <c r="V2507" s="27"/>
      <c r="W2507" s="27"/>
      <c r="X2507" s="27"/>
      <c r="Y2507" s="27"/>
    </row>
    <row r="2508">
      <c r="A2508" s="32"/>
      <c r="B2508" s="32"/>
      <c r="C2508" s="32"/>
      <c r="D2508" s="32"/>
      <c r="E2508" s="32"/>
      <c r="F2508" s="32"/>
      <c r="G2508" s="32"/>
      <c r="H2508" s="28"/>
      <c r="I2508" s="32"/>
      <c r="J2508" s="33"/>
      <c r="K2508" s="28"/>
      <c r="L2508" s="27"/>
      <c r="M2508" s="27"/>
      <c r="N2508" s="27"/>
      <c r="O2508" s="27"/>
      <c r="P2508" s="27"/>
      <c r="Q2508" s="27"/>
      <c r="R2508" s="27"/>
      <c r="S2508" s="27"/>
      <c r="T2508" s="27"/>
      <c r="U2508" s="27"/>
      <c r="V2508" s="27"/>
      <c r="W2508" s="27"/>
      <c r="X2508" s="27"/>
      <c r="Y2508" s="27"/>
    </row>
    <row r="2509">
      <c r="A2509" s="32"/>
      <c r="B2509" s="32"/>
      <c r="C2509" s="32"/>
      <c r="D2509" s="32"/>
      <c r="E2509" s="32"/>
      <c r="F2509" s="32"/>
      <c r="G2509" s="32"/>
      <c r="H2509" s="28"/>
      <c r="I2509" s="32"/>
      <c r="J2509" s="33"/>
      <c r="K2509" s="28"/>
      <c r="L2509" s="27"/>
      <c r="M2509" s="27"/>
      <c r="N2509" s="27"/>
      <c r="O2509" s="27"/>
      <c r="P2509" s="27"/>
      <c r="Q2509" s="27"/>
      <c r="R2509" s="27"/>
      <c r="S2509" s="27"/>
      <c r="T2509" s="27"/>
      <c r="U2509" s="27"/>
      <c r="V2509" s="27"/>
      <c r="W2509" s="27"/>
      <c r="X2509" s="27"/>
      <c r="Y2509" s="27"/>
    </row>
    <row r="2510">
      <c r="A2510" s="32"/>
      <c r="B2510" s="32"/>
      <c r="C2510" s="32"/>
      <c r="D2510" s="32"/>
      <c r="E2510" s="32"/>
      <c r="F2510" s="32"/>
      <c r="G2510" s="32"/>
      <c r="H2510" s="28"/>
      <c r="I2510" s="32"/>
      <c r="J2510" s="33"/>
      <c r="K2510" s="28"/>
      <c r="L2510" s="27"/>
      <c r="M2510" s="27"/>
      <c r="N2510" s="27"/>
      <c r="O2510" s="27"/>
      <c r="P2510" s="27"/>
      <c r="Q2510" s="27"/>
      <c r="R2510" s="27"/>
      <c r="S2510" s="27"/>
      <c r="T2510" s="27"/>
      <c r="U2510" s="27"/>
      <c r="V2510" s="27"/>
      <c r="W2510" s="27"/>
      <c r="X2510" s="27"/>
      <c r="Y2510" s="27"/>
    </row>
    <row r="2511">
      <c r="A2511" s="32"/>
      <c r="B2511" s="32"/>
      <c r="C2511" s="32"/>
      <c r="D2511" s="32"/>
      <c r="E2511" s="32"/>
      <c r="F2511" s="32"/>
      <c r="G2511" s="32"/>
      <c r="H2511" s="28"/>
      <c r="I2511" s="32"/>
      <c r="J2511" s="33"/>
      <c r="K2511" s="28"/>
      <c r="L2511" s="27"/>
      <c r="M2511" s="27"/>
      <c r="N2511" s="27"/>
      <c r="O2511" s="27"/>
      <c r="P2511" s="27"/>
      <c r="Q2511" s="27"/>
      <c r="R2511" s="27"/>
      <c r="S2511" s="27"/>
      <c r="T2511" s="27"/>
      <c r="U2511" s="27"/>
      <c r="V2511" s="27"/>
      <c r="W2511" s="27"/>
      <c r="X2511" s="27"/>
      <c r="Y2511" s="27"/>
    </row>
    <row r="2512">
      <c r="A2512" s="32"/>
      <c r="B2512" s="32"/>
      <c r="C2512" s="32"/>
      <c r="D2512" s="32"/>
      <c r="E2512" s="32"/>
      <c r="F2512" s="32"/>
      <c r="G2512" s="32"/>
      <c r="H2512" s="28"/>
      <c r="I2512" s="32"/>
      <c r="J2512" s="33"/>
      <c r="K2512" s="28"/>
      <c r="L2512" s="27"/>
      <c r="M2512" s="27"/>
      <c r="N2512" s="27"/>
      <c r="O2512" s="27"/>
      <c r="P2512" s="27"/>
      <c r="Q2512" s="27"/>
      <c r="R2512" s="27"/>
      <c r="S2512" s="27"/>
      <c r="T2512" s="27"/>
      <c r="U2512" s="27"/>
      <c r="V2512" s="27"/>
      <c r="W2512" s="27"/>
      <c r="X2512" s="27"/>
      <c r="Y2512" s="27"/>
    </row>
    <row r="2513">
      <c r="A2513" s="32"/>
      <c r="B2513" s="32"/>
      <c r="C2513" s="32"/>
      <c r="D2513" s="32"/>
      <c r="E2513" s="32"/>
      <c r="F2513" s="32"/>
      <c r="G2513" s="32"/>
      <c r="H2513" s="28"/>
      <c r="I2513" s="32"/>
      <c r="J2513" s="33"/>
      <c r="K2513" s="28"/>
      <c r="L2513" s="27"/>
      <c r="M2513" s="27"/>
      <c r="N2513" s="27"/>
      <c r="O2513" s="27"/>
      <c r="P2513" s="27"/>
      <c r="Q2513" s="27"/>
      <c r="R2513" s="27"/>
      <c r="S2513" s="27"/>
      <c r="T2513" s="27"/>
      <c r="U2513" s="27"/>
      <c r="V2513" s="27"/>
      <c r="W2513" s="27"/>
      <c r="X2513" s="27"/>
      <c r="Y2513" s="27"/>
    </row>
    <row r="2514">
      <c r="A2514" s="32"/>
      <c r="B2514" s="32"/>
      <c r="C2514" s="32"/>
      <c r="D2514" s="32"/>
      <c r="E2514" s="32"/>
      <c r="F2514" s="32"/>
      <c r="G2514" s="32"/>
      <c r="H2514" s="28"/>
      <c r="I2514" s="32"/>
      <c r="J2514" s="33"/>
      <c r="K2514" s="28"/>
      <c r="L2514" s="27"/>
      <c r="M2514" s="27"/>
      <c r="N2514" s="27"/>
      <c r="O2514" s="27"/>
      <c r="P2514" s="27"/>
      <c r="Q2514" s="27"/>
      <c r="R2514" s="27"/>
      <c r="S2514" s="27"/>
      <c r="T2514" s="27"/>
      <c r="U2514" s="27"/>
      <c r="V2514" s="27"/>
      <c r="W2514" s="27"/>
      <c r="X2514" s="27"/>
      <c r="Y2514" s="27"/>
    </row>
    <row r="2515">
      <c r="A2515" s="32"/>
      <c r="B2515" s="32"/>
      <c r="C2515" s="32"/>
      <c r="D2515" s="32"/>
      <c r="E2515" s="32"/>
      <c r="F2515" s="32"/>
      <c r="G2515" s="32"/>
      <c r="H2515" s="28"/>
      <c r="I2515" s="32"/>
      <c r="J2515" s="33"/>
      <c r="K2515" s="28"/>
      <c r="L2515" s="27"/>
      <c r="M2515" s="27"/>
      <c r="N2515" s="27"/>
      <c r="O2515" s="27"/>
      <c r="P2515" s="27"/>
      <c r="Q2515" s="27"/>
      <c r="R2515" s="27"/>
      <c r="S2515" s="27"/>
      <c r="T2515" s="27"/>
      <c r="U2515" s="27"/>
      <c r="V2515" s="27"/>
      <c r="W2515" s="27"/>
      <c r="X2515" s="27"/>
      <c r="Y2515" s="27"/>
    </row>
    <row r="2516">
      <c r="A2516" s="32"/>
      <c r="B2516" s="32"/>
      <c r="C2516" s="32"/>
      <c r="D2516" s="32"/>
      <c r="E2516" s="32"/>
      <c r="F2516" s="32"/>
      <c r="G2516" s="32"/>
      <c r="H2516" s="28"/>
      <c r="I2516" s="32"/>
      <c r="J2516" s="33"/>
      <c r="K2516" s="28"/>
      <c r="L2516" s="27"/>
      <c r="M2516" s="27"/>
      <c r="N2516" s="27"/>
      <c r="O2516" s="27"/>
      <c r="P2516" s="27"/>
      <c r="Q2516" s="27"/>
      <c r="R2516" s="27"/>
      <c r="S2516" s="27"/>
      <c r="T2516" s="27"/>
      <c r="U2516" s="27"/>
      <c r="V2516" s="27"/>
      <c r="W2516" s="27"/>
      <c r="X2516" s="27"/>
      <c r="Y2516" s="27"/>
    </row>
    <row r="2517">
      <c r="A2517" s="32"/>
      <c r="B2517" s="32"/>
      <c r="C2517" s="32"/>
      <c r="D2517" s="32"/>
      <c r="E2517" s="32"/>
      <c r="F2517" s="32"/>
      <c r="G2517" s="32"/>
      <c r="H2517" s="28"/>
      <c r="I2517" s="32"/>
      <c r="J2517" s="33"/>
      <c r="K2517" s="28"/>
      <c r="L2517" s="27"/>
      <c r="M2517" s="27"/>
      <c r="N2517" s="27"/>
      <c r="O2517" s="27"/>
      <c r="P2517" s="27"/>
      <c r="Q2517" s="27"/>
      <c r="R2517" s="27"/>
      <c r="S2517" s="27"/>
      <c r="T2517" s="27"/>
      <c r="U2517" s="27"/>
      <c r="V2517" s="27"/>
      <c r="W2517" s="27"/>
      <c r="X2517" s="27"/>
      <c r="Y2517" s="27"/>
    </row>
    <row r="2518">
      <c r="A2518" s="32"/>
      <c r="B2518" s="32"/>
      <c r="C2518" s="32"/>
      <c r="D2518" s="32"/>
      <c r="E2518" s="32"/>
      <c r="F2518" s="32"/>
      <c r="G2518" s="32"/>
      <c r="H2518" s="28"/>
      <c r="I2518" s="32"/>
      <c r="J2518" s="33"/>
      <c r="K2518" s="28"/>
      <c r="L2518" s="27"/>
      <c r="M2518" s="27"/>
      <c r="N2518" s="27"/>
      <c r="O2518" s="27"/>
      <c r="P2518" s="27"/>
      <c r="Q2518" s="27"/>
      <c r="R2518" s="27"/>
      <c r="S2518" s="27"/>
      <c r="T2518" s="27"/>
      <c r="U2518" s="27"/>
      <c r="V2518" s="27"/>
      <c r="W2518" s="27"/>
      <c r="X2518" s="27"/>
      <c r="Y2518" s="27"/>
    </row>
    <row r="2519">
      <c r="A2519" s="32"/>
      <c r="B2519" s="32"/>
      <c r="C2519" s="32"/>
      <c r="D2519" s="32"/>
      <c r="E2519" s="32"/>
      <c r="F2519" s="32"/>
      <c r="G2519" s="32"/>
      <c r="H2519" s="28"/>
      <c r="I2519" s="32"/>
      <c r="J2519" s="33"/>
      <c r="K2519" s="28"/>
      <c r="L2519" s="27"/>
      <c r="M2519" s="27"/>
      <c r="N2519" s="27"/>
      <c r="O2519" s="27"/>
      <c r="P2519" s="27"/>
      <c r="Q2519" s="27"/>
      <c r="R2519" s="27"/>
      <c r="S2519" s="27"/>
      <c r="T2519" s="27"/>
      <c r="U2519" s="27"/>
      <c r="V2519" s="27"/>
      <c r="W2519" s="27"/>
      <c r="X2519" s="27"/>
      <c r="Y2519" s="27"/>
    </row>
    <row r="2520">
      <c r="A2520" s="32"/>
      <c r="B2520" s="32"/>
      <c r="C2520" s="32"/>
      <c r="D2520" s="32"/>
      <c r="E2520" s="32"/>
      <c r="F2520" s="32"/>
      <c r="G2520" s="32"/>
      <c r="H2520" s="28"/>
      <c r="I2520" s="32"/>
      <c r="J2520" s="33"/>
      <c r="K2520" s="28"/>
      <c r="L2520" s="27"/>
      <c r="M2520" s="27"/>
      <c r="N2520" s="27"/>
      <c r="O2520" s="27"/>
      <c r="P2520" s="27"/>
      <c r="Q2520" s="27"/>
      <c r="R2520" s="27"/>
      <c r="S2520" s="27"/>
      <c r="T2520" s="27"/>
      <c r="U2520" s="27"/>
      <c r="V2520" s="27"/>
      <c r="W2520" s="27"/>
      <c r="X2520" s="27"/>
      <c r="Y2520" s="27"/>
    </row>
    <row r="2521">
      <c r="A2521" s="32"/>
      <c r="B2521" s="32"/>
      <c r="C2521" s="32"/>
      <c r="D2521" s="32"/>
      <c r="E2521" s="32"/>
      <c r="F2521" s="32"/>
      <c r="G2521" s="32"/>
      <c r="H2521" s="28"/>
      <c r="I2521" s="32"/>
      <c r="J2521" s="33"/>
      <c r="K2521" s="28"/>
      <c r="L2521" s="27"/>
      <c r="M2521" s="27"/>
      <c r="N2521" s="27"/>
      <c r="O2521" s="27"/>
      <c r="P2521" s="27"/>
      <c r="Q2521" s="27"/>
      <c r="R2521" s="27"/>
      <c r="S2521" s="27"/>
      <c r="T2521" s="27"/>
      <c r="U2521" s="27"/>
      <c r="V2521" s="27"/>
      <c r="W2521" s="27"/>
      <c r="X2521" s="27"/>
      <c r="Y2521" s="27"/>
    </row>
    <row r="2522">
      <c r="A2522" s="32"/>
      <c r="B2522" s="32"/>
      <c r="C2522" s="32"/>
      <c r="D2522" s="32"/>
      <c r="E2522" s="32"/>
      <c r="F2522" s="32"/>
      <c r="G2522" s="32"/>
      <c r="H2522" s="28"/>
      <c r="I2522" s="32"/>
      <c r="J2522" s="33"/>
      <c r="K2522" s="28"/>
      <c r="L2522" s="27"/>
      <c r="M2522" s="27"/>
      <c r="N2522" s="27"/>
      <c r="O2522" s="27"/>
      <c r="P2522" s="27"/>
      <c r="Q2522" s="27"/>
      <c r="R2522" s="27"/>
      <c r="S2522" s="27"/>
      <c r="T2522" s="27"/>
      <c r="U2522" s="27"/>
      <c r="V2522" s="27"/>
      <c r="W2522" s="27"/>
      <c r="X2522" s="27"/>
      <c r="Y2522" s="27"/>
    </row>
    <row r="2523">
      <c r="A2523" s="32"/>
      <c r="B2523" s="32"/>
      <c r="C2523" s="32"/>
      <c r="D2523" s="32"/>
      <c r="E2523" s="32"/>
      <c r="F2523" s="32"/>
      <c r="G2523" s="32"/>
      <c r="H2523" s="28"/>
      <c r="I2523" s="32"/>
      <c r="J2523" s="33"/>
      <c r="K2523" s="28"/>
      <c r="L2523" s="27"/>
      <c r="M2523" s="27"/>
      <c r="N2523" s="27"/>
      <c r="O2523" s="27"/>
      <c r="P2523" s="27"/>
      <c r="Q2523" s="27"/>
      <c r="R2523" s="27"/>
      <c r="S2523" s="27"/>
      <c r="T2523" s="27"/>
      <c r="U2523" s="27"/>
      <c r="V2523" s="27"/>
      <c r="W2523" s="27"/>
      <c r="X2523" s="27"/>
      <c r="Y2523" s="27"/>
    </row>
    <row r="2524">
      <c r="A2524" s="32"/>
      <c r="B2524" s="32"/>
      <c r="C2524" s="32"/>
      <c r="D2524" s="32"/>
      <c r="E2524" s="32"/>
      <c r="F2524" s="32"/>
      <c r="G2524" s="32"/>
      <c r="H2524" s="28"/>
      <c r="I2524" s="32"/>
      <c r="J2524" s="33"/>
      <c r="K2524" s="28"/>
      <c r="L2524" s="27"/>
      <c r="M2524" s="27"/>
      <c r="N2524" s="27"/>
      <c r="O2524" s="27"/>
      <c r="P2524" s="27"/>
      <c r="Q2524" s="27"/>
      <c r="R2524" s="27"/>
      <c r="S2524" s="27"/>
      <c r="T2524" s="27"/>
      <c r="U2524" s="27"/>
      <c r="V2524" s="27"/>
      <c r="W2524" s="27"/>
      <c r="X2524" s="27"/>
      <c r="Y2524" s="27"/>
    </row>
    <row r="2525">
      <c r="A2525" s="32"/>
      <c r="B2525" s="32"/>
      <c r="C2525" s="32"/>
      <c r="D2525" s="32"/>
      <c r="E2525" s="32"/>
      <c r="F2525" s="32"/>
      <c r="G2525" s="32"/>
      <c r="H2525" s="28"/>
      <c r="I2525" s="32"/>
      <c r="J2525" s="33"/>
      <c r="K2525" s="28"/>
      <c r="L2525" s="27"/>
      <c r="M2525" s="27"/>
      <c r="N2525" s="27"/>
      <c r="O2525" s="27"/>
      <c r="P2525" s="27"/>
      <c r="Q2525" s="27"/>
      <c r="R2525" s="27"/>
      <c r="S2525" s="27"/>
      <c r="T2525" s="27"/>
      <c r="U2525" s="27"/>
      <c r="V2525" s="27"/>
      <c r="W2525" s="27"/>
      <c r="X2525" s="27"/>
      <c r="Y2525" s="27"/>
    </row>
    <row r="2526">
      <c r="A2526" s="32"/>
      <c r="B2526" s="32"/>
      <c r="C2526" s="32"/>
      <c r="D2526" s="32"/>
      <c r="E2526" s="32"/>
      <c r="F2526" s="32"/>
      <c r="G2526" s="32"/>
      <c r="H2526" s="28"/>
      <c r="I2526" s="32"/>
      <c r="J2526" s="33"/>
      <c r="K2526" s="28"/>
      <c r="L2526" s="27"/>
      <c r="M2526" s="27"/>
      <c r="N2526" s="27"/>
      <c r="O2526" s="27"/>
      <c r="P2526" s="27"/>
      <c r="Q2526" s="27"/>
      <c r="R2526" s="27"/>
      <c r="S2526" s="27"/>
      <c r="T2526" s="27"/>
      <c r="U2526" s="27"/>
      <c r="V2526" s="27"/>
      <c r="W2526" s="27"/>
      <c r="X2526" s="27"/>
      <c r="Y2526" s="27"/>
    </row>
    <row r="2527">
      <c r="A2527" s="32"/>
      <c r="B2527" s="32"/>
      <c r="C2527" s="32"/>
      <c r="D2527" s="32"/>
      <c r="E2527" s="32"/>
      <c r="F2527" s="32"/>
      <c r="G2527" s="32"/>
      <c r="H2527" s="28"/>
      <c r="I2527" s="32"/>
      <c r="J2527" s="33"/>
      <c r="K2527" s="28"/>
      <c r="L2527" s="27"/>
      <c r="M2527" s="27"/>
      <c r="N2527" s="27"/>
      <c r="O2527" s="27"/>
      <c r="P2527" s="27"/>
      <c r="Q2527" s="27"/>
      <c r="R2527" s="27"/>
      <c r="S2527" s="27"/>
      <c r="T2527" s="27"/>
      <c r="U2527" s="27"/>
      <c r="V2527" s="27"/>
      <c r="W2527" s="27"/>
      <c r="X2527" s="27"/>
      <c r="Y2527" s="27"/>
    </row>
    <row r="2528">
      <c r="A2528" s="32"/>
      <c r="B2528" s="32"/>
      <c r="C2528" s="32"/>
      <c r="D2528" s="32"/>
      <c r="E2528" s="32"/>
      <c r="F2528" s="32"/>
      <c r="G2528" s="32"/>
      <c r="H2528" s="28"/>
      <c r="I2528" s="32"/>
      <c r="J2528" s="33"/>
      <c r="K2528" s="28"/>
      <c r="L2528" s="27"/>
      <c r="M2528" s="27"/>
      <c r="N2528" s="27"/>
      <c r="O2528" s="27"/>
      <c r="P2528" s="27"/>
      <c r="Q2528" s="27"/>
      <c r="R2528" s="27"/>
      <c r="S2528" s="27"/>
      <c r="T2528" s="27"/>
      <c r="U2528" s="27"/>
      <c r="V2528" s="27"/>
      <c r="W2528" s="27"/>
      <c r="X2528" s="27"/>
      <c r="Y2528" s="27"/>
    </row>
    <row r="2529">
      <c r="A2529" s="32"/>
      <c r="B2529" s="32"/>
      <c r="C2529" s="32"/>
      <c r="D2529" s="32"/>
      <c r="E2529" s="32"/>
      <c r="F2529" s="32"/>
      <c r="G2529" s="32"/>
      <c r="H2529" s="28"/>
      <c r="I2529" s="32"/>
      <c r="J2529" s="33"/>
      <c r="K2529" s="28"/>
      <c r="L2529" s="27"/>
      <c r="M2529" s="27"/>
      <c r="N2529" s="27"/>
      <c r="O2529" s="27"/>
      <c r="P2529" s="27"/>
      <c r="Q2529" s="27"/>
      <c r="R2529" s="27"/>
      <c r="S2529" s="27"/>
      <c r="T2529" s="27"/>
      <c r="U2529" s="27"/>
      <c r="V2529" s="27"/>
      <c r="W2529" s="27"/>
      <c r="X2529" s="27"/>
      <c r="Y2529" s="27"/>
    </row>
    <row r="2530">
      <c r="A2530" s="32"/>
      <c r="B2530" s="32"/>
      <c r="C2530" s="32"/>
      <c r="D2530" s="32"/>
      <c r="E2530" s="32"/>
      <c r="F2530" s="32"/>
      <c r="G2530" s="32"/>
      <c r="H2530" s="28"/>
      <c r="I2530" s="32"/>
      <c r="J2530" s="33"/>
      <c r="K2530" s="28"/>
      <c r="L2530" s="27"/>
      <c r="M2530" s="27"/>
      <c r="N2530" s="27"/>
      <c r="O2530" s="27"/>
      <c r="P2530" s="27"/>
      <c r="Q2530" s="27"/>
      <c r="R2530" s="27"/>
      <c r="S2530" s="27"/>
      <c r="T2530" s="27"/>
      <c r="U2530" s="27"/>
      <c r="V2530" s="27"/>
      <c r="W2530" s="27"/>
      <c r="X2530" s="27"/>
      <c r="Y2530" s="27"/>
    </row>
    <row r="2531">
      <c r="A2531" s="32"/>
      <c r="B2531" s="32"/>
      <c r="C2531" s="32"/>
      <c r="D2531" s="32"/>
      <c r="E2531" s="32"/>
      <c r="F2531" s="32"/>
      <c r="G2531" s="32"/>
      <c r="H2531" s="28"/>
      <c r="I2531" s="32"/>
      <c r="J2531" s="33"/>
      <c r="K2531" s="28"/>
      <c r="L2531" s="27"/>
      <c r="M2531" s="27"/>
      <c r="N2531" s="27"/>
      <c r="O2531" s="27"/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</row>
    <row r="2532">
      <c r="A2532" s="32"/>
      <c r="B2532" s="32"/>
      <c r="C2532" s="32"/>
      <c r="D2532" s="32"/>
      <c r="E2532" s="32"/>
      <c r="F2532" s="32"/>
      <c r="G2532" s="32"/>
      <c r="H2532" s="28"/>
      <c r="I2532" s="32"/>
      <c r="J2532" s="33"/>
      <c r="K2532" s="28"/>
      <c r="L2532" s="27"/>
      <c r="M2532" s="27"/>
      <c r="N2532" s="27"/>
      <c r="O2532" s="27"/>
      <c r="P2532" s="27"/>
      <c r="Q2532" s="27"/>
      <c r="R2532" s="27"/>
      <c r="S2532" s="27"/>
      <c r="T2532" s="27"/>
      <c r="U2532" s="27"/>
      <c r="V2532" s="27"/>
      <c r="W2532" s="27"/>
      <c r="X2532" s="27"/>
      <c r="Y2532" s="27"/>
    </row>
    <row r="2533">
      <c r="A2533" s="32"/>
      <c r="B2533" s="32"/>
      <c r="C2533" s="32"/>
      <c r="D2533" s="32"/>
      <c r="E2533" s="32"/>
      <c r="F2533" s="32"/>
      <c r="G2533" s="32"/>
      <c r="H2533" s="28"/>
      <c r="I2533" s="32"/>
      <c r="J2533" s="33"/>
      <c r="K2533" s="28"/>
      <c r="L2533" s="27"/>
      <c r="M2533" s="27"/>
      <c r="N2533" s="27"/>
      <c r="O2533" s="27"/>
      <c r="P2533" s="27"/>
      <c r="Q2533" s="27"/>
      <c r="R2533" s="27"/>
      <c r="S2533" s="27"/>
      <c r="T2533" s="27"/>
      <c r="U2533" s="27"/>
      <c r="V2533" s="27"/>
      <c r="W2533" s="27"/>
      <c r="X2533" s="27"/>
      <c r="Y2533" s="27"/>
    </row>
    <row r="2534">
      <c r="A2534" s="32"/>
      <c r="B2534" s="32"/>
      <c r="C2534" s="32"/>
      <c r="D2534" s="32"/>
      <c r="E2534" s="32"/>
      <c r="F2534" s="32"/>
      <c r="G2534" s="32"/>
      <c r="H2534" s="28"/>
      <c r="I2534" s="32"/>
      <c r="J2534" s="33"/>
      <c r="K2534" s="28"/>
      <c r="L2534" s="27"/>
      <c r="M2534" s="27"/>
      <c r="N2534" s="27"/>
      <c r="O2534" s="27"/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</row>
    <row r="2535">
      <c r="A2535" s="32"/>
      <c r="B2535" s="32"/>
      <c r="C2535" s="32"/>
      <c r="D2535" s="32"/>
      <c r="E2535" s="32"/>
      <c r="F2535" s="32"/>
      <c r="G2535" s="32"/>
      <c r="H2535" s="28"/>
      <c r="I2535" s="32"/>
      <c r="J2535" s="33"/>
      <c r="K2535" s="28"/>
      <c r="L2535" s="27"/>
      <c r="M2535" s="27"/>
      <c r="N2535" s="27"/>
      <c r="O2535" s="27"/>
      <c r="P2535" s="27"/>
      <c r="Q2535" s="27"/>
      <c r="R2535" s="27"/>
      <c r="S2535" s="27"/>
      <c r="T2535" s="27"/>
      <c r="U2535" s="27"/>
      <c r="V2535" s="27"/>
      <c r="W2535" s="27"/>
      <c r="X2535" s="27"/>
      <c r="Y2535" s="27"/>
    </row>
    <row r="2536">
      <c r="A2536" s="32"/>
      <c r="B2536" s="32"/>
      <c r="C2536" s="32"/>
      <c r="D2536" s="32"/>
      <c r="E2536" s="32"/>
      <c r="F2536" s="32"/>
      <c r="G2536" s="32"/>
      <c r="H2536" s="28"/>
      <c r="I2536" s="32"/>
      <c r="J2536" s="33"/>
      <c r="K2536" s="28"/>
      <c r="L2536" s="27"/>
      <c r="M2536" s="27"/>
      <c r="N2536" s="27"/>
      <c r="O2536" s="27"/>
      <c r="P2536" s="27"/>
      <c r="Q2536" s="27"/>
      <c r="R2536" s="27"/>
      <c r="S2536" s="27"/>
      <c r="T2536" s="27"/>
      <c r="U2536" s="27"/>
      <c r="V2536" s="27"/>
      <c r="W2536" s="27"/>
      <c r="X2536" s="27"/>
      <c r="Y2536" s="27"/>
    </row>
    <row r="2537">
      <c r="A2537" s="32"/>
      <c r="B2537" s="32"/>
      <c r="C2537" s="32"/>
      <c r="D2537" s="32"/>
      <c r="E2537" s="32"/>
      <c r="F2537" s="32"/>
      <c r="G2537" s="32"/>
      <c r="H2537" s="28"/>
      <c r="I2537" s="32"/>
      <c r="J2537" s="33"/>
      <c r="K2537" s="28"/>
      <c r="L2537" s="27"/>
      <c r="M2537" s="27"/>
      <c r="N2537" s="27"/>
      <c r="O2537" s="27"/>
      <c r="P2537" s="27"/>
      <c r="Q2537" s="27"/>
      <c r="R2537" s="27"/>
      <c r="S2537" s="27"/>
      <c r="T2537" s="27"/>
      <c r="U2537" s="27"/>
      <c r="V2537" s="27"/>
      <c r="W2537" s="27"/>
      <c r="X2537" s="27"/>
      <c r="Y2537" s="27"/>
    </row>
    <row r="2538">
      <c r="A2538" s="32"/>
      <c r="B2538" s="32"/>
      <c r="C2538" s="32"/>
      <c r="D2538" s="32"/>
      <c r="E2538" s="32"/>
      <c r="F2538" s="32"/>
      <c r="G2538" s="32"/>
      <c r="H2538" s="28"/>
      <c r="I2538" s="32"/>
      <c r="J2538" s="33"/>
      <c r="K2538" s="28"/>
      <c r="L2538" s="27"/>
      <c r="M2538" s="27"/>
      <c r="N2538" s="27"/>
      <c r="O2538" s="27"/>
      <c r="P2538" s="27"/>
      <c r="Q2538" s="27"/>
      <c r="R2538" s="27"/>
      <c r="S2538" s="27"/>
      <c r="T2538" s="27"/>
      <c r="U2538" s="27"/>
      <c r="V2538" s="27"/>
      <c r="W2538" s="27"/>
      <c r="X2538" s="27"/>
      <c r="Y2538" s="27"/>
    </row>
    <row r="2539">
      <c r="A2539" s="32"/>
      <c r="B2539" s="32"/>
      <c r="C2539" s="32"/>
      <c r="D2539" s="32"/>
      <c r="E2539" s="32"/>
      <c r="F2539" s="32"/>
      <c r="G2539" s="32"/>
      <c r="H2539" s="28"/>
      <c r="I2539" s="32"/>
      <c r="J2539" s="33"/>
      <c r="K2539" s="28"/>
      <c r="L2539" s="27"/>
      <c r="M2539" s="27"/>
      <c r="N2539" s="27"/>
      <c r="O2539" s="27"/>
      <c r="P2539" s="27"/>
      <c r="Q2539" s="27"/>
      <c r="R2539" s="27"/>
      <c r="S2539" s="27"/>
      <c r="T2539" s="27"/>
      <c r="U2539" s="27"/>
      <c r="V2539" s="27"/>
      <c r="W2539" s="27"/>
      <c r="X2539" s="27"/>
      <c r="Y2539" s="27"/>
    </row>
    <row r="2540">
      <c r="A2540" s="32"/>
      <c r="B2540" s="32"/>
      <c r="C2540" s="32"/>
      <c r="D2540" s="32"/>
      <c r="E2540" s="32"/>
      <c r="F2540" s="32"/>
      <c r="G2540" s="32"/>
      <c r="H2540" s="28"/>
      <c r="I2540" s="32"/>
      <c r="J2540" s="33"/>
      <c r="K2540" s="28"/>
      <c r="L2540" s="27"/>
      <c r="M2540" s="27"/>
      <c r="N2540" s="27"/>
      <c r="O2540" s="27"/>
      <c r="P2540" s="27"/>
      <c r="Q2540" s="27"/>
      <c r="R2540" s="27"/>
      <c r="S2540" s="27"/>
      <c r="T2540" s="27"/>
      <c r="U2540" s="27"/>
      <c r="V2540" s="27"/>
      <c r="W2540" s="27"/>
      <c r="X2540" s="27"/>
      <c r="Y2540" s="27"/>
    </row>
    <row r="2541">
      <c r="A2541" s="32"/>
      <c r="B2541" s="32"/>
      <c r="C2541" s="32"/>
      <c r="D2541" s="32"/>
      <c r="E2541" s="32"/>
      <c r="F2541" s="32"/>
      <c r="G2541" s="32"/>
      <c r="H2541" s="28"/>
      <c r="I2541" s="32"/>
      <c r="J2541" s="33"/>
      <c r="K2541" s="28"/>
      <c r="L2541" s="27"/>
      <c r="M2541" s="27"/>
      <c r="N2541" s="27"/>
      <c r="O2541" s="27"/>
      <c r="P2541" s="27"/>
      <c r="Q2541" s="27"/>
      <c r="R2541" s="27"/>
      <c r="S2541" s="27"/>
      <c r="T2541" s="27"/>
      <c r="U2541" s="27"/>
      <c r="V2541" s="27"/>
      <c r="W2541" s="27"/>
      <c r="X2541" s="27"/>
      <c r="Y2541" s="27"/>
    </row>
    <row r="2542">
      <c r="A2542" s="32"/>
      <c r="B2542" s="32"/>
      <c r="C2542" s="32"/>
      <c r="D2542" s="32"/>
      <c r="E2542" s="32"/>
      <c r="F2542" s="32"/>
      <c r="G2542" s="32"/>
      <c r="H2542" s="28"/>
      <c r="I2542" s="32"/>
      <c r="J2542" s="33"/>
      <c r="K2542" s="28"/>
      <c r="L2542" s="27"/>
      <c r="M2542" s="27"/>
      <c r="N2542" s="27"/>
      <c r="O2542" s="27"/>
      <c r="P2542" s="27"/>
      <c r="Q2542" s="27"/>
      <c r="R2542" s="27"/>
      <c r="S2542" s="27"/>
      <c r="T2542" s="27"/>
      <c r="U2542" s="27"/>
      <c r="V2542" s="27"/>
      <c r="W2542" s="27"/>
      <c r="X2542" s="27"/>
      <c r="Y2542" s="27"/>
    </row>
    <row r="2543">
      <c r="A2543" s="32"/>
      <c r="B2543" s="32"/>
      <c r="C2543" s="32"/>
      <c r="D2543" s="32"/>
      <c r="E2543" s="32"/>
      <c r="F2543" s="32"/>
      <c r="G2543" s="32"/>
      <c r="H2543" s="28"/>
      <c r="I2543" s="32"/>
      <c r="J2543" s="33"/>
      <c r="K2543" s="28"/>
      <c r="L2543" s="27"/>
      <c r="M2543" s="27"/>
      <c r="N2543" s="27"/>
      <c r="O2543" s="27"/>
      <c r="P2543" s="27"/>
      <c r="Q2543" s="27"/>
      <c r="R2543" s="27"/>
      <c r="S2543" s="27"/>
      <c r="T2543" s="27"/>
      <c r="U2543" s="27"/>
      <c r="V2543" s="27"/>
      <c r="W2543" s="27"/>
      <c r="X2543" s="27"/>
      <c r="Y2543" s="27"/>
    </row>
    <row r="2544">
      <c r="A2544" s="32"/>
      <c r="B2544" s="32"/>
      <c r="C2544" s="32"/>
      <c r="D2544" s="32"/>
      <c r="E2544" s="32"/>
      <c r="F2544" s="32"/>
      <c r="G2544" s="32"/>
      <c r="H2544" s="28"/>
      <c r="I2544" s="32"/>
      <c r="J2544" s="33"/>
      <c r="K2544" s="28"/>
      <c r="L2544" s="27"/>
      <c r="M2544" s="27"/>
      <c r="N2544" s="27"/>
      <c r="O2544" s="27"/>
      <c r="P2544" s="27"/>
      <c r="Q2544" s="27"/>
      <c r="R2544" s="27"/>
      <c r="S2544" s="27"/>
      <c r="T2544" s="27"/>
      <c r="U2544" s="27"/>
      <c r="V2544" s="27"/>
      <c r="W2544" s="27"/>
      <c r="X2544" s="27"/>
      <c r="Y2544" s="27"/>
    </row>
    <row r="2545">
      <c r="A2545" s="32"/>
      <c r="B2545" s="32"/>
      <c r="C2545" s="32"/>
      <c r="D2545" s="32"/>
      <c r="E2545" s="32"/>
      <c r="F2545" s="32"/>
      <c r="G2545" s="32"/>
      <c r="H2545" s="28"/>
      <c r="I2545" s="32"/>
      <c r="J2545" s="33"/>
      <c r="K2545" s="28"/>
      <c r="L2545" s="27"/>
      <c r="M2545" s="27"/>
      <c r="N2545" s="27"/>
      <c r="O2545" s="27"/>
      <c r="P2545" s="27"/>
      <c r="Q2545" s="27"/>
      <c r="R2545" s="27"/>
      <c r="S2545" s="27"/>
      <c r="T2545" s="27"/>
      <c r="U2545" s="27"/>
      <c r="V2545" s="27"/>
      <c r="W2545" s="27"/>
      <c r="X2545" s="27"/>
      <c r="Y2545" s="27"/>
    </row>
    <row r="2546">
      <c r="A2546" s="32"/>
      <c r="B2546" s="32"/>
      <c r="C2546" s="32"/>
      <c r="D2546" s="32"/>
      <c r="E2546" s="32"/>
      <c r="F2546" s="32"/>
      <c r="G2546" s="32"/>
      <c r="H2546" s="28"/>
      <c r="I2546" s="32"/>
      <c r="J2546" s="33"/>
      <c r="K2546" s="28"/>
      <c r="L2546" s="27"/>
      <c r="M2546" s="27"/>
      <c r="N2546" s="27"/>
      <c r="O2546" s="27"/>
      <c r="P2546" s="27"/>
      <c r="Q2546" s="27"/>
      <c r="R2546" s="27"/>
      <c r="S2546" s="27"/>
      <c r="T2546" s="27"/>
      <c r="U2546" s="27"/>
      <c r="V2546" s="27"/>
      <c r="W2546" s="27"/>
      <c r="X2546" s="27"/>
      <c r="Y2546" s="27"/>
    </row>
    <row r="2547">
      <c r="A2547" s="32"/>
      <c r="B2547" s="32"/>
      <c r="C2547" s="32"/>
      <c r="D2547" s="32"/>
      <c r="E2547" s="32"/>
      <c r="F2547" s="32"/>
      <c r="G2547" s="32"/>
      <c r="H2547" s="28"/>
      <c r="I2547" s="32"/>
      <c r="J2547" s="33"/>
      <c r="K2547" s="28"/>
      <c r="L2547" s="27"/>
      <c r="M2547" s="27"/>
      <c r="N2547" s="27"/>
      <c r="O2547" s="27"/>
      <c r="P2547" s="27"/>
      <c r="Q2547" s="27"/>
      <c r="R2547" s="27"/>
      <c r="S2547" s="27"/>
      <c r="T2547" s="27"/>
      <c r="U2547" s="27"/>
      <c r="V2547" s="27"/>
      <c r="W2547" s="27"/>
      <c r="X2547" s="27"/>
      <c r="Y2547" s="27"/>
    </row>
    <row r="2548">
      <c r="A2548" s="32"/>
      <c r="B2548" s="32"/>
      <c r="C2548" s="32"/>
      <c r="D2548" s="32"/>
      <c r="E2548" s="32"/>
      <c r="F2548" s="32"/>
      <c r="G2548" s="32"/>
      <c r="H2548" s="28"/>
      <c r="I2548" s="32"/>
      <c r="J2548" s="33"/>
      <c r="K2548" s="28"/>
      <c r="L2548" s="27"/>
      <c r="M2548" s="27"/>
      <c r="N2548" s="27"/>
      <c r="O2548" s="27"/>
      <c r="P2548" s="27"/>
      <c r="Q2548" s="27"/>
      <c r="R2548" s="27"/>
      <c r="S2548" s="27"/>
      <c r="T2548" s="27"/>
      <c r="U2548" s="27"/>
      <c r="V2548" s="27"/>
      <c r="W2548" s="27"/>
      <c r="X2548" s="27"/>
      <c r="Y2548" s="27"/>
    </row>
    <row r="2549">
      <c r="A2549" s="32"/>
      <c r="B2549" s="32"/>
      <c r="C2549" s="32"/>
      <c r="D2549" s="32"/>
      <c r="E2549" s="32"/>
      <c r="F2549" s="32"/>
      <c r="G2549" s="32"/>
      <c r="H2549" s="28"/>
      <c r="I2549" s="32"/>
      <c r="J2549" s="33"/>
      <c r="K2549" s="28"/>
      <c r="L2549" s="27"/>
      <c r="M2549" s="27"/>
      <c r="N2549" s="27"/>
      <c r="O2549" s="27"/>
      <c r="P2549" s="27"/>
      <c r="Q2549" s="27"/>
      <c r="R2549" s="27"/>
      <c r="S2549" s="27"/>
      <c r="T2549" s="27"/>
      <c r="U2549" s="27"/>
      <c r="V2549" s="27"/>
      <c r="W2549" s="27"/>
      <c r="X2549" s="27"/>
      <c r="Y2549" s="27"/>
    </row>
    <row r="2550">
      <c r="A2550" s="32"/>
      <c r="B2550" s="32"/>
      <c r="C2550" s="32"/>
      <c r="D2550" s="32"/>
      <c r="E2550" s="32"/>
      <c r="F2550" s="32"/>
      <c r="G2550" s="32"/>
      <c r="H2550" s="28"/>
      <c r="I2550" s="32"/>
      <c r="J2550" s="33"/>
      <c r="K2550" s="28"/>
      <c r="L2550" s="27"/>
      <c r="M2550" s="27"/>
      <c r="N2550" s="27"/>
      <c r="O2550" s="27"/>
      <c r="P2550" s="27"/>
      <c r="Q2550" s="27"/>
      <c r="R2550" s="27"/>
      <c r="S2550" s="27"/>
      <c r="T2550" s="27"/>
      <c r="U2550" s="27"/>
      <c r="V2550" s="27"/>
      <c r="W2550" s="27"/>
      <c r="X2550" s="27"/>
      <c r="Y2550" s="27"/>
    </row>
    <row r="2551">
      <c r="A2551" s="32"/>
      <c r="B2551" s="32"/>
      <c r="C2551" s="32"/>
      <c r="D2551" s="32"/>
      <c r="E2551" s="32"/>
      <c r="F2551" s="32"/>
      <c r="G2551" s="32"/>
      <c r="H2551" s="28"/>
      <c r="I2551" s="32"/>
      <c r="J2551" s="33"/>
      <c r="K2551" s="28"/>
      <c r="L2551" s="27"/>
      <c r="M2551" s="27"/>
      <c r="N2551" s="27"/>
      <c r="O2551" s="27"/>
      <c r="P2551" s="27"/>
      <c r="Q2551" s="27"/>
      <c r="R2551" s="27"/>
      <c r="S2551" s="27"/>
      <c r="T2551" s="27"/>
      <c r="U2551" s="27"/>
      <c r="V2551" s="27"/>
      <c r="W2551" s="27"/>
      <c r="X2551" s="27"/>
      <c r="Y2551" s="27"/>
    </row>
    <row r="2552">
      <c r="A2552" s="32"/>
      <c r="B2552" s="32"/>
      <c r="C2552" s="32"/>
      <c r="D2552" s="32"/>
      <c r="E2552" s="32"/>
      <c r="F2552" s="32"/>
      <c r="G2552" s="32"/>
      <c r="H2552" s="28"/>
      <c r="I2552" s="32"/>
      <c r="J2552" s="33"/>
      <c r="K2552" s="28"/>
      <c r="L2552" s="27"/>
      <c r="M2552" s="27"/>
      <c r="N2552" s="27"/>
      <c r="O2552" s="27"/>
      <c r="P2552" s="27"/>
      <c r="Q2552" s="27"/>
      <c r="R2552" s="27"/>
      <c r="S2552" s="27"/>
      <c r="T2552" s="27"/>
      <c r="U2552" s="27"/>
      <c r="V2552" s="27"/>
      <c r="W2552" s="27"/>
      <c r="X2552" s="27"/>
      <c r="Y2552" s="27"/>
    </row>
    <row r="2553">
      <c r="A2553" s="32"/>
      <c r="B2553" s="32"/>
      <c r="C2553" s="32"/>
      <c r="D2553" s="32"/>
      <c r="E2553" s="32"/>
      <c r="F2553" s="32"/>
      <c r="G2553" s="32"/>
      <c r="H2553" s="28"/>
      <c r="I2553" s="32"/>
      <c r="J2553" s="33"/>
      <c r="K2553" s="28"/>
      <c r="L2553" s="27"/>
      <c r="M2553" s="27"/>
      <c r="N2553" s="27"/>
      <c r="O2553" s="27"/>
      <c r="P2553" s="27"/>
      <c r="Q2553" s="27"/>
      <c r="R2553" s="27"/>
      <c r="S2553" s="27"/>
      <c r="T2553" s="27"/>
      <c r="U2553" s="27"/>
      <c r="V2553" s="27"/>
      <c r="W2553" s="27"/>
      <c r="X2553" s="27"/>
      <c r="Y2553" s="27"/>
    </row>
    <row r="2554">
      <c r="A2554" s="32"/>
      <c r="B2554" s="32"/>
      <c r="C2554" s="32"/>
      <c r="D2554" s="32"/>
      <c r="E2554" s="32"/>
      <c r="F2554" s="32"/>
      <c r="G2554" s="32"/>
      <c r="H2554" s="28"/>
      <c r="I2554" s="32"/>
      <c r="J2554" s="33"/>
      <c r="K2554" s="28"/>
      <c r="L2554" s="27"/>
      <c r="M2554" s="27"/>
      <c r="N2554" s="27"/>
      <c r="O2554" s="27"/>
      <c r="P2554" s="27"/>
      <c r="Q2554" s="27"/>
      <c r="R2554" s="27"/>
      <c r="S2554" s="27"/>
      <c r="T2554" s="27"/>
      <c r="U2554" s="27"/>
      <c r="V2554" s="27"/>
      <c r="W2554" s="27"/>
      <c r="X2554" s="27"/>
      <c r="Y2554" s="27"/>
    </row>
    <row r="2555">
      <c r="A2555" s="32"/>
      <c r="B2555" s="32"/>
      <c r="C2555" s="32"/>
      <c r="D2555" s="32"/>
      <c r="E2555" s="32"/>
      <c r="F2555" s="32"/>
      <c r="G2555" s="32"/>
      <c r="H2555" s="28"/>
      <c r="I2555" s="32"/>
      <c r="J2555" s="33"/>
      <c r="K2555" s="28"/>
      <c r="L2555" s="27"/>
      <c r="M2555" s="27"/>
      <c r="N2555" s="27"/>
      <c r="O2555" s="27"/>
      <c r="P2555" s="27"/>
      <c r="Q2555" s="27"/>
      <c r="R2555" s="27"/>
      <c r="S2555" s="27"/>
      <c r="T2555" s="27"/>
      <c r="U2555" s="27"/>
      <c r="V2555" s="27"/>
      <c r="W2555" s="27"/>
      <c r="X2555" s="27"/>
      <c r="Y2555" s="27"/>
    </row>
    <row r="2556">
      <c r="A2556" s="32"/>
      <c r="B2556" s="32"/>
      <c r="C2556" s="32"/>
      <c r="D2556" s="32"/>
      <c r="E2556" s="32"/>
      <c r="F2556" s="32"/>
      <c r="G2556" s="32"/>
      <c r="H2556" s="28"/>
      <c r="I2556" s="32"/>
      <c r="J2556" s="33"/>
      <c r="K2556" s="28"/>
      <c r="L2556" s="27"/>
      <c r="M2556" s="27"/>
      <c r="N2556" s="27"/>
      <c r="O2556" s="27"/>
      <c r="P2556" s="27"/>
      <c r="Q2556" s="27"/>
      <c r="R2556" s="27"/>
      <c r="S2556" s="27"/>
      <c r="T2556" s="27"/>
      <c r="U2556" s="27"/>
      <c r="V2556" s="27"/>
      <c r="W2556" s="27"/>
      <c r="X2556" s="27"/>
      <c r="Y2556" s="27"/>
    </row>
    <row r="2557">
      <c r="A2557" s="32"/>
      <c r="B2557" s="32"/>
      <c r="C2557" s="32"/>
      <c r="D2557" s="32"/>
      <c r="E2557" s="32"/>
      <c r="F2557" s="32"/>
      <c r="G2557" s="32"/>
      <c r="H2557" s="28"/>
      <c r="I2557" s="32"/>
      <c r="J2557" s="33"/>
      <c r="K2557" s="28"/>
      <c r="L2557" s="27"/>
      <c r="M2557" s="27"/>
      <c r="N2557" s="27"/>
      <c r="O2557" s="27"/>
      <c r="P2557" s="27"/>
      <c r="Q2557" s="27"/>
      <c r="R2557" s="27"/>
      <c r="S2557" s="27"/>
      <c r="T2557" s="27"/>
      <c r="U2557" s="27"/>
      <c r="V2557" s="27"/>
      <c r="W2557" s="27"/>
      <c r="X2557" s="27"/>
      <c r="Y2557" s="27"/>
    </row>
    <row r="2558">
      <c r="A2558" s="32"/>
      <c r="B2558" s="32"/>
      <c r="C2558" s="32"/>
      <c r="D2558" s="32"/>
      <c r="E2558" s="32"/>
      <c r="F2558" s="32"/>
      <c r="G2558" s="32"/>
      <c r="H2558" s="28"/>
      <c r="I2558" s="32"/>
      <c r="J2558" s="33"/>
      <c r="K2558" s="28"/>
      <c r="L2558" s="27"/>
      <c r="M2558" s="27"/>
      <c r="N2558" s="27"/>
      <c r="O2558" s="27"/>
      <c r="P2558" s="27"/>
      <c r="Q2558" s="27"/>
      <c r="R2558" s="27"/>
      <c r="S2558" s="27"/>
      <c r="T2558" s="27"/>
      <c r="U2558" s="27"/>
      <c r="V2558" s="27"/>
      <c r="W2558" s="27"/>
      <c r="X2558" s="27"/>
      <c r="Y2558" s="27"/>
    </row>
    <row r="2559">
      <c r="A2559" s="32"/>
      <c r="B2559" s="32"/>
      <c r="C2559" s="32"/>
      <c r="D2559" s="32"/>
      <c r="E2559" s="32"/>
      <c r="F2559" s="32"/>
      <c r="G2559" s="32"/>
      <c r="H2559" s="28"/>
      <c r="I2559" s="32"/>
      <c r="J2559" s="33"/>
      <c r="K2559" s="28"/>
      <c r="L2559" s="27"/>
      <c r="M2559" s="27"/>
      <c r="N2559" s="27"/>
      <c r="O2559" s="27"/>
      <c r="P2559" s="27"/>
      <c r="Q2559" s="27"/>
      <c r="R2559" s="27"/>
      <c r="S2559" s="27"/>
      <c r="T2559" s="27"/>
      <c r="U2559" s="27"/>
      <c r="V2559" s="27"/>
      <c r="W2559" s="27"/>
      <c r="X2559" s="27"/>
      <c r="Y2559" s="27"/>
    </row>
    <row r="2560">
      <c r="A2560" s="32"/>
      <c r="B2560" s="32"/>
      <c r="C2560" s="32"/>
      <c r="D2560" s="32"/>
      <c r="E2560" s="32"/>
      <c r="F2560" s="32"/>
      <c r="G2560" s="32"/>
      <c r="H2560" s="28"/>
      <c r="I2560" s="32"/>
      <c r="J2560" s="33"/>
      <c r="K2560" s="28"/>
      <c r="L2560" s="27"/>
      <c r="M2560" s="27"/>
      <c r="N2560" s="27"/>
      <c r="O2560" s="27"/>
      <c r="P2560" s="27"/>
      <c r="Q2560" s="27"/>
      <c r="R2560" s="27"/>
      <c r="S2560" s="27"/>
      <c r="T2560" s="27"/>
      <c r="U2560" s="27"/>
      <c r="V2560" s="27"/>
      <c r="W2560" s="27"/>
      <c r="X2560" s="27"/>
      <c r="Y2560" s="27"/>
    </row>
    <row r="2561">
      <c r="A2561" s="32"/>
      <c r="B2561" s="32"/>
      <c r="C2561" s="32"/>
      <c r="D2561" s="32"/>
      <c r="E2561" s="32"/>
      <c r="F2561" s="32"/>
      <c r="G2561" s="32"/>
      <c r="H2561" s="28"/>
      <c r="I2561" s="32"/>
      <c r="J2561" s="33"/>
      <c r="K2561" s="28"/>
      <c r="L2561" s="27"/>
      <c r="M2561" s="27"/>
      <c r="N2561" s="27"/>
      <c r="O2561" s="27"/>
      <c r="P2561" s="27"/>
      <c r="Q2561" s="27"/>
      <c r="R2561" s="27"/>
      <c r="S2561" s="27"/>
      <c r="T2561" s="27"/>
      <c r="U2561" s="27"/>
      <c r="V2561" s="27"/>
      <c r="W2561" s="27"/>
      <c r="X2561" s="27"/>
      <c r="Y2561" s="27"/>
    </row>
    <row r="2562">
      <c r="A2562" s="32"/>
      <c r="B2562" s="32"/>
      <c r="C2562" s="32"/>
      <c r="D2562" s="32"/>
      <c r="E2562" s="32"/>
      <c r="F2562" s="32"/>
      <c r="G2562" s="32"/>
      <c r="H2562" s="28"/>
      <c r="I2562" s="32"/>
      <c r="J2562" s="33"/>
      <c r="K2562" s="28"/>
      <c r="L2562" s="27"/>
      <c r="M2562" s="27"/>
      <c r="N2562" s="27"/>
      <c r="O2562" s="27"/>
      <c r="P2562" s="27"/>
      <c r="Q2562" s="27"/>
      <c r="R2562" s="27"/>
      <c r="S2562" s="27"/>
      <c r="T2562" s="27"/>
      <c r="U2562" s="27"/>
      <c r="V2562" s="27"/>
      <c r="W2562" s="27"/>
      <c r="X2562" s="27"/>
      <c r="Y2562" s="27"/>
    </row>
    <row r="2563">
      <c r="A2563" s="32"/>
      <c r="B2563" s="32"/>
      <c r="C2563" s="32"/>
      <c r="D2563" s="32"/>
      <c r="E2563" s="32"/>
      <c r="F2563" s="32"/>
      <c r="G2563" s="32"/>
      <c r="H2563" s="28"/>
      <c r="I2563" s="32"/>
      <c r="J2563" s="33"/>
      <c r="K2563" s="28"/>
      <c r="L2563" s="27"/>
      <c r="M2563" s="27"/>
      <c r="N2563" s="27"/>
      <c r="O2563" s="27"/>
      <c r="P2563" s="27"/>
      <c r="Q2563" s="27"/>
      <c r="R2563" s="27"/>
      <c r="S2563" s="27"/>
      <c r="T2563" s="27"/>
      <c r="U2563" s="27"/>
      <c r="V2563" s="27"/>
      <c r="W2563" s="27"/>
      <c r="X2563" s="27"/>
      <c r="Y2563" s="27"/>
    </row>
    <row r="2564">
      <c r="A2564" s="32"/>
      <c r="B2564" s="32"/>
      <c r="C2564" s="32"/>
      <c r="D2564" s="32"/>
      <c r="E2564" s="32"/>
      <c r="F2564" s="32"/>
      <c r="G2564" s="32"/>
      <c r="H2564" s="28"/>
      <c r="I2564" s="32"/>
      <c r="J2564" s="33"/>
      <c r="K2564" s="28"/>
      <c r="L2564" s="27"/>
      <c r="M2564" s="27"/>
      <c r="N2564" s="27"/>
      <c r="O2564" s="27"/>
      <c r="P2564" s="27"/>
      <c r="Q2564" s="27"/>
      <c r="R2564" s="27"/>
      <c r="S2564" s="27"/>
      <c r="T2564" s="27"/>
      <c r="U2564" s="27"/>
      <c r="V2564" s="27"/>
      <c r="W2564" s="27"/>
      <c r="X2564" s="27"/>
      <c r="Y2564" s="27"/>
    </row>
    <row r="2565">
      <c r="A2565" s="32"/>
      <c r="B2565" s="32"/>
      <c r="C2565" s="32"/>
      <c r="D2565" s="32"/>
      <c r="E2565" s="32"/>
      <c r="F2565" s="32"/>
      <c r="G2565" s="32"/>
      <c r="H2565" s="28"/>
      <c r="I2565" s="32"/>
      <c r="J2565" s="33"/>
      <c r="K2565" s="28"/>
      <c r="L2565" s="27"/>
      <c r="M2565" s="27"/>
      <c r="N2565" s="27"/>
      <c r="O2565" s="27"/>
      <c r="P2565" s="27"/>
      <c r="Q2565" s="27"/>
      <c r="R2565" s="27"/>
      <c r="S2565" s="27"/>
      <c r="T2565" s="27"/>
      <c r="U2565" s="27"/>
      <c r="V2565" s="27"/>
      <c r="W2565" s="27"/>
      <c r="X2565" s="27"/>
      <c r="Y2565" s="27"/>
    </row>
    <row r="2566">
      <c r="A2566" s="32"/>
      <c r="B2566" s="32"/>
      <c r="C2566" s="32"/>
      <c r="D2566" s="32"/>
      <c r="E2566" s="32"/>
      <c r="F2566" s="32"/>
      <c r="G2566" s="32"/>
      <c r="H2566" s="28"/>
      <c r="I2566" s="32"/>
      <c r="J2566" s="33"/>
      <c r="K2566" s="28"/>
      <c r="L2566" s="27"/>
      <c r="M2566" s="27"/>
      <c r="N2566" s="27"/>
      <c r="O2566" s="27"/>
      <c r="P2566" s="27"/>
      <c r="Q2566" s="27"/>
      <c r="R2566" s="27"/>
      <c r="S2566" s="27"/>
      <c r="T2566" s="27"/>
      <c r="U2566" s="27"/>
      <c r="V2566" s="27"/>
      <c r="W2566" s="27"/>
      <c r="X2566" s="27"/>
      <c r="Y2566" s="27"/>
    </row>
    <row r="2567">
      <c r="A2567" s="32"/>
      <c r="B2567" s="32"/>
      <c r="C2567" s="32"/>
      <c r="D2567" s="32"/>
      <c r="E2567" s="32"/>
      <c r="F2567" s="32"/>
      <c r="G2567" s="32"/>
      <c r="H2567" s="28"/>
      <c r="I2567" s="32"/>
      <c r="J2567" s="33"/>
      <c r="K2567" s="28"/>
      <c r="L2567" s="27"/>
      <c r="M2567" s="27"/>
      <c r="N2567" s="27"/>
      <c r="O2567" s="27"/>
      <c r="P2567" s="27"/>
      <c r="Q2567" s="27"/>
      <c r="R2567" s="27"/>
      <c r="S2567" s="27"/>
      <c r="T2567" s="27"/>
      <c r="U2567" s="27"/>
      <c r="V2567" s="27"/>
      <c r="W2567" s="27"/>
      <c r="X2567" s="27"/>
      <c r="Y2567" s="27"/>
    </row>
    <row r="2568">
      <c r="A2568" s="32"/>
      <c r="B2568" s="32"/>
      <c r="C2568" s="32"/>
      <c r="D2568" s="32"/>
      <c r="E2568" s="32"/>
      <c r="F2568" s="32"/>
      <c r="G2568" s="32"/>
      <c r="H2568" s="28"/>
      <c r="I2568" s="32"/>
      <c r="J2568" s="33"/>
      <c r="K2568" s="28"/>
      <c r="L2568" s="27"/>
      <c r="M2568" s="27"/>
      <c r="N2568" s="27"/>
      <c r="O2568" s="27"/>
      <c r="P2568" s="27"/>
      <c r="Q2568" s="27"/>
      <c r="R2568" s="27"/>
      <c r="S2568" s="27"/>
      <c r="T2568" s="27"/>
      <c r="U2568" s="27"/>
      <c r="V2568" s="27"/>
      <c r="W2568" s="27"/>
      <c r="X2568" s="27"/>
      <c r="Y2568" s="27"/>
    </row>
    <row r="2569">
      <c r="A2569" s="32"/>
      <c r="B2569" s="32"/>
      <c r="C2569" s="32"/>
      <c r="D2569" s="32"/>
      <c r="E2569" s="32"/>
      <c r="F2569" s="32"/>
      <c r="G2569" s="32"/>
      <c r="H2569" s="28"/>
      <c r="I2569" s="32"/>
      <c r="J2569" s="33"/>
      <c r="K2569" s="28"/>
      <c r="L2569" s="27"/>
      <c r="M2569" s="27"/>
      <c r="N2569" s="27"/>
      <c r="O2569" s="27"/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</row>
    <row r="2570">
      <c r="A2570" s="32"/>
      <c r="B2570" s="32"/>
      <c r="C2570" s="32"/>
      <c r="D2570" s="32"/>
      <c r="E2570" s="32"/>
      <c r="F2570" s="32"/>
      <c r="G2570" s="32"/>
      <c r="H2570" s="28"/>
      <c r="I2570" s="32"/>
      <c r="J2570" s="33"/>
      <c r="K2570" s="28"/>
      <c r="L2570" s="27"/>
      <c r="M2570" s="27"/>
      <c r="N2570" s="27"/>
      <c r="O2570" s="27"/>
      <c r="P2570" s="27"/>
      <c r="Q2570" s="27"/>
      <c r="R2570" s="27"/>
      <c r="S2570" s="27"/>
      <c r="T2570" s="27"/>
      <c r="U2570" s="27"/>
      <c r="V2570" s="27"/>
      <c r="W2570" s="27"/>
      <c r="X2570" s="27"/>
      <c r="Y2570" s="27"/>
    </row>
    <row r="2571">
      <c r="A2571" s="32"/>
      <c r="B2571" s="32"/>
      <c r="C2571" s="32"/>
      <c r="D2571" s="32"/>
      <c r="E2571" s="32"/>
      <c r="F2571" s="32"/>
      <c r="G2571" s="32"/>
      <c r="H2571" s="28"/>
      <c r="I2571" s="32"/>
      <c r="J2571" s="33"/>
      <c r="K2571" s="28"/>
      <c r="L2571" s="27"/>
      <c r="M2571" s="27"/>
      <c r="N2571" s="27"/>
      <c r="O2571" s="27"/>
      <c r="P2571" s="27"/>
      <c r="Q2571" s="27"/>
      <c r="R2571" s="27"/>
      <c r="S2571" s="27"/>
      <c r="T2571" s="27"/>
      <c r="U2571" s="27"/>
      <c r="V2571" s="27"/>
      <c r="W2571" s="27"/>
      <c r="X2571" s="27"/>
      <c r="Y2571" s="27"/>
    </row>
    <row r="2572">
      <c r="A2572" s="32"/>
      <c r="B2572" s="32"/>
      <c r="C2572" s="32"/>
      <c r="D2572" s="32"/>
      <c r="E2572" s="32"/>
      <c r="F2572" s="32"/>
      <c r="G2572" s="32"/>
      <c r="H2572" s="28"/>
      <c r="I2572" s="32"/>
      <c r="J2572" s="33"/>
      <c r="K2572" s="28"/>
      <c r="L2572" s="27"/>
      <c r="M2572" s="27"/>
      <c r="N2572" s="27"/>
      <c r="O2572" s="27"/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</row>
    <row r="2573">
      <c r="A2573" s="32"/>
      <c r="B2573" s="32"/>
      <c r="C2573" s="32"/>
      <c r="D2573" s="32"/>
      <c r="E2573" s="32"/>
      <c r="F2573" s="32"/>
      <c r="G2573" s="32"/>
      <c r="H2573" s="28"/>
      <c r="I2573" s="32"/>
      <c r="J2573" s="33"/>
      <c r="K2573" s="28"/>
      <c r="L2573" s="27"/>
      <c r="M2573" s="27"/>
      <c r="N2573" s="27"/>
      <c r="O2573" s="27"/>
      <c r="P2573" s="27"/>
      <c r="Q2573" s="27"/>
      <c r="R2573" s="27"/>
      <c r="S2573" s="27"/>
      <c r="T2573" s="27"/>
      <c r="U2573" s="27"/>
      <c r="V2573" s="27"/>
      <c r="W2573" s="27"/>
      <c r="X2573" s="27"/>
      <c r="Y2573" s="27"/>
    </row>
    <row r="2574">
      <c r="A2574" s="32"/>
      <c r="B2574" s="32"/>
      <c r="C2574" s="32"/>
      <c r="D2574" s="32"/>
      <c r="E2574" s="32"/>
      <c r="F2574" s="32"/>
      <c r="G2574" s="32"/>
      <c r="H2574" s="28"/>
      <c r="I2574" s="32"/>
      <c r="J2574" s="33"/>
      <c r="K2574" s="28"/>
      <c r="L2574" s="27"/>
      <c r="M2574" s="27"/>
      <c r="N2574" s="27"/>
      <c r="O2574" s="27"/>
      <c r="P2574" s="27"/>
      <c r="Q2574" s="27"/>
      <c r="R2574" s="27"/>
      <c r="S2574" s="27"/>
      <c r="T2574" s="27"/>
      <c r="U2574" s="27"/>
      <c r="V2574" s="27"/>
      <c r="W2574" s="27"/>
      <c r="X2574" s="27"/>
      <c r="Y2574" s="27"/>
    </row>
    <row r="2575">
      <c r="A2575" s="32"/>
      <c r="B2575" s="32"/>
      <c r="C2575" s="32"/>
      <c r="D2575" s="32"/>
      <c r="E2575" s="32"/>
      <c r="F2575" s="32"/>
      <c r="G2575" s="32"/>
      <c r="H2575" s="28"/>
      <c r="I2575" s="32"/>
      <c r="J2575" s="33"/>
      <c r="K2575" s="28"/>
      <c r="L2575" s="27"/>
      <c r="M2575" s="27"/>
      <c r="N2575" s="27"/>
      <c r="O2575" s="27"/>
      <c r="P2575" s="27"/>
      <c r="Q2575" s="27"/>
      <c r="R2575" s="27"/>
      <c r="S2575" s="27"/>
      <c r="T2575" s="27"/>
      <c r="U2575" s="27"/>
      <c r="V2575" s="27"/>
      <c r="W2575" s="27"/>
      <c r="X2575" s="27"/>
      <c r="Y2575" s="27"/>
    </row>
    <row r="2576">
      <c r="A2576" s="32"/>
      <c r="B2576" s="32"/>
      <c r="C2576" s="32"/>
      <c r="D2576" s="32"/>
      <c r="E2576" s="32"/>
      <c r="F2576" s="32"/>
      <c r="G2576" s="32"/>
      <c r="H2576" s="28"/>
      <c r="I2576" s="32"/>
      <c r="J2576" s="33"/>
      <c r="K2576" s="28"/>
      <c r="L2576" s="27"/>
      <c r="M2576" s="27"/>
      <c r="N2576" s="27"/>
      <c r="O2576" s="27"/>
      <c r="P2576" s="27"/>
      <c r="Q2576" s="27"/>
      <c r="R2576" s="27"/>
      <c r="S2576" s="27"/>
      <c r="T2576" s="27"/>
      <c r="U2576" s="27"/>
      <c r="V2576" s="27"/>
      <c r="W2576" s="27"/>
      <c r="X2576" s="27"/>
      <c r="Y2576" s="27"/>
    </row>
    <row r="2577">
      <c r="A2577" s="32"/>
      <c r="B2577" s="32"/>
      <c r="C2577" s="32"/>
      <c r="D2577" s="32"/>
      <c r="E2577" s="32"/>
      <c r="F2577" s="32"/>
      <c r="G2577" s="32"/>
      <c r="H2577" s="28"/>
      <c r="I2577" s="32"/>
      <c r="J2577" s="33"/>
      <c r="K2577" s="28"/>
      <c r="L2577" s="27"/>
      <c r="M2577" s="27"/>
      <c r="N2577" s="27"/>
      <c r="O2577" s="27"/>
      <c r="P2577" s="27"/>
      <c r="Q2577" s="27"/>
      <c r="R2577" s="27"/>
      <c r="S2577" s="27"/>
      <c r="T2577" s="27"/>
      <c r="U2577" s="27"/>
      <c r="V2577" s="27"/>
      <c r="W2577" s="27"/>
      <c r="X2577" s="27"/>
      <c r="Y2577" s="27"/>
    </row>
    <row r="2578">
      <c r="A2578" s="32"/>
      <c r="B2578" s="32"/>
      <c r="C2578" s="32"/>
      <c r="D2578" s="32"/>
      <c r="E2578" s="32"/>
      <c r="F2578" s="32"/>
      <c r="G2578" s="32"/>
      <c r="H2578" s="28"/>
      <c r="I2578" s="32"/>
      <c r="J2578" s="33"/>
      <c r="K2578" s="28"/>
      <c r="L2578" s="27"/>
      <c r="M2578" s="27"/>
      <c r="N2578" s="27"/>
      <c r="O2578" s="27"/>
      <c r="P2578" s="27"/>
      <c r="Q2578" s="27"/>
      <c r="R2578" s="27"/>
      <c r="S2578" s="27"/>
      <c r="T2578" s="27"/>
      <c r="U2578" s="27"/>
      <c r="V2578" s="27"/>
      <c r="W2578" s="27"/>
      <c r="X2578" s="27"/>
      <c r="Y2578" s="27"/>
    </row>
    <row r="2579">
      <c r="A2579" s="32"/>
      <c r="B2579" s="32"/>
      <c r="C2579" s="32"/>
      <c r="D2579" s="32"/>
      <c r="E2579" s="32"/>
      <c r="F2579" s="32"/>
      <c r="G2579" s="32"/>
      <c r="H2579" s="28"/>
      <c r="I2579" s="32"/>
      <c r="J2579" s="33"/>
      <c r="K2579" s="28"/>
      <c r="L2579" s="27"/>
      <c r="M2579" s="27"/>
      <c r="N2579" s="27"/>
      <c r="O2579" s="27"/>
      <c r="P2579" s="27"/>
      <c r="Q2579" s="27"/>
      <c r="R2579" s="27"/>
      <c r="S2579" s="27"/>
      <c r="T2579" s="27"/>
      <c r="U2579" s="27"/>
      <c r="V2579" s="27"/>
      <c r="W2579" s="27"/>
      <c r="X2579" s="27"/>
      <c r="Y2579" s="27"/>
    </row>
    <row r="2580">
      <c r="A2580" s="32"/>
      <c r="B2580" s="32"/>
      <c r="C2580" s="32"/>
      <c r="D2580" s="32"/>
      <c r="E2580" s="32"/>
      <c r="F2580" s="32"/>
      <c r="G2580" s="32"/>
      <c r="H2580" s="28"/>
      <c r="I2580" s="32"/>
      <c r="J2580" s="33"/>
      <c r="K2580" s="28"/>
      <c r="L2580" s="27"/>
      <c r="M2580" s="27"/>
      <c r="N2580" s="27"/>
      <c r="O2580" s="27"/>
      <c r="P2580" s="27"/>
      <c r="Q2580" s="27"/>
      <c r="R2580" s="27"/>
      <c r="S2580" s="27"/>
      <c r="T2580" s="27"/>
      <c r="U2580" s="27"/>
      <c r="V2580" s="27"/>
      <c r="W2580" s="27"/>
      <c r="X2580" s="27"/>
      <c r="Y2580" s="27"/>
    </row>
    <row r="2581">
      <c r="A2581" s="32"/>
      <c r="B2581" s="32"/>
      <c r="C2581" s="32"/>
      <c r="D2581" s="32"/>
      <c r="E2581" s="32"/>
      <c r="F2581" s="32"/>
      <c r="G2581" s="32"/>
      <c r="H2581" s="28"/>
      <c r="I2581" s="32"/>
      <c r="J2581" s="33"/>
      <c r="K2581" s="28"/>
      <c r="L2581" s="27"/>
      <c r="M2581" s="27"/>
      <c r="N2581" s="27"/>
      <c r="O2581" s="27"/>
      <c r="P2581" s="27"/>
      <c r="Q2581" s="27"/>
      <c r="R2581" s="27"/>
      <c r="S2581" s="27"/>
      <c r="T2581" s="27"/>
      <c r="U2581" s="27"/>
      <c r="V2581" s="27"/>
      <c r="W2581" s="27"/>
      <c r="X2581" s="27"/>
      <c r="Y2581" s="27"/>
    </row>
    <row r="2582">
      <c r="A2582" s="32"/>
      <c r="B2582" s="32"/>
      <c r="C2582" s="32"/>
      <c r="D2582" s="32"/>
      <c r="E2582" s="32"/>
      <c r="F2582" s="32"/>
      <c r="G2582" s="32"/>
      <c r="H2582" s="28"/>
      <c r="I2582" s="32"/>
      <c r="J2582" s="33"/>
      <c r="K2582" s="28"/>
      <c r="L2582" s="27"/>
      <c r="M2582" s="27"/>
      <c r="N2582" s="27"/>
      <c r="O2582" s="27"/>
      <c r="P2582" s="27"/>
      <c r="Q2582" s="27"/>
      <c r="R2582" s="27"/>
      <c r="S2582" s="27"/>
      <c r="T2582" s="27"/>
      <c r="U2582" s="27"/>
      <c r="V2582" s="27"/>
      <c r="W2582" s="27"/>
      <c r="X2582" s="27"/>
      <c r="Y2582" s="27"/>
    </row>
    <row r="2583">
      <c r="A2583" s="32"/>
      <c r="B2583" s="32"/>
      <c r="C2583" s="32"/>
      <c r="D2583" s="32"/>
      <c r="E2583" s="32"/>
      <c r="F2583" s="32"/>
      <c r="G2583" s="32"/>
      <c r="H2583" s="28"/>
      <c r="I2583" s="32"/>
      <c r="J2583" s="33"/>
      <c r="K2583" s="28"/>
      <c r="L2583" s="27"/>
      <c r="M2583" s="27"/>
      <c r="N2583" s="27"/>
      <c r="O2583" s="27"/>
      <c r="P2583" s="27"/>
      <c r="Q2583" s="27"/>
      <c r="R2583" s="27"/>
      <c r="S2583" s="27"/>
      <c r="T2583" s="27"/>
      <c r="U2583" s="27"/>
      <c r="V2583" s="27"/>
      <c r="W2583" s="27"/>
      <c r="X2583" s="27"/>
      <c r="Y2583" s="27"/>
    </row>
    <row r="2584">
      <c r="A2584" s="32"/>
      <c r="B2584" s="32"/>
      <c r="C2584" s="32"/>
      <c r="D2584" s="32"/>
      <c r="E2584" s="32"/>
      <c r="F2584" s="32"/>
      <c r="G2584" s="32"/>
      <c r="H2584" s="28"/>
      <c r="I2584" s="32"/>
      <c r="J2584" s="33"/>
      <c r="K2584" s="28"/>
      <c r="L2584" s="27"/>
      <c r="M2584" s="27"/>
      <c r="N2584" s="27"/>
      <c r="O2584" s="27"/>
      <c r="P2584" s="27"/>
      <c r="Q2584" s="27"/>
      <c r="R2584" s="27"/>
      <c r="S2584" s="27"/>
      <c r="T2584" s="27"/>
      <c r="U2584" s="27"/>
      <c r="V2584" s="27"/>
      <c r="W2584" s="27"/>
      <c r="X2584" s="27"/>
      <c r="Y2584" s="27"/>
    </row>
    <row r="2585">
      <c r="A2585" s="32"/>
      <c r="B2585" s="32"/>
      <c r="C2585" s="32"/>
      <c r="D2585" s="32"/>
      <c r="E2585" s="32"/>
      <c r="F2585" s="32"/>
      <c r="G2585" s="32"/>
      <c r="H2585" s="28"/>
      <c r="I2585" s="32"/>
      <c r="J2585" s="33"/>
      <c r="K2585" s="28"/>
      <c r="L2585" s="27"/>
      <c r="M2585" s="27"/>
      <c r="N2585" s="27"/>
      <c r="O2585" s="27"/>
      <c r="P2585" s="27"/>
      <c r="Q2585" s="27"/>
      <c r="R2585" s="27"/>
      <c r="S2585" s="27"/>
      <c r="T2585" s="27"/>
      <c r="U2585" s="27"/>
      <c r="V2585" s="27"/>
      <c r="W2585" s="27"/>
      <c r="X2585" s="27"/>
      <c r="Y2585" s="27"/>
    </row>
    <row r="2586">
      <c r="A2586" s="32"/>
      <c r="B2586" s="32"/>
      <c r="C2586" s="32"/>
      <c r="D2586" s="32"/>
      <c r="E2586" s="32"/>
      <c r="F2586" s="32"/>
      <c r="G2586" s="32"/>
      <c r="H2586" s="28"/>
      <c r="I2586" s="32"/>
      <c r="J2586" s="33"/>
      <c r="K2586" s="28"/>
      <c r="L2586" s="27"/>
      <c r="M2586" s="27"/>
      <c r="N2586" s="27"/>
      <c r="O2586" s="27"/>
      <c r="P2586" s="27"/>
      <c r="Q2586" s="27"/>
      <c r="R2586" s="27"/>
      <c r="S2586" s="27"/>
      <c r="T2586" s="27"/>
      <c r="U2586" s="27"/>
      <c r="V2586" s="27"/>
      <c r="W2586" s="27"/>
      <c r="X2586" s="27"/>
      <c r="Y2586" s="27"/>
    </row>
    <row r="2587">
      <c r="A2587" s="32"/>
      <c r="B2587" s="32"/>
      <c r="C2587" s="32"/>
      <c r="D2587" s="32"/>
      <c r="E2587" s="32"/>
      <c r="F2587" s="32"/>
      <c r="G2587" s="32"/>
      <c r="H2587" s="28"/>
      <c r="I2587" s="32"/>
      <c r="J2587" s="33"/>
      <c r="K2587" s="28"/>
      <c r="L2587" s="27"/>
      <c r="M2587" s="27"/>
      <c r="N2587" s="27"/>
      <c r="O2587" s="27"/>
      <c r="P2587" s="27"/>
      <c r="Q2587" s="27"/>
      <c r="R2587" s="27"/>
      <c r="S2587" s="27"/>
      <c r="T2587" s="27"/>
      <c r="U2587" s="27"/>
      <c r="V2587" s="27"/>
      <c r="W2587" s="27"/>
      <c r="X2587" s="27"/>
      <c r="Y2587" s="27"/>
    </row>
    <row r="2588">
      <c r="A2588" s="32"/>
      <c r="B2588" s="32"/>
      <c r="C2588" s="32"/>
      <c r="D2588" s="32"/>
      <c r="E2588" s="32"/>
      <c r="F2588" s="32"/>
      <c r="G2588" s="32"/>
      <c r="H2588" s="28"/>
      <c r="I2588" s="32"/>
      <c r="J2588" s="33"/>
      <c r="K2588" s="28"/>
      <c r="L2588" s="27"/>
      <c r="M2588" s="27"/>
      <c r="N2588" s="27"/>
      <c r="O2588" s="27"/>
      <c r="P2588" s="27"/>
      <c r="Q2588" s="27"/>
      <c r="R2588" s="27"/>
      <c r="S2588" s="27"/>
      <c r="T2588" s="27"/>
      <c r="U2588" s="27"/>
      <c r="V2588" s="27"/>
      <c r="W2588" s="27"/>
      <c r="X2588" s="27"/>
      <c r="Y2588" s="27"/>
    </row>
    <row r="2589">
      <c r="A2589" s="32"/>
      <c r="B2589" s="32"/>
      <c r="C2589" s="32"/>
      <c r="D2589" s="32"/>
      <c r="E2589" s="32"/>
      <c r="F2589" s="32"/>
      <c r="G2589" s="32"/>
      <c r="H2589" s="28"/>
      <c r="I2589" s="32"/>
      <c r="J2589" s="33"/>
      <c r="K2589" s="28"/>
      <c r="L2589" s="27"/>
      <c r="M2589" s="27"/>
      <c r="N2589" s="27"/>
      <c r="O2589" s="27"/>
      <c r="P2589" s="27"/>
      <c r="Q2589" s="27"/>
      <c r="R2589" s="27"/>
      <c r="S2589" s="27"/>
      <c r="T2589" s="27"/>
      <c r="U2589" s="27"/>
      <c r="V2589" s="27"/>
      <c r="W2589" s="27"/>
      <c r="X2589" s="27"/>
      <c r="Y2589" s="27"/>
    </row>
    <row r="2590">
      <c r="A2590" s="32"/>
      <c r="B2590" s="32"/>
      <c r="C2590" s="32"/>
      <c r="D2590" s="32"/>
      <c r="E2590" s="32"/>
      <c r="F2590" s="32"/>
      <c r="G2590" s="32"/>
      <c r="H2590" s="28"/>
      <c r="I2590" s="32"/>
      <c r="J2590" s="33"/>
      <c r="K2590" s="28"/>
      <c r="L2590" s="27"/>
      <c r="M2590" s="27"/>
      <c r="N2590" s="27"/>
      <c r="O2590" s="27"/>
      <c r="P2590" s="27"/>
      <c r="Q2590" s="27"/>
      <c r="R2590" s="27"/>
      <c r="S2590" s="27"/>
      <c r="T2590" s="27"/>
      <c r="U2590" s="27"/>
      <c r="V2590" s="27"/>
      <c r="W2590" s="27"/>
      <c r="X2590" s="27"/>
      <c r="Y2590" s="27"/>
    </row>
    <row r="2591">
      <c r="A2591" s="32"/>
      <c r="B2591" s="32"/>
      <c r="C2591" s="32"/>
      <c r="D2591" s="32"/>
      <c r="E2591" s="32"/>
      <c r="F2591" s="32"/>
      <c r="G2591" s="32"/>
      <c r="H2591" s="28"/>
      <c r="I2591" s="32"/>
      <c r="J2591" s="33"/>
      <c r="K2591" s="28"/>
      <c r="L2591" s="27"/>
      <c r="M2591" s="27"/>
      <c r="N2591" s="27"/>
      <c r="O2591" s="27"/>
      <c r="P2591" s="27"/>
      <c r="Q2591" s="27"/>
      <c r="R2591" s="27"/>
      <c r="S2591" s="27"/>
      <c r="T2591" s="27"/>
      <c r="U2591" s="27"/>
      <c r="V2591" s="27"/>
      <c r="W2591" s="27"/>
      <c r="X2591" s="27"/>
      <c r="Y2591" s="27"/>
    </row>
    <row r="2592">
      <c r="A2592" s="32"/>
      <c r="B2592" s="32"/>
      <c r="C2592" s="32"/>
      <c r="D2592" s="32"/>
      <c r="E2592" s="32"/>
      <c r="F2592" s="32"/>
      <c r="G2592" s="32"/>
      <c r="H2592" s="28"/>
      <c r="I2592" s="32"/>
      <c r="J2592" s="33"/>
      <c r="K2592" s="28"/>
      <c r="L2592" s="27"/>
      <c r="M2592" s="27"/>
      <c r="N2592" s="27"/>
      <c r="O2592" s="27"/>
      <c r="P2592" s="27"/>
      <c r="Q2592" s="27"/>
      <c r="R2592" s="27"/>
      <c r="S2592" s="27"/>
      <c r="T2592" s="27"/>
      <c r="U2592" s="27"/>
      <c r="V2592" s="27"/>
      <c r="W2592" s="27"/>
      <c r="X2592" s="27"/>
      <c r="Y2592" s="27"/>
    </row>
    <row r="2593">
      <c r="A2593" s="32"/>
      <c r="B2593" s="32"/>
      <c r="C2593" s="32"/>
      <c r="D2593" s="32"/>
      <c r="E2593" s="32"/>
      <c r="F2593" s="32"/>
      <c r="G2593" s="32"/>
      <c r="H2593" s="28"/>
      <c r="I2593" s="32"/>
      <c r="J2593" s="33"/>
      <c r="K2593" s="28"/>
      <c r="L2593" s="27"/>
      <c r="M2593" s="27"/>
      <c r="N2593" s="27"/>
      <c r="O2593" s="27"/>
      <c r="P2593" s="27"/>
      <c r="Q2593" s="27"/>
      <c r="R2593" s="27"/>
      <c r="S2593" s="27"/>
      <c r="T2593" s="27"/>
      <c r="U2593" s="27"/>
      <c r="V2593" s="27"/>
      <c r="W2593" s="27"/>
      <c r="X2593" s="27"/>
      <c r="Y2593" s="27"/>
    </row>
    <row r="2594">
      <c r="A2594" s="32"/>
      <c r="B2594" s="32"/>
      <c r="C2594" s="32"/>
      <c r="D2594" s="32"/>
      <c r="E2594" s="32"/>
      <c r="F2594" s="32"/>
      <c r="G2594" s="32"/>
      <c r="H2594" s="28"/>
      <c r="I2594" s="32"/>
      <c r="J2594" s="33"/>
      <c r="K2594" s="28"/>
      <c r="L2594" s="27"/>
      <c r="M2594" s="27"/>
      <c r="N2594" s="27"/>
      <c r="O2594" s="27"/>
      <c r="P2594" s="27"/>
      <c r="Q2594" s="27"/>
      <c r="R2594" s="27"/>
      <c r="S2594" s="27"/>
      <c r="T2594" s="27"/>
      <c r="U2594" s="27"/>
      <c r="V2594" s="27"/>
      <c r="W2594" s="27"/>
      <c r="X2594" s="27"/>
      <c r="Y2594" s="27"/>
    </row>
    <row r="2595">
      <c r="A2595" s="32"/>
      <c r="B2595" s="32"/>
      <c r="C2595" s="32"/>
      <c r="D2595" s="32"/>
      <c r="E2595" s="32"/>
      <c r="F2595" s="32"/>
      <c r="G2595" s="32"/>
      <c r="H2595" s="28"/>
      <c r="I2595" s="32"/>
      <c r="J2595" s="33"/>
      <c r="K2595" s="28"/>
      <c r="L2595" s="27"/>
      <c r="M2595" s="27"/>
      <c r="N2595" s="27"/>
      <c r="O2595" s="27"/>
      <c r="P2595" s="27"/>
      <c r="Q2595" s="27"/>
      <c r="R2595" s="27"/>
      <c r="S2595" s="27"/>
      <c r="T2595" s="27"/>
      <c r="U2595" s="27"/>
      <c r="V2595" s="27"/>
      <c r="W2595" s="27"/>
      <c r="X2595" s="27"/>
      <c r="Y2595" s="27"/>
    </row>
    <row r="2596">
      <c r="A2596" s="32"/>
      <c r="B2596" s="32"/>
      <c r="C2596" s="32"/>
      <c r="D2596" s="32"/>
      <c r="E2596" s="32"/>
      <c r="F2596" s="32"/>
      <c r="G2596" s="32"/>
      <c r="H2596" s="28"/>
      <c r="I2596" s="32"/>
      <c r="J2596" s="33"/>
      <c r="K2596" s="28"/>
      <c r="L2596" s="27"/>
      <c r="M2596" s="27"/>
      <c r="N2596" s="27"/>
      <c r="O2596" s="27"/>
      <c r="P2596" s="27"/>
      <c r="Q2596" s="27"/>
      <c r="R2596" s="27"/>
      <c r="S2596" s="27"/>
      <c r="T2596" s="27"/>
      <c r="U2596" s="27"/>
      <c r="V2596" s="27"/>
      <c r="W2596" s="27"/>
      <c r="X2596" s="27"/>
      <c r="Y2596" s="27"/>
    </row>
    <row r="2597">
      <c r="A2597" s="32"/>
      <c r="B2597" s="32"/>
      <c r="C2597" s="32"/>
      <c r="D2597" s="32"/>
      <c r="E2597" s="32"/>
      <c r="F2597" s="32"/>
      <c r="G2597" s="32"/>
      <c r="H2597" s="28"/>
      <c r="I2597" s="32"/>
      <c r="J2597" s="33"/>
      <c r="K2597" s="28"/>
      <c r="L2597" s="27"/>
      <c r="M2597" s="27"/>
      <c r="N2597" s="27"/>
      <c r="O2597" s="27"/>
      <c r="P2597" s="27"/>
      <c r="Q2597" s="27"/>
      <c r="R2597" s="27"/>
      <c r="S2597" s="27"/>
      <c r="T2597" s="27"/>
      <c r="U2597" s="27"/>
      <c r="V2597" s="27"/>
      <c r="W2597" s="27"/>
      <c r="X2597" s="27"/>
      <c r="Y2597" s="27"/>
    </row>
    <row r="2598">
      <c r="A2598" s="32"/>
      <c r="B2598" s="32"/>
      <c r="C2598" s="32"/>
      <c r="D2598" s="32"/>
      <c r="E2598" s="32"/>
      <c r="F2598" s="32"/>
      <c r="G2598" s="32"/>
      <c r="H2598" s="28"/>
      <c r="I2598" s="32"/>
      <c r="J2598" s="33"/>
      <c r="K2598" s="28"/>
      <c r="L2598" s="27"/>
      <c r="M2598" s="27"/>
      <c r="N2598" s="27"/>
      <c r="O2598" s="27"/>
      <c r="P2598" s="27"/>
      <c r="Q2598" s="27"/>
      <c r="R2598" s="27"/>
      <c r="S2598" s="27"/>
      <c r="T2598" s="27"/>
      <c r="U2598" s="27"/>
      <c r="V2598" s="27"/>
      <c r="W2598" s="27"/>
      <c r="X2598" s="27"/>
      <c r="Y2598" s="27"/>
    </row>
    <row r="2599">
      <c r="A2599" s="32"/>
      <c r="B2599" s="32"/>
      <c r="C2599" s="32"/>
      <c r="D2599" s="32"/>
      <c r="E2599" s="32"/>
      <c r="F2599" s="32"/>
      <c r="G2599" s="32"/>
      <c r="H2599" s="28"/>
      <c r="I2599" s="32"/>
      <c r="J2599" s="33"/>
      <c r="K2599" s="28"/>
      <c r="L2599" s="27"/>
      <c r="M2599" s="27"/>
      <c r="N2599" s="27"/>
      <c r="O2599" s="27"/>
      <c r="P2599" s="27"/>
      <c r="Q2599" s="27"/>
      <c r="R2599" s="27"/>
      <c r="S2599" s="27"/>
      <c r="T2599" s="27"/>
      <c r="U2599" s="27"/>
      <c r="V2599" s="27"/>
      <c r="W2599" s="27"/>
      <c r="X2599" s="27"/>
      <c r="Y2599" s="27"/>
    </row>
    <row r="2600">
      <c r="A2600" s="32"/>
      <c r="B2600" s="32"/>
      <c r="C2600" s="32"/>
      <c r="D2600" s="32"/>
      <c r="E2600" s="32"/>
      <c r="F2600" s="32"/>
      <c r="G2600" s="32"/>
      <c r="H2600" s="28"/>
      <c r="I2600" s="32"/>
      <c r="J2600" s="33"/>
      <c r="K2600" s="28"/>
      <c r="L2600" s="27"/>
      <c r="M2600" s="27"/>
      <c r="N2600" s="27"/>
      <c r="O2600" s="27"/>
      <c r="P2600" s="27"/>
      <c r="Q2600" s="27"/>
      <c r="R2600" s="27"/>
      <c r="S2600" s="27"/>
      <c r="T2600" s="27"/>
      <c r="U2600" s="27"/>
      <c r="V2600" s="27"/>
      <c r="W2600" s="27"/>
      <c r="X2600" s="27"/>
      <c r="Y2600" s="27"/>
    </row>
    <row r="2601">
      <c r="A2601" s="32"/>
      <c r="B2601" s="32"/>
      <c r="C2601" s="32"/>
      <c r="D2601" s="32"/>
      <c r="E2601" s="32"/>
      <c r="F2601" s="32"/>
      <c r="G2601" s="32"/>
      <c r="H2601" s="28"/>
      <c r="I2601" s="32"/>
      <c r="J2601" s="33"/>
      <c r="K2601" s="28"/>
      <c r="L2601" s="27"/>
      <c r="M2601" s="27"/>
      <c r="N2601" s="27"/>
      <c r="O2601" s="27"/>
      <c r="P2601" s="27"/>
      <c r="Q2601" s="27"/>
      <c r="R2601" s="27"/>
      <c r="S2601" s="27"/>
      <c r="T2601" s="27"/>
      <c r="U2601" s="27"/>
      <c r="V2601" s="27"/>
      <c r="W2601" s="27"/>
      <c r="X2601" s="27"/>
      <c r="Y2601" s="27"/>
    </row>
    <row r="2602">
      <c r="A2602" s="32"/>
      <c r="B2602" s="32"/>
      <c r="C2602" s="32"/>
      <c r="D2602" s="32"/>
      <c r="E2602" s="32"/>
      <c r="F2602" s="32"/>
      <c r="G2602" s="32"/>
      <c r="H2602" s="28"/>
      <c r="I2602" s="32"/>
      <c r="J2602" s="33"/>
      <c r="K2602" s="28"/>
      <c r="L2602" s="27"/>
      <c r="M2602" s="27"/>
      <c r="N2602" s="27"/>
      <c r="O2602" s="27"/>
      <c r="P2602" s="27"/>
      <c r="Q2602" s="27"/>
      <c r="R2602" s="27"/>
      <c r="S2602" s="27"/>
      <c r="T2602" s="27"/>
      <c r="U2602" s="27"/>
      <c r="V2602" s="27"/>
      <c r="W2602" s="27"/>
      <c r="X2602" s="27"/>
      <c r="Y2602" s="27"/>
    </row>
    <row r="2603">
      <c r="A2603" s="32"/>
      <c r="B2603" s="32"/>
      <c r="C2603" s="32"/>
      <c r="D2603" s="32"/>
      <c r="E2603" s="32"/>
      <c r="F2603" s="32"/>
      <c r="G2603" s="32"/>
      <c r="H2603" s="28"/>
      <c r="I2603" s="32"/>
      <c r="J2603" s="33"/>
      <c r="K2603" s="28"/>
      <c r="L2603" s="27"/>
      <c r="M2603" s="27"/>
      <c r="N2603" s="27"/>
      <c r="O2603" s="27"/>
      <c r="P2603" s="27"/>
      <c r="Q2603" s="27"/>
      <c r="R2603" s="27"/>
      <c r="S2603" s="27"/>
      <c r="T2603" s="27"/>
      <c r="U2603" s="27"/>
      <c r="V2603" s="27"/>
      <c r="W2603" s="27"/>
      <c r="X2603" s="27"/>
      <c r="Y2603" s="27"/>
    </row>
    <row r="2604">
      <c r="A2604" s="32"/>
      <c r="B2604" s="32"/>
      <c r="C2604" s="32"/>
      <c r="D2604" s="32"/>
      <c r="E2604" s="32"/>
      <c r="F2604" s="32"/>
      <c r="G2604" s="32"/>
      <c r="H2604" s="28"/>
      <c r="I2604" s="32"/>
      <c r="J2604" s="33"/>
      <c r="K2604" s="28"/>
      <c r="L2604" s="27"/>
      <c r="M2604" s="27"/>
      <c r="N2604" s="27"/>
      <c r="O2604" s="27"/>
      <c r="P2604" s="27"/>
      <c r="Q2604" s="27"/>
      <c r="R2604" s="27"/>
      <c r="S2604" s="27"/>
      <c r="T2604" s="27"/>
      <c r="U2604" s="27"/>
      <c r="V2604" s="27"/>
      <c r="W2604" s="27"/>
      <c r="X2604" s="27"/>
      <c r="Y2604" s="27"/>
    </row>
    <row r="2605">
      <c r="A2605" s="32"/>
      <c r="B2605" s="32"/>
      <c r="C2605" s="32"/>
      <c r="D2605" s="32"/>
      <c r="E2605" s="32"/>
      <c r="F2605" s="32"/>
      <c r="G2605" s="32"/>
      <c r="H2605" s="28"/>
      <c r="I2605" s="32"/>
      <c r="J2605" s="33"/>
      <c r="K2605" s="28"/>
      <c r="L2605" s="27"/>
      <c r="M2605" s="27"/>
      <c r="N2605" s="27"/>
      <c r="O2605" s="27"/>
      <c r="P2605" s="27"/>
      <c r="Q2605" s="27"/>
      <c r="R2605" s="27"/>
      <c r="S2605" s="27"/>
      <c r="T2605" s="27"/>
      <c r="U2605" s="27"/>
      <c r="V2605" s="27"/>
      <c r="W2605" s="27"/>
      <c r="X2605" s="27"/>
      <c r="Y2605" s="27"/>
    </row>
    <row r="2606">
      <c r="A2606" s="32"/>
      <c r="B2606" s="32"/>
      <c r="C2606" s="32"/>
      <c r="D2606" s="32"/>
      <c r="E2606" s="32"/>
      <c r="F2606" s="32"/>
      <c r="G2606" s="32"/>
      <c r="H2606" s="28"/>
      <c r="I2606" s="32"/>
      <c r="J2606" s="33"/>
      <c r="K2606" s="28"/>
      <c r="L2606" s="27"/>
      <c r="M2606" s="27"/>
      <c r="N2606" s="27"/>
      <c r="O2606" s="27"/>
      <c r="P2606" s="27"/>
      <c r="Q2606" s="27"/>
      <c r="R2606" s="27"/>
      <c r="S2606" s="27"/>
      <c r="T2606" s="27"/>
      <c r="U2606" s="27"/>
      <c r="V2606" s="27"/>
      <c r="W2606" s="27"/>
      <c r="X2606" s="27"/>
      <c r="Y2606" s="27"/>
    </row>
    <row r="2607">
      <c r="A2607" s="32"/>
      <c r="B2607" s="32"/>
      <c r="C2607" s="32"/>
      <c r="D2607" s="32"/>
      <c r="E2607" s="32"/>
      <c r="F2607" s="32"/>
      <c r="G2607" s="32"/>
      <c r="H2607" s="28"/>
      <c r="I2607" s="32"/>
      <c r="J2607" s="33"/>
      <c r="K2607" s="28"/>
      <c r="L2607" s="27"/>
      <c r="M2607" s="27"/>
      <c r="N2607" s="27"/>
      <c r="O2607" s="27"/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</row>
    <row r="2608">
      <c r="A2608" s="32"/>
      <c r="B2608" s="32"/>
      <c r="C2608" s="32"/>
      <c r="D2608" s="32"/>
      <c r="E2608" s="32"/>
      <c r="F2608" s="32"/>
      <c r="G2608" s="32"/>
      <c r="H2608" s="28"/>
      <c r="I2608" s="32"/>
      <c r="J2608" s="33"/>
      <c r="K2608" s="28"/>
      <c r="L2608" s="27"/>
      <c r="M2608" s="27"/>
      <c r="N2608" s="27"/>
      <c r="O2608" s="27"/>
      <c r="P2608" s="27"/>
      <c r="Q2608" s="27"/>
      <c r="R2608" s="27"/>
      <c r="S2608" s="27"/>
      <c r="T2608" s="27"/>
      <c r="U2608" s="27"/>
      <c r="V2608" s="27"/>
      <c r="W2608" s="27"/>
      <c r="X2608" s="27"/>
      <c r="Y2608" s="27"/>
    </row>
    <row r="2609">
      <c r="A2609" s="32"/>
      <c r="B2609" s="32"/>
      <c r="C2609" s="32"/>
      <c r="D2609" s="32"/>
      <c r="E2609" s="32"/>
      <c r="F2609" s="32"/>
      <c r="G2609" s="32"/>
      <c r="H2609" s="28"/>
      <c r="I2609" s="32"/>
      <c r="J2609" s="33"/>
      <c r="K2609" s="28"/>
      <c r="L2609" s="27"/>
      <c r="M2609" s="27"/>
      <c r="N2609" s="27"/>
      <c r="O2609" s="27"/>
      <c r="P2609" s="27"/>
      <c r="Q2609" s="27"/>
      <c r="R2609" s="27"/>
      <c r="S2609" s="27"/>
      <c r="T2609" s="27"/>
      <c r="U2609" s="27"/>
      <c r="V2609" s="27"/>
      <c r="W2609" s="27"/>
      <c r="X2609" s="27"/>
      <c r="Y2609" s="27"/>
    </row>
    <row r="2610">
      <c r="A2610" s="32"/>
      <c r="B2610" s="32"/>
      <c r="C2610" s="32"/>
      <c r="D2610" s="32"/>
      <c r="E2610" s="32"/>
      <c r="F2610" s="32"/>
      <c r="G2610" s="32"/>
      <c r="H2610" s="28"/>
      <c r="I2610" s="32"/>
      <c r="J2610" s="33"/>
      <c r="K2610" s="28"/>
      <c r="L2610" s="27"/>
      <c r="M2610" s="27"/>
      <c r="N2610" s="27"/>
      <c r="O2610" s="27"/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</row>
    <row r="2611">
      <c r="A2611" s="32"/>
      <c r="B2611" s="32"/>
      <c r="C2611" s="32"/>
      <c r="D2611" s="32"/>
      <c r="E2611" s="32"/>
      <c r="F2611" s="32"/>
      <c r="G2611" s="32"/>
      <c r="H2611" s="28"/>
      <c r="I2611" s="32"/>
      <c r="J2611" s="33"/>
      <c r="K2611" s="28"/>
      <c r="L2611" s="27"/>
      <c r="M2611" s="27"/>
      <c r="N2611" s="27"/>
      <c r="O2611" s="27"/>
      <c r="P2611" s="27"/>
      <c r="Q2611" s="27"/>
      <c r="R2611" s="27"/>
      <c r="S2611" s="27"/>
      <c r="T2611" s="27"/>
      <c r="U2611" s="27"/>
      <c r="V2611" s="27"/>
      <c r="W2611" s="27"/>
      <c r="X2611" s="27"/>
      <c r="Y2611" s="27"/>
    </row>
    <row r="2612">
      <c r="A2612" s="32"/>
      <c r="B2612" s="32"/>
      <c r="C2612" s="32"/>
      <c r="D2612" s="32"/>
      <c r="E2612" s="32"/>
      <c r="F2612" s="32"/>
      <c r="G2612" s="32"/>
      <c r="H2612" s="28"/>
      <c r="I2612" s="32"/>
      <c r="J2612" s="33"/>
      <c r="K2612" s="28"/>
      <c r="L2612" s="27"/>
      <c r="M2612" s="27"/>
      <c r="N2612" s="27"/>
      <c r="O2612" s="27"/>
      <c r="P2612" s="27"/>
      <c r="Q2612" s="27"/>
      <c r="R2612" s="27"/>
      <c r="S2612" s="27"/>
      <c r="T2612" s="27"/>
      <c r="U2612" s="27"/>
      <c r="V2612" s="27"/>
      <c r="W2612" s="27"/>
      <c r="X2612" s="27"/>
      <c r="Y2612" s="27"/>
    </row>
    <row r="2613">
      <c r="A2613" s="32"/>
      <c r="B2613" s="32"/>
      <c r="C2613" s="32"/>
      <c r="D2613" s="32"/>
      <c r="E2613" s="32"/>
      <c r="F2613" s="32"/>
      <c r="G2613" s="32"/>
      <c r="H2613" s="28"/>
      <c r="I2613" s="32"/>
      <c r="J2613" s="33"/>
      <c r="K2613" s="28"/>
      <c r="L2613" s="27"/>
      <c r="M2613" s="27"/>
      <c r="N2613" s="27"/>
      <c r="O2613" s="27"/>
      <c r="P2613" s="27"/>
      <c r="Q2613" s="27"/>
      <c r="R2613" s="27"/>
      <c r="S2613" s="27"/>
      <c r="T2613" s="27"/>
      <c r="U2613" s="27"/>
      <c r="V2613" s="27"/>
      <c r="W2613" s="27"/>
      <c r="X2613" s="27"/>
      <c r="Y2613" s="27"/>
    </row>
    <row r="2614">
      <c r="A2614" s="32"/>
      <c r="B2614" s="32"/>
      <c r="C2614" s="32"/>
      <c r="D2614" s="32"/>
      <c r="E2614" s="32"/>
      <c r="F2614" s="32"/>
      <c r="G2614" s="32"/>
      <c r="H2614" s="28"/>
      <c r="I2614" s="32"/>
      <c r="J2614" s="33"/>
      <c r="K2614" s="28"/>
      <c r="L2614" s="27"/>
      <c r="M2614" s="27"/>
      <c r="N2614" s="27"/>
      <c r="O2614" s="27"/>
      <c r="P2614" s="27"/>
      <c r="Q2614" s="27"/>
      <c r="R2614" s="27"/>
      <c r="S2614" s="27"/>
      <c r="T2614" s="27"/>
      <c r="U2614" s="27"/>
      <c r="V2614" s="27"/>
      <c r="W2614" s="27"/>
      <c r="X2614" s="27"/>
      <c r="Y2614" s="27"/>
    </row>
    <row r="2615">
      <c r="A2615" s="32"/>
      <c r="B2615" s="32"/>
      <c r="C2615" s="32"/>
      <c r="D2615" s="32"/>
      <c r="E2615" s="32"/>
      <c r="F2615" s="32"/>
      <c r="G2615" s="32"/>
      <c r="H2615" s="28"/>
      <c r="I2615" s="32"/>
      <c r="J2615" s="33"/>
      <c r="K2615" s="28"/>
      <c r="L2615" s="27"/>
      <c r="M2615" s="27"/>
      <c r="N2615" s="27"/>
      <c r="O2615" s="27"/>
      <c r="P2615" s="27"/>
      <c r="Q2615" s="27"/>
      <c r="R2615" s="27"/>
      <c r="S2615" s="27"/>
      <c r="T2615" s="27"/>
      <c r="U2615" s="27"/>
      <c r="V2615" s="27"/>
      <c r="W2615" s="27"/>
      <c r="X2615" s="27"/>
      <c r="Y2615" s="27"/>
    </row>
    <row r="2616">
      <c r="A2616" s="32"/>
      <c r="B2616" s="32"/>
      <c r="C2616" s="32"/>
      <c r="D2616" s="32"/>
      <c r="E2616" s="32"/>
      <c r="F2616" s="32"/>
      <c r="G2616" s="32"/>
      <c r="H2616" s="28"/>
      <c r="I2616" s="32"/>
      <c r="J2616" s="33"/>
      <c r="K2616" s="28"/>
      <c r="L2616" s="27"/>
      <c r="M2616" s="27"/>
      <c r="N2616" s="27"/>
      <c r="O2616" s="27"/>
      <c r="P2616" s="27"/>
      <c r="Q2616" s="27"/>
      <c r="R2616" s="27"/>
      <c r="S2616" s="27"/>
      <c r="T2616" s="27"/>
      <c r="U2616" s="27"/>
      <c r="V2616" s="27"/>
      <c r="W2616" s="27"/>
      <c r="X2616" s="27"/>
      <c r="Y2616" s="27"/>
    </row>
    <row r="2617">
      <c r="A2617" s="32"/>
      <c r="B2617" s="32"/>
      <c r="C2617" s="32"/>
      <c r="D2617" s="32"/>
      <c r="E2617" s="32"/>
      <c r="F2617" s="32"/>
      <c r="G2617" s="32"/>
      <c r="H2617" s="28"/>
      <c r="I2617" s="32"/>
      <c r="J2617" s="33"/>
      <c r="K2617" s="28"/>
      <c r="L2617" s="27"/>
      <c r="M2617" s="27"/>
      <c r="N2617" s="27"/>
      <c r="O2617" s="27"/>
      <c r="P2617" s="27"/>
      <c r="Q2617" s="27"/>
      <c r="R2617" s="27"/>
      <c r="S2617" s="27"/>
      <c r="T2617" s="27"/>
      <c r="U2617" s="27"/>
      <c r="V2617" s="27"/>
      <c r="W2617" s="27"/>
      <c r="X2617" s="27"/>
      <c r="Y2617" s="27"/>
    </row>
    <row r="2618">
      <c r="A2618" s="32"/>
      <c r="B2618" s="32"/>
      <c r="C2618" s="32"/>
      <c r="D2618" s="32"/>
      <c r="E2618" s="32"/>
      <c r="F2618" s="32"/>
      <c r="G2618" s="32"/>
      <c r="H2618" s="28"/>
      <c r="I2618" s="32"/>
      <c r="J2618" s="33"/>
      <c r="K2618" s="28"/>
      <c r="L2618" s="27"/>
      <c r="M2618" s="27"/>
      <c r="N2618" s="27"/>
      <c r="O2618" s="27"/>
      <c r="P2618" s="27"/>
      <c r="Q2618" s="27"/>
      <c r="R2618" s="27"/>
      <c r="S2618" s="27"/>
      <c r="T2618" s="27"/>
      <c r="U2618" s="27"/>
      <c r="V2618" s="27"/>
      <c r="W2618" s="27"/>
      <c r="X2618" s="27"/>
      <c r="Y2618" s="27"/>
    </row>
    <row r="2619">
      <c r="A2619" s="32"/>
      <c r="B2619" s="32"/>
      <c r="C2619" s="32"/>
      <c r="D2619" s="32"/>
      <c r="E2619" s="32"/>
      <c r="F2619" s="32"/>
      <c r="G2619" s="32"/>
      <c r="H2619" s="28"/>
      <c r="I2619" s="32"/>
      <c r="J2619" s="33"/>
      <c r="K2619" s="28"/>
      <c r="L2619" s="27"/>
      <c r="M2619" s="27"/>
      <c r="N2619" s="27"/>
      <c r="O2619" s="27"/>
      <c r="P2619" s="27"/>
      <c r="Q2619" s="27"/>
      <c r="R2619" s="27"/>
      <c r="S2619" s="27"/>
      <c r="T2619" s="27"/>
      <c r="U2619" s="27"/>
      <c r="V2619" s="27"/>
      <c r="W2619" s="27"/>
      <c r="X2619" s="27"/>
      <c r="Y2619" s="27"/>
    </row>
    <row r="2620">
      <c r="A2620" s="32"/>
      <c r="B2620" s="32"/>
      <c r="C2620" s="32"/>
      <c r="D2620" s="32"/>
      <c r="E2620" s="32"/>
      <c r="F2620" s="32"/>
      <c r="G2620" s="32"/>
      <c r="H2620" s="28"/>
      <c r="I2620" s="32"/>
      <c r="J2620" s="33"/>
      <c r="K2620" s="28"/>
      <c r="L2620" s="27"/>
      <c r="M2620" s="27"/>
      <c r="N2620" s="27"/>
      <c r="O2620" s="27"/>
      <c r="P2620" s="27"/>
      <c r="Q2620" s="27"/>
      <c r="R2620" s="27"/>
      <c r="S2620" s="27"/>
      <c r="T2620" s="27"/>
      <c r="U2620" s="27"/>
      <c r="V2620" s="27"/>
      <c r="W2620" s="27"/>
      <c r="X2620" s="27"/>
      <c r="Y2620" s="27"/>
    </row>
    <row r="2621">
      <c r="A2621" s="32"/>
      <c r="B2621" s="32"/>
      <c r="C2621" s="32"/>
      <c r="D2621" s="32"/>
      <c r="E2621" s="32"/>
      <c r="F2621" s="32"/>
      <c r="G2621" s="32"/>
      <c r="H2621" s="28"/>
      <c r="I2621" s="32"/>
      <c r="J2621" s="33"/>
      <c r="K2621" s="28"/>
      <c r="L2621" s="27"/>
      <c r="M2621" s="27"/>
      <c r="N2621" s="27"/>
      <c r="O2621" s="27"/>
      <c r="P2621" s="27"/>
      <c r="Q2621" s="27"/>
      <c r="R2621" s="27"/>
      <c r="S2621" s="27"/>
      <c r="T2621" s="27"/>
      <c r="U2621" s="27"/>
      <c r="V2621" s="27"/>
      <c r="W2621" s="27"/>
      <c r="X2621" s="27"/>
      <c r="Y2621" s="27"/>
    </row>
    <row r="2622">
      <c r="A2622" s="32"/>
      <c r="B2622" s="32"/>
      <c r="C2622" s="32"/>
      <c r="D2622" s="32"/>
      <c r="E2622" s="32"/>
      <c r="F2622" s="32"/>
      <c r="G2622" s="32"/>
      <c r="H2622" s="28"/>
      <c r="I2622" s="32"/>
      <c r="J2622" s="33"/>
      <c r="K2622" s="28"/>
      <c r="L2622" s="27"/>
      <c r="M2622" s="27"/>
      <c r="N2622" s="27"/>
      <c r="O2622" s="27"/>
      <c r="P2622" s="27"/>
      <c r="Q2622" s="27"/>
      <c r="R2622" s="27"/>
      <c r="S2622" s="27"/>
      <c r="T2622" s="27"/>
      <c r="U2622" s="27"/>
      <c r="V2622" s="27"/>
      <c r="W2622" s="27"/>
      <c r="X2622" s="27"/>
      <c r="Y2622" s="27"/>
    </row>
    <row r="2623">
      <c r="A2623" s="32"/>
      <c r="B2623" s="32"/>
      <c r="C2623" s="32"/>
      <c r="D2623" s="32"/>
      <c r="E2623" s="32"/>
      <c r="F2623" s="32"/>
      <c r="G2623" s="32"/>
      <c r="H2623" s="28"/>
      <c r="I2623" s="32"/>
      <c r="J2623" s="33"/>
      <c r="K2623" s="28"/>
      <c r="L2623" s="27"/>
      <c r="M2623" s="27"/>
      <c r="N2623" s="27"/>
      <c r="O2623" s="27"/>
      <c r="P2623" s="27"/>
      <c r="Q2623" s="27"/>
      <c r="R2623" s="27"/>
      <c r="S2623" s="27"/>
      <c r="T2623" s="27"/>
      <c r="U2623" s="27"/>
      <c r="V2623" s="27"/>
      <c r="W2623" s="27"/>
      <c r="X2623" s="27"/>
      <c r="Y2623" s="27"/>
    </row>
    <row r="2624">
      <c r="A2624" s="32"/>
      <c r="B2624" s="32"/>
      <c r="C2624" s="32"/>
      <c r="D2624" s="32"/>
      <c r="E2624" s="32"/>
      <c r="F2624" s="32"/>
      <c r="G2624" s="32"/>
      <c r="H2624" s="28"/>
      <c r="I2624" s="32"/>
      <c r="J2624" s="33"/>
      <c r="K2624" s="28"/>
      <c r="L2624" s="27"/>
      <c r="M2624" s="27"/>
      <c r="N2624" s="27"/>
      <c r="O2624" s="27"/>
      <c r="P2624" s="27"/>
      <c r="Q2624" s="27"/>
      <c r="R2624" s="27"/>
      <c r="S2624" s="27"/>
      <c r="T2624" s="27"/>
      <c r="U2624" s="27"/>
      <c r="V2624" s="27"/>
      <c r="W2624" s="27"/>
      <c r="X2624" s="27"/>
      <c r="Y2624" s="27"/>
    </row>
    <row r="2625">
      <c r="A2625" s="32"/>
      <c r="B2625" s="32"/>
      <c r="C2625" s="32"/>
      <c r="D2625" s="32"/>
      <c r="E2625" s="32"/>
      <c r="F2625" s="32"/>
      <c r="G2625" s="32"/>
      <c r="H2625" s="28"/>
      <c r="I2625" s="32"/>
      <c r="J2625" s="33"/>
      <c r="K2625" s="28"/>
      <c r="L2625" s="27"/>
      <c r="M2625" s="27"/>
      <c r="N2625" s="27"/>
      <c r="O2625" s="27"/>
      <c r="P2625" s="27"/>
      <c r="Q2625" s="27"/>
      <c r="R2625" s="27"/>
      <c r="S2625" s="27"/>
      <c r="T2625" s="27"/>
      <c r="U2625" s="27"/>
      <c r="V2625" s="27"/>
      <c r="W2625" s="27"/>
      <c r="X2625" s="27"/>
      <c r="Y2625" s="27"/>
    </row>
    <row r="2626">
      <c r="A2626" s="32"/>
      <c r="B2626" s="32"/>
      <c r="C2626" s="32"/>
      <c r="D2626" s="32"/>
      <c r="E2626" s="32"/>
      <c r="F2626" s="32"/>
      <c r="G2626" s="32"/>
      <c r="H2626" s="28"/>
      <c r="I2626" s="32"/>
      <c r="J2626" s="33"/>
      <c r="K2626" s="28"/>
      <c r="L2626" s="27"/>
      <c r="M2626" s="27"/>
      <c r="N2626" s="27"/>
      <c r="O2626" s="27"/>
      <c r="P2626" s="27"/>
      <c r="Q2626" s="27"/>
      <c r="R2626" s="27"/>
      <c r="S2626" s="27"/>
      <c r="T2626" s="27"/>
      <c r="U2626" s="27"/>
      <c r="V2626" s="27"/>
      <c r="W2626" s="27"/>
      <c r="X2626" s="27"/>
      <c r="Y2626" s="27"/>
    </row>
    <row r="2627">
      <c r="A2627" s="32"/>
      <c r="B2627" s="32"/>
      <c r="C2627" s="32"/>
      <c r="D2627" s="32"/>
      <c r="E2627" s="32"/>
      <c r="F2627" s="32"/>
      <c r="G2627" s="32"/>
      <c r="H2627" s="28"/>
      <c r="I2627" s="32"/>
      <c r="J2627" s="33"/>
      <c r="K2627" s="28"/>
      <c r="L2627" s="27"/>
      <c r="M2627" s="27"/>
      <c r="N2627" s="27"/>
      <c r="O2627" s="27"/>
      <c r="P2627" s="27"/>
      <c r="Q2627" s="27"/>
      <c r="R2627" s="27"/>
      <c r="S2627" s="27"/>
      <c r="T2627" s="27"/>
      <c r="U2627" s="27"/>
      <c r="V2627" s="27"/>
      <c r="W2627" s="27"/>
      <c r="X2627" s="27"/>
      <c r="Y2627" s="27"/>
    </row>
    <row r="2628">
      <c r="A2628" s="32"/>
      <c r="B2628" s="32"/>
      <c r="C2628" s="32"/>
      <c r="D2628" s="32"/>
      <c r="E2628" s="32"/>
      <c r="F2628" s="32"/>
      <c r="G2628" s="32"/>
      <c r="H2628" s="28"/>
      <c r="I2628" s="32"/>
      <c r="J2628" s="33"/>
      <c r="K2628" s="28"/>
      <c r="L2628" s="27"/>
      <c r="M2628" s="27"/>
      <c r="N2628" s="27"/>
      <c r="O2628" s="27"/>
      <c r="P2628" s="27"/>
      <c r="Q2628" s="27"/>
      <c r="R2628" s="27"/>
      <c r="S2628" s="27"/>
      <c r="T2628" s="27"/>
      <c r="U2628" s="27"/>
      <c r="V2628" s="27"/>
      <c r="W2628" s="27"/>
      <c r="X2628" s="27"/>
      <c r="Y2628" s="27"/>
    </row>
    <row r="2629">
      <c r="A2629" s="32"/>
      <c r="B2629" s="32"/>
      <c r="C2629" s="32"/>
      <c r="D2629" s="32"/>
      <c r="E2629" s="32"/>
      <c r="F2629" s="32"/>
      <c r="G2629" s="32"/>
      <c r="H2629" s="28"/>
      <c r="I2629" s="32"/>
      <c r="J2629" s="33"/>
      <c r="K2629" s="28"/>
      <c r="L2629" s="27"/>
      <c r="M2629" s="27"/>
      <c r="N2629" s="27"/>
      <c r="O2629" s="27"/>
      <c r="P2629" s="27"/>
      <c r="Q2629" s="27"/>
      <c r="R2629" s="27"/>
      <c r="S2629" s="27"/>
      <c r="T2629" s="27"/>
      <c r="U2629" s="27"/>
      <c r="V2629" s="27"/>
      <c r="W2629" s="27"/>
      <c r="X2629" s="27"/>
      <c r="Y2629" s="27"/>
    </row>
    <row r="2630">
      <c r="A2630" s="32"/>
      <c r="B2630" s="32"/>
      <c r="C2630" s="32"/>
      <c r="D2630" s="32"/>
      <c r="E2630" s="32"/>
      <c r="F2630" s="32"/>
      <c r="G2630" s="32"/>
      <c r="H2630" s="28"/>
      <c r="I2630" s="32"/>
      <c r="J2630" s="33"/>
      <c r="K2630" s="28"/>
      <c r="L2630" s="27"/>
      <c r="M2630" s="27"/>
      <c r="N2630" s="27"/>
      <c r="O2630" s="27"/>
      <c r="P2630" s="27"/>
      <c r="Q2630" s="27"/>
      <c r="R2630" s="27"/>
      <c r="S2630" s="27"/>
      <c r="T2630" s="27"/>
      <c r="U2630" s="27"/>
      <c r="V2630" s="27"/>
      <c r="W2630" s="27"/>
      <c r="X2630" s="27"/>
      <c r="Y2630" s="27"/>
    </row>
    <row r="2631">
      <c r="A2631" s="32"/>
      <c r="B2631" s="32"/>
      <c r="C2631" s="32"/>
      <c r="D2631" s="32"/>
      <c r="E2631" s="32"/>
      <c r="F2631" s="32"/>
      <c r="G2631" s="32"/>
      <c r="H2631" s="28"/>
      <c r="I2631" s="32"/>
      <c r="J2631" s="33"/>
      <c r="K2631" s="28"/>
      <c r="L2631" s="27"/>
      <c r="M2631" s="27"/>
      <c r="N2631" s="27"/>
      <c r="O2631" s="27"/>
      <c r="P2631" s="27"/>
      <c r="Q2631" s="27"/>
      <c r="R2631" s="27"/>
      <c r="S2631" s="27"/>
      <c r="T2631" s="27"/>
      <c r="U2631" s="27"/>
      <c r="V2631" s="27"/>
      <c r="W2631" s="27"/>
      <c r="X2631" s="27"/>
      <c r="Y2631" s="27"/>
    </row>
    <row r="2632">
      <c r="A2632" s="32"/>
      <c r="B2632" s="32"/>
      <c r="C2632" s="32"/>
      <c r="D2632" s="32"/>
      <c r="E2632" s="32"/>
      <c r="F2632" s="32"/>
      <c r="G2632" s="32"/>
      <c r="H2632" s="28"/>
      <c r="I2632" s="32"/>
      <c r="J2632" s="33"/>
      <c r="K2632" s="28"/>
      <c r="L2632" s="27"/>
      <c r="M2632" s="27"/>
      <c r="N2632" s="27"/>
      <c r="O2632" s="27"/>
      <c r="P2632" s="27"/>
      <c r="Q2632" s="27"/>
      <c r="R2632" s="27"/>
      <c r="S2632" s="27"/>
      <c r="T2632" s="27"/>
      <c r="U2632" s="27"/>
      <c r="V2632" s="27"/>
      <c r="W2632" s="27"/>
      <c r="X2632" s="27"/>
      <c r="Y2632" s="27"/>
    </row>
    <row r="2633">
      <c r="A2633" s="32"/>
      <c r="B2633" s="32"/>
      <c r="C2633" s="32"/>
      <c r="D2633" s="32"/>
      <c r="E2633" s="32"/>
      <c r="F2633" s="32"/>
      <c r="G2633" s="32"/>
      <c r="H2633" s="28"/>
      <c r="I2633" s="32"/>
      <c r="J2633" s="33"/>
      <c r="K2633" s="28"/>
      <c r="L2633" s="27"/>
      <c r="M2633" s="27"/>
      <c r="N2633" s="27"/>
      <c r="O2633" s="27"/>
      <c r="P2633" s="27"/>
      <c r="Q2633" s="27"/>
      <c r="R2633" s="27"/>
      <c r="S2633" s="27"/>
      <c r="T2633" s="27"/>
      <c r="U2633" s="27"/>
      <c r="V2633" s="27"/>
      <c r="W2633" s="27"/>
      <c r="X2633" s="27"/>
      <c r="Y2633" s="27"/>
    </row>
    <row r="2634">
      <c r="A2634" s="32"/>
      <c r="B2634" s="32"/>
      <c r="C2634" s="32"/>
      <c r="D2634" s="32"/>
      <c r="E2634" s="32"/>
      <c r="F2634" s="32"/>
      <c r="G2634" s="32"/>
      <c r="H2634" s="28"/>
      <c r="I2634" s="32"/>
      <c r="J2634" s="33"/>
      <c r="K2634" s="28"/>
      <c r="L2634" s="27"/>
      <c r="M2634" s="27"/>
      <c r="N2634" s="27"/>
      <c r="O2634" s="27"/>
      <c r="P2634" s="27"/>
      <c r="Q2634" s="27"/>
      <c r="R2634" s="27"/>
      <c r="S2634" s="27"/>
      <c r="T2634" s="27"/>
      <c r="U2634" s="27"/>
      <c r="V2634" s="27"/>
      <c r="W2634" s="27"/>
      <c r="X2634" s="27"/>
      <c r="Y2634" s="27"/>
    </row>
    <row r="2635">
      <c r="A2635" s="32"/>
      <c r="B2635" s="32"/>
      <c r="C2635" s="32"/>
      <c r="D2635" s="32"/>
      <c r="E2635" s="32"/>
      <c r="F2635" s="32"/>
      <c r="G2635" s="32"/>
      <c r="H2635" s="28"/>
      <c r="I2635" s="32"/>
      <c r="J2635" s="33"/>
      <c r="K2635" s="28"/>
      <c r="L2635" s="27"/>
      <c r="M2635" s="27"/>
      <c r="N2635" s="27"/>
      <c r="O2635" s="27"/>
      <c r="P2635" s="27"/>
      <c r="Q2635" s="27"/>
      <c r="R2635" s="27"/>
      <c r="S2635" s="27"/>
      <c r="T2635" s="27"/>
      <c r="U2635" s="27"/>
      <c r="V2635" s="27"/>
      <c r="W2635" s="27"/>
      <c r="X2635" s="27"/>
      <c r="Y2635" s="27"/>
    </row>
    <row r="2636">
      <c r="A2636" s="32"/>
      <c r="B2636" s="32"/>
      <c r="C2636" s="32"/>
      <c r="D2636" s="32"/>
      <c r="E2636" s="32"/>
      <c r="F2636" s="32"/>
      <c r="G2636" s="32"/>
      <c r="H2636" s="28"/>
      <c r="I2636" s="32"/>
      <c r="J2636" s="33"/>
      <c r="K2636" s="28"/>
      <c r="L2636" s="27"/>
      <c r="M2636" s="27"/>
      <c r="N2636" s="27"/>
      <c r="O2636" s="27"/>
      <c r="P2636" s="27"/>
      <c r="Q2636" s="27"/>
      <c r="R2636" s="27"/>
      <c r="S2636" s="27"/>
      <c r="T2636" s="27"/>
      <c r="U2636" s="27"/>
      <c r="V2636" s="27"/>
      <c r="W2636" s="27"/>
      <c r="X2636" s="27"/>
      <c r="Y2636" s="27"/>
    </row>
    <row r="2637">
      <c r="A2637" s="32"/>
      <c r="B2637" s="32"/>
      <c r="C2637" s="32"/>
      <c r="D2637" s="32"/>
      <c r="E2637" s="32"/>
      <c r="F2637" s="32"/>
      <c r="G2637" s="32"/>
      <c r="H2637" s="28"/>
      <c r="I2637" s="32"/>
      <c r="J2637" s="33"/>
      <c r="K2637" s="28"/>
      <c r="L2637" s="27"/>
      <c r="M2637" s="27"/>
      <c r="N2637" s="27"/>
      <c r="O2637" s="27"/>
      <c r="P2637" s="27"/>
      <c r="Q2637" s="27"/>
      <c r="R2637" s="27"/>
      <c r="S2637" s="27"/>
      <c r="T2637" s="27"/>
      <c r="U2637" s="27"/>
      <c r="V2637" s="27"/>
      <c r="W2637" s="27"/>
      <c r="X2637" s="27"/>
      <c r="Y2637" s="27"/>
    </row>
    <row r="2638">
      <c r="A2638" s="32"/>
      <c r="B2638" s="32"/>
      <c r="C2638" s="32"/>
      <c r="D2638" s="32"/>
      <c r="E2638" s="32"/>
      <c r="F2638" s="32"/>
      <c r="G2638" s="32"/>
      <c r="H2638" s="28"/>
      <c r="I2638" s="32"/>
      <c r="J2638" s="33"/>
      <c r="K2638" s="28"/>
      <c r="L2638" s="27"/>
      <c r="M2638" s="27"/>
      <c r="N2638" s="27"/>
      <c r="O2638" s="27"/>
      <c r="P2638" s="27"/>
      <c r="Q2638" s="27"/>
      <c r="R2638" s="27"/>
      <c r="S2638" s="27"/>
      <c r="T2638" s="27"/>
      <c r="U2638" s="27"/>
      <c r="V2638" s="27"/>
      <c r="W2638" s="27"/>
      <c r="X2638" s="27"/>
      <c r="Y2638" s="27"/>
    </row>
    <row r="2639">
      <c r="A2639" s="32"/>
      <c r="B2639" s="32"/>
      <c r="C2639" s="32"/>
      <c r="D2639" s="32"/>
      <c r="E2639" s="32"/>
      <c r="F2639" s="32"/>
      <c r="G2639" s="32"/>
      <c r="H2639" s="28"/>
      <c r="I2639" s="32"/>
      <c r="J2639" s="33"/>
      <c r="K2639" s="28"/>
      <c r="L2639" s="27"/>
      <c r="M2639" s="27"/>
      <c r="N2639" s="27"/>
      <c r="O2639" s="27"/>
      <c r="P2639" s="27"/>
      <c r="Q2639" s="27"/>
      <c r="R2639" s="27"/>
      <c r="S2639" s="27"/>
      <c r="T2639" s="27"/>
      <c r="U2639" s="27"/>
      <c r="V2639" s="27"/>
      <c r="W2639" s="27"/>
      <c r="X2639" s="27"/>
      <c r="Y2639" s="27"/>
    </row>
    <row r="2640">
      <c r="A2640" s="32"/>
      <c r="B2640" s="32"/>
      <c r="C2640" s="32"/>
      <c r="D2640" s="32"/>
      <c r="E2640" s="32"/>
      <c r="F2640" s="32"/>
      <c r="G2640" s="32"/>
      <c r="H2640" s="28"/>
      <c r="I2640" s="32"/>
      <c r="J2640" s="33"/>
      <c r="K2640" s="28"/>
      <c r="L2640" s="27"/>
      <c r="M2640" s="27"/>
      <c r="N2640" s="27"/>
      <c r="O2640" s="27"/>
      <c r="P2640" s="27"/>
      <c r="Q2640" s="27"/>
      <c r="R2640" s="27"/>
      <c r="S2640" s="27"/>
      <c r="T2640" s="27"/>
      <c r="U2640" s="27"/>
      <c r="V2640" s="27"/>
      <c r="W2640" s="27"/>
      <c r="X2640" s="27"/>
      <c r="Y2640" s="27"/>
    </row>
    <row r="2641">
      <c r="A2641" s="32"/>
      <c r="B2641" s="32"/>
      <c r="C2641" s="32"/>
      <c r="D2641" s="32"/>
      <c r="E2641" s="32"/>
      <c r="F2641" s="32"/>
      <c r="G2641" s="32"/>
      <c r="H2641" s="28"/>
      <c r="I2641" s="32"/>
      <c r="J2641" s="33"/>
      <c r="K2641" s="28"/>
      <c r="L2641" s="27"/>
      <c r="M2641" s="27"/>
      <c r="N2641" s="27"/>
      <c r="O2641" s="27"/>
      <c r="P2641" s="27"/>
      <c r="Q2641" s="27"/>
      <c r="R2641" s="27"/>
      <c r="S2641" s="27"/>
      <c r="T2641" s="27"/>
      <c r="U2641" s="27"/>
      <c r="V2641" s="27"/>
      <c r="W2641" s="27"/>
      <c r="X2641" s="27"/>
      <c r="Y2641" s="27"/>
    </row>
    <row r="2642">
      <c r="A2642" s="32"/>
      <c r="B2642" s="32"/>
      <c r="C2642" s="32"/>
      <c r="D2642" s="32"/>
      <c r="E2642" s="32"/>
      <c r="F2642" s="32"/>
      <c r="G2642" s="32"/>
      <c r="H2642" s="28"/>
      <c r="I2642" s="32"/>
      <c r="J2642" s="33"/>
      <c r="K2642" s="28"/>
      <c r="L2642" s="27"/>
      <c r="M2642" s="27"/>
      <c r="N2642" s="27"/>
      <c r="O2642" s="27"/>
      <c r="P2642" s="27"/>
      <c r="Q2642" s="27"/>
      <c r="R2642" s="27"/>
      <c r="S2642" s="27"/>
      <c r="T2642" s="27"/>
      <c r="U2642" s="27"/>
      <c r="V2642" s="27"/>
      <c r="W2642" s="27"/>
      <c r="X2642" s="27"/>
      <c r="Y2642" s="27"/>
    </row>
    <row r="2643">
      <c r="A2643" s="32"/>
      <c r="B2643" s="32"/>
      <c r="C2643" s="32"/>
      <c r="D2643" s="32"/>
      <c r="E2643" s="32"/>
      <c r="F2643" s="32"/>
      <c r="G2643" s="32"/>
      <c r="H2643" s="28"/>
      <c r="I2643" s="32"/>
      <c r="J2643" s="33"/>
      <c r="K2643" s="28"/>
      <c r="L2643" s="27"/>
      <c r="M2643" s="27"/>
      <c r="N2643" s="27"/>
      <c r="O2643" s="27"/>
      <c r="P2643" s="27"/>
      <c r="Q2643" s="27"/>
      <c r="R2643" s="27"/>
      <c r="S2643" s="27"/>
      <c r="T2643" s="27"/>
      <c r="U2643" s="27"/>
      <c r="V2643" s="27"/>
      <c r="W2643" s="27"/>
      <c r="X2643" s="27"/>
      <c r="Y2643" s="27"/>
    </row>
    <row r="2644">
      <c r="A2644" s="32"/>
      <c r="B2644" s="32"/>
      <c r="C2644" s="32"/>
      <c r="D2644" s="32"/>
      <c r="E2644" s="32"/>
      <c r="F2644" s="32"/>
      <c r="G2644" s="32"/>
      <c r="H2644" s="28"/>
      <c r="I2644" s="32"/>
      <c r="J2644" s="33"/>
      <c r="K2644" s="28"/>
      <c r="L2644" s="27"/>
      <c r="M2644" s="27"/>
      <c r="N2644" s="27"/>
      <c r="O2644" s="27"/>
      <c r="P2644" s="27"/>
      <c r="Q2644" s="27"/>
      <c r="R2644" s="27"/>
      <c r="S2644" s="27"/>
      <c r="T2644" s="27"/>
      <c r="U2644" s="27"/>
      <c r="V2644" s="27"/>
      <c r="W2644" s="27"/>
      <c r="X2644" s="27"/>
      <c r="Y2644" s="27"/>
    </row>
    <row r="2645">
      <c r="A2645" s="32"/>
      <c r="B2645" s="32"/>
      <c r="C2645" s="32"/>
      <c r="D2645" s="32"/>
      <c r="E2645" s="32"/>
      <c r="F2645" s="32"/>
      <c r="G2645" s="32"/>
      <c r="H2645" s="28"/>
      <c r="I2645" s="32"/>
      <c r="J2645" s="33"/>
      <c r="K2645" s="28"/>
      <c r="L2645" s="27"/>
      <c r="M2645" s="27"/>
      <c r="N2645" s="27"/>
      <c r="O2645" s="27"/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</row>
    <row r="2646">
      <c r="A2646" s="32"/>
      <c r="B2646" s="32"/>
      <c r="C2646" s="32"/>
      <c r="D2646" s="32"/>
      <c r="E2646" s="32"/>
      <c r="F2646" s="32"/>
      <c r="G2646" s="32"/>
      <c r="H2646" s="28"/>
      <c r="I2646" s="32"/>
      <c r="J2646" s="33"/>
      <c r="K2646" s="28"/>
      <c r="L2646" s="27"/>
      <c r="M2646" s="27"/>
      <c r="N2646" s="27"/>
      <c r="O2646" s="27"/>
      <c r="P2646" s="27"/>
      <c r="Q2646" s="27"/>
      <c r="R2646" s="27"/>
      <c r="S2646" s="27"/>
      <c r="T2646" s="27"/>
      <c r="U2646" s="27"/>
      <c r="V2646" s="27"/>
      <c r="W2646" s="27"/>
      <c r="X2646" s="27"/>
      <c r="Y2646" s="27"/>
    </row>
    <row r="2647">
      <c r="A2647" s="32"/>
      <c r="B2647" s="32"/>
      <c r="C2647" s="32"/>
      <c r="D2647" s="32"/>
      <c r="E2647" s="32"/>
      <c r="F2647" s="32"/>
      <c r="G2647" s="32"/>
      <c r="H2647" s="28"/>
      <c r="I2647" s="32"/>
      <c r="J2647" s="33"/>
      <c r="K2647" s="28"/>
      <c r="L2647" s="27"/>
      <c r="M2647" s="27"/>
      <c r="N2647" s="27"/>
      <c r="O2647" s="27"/>
      <c r="P2647" s="27"/>
      <c r="Q2647" s="27"/>
      <c r="R2647" s="27"/>
      <c r="S2647" s="27"/>
      <c r="T2647" s="27"/>
      <c r="U2647" s="27"/>
      <c r="V2647" s="27"/>
      <c r="W2647" s="27"/>
      <c r="X2647" s="27"/>
      <c r="Y2647" s="27"/>
    </row>
    <row r="2648">
      <c r="A2648" s="32"/>
      <c r="B2648" s="32"/>
      <c r="C2648" s="32"/>
      <c r="D2648" s="32"/>
      <c r="E2648" s="32"/>
      <c r="F2648" s="32"/>
      <c r="G2648" s="32"/>
      <c r="H2648" s="28"/>
      <c r="I2648" s="32"/>
      <c r="J2648" s="33"/>
      <c r="K2648" s="28"/>
      <c r="L2648" s="27"/>
      <c r="M2648" s="27"/>
      <c r="N2648" s="27"/>
      <c r="O2648" s="27"/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</row>
    <row r="2649">
      <c r="A2649" s="32"/>
      <c r="B2649" s="32"/>
      <c r="C2649" s="32"/>
      <c r="D2649" s="32"/>
      <c r="E2649" s="32"/>
      <c r="F2649" s="32"/>
      <c r="G2649" s="32"/>
      <c r="H2649" s="28"/>
      <c r="I2649" s="32"/>
      <c r="J2649" s="33"/>
      <c r="K2649" s="28"/>
      <c r="L2649" s="27"/>
      <c r="M2649" s="27"/>
      <c r="N2649" s="27"/>
      <c r="O2649" s="27"/>
      <c r="P2649" s="27"/>
      <c r="Q2649" s="27"/>
      <c r="R2649" s="27"/>
      <c r="S2649" s="27"/>
      <c r="T2649" s="27"/>
      <c r="U2649" s="27"/>
      <c r="V2649" s="27"/>
      <c r="W2649" s="27"/>
      <c r="X2649" s="27"/>
      <c r="Y2649" s="27"/>
    </row>
    <row r="2650">
      <c r="A2650" s="32"/>
      <c r="B2650" s="32"/>
      <c r="C2650" s="32"/>
      <c r="D2650" s="32"/>
      <c r="E2650" s="32"/>
      <c r="F2650" s="32"/>
      <c r="G2650" s="32"/>
      <c r="H2650" s="28"/>
      <c r="I2650" s="32"/>
      <c r="J2650" s="33"/>
      <c r="K2650" s="28"/>
      <c r="L2650" s="27"/>
      <c r="M2650" s="27"/>
      <c r="N2650" s="27"/>
      <c r="O2650" s="27"/>
      <c r="P2650" s="27"/>
      <c r="Q2650" s="27"/>
      <c r="R2650" s="27"/>
      <c r="S2650" s="27"/>
      <c r="T2650" s="27"/>
      <c r="U2650" s="27"/>
      <c r="V2650" s="27"/>
      <c r="W2650" s="27"/>
      <c r="X2650" s="27"/>
      <c r="Y2650" s="27"/>
    </row>
    <row r="2651">
      <c r="A2651" s="32"/>
      <c r="B2651" s="32"/>
      <c r="C2651" s="32"/>
      <c r="D2651" s="32"/>
      <c r="E2651" s="32"/>
      <c r="F2651" s="32"/>
      <c r="G2651" s="32"/>
      <c r="H2651" s="28"/>
      <c r="I2651" s="32"/>
      <c r="J2651" s="33"/>
      <c r="K2651" s="28"/>
      <c r="L2651" s="27"/>
      <c r="M2651" s="27"/>
      <c r="N2651" s="27"/>
      <c r="O2651" s="27"/>
      <c r="P2651" s="27"/>
      <c r="Q2651" s="27"/>
      <c r="R2651" s="27"/>
      <c r="S2651" s="27"/>
      <c r="T2651" s="27"/>
      <c r="U2651" s="27"/>
      <c r="V2651" s="27"/>
      <c r="W2651" s="27"/>
      <c r="X2651" s="27"/>
      <c r="Y2651" s="27"/>
    </row>
    <row r="2652">
      <c r="A2652" s="32"/>
      <c r="B2652" s="32"/>
      <c r="C2652" s="32"/>
      <c r="D2652" s="32"/>
      <c r="E2652" s="32"/>
      <c r="F2652" s="32"/>
      <c r="G2652" s="32"/>
      <c r="H2652" s="28"/>
      <c r="I2652" s="32"/>
      <c r="J2652" s="33"/>
      <c r="K2652" s="28"/>
      <c r="L2652" s="27"/>
      <c r="M2652" s="27"/>
      <c r="N2652" s="27"/>
      <c r="O2652" s="27"/>
      <c r="P2652" s="27"/>
      <c r="Q2652" s="27"/>
      <c r="R2652" s="27"/>
      <c r="S2652" s="27"/>
      <c r="T2652" s="27"/>
      <c r="U2652" s="27"/>
      <c r="V2652" s="27"/>
      <c r="W2652" s="27"/>
      <c r="X2652" s="27"/>
      <c r="Y2652" s="27"/>
    </row>
    <row r="2653">
      <c r="A2653" s="32"/>
      <c r="B2653" s="32"/>
      <c r="C2653" s="32"/>
      <c r="D2653" s="32"/>
      <c r="E2653" s="32"/>
      <c r="F2653" s="32"/>
      <c r="G2653" s="32"/>
      <c r="H2653" s="28"/>
      <c r="I2653" s="32"/>
      <c r="J2653" s="33"/>
      <c r="K2653" s="28"/>
      <c r="L2653" s="27"/>
      <c r="M2653" s="27"/>
      <c r="N2653" s="27"/>
      <c r="O2653" s="27"/>
      <c r="P2653" s="27"/>
      <c r="Q2653" s="27"/>
      <c r="R2653" s="27"/>
      <c r="S2653" s="27"/>
      <c r="T2653" s="27"/>
      <c r="U2653" s="27"/>
      <c r="V2653" s="27"/>
      <c r="W2653" s="27"/>
      <c r="X2653" s="27"/>
      <c r="Y2653" s="27"/>
    </row>
    <row r="2654">
      <c r="A2654" s="32"/>
      <c r="B2654" s="32"/>
      <c r="C2654" s="32"/>
      <c r="D2654" s="32"/>
      <c r="E2654" s="32"/>
      <c r="F2654" s="32"/>
      <c r="G2654" s="32"/>
      <c r="H2654" s="28"/>
      <c r="I2654" s="32"/>
      <c r="J2654" s="33"/>
      <c r="K2654" s="28"/>
      <c r="L2654" s="27"/>
      <c r="M2654" s="27"/>
      <c r="N2654" s="27"/>
      <c r="O2654" s="27"/>
      <c r="P2654" s="27"/>
      <c r="Q2654" s="27"/>
      <c r="R2654" s="27"/>
      <c r="S2654" s="27"/>
      <c r="T2654" s="27"/>
      <c r="U2654" s="27"/>
      <c r="V2654" s="27"/>
      <c r="W2654" s="27"/>
      <c r="X2654" s="27"/>
      <c r="Y2654" s="27"/>
    </row>
    <row r="2655">
      <c r="A2655" s="32"/>
      <c r="B2655" s="32"/>
      <c r="C2655" s="32"/>
      <c r="D2655" s="32"/>
      <c r="E2655" s="32"/>
      <c r="F2655" s="32"/>
      <c r="G2655" s="32"/>
      <c r="H2655" s="28"/>
      <c r="I2655" s="32"/>
      <c r="J2655" s="33"/>
      <c r="K2655" s="28"/>
      <c r="L2655" s="27"/>
      <c r="M2655" s="27"/>
      <c r="N2655" s="27"/>
      <c r="O2655" s="27"/>
      <c r="P2655" s="27"/>
      <c r="Q2655" s="27"/>
      <c r="R2655" s="27"/>
      <c r="S2655" s="27"/>
      <c r="T2655" s="27"/>
      <c r="U2655" s="27"/>
      <c r="V2655" s="27"/>
      <c r="W2655" s="27"/>
      <c r="X2655" s="27"/>
      <c r="Y2655" s="27"/>
    </row>
    <row r="2656">
      <c r="A2656" s="32"/>
      <c r="B2656" s="32"/>
      <c r="C2656" s="32"/>
      <c r="D2656" s="32"/>
      <c r="E2656" s="32"/>
      <c r="F2656" s="32"/>
      <c r="G2656" s="32"/>
      <c r="H2656" s="28"/>
      <c r="I2656" s="32"/>
      <c r="J2656" s="33"/>
      <c r="K2656" s="28"/>
      <c r="L2656" s="27"/>
      <c r="M2656" s="27"/>
      <c r="N2656" s="27"/>
      <c r="O2656" s="27"/>
      <c r="P2656" s="27"/>
      <c r="Q2656" s="27"/>
      <c r="R2656" s="27"/>
      <c r="S2656" s="27"/>
      <c r="T2656" s="27"/>
      <c r="U2656" s="27"/>
      <c r="V2656" s="27"/>
      <c r="W2656" s="27"/>
      <c r="X2656" s="27"/>
      <c r="Y2656" s="27"/>
    </row>
    <row r="2657">
      <c r="A2657" s="32"/>
      <c r="B2657" s="32"/>
      <c r="C2657" s="32"/>
      <c r="D2657" s="32"/>
      <c r="E2657" s="32"/>
      <c r="F2657" s="32"/>
      <c r="G2657" s="32"/>
      <c r="H2657" s="28"/>
      <c r="I2657" s="32"/>
      <c r="J2657" s="33"/>
      <c r="K2657" s="28"/>
      <c r="L2657" s="27"/>
      <c r="M2657" s="27"/>
      <c r="N2657" s="27"/>
      <c r="O2657" s="27"/>
      <c r="P2657" s="27"/>
      <c r="Q2657" s="27"/>
      <c r="R2657" s="27"/>
      <c r="S2657" s="27"/>
      <c r="T2657" s="27"/>
      <c r="U2657" s="27"/>
      <c r="V2657" s="27"/>
      <c r="W2657" s="27"/>
      <c r="X2657" s="27"/>
      <c r="Y2657" s="27"/>
    </row>
    <row r="2658">
      <c r="A2658" s="32"/>
      <c r="B2658" s="32"/>
      <c r="C2658" s="32"/>
      <c r="D2658" s="32"/>
      <c r="E2658" s="32"/>
      <c r="F2658" s="32"/>
      <c r="G2658" s="32"/>
      <c r="H2658" s="28"/>
      <c r="I2658" s="32"/>
      <c r="J2658" s="33"/>
      <c r="K2658" s="28"/>
      <c r="L2658" s="27"/>
      <c r="M2658" s="27"/>
      <c r="N2658" s="27"/>
      <c r="O2658" s="27"/>
      <c r="P2658" s="27"/>
      <c r="Q2658" s="27"/>
      <c r="R2658" s="27"/>
      <c r="S2658" s="27"/>
      <c r="T2658" s="27"/>
      <c r="U2658" s="27"/>
      <c r="V2658" s="27"/>
      <c r="W2658" s="27"/>
      <c r="X2658" s="27"/>
      <c r="Y2658" s="27"/>
    </row>
    <row r="2659">
      <c r="A2659" s="32"/>
      <c r="B2659" s="32"/>
      <c r="C2659" s="32"/>
      <c r="D2659" s="32"/>
      <c r="E2659" s="32"/>
      <c r="F2659" s="32"/>
      <c r="G2659" s="32"/>
      <c r="H2659" s="28"/>
      <c r="I2659" s="32"/>
      <c r="J2659" s="33"/>
      <c r="K2659" s="28"/>
      <c r="L2659" s="27"/>
      <c r="M2659" s="27"/>
      <c r="N2659" s="27"/>
      <c r="O2659" s="27"/>
      <c r="P2659" s="27"/>
      <c r="Q2659" s="27"/>
      <c r="R2659" s="27"/>
      <c r="S2659" s="27"/>
      <c r="T2659" s="27"/>
      <c r="U2659" s="27"/>
      <c r="V2659" s="27"/>
      <c r="W2659" s="27"/>
      <c r="X2659" s="27"/>
      <c r="Y2659" s="27"/>
    </row>
    <row r="2660">
      <c r="A2660" s="32"/>
      <c r="B2660" s="32"/>
      <c r="C2660" s="32"/>
      <c r="D2660" s="32"/>
      <c r="E2660" s="32"/>
      <c r="F2660" s="32"/>
      <c r="G2660" s="32"/>
      <c r="H2660" s="28"/>
      <c r="I2660" s="32"/>
      <c r="J2660" s="33"/>
      <c r="K2660" s="28"/>
      <c r="L2660" s="27"/>
      <c r="M2660" s="27"/>
      <c r="N2660" s="27"/>
      <c r="O2660" s="27"/>
      <c r="P2660" s="27"/>
      <c r="Q2660" s="27"/>
      <c r="R2660" s="27"/>
      <c r="S2660" s="27"/>
      <c r="T2660" s="27"/>
      <c r="U2660" s="27"/>
      <c r="V2660" s="27"/>
      <c r="W2660" s="27"/>
      <c r="X2660" s="27"/>
      <c r="Y2660" s="27"/>
    </row>
    <row r="2661">
      <c r="A2661" s="32"/>
      <c r="B2661" s="32"/>
      <c r="C2661" s="32"/>
      <c r="D2661" s="32"/>
      <c r="E2661" s="32"/>
      <c r="F2661" s="32"/>
      <c r="G2661" s="32"/>
      <c r="H2661" s="28"/>
      <c r="I2661" s="32"/>
      <c r="J2661" s="33"/>
      <c r="K2661" s="28"/>
      <c r="L2661" s="27"/>
      <c r="M2661" s="27"/>
      <c r="N2661" s="27"/>
      <c r="O2661" s="27"/>
      <c r="P2661" s="27"/>
      <c r="Q2661" s="27"/>
      <c r="R2661" s="27"/>
      <c r="S2661" s="27"/>
      <c r="T2661" s="27"/>
      <c r="U2661" s="27"/>
      <c r="V2661" s="27"/>
      <c r="W2661" s="27"/>
      <c r="X2661" s="27"/>
      <c r="Y2661" s="27"/>
    </row>
    <row r="2662">
      <c r="A2662" s="32"/>
      <c r="B2662" s="32"/>
      <c r="C2662" s="32"/>
      <c r="D2662" s="32"/>
      <c r="E2662" s="32"/>
      <c r="F2662" s="32"/>
      <c r="G2662" s="32"/>
      <c r="H2662" s="28"/>
      <c r="I2662" s="32"/>
      <c r="J2662" s="33"/>
      <c r="K2662" s="28"/>
      <c r="L2662" s="27"/>
      <c r="M2662" s="27"/>
      <c r="N2662" s="27"/>
      <c r="O2662" s="27"/>
      <c r="P2662" s="27"/>
      <c r="Q2662" s="27"/>
      <c r="R2662" s="27"/>
      <c r="S2662" s="27"/>
      <c r="T2662" s="27"/>
      <c r="U2662" s="27"/>
      <c r="V2662" s="27"/>
      <c r="W2662" s="27"/>
      <c r="X2662" s="27"/>
      <c r="Y2662" s="27"/>
    </row>
    <row r="2663">
      <c r="A2663" s="32"/>
      <c r="B2663" s="32"/>
      <c r="C2663" s="32"/>
      <c r="D2663" s="32"/>
      <c r="E2663" s="32"/>
      <c r="F2663" s="32"/>
      <c r="G2663" s="32"/>
      <c r="H2663" s="28"/>
      <c r="I2663" s="32"/>
      <c r="J2663" s="33"/>
      <c r="K2663" s="28"/>
      <c r="L2663" s="27"/>
      <c r="M2663" s="27"/>
      <c r="N2663" s="27"/>
      <c r="O2663" s="27"/>
      <c r="P2663" s="27"/>
      <c r="Q2663" s="27"/>
      <c r="R2663" s="27"/>
      <c r="S2663" s="27"/>
      <c r="T2663" s="27"/>
      <c r="U2663" s="27"/>
      <c r="V2663" s="27"/>
      <c r="W2663" s="27"/>
      <c r="X2663" s="27"/>
      <c r="Y2663" s="27"/>
    </row>
    <row r="2664">
      <c r="A2664" s="32"/>
      <c r="B2664" s="32"/>
      <c r="C2664" s="32"/>
      <c r="D2664" s="32"/>
      <c r="E2664" s="32"/>
      <c r="F2664" s="32"/>
      <c r="G2664" s="32"/>
      <c r="H2664" s="28"/>
      <c r="I2664" s="32"/>
      <c r="J2664" s="33"/>
      <c r="K2664" s="28"/>
      <c r="L2664" s="27"/>
      <c r="M2664" s="27"/>
      <c r="N2664" s="27"/>
      <c r="O2664" s="27"/>
      <c r="P2664" s="27"/>
      <c r="Q2664" s="27"/>
      <c r="R2664" s="27"/>
      <c r="S2664" s="27"/>
      <c r="T2664" s="27"/>
      <c r="U2664" s="27"/>
      <c r="V2664" s="27"/>
      <c r="W2664" s="27"/>
      <c r="X2664" s="27"/>
      <c r="Y2664" s="27"/>
    </row>
    <row r="2665">
      <c r="A2665" s="32"/>
      <c r="B2665" s="32"/>
      <c r="C2665" s="32"/>
      <c r="D2665" s="32"/>
      <c r="E2665" s="32"/>
      <c r="F2665" s="32"/>
      <c r="G2665" s="32"/>
      <c r="H2665" s="28"/>
      <c r="I2665" s="32"/>
      <c r="J2665" s="33"/>
      <c r="K2665" s="28"/>
      <c r="L2665" s="27"/>
      <c r="M2665" s="27"/>
      <c r="N2665" s="27"/>
      <c r="O2665" s="27"/>
      <c r="P2665" s="27"/>
      <c r="Q2665" s="27"/>
      <c r="R2665" s="27"/>
      <c r="S2665" s="27"/>
      <c r="T2665" s="27"/>
      <c r="U2665" s="27"/>
      <c r="V2665" s="27"/>
      <c r="W2665" s="27"/>
      <c r="X2665" s="27"/>
      <c r="Y2665" s="27"/>
    </row>
    <row r="2666">
      <c r="A2666" s="32"/>
      <c r="B2666" s="32"/>
      <c r="C2666" s="32"/>
      <c r="D2666" s="32"/>
      <c r="E2666" s="32"/>
      <c r="F2666" s="32"/>
      <c r="G2666" s="32"/>
      <c r="H2666" s="28"/>
      <c r="I2666" s="32"/>
      <c r="J2666" s="33"/>
      <c r="K2666" s="28"/>
      <c r="L2666" s="27"/>
      <c r="M2666" s="27"/>
      <c r="N2666" s="27"/>
      <c r="O2666" s="27"/>
      <c r="P2666" s="27"/>
      <c r="Q2666" s="27"/>
      <c r="R2666" s="27"/>
      <c r="S2666" s="27"/>
      <c r="T2666" s="27"/>
      <c r="U2666" s="27"/>
      <c r="V2666" s="27"/>
      <c r="W2666" s="27"/>
      <c r="X2666" s="27"/>
      <c r="Y2666" s="27"/>
    </row>
    <row r="2667">
      <c r="A2667" s="32"/>
      <c r="B2667" s="32"/>
      <c r="C2667" s="32"/>
      <c r="D2667" s="32"/>
      <c r="E2667" s="32"/>
      <c r="F2667" s="32"/>
      <c r="G2667" s="32"/>
      <c r="H2667" s="28"/>
      <c r="I2667" s="32"/>
      <c r="J2667" s="33"/>
      <c r="K2667" s="28"/>
      <c r="L2667" s="27"/>
      <c r="M2667" s="27"/>
      <c r="N2667" s="27"/>
      <c r="O2667" s="27"/>
      <c r="P2667" s="27"/>
      <c r="Q2667" s="27"/>
      <c r="R2667" s="27"/>
      <c r="S2667" s="27"/>
      <c r="T2667" s="27"/>
      <c r="U2667" s="27"/>
      <c r="V2667" s="27"/>
      <c r="W2667" s="27"/>
      <c r="X2667" s="27"/>
      <c r="Y2667" s="27"/>
    </row>
    <row r="2668">
      <c r="A2668" s="32"/>
      <c r="B2668" s="32"/>
      <c r="C2668" s="32"/>
      <c r="D2668" s="32"/>
      <c r="E2668" s="32"/>
      <c r="F2668" s="32"/>
      <c r="G2668" s="32"/>
      <c r="H2668" s="28"/>
      <c r="I2668" s="32"/>
      <c r="J2668" s="33"/>
      <c r="K2668" s="28"/>
      <c r="L2668" s="27"/>
      <c r="M2668" s="27"/>
      <c r="N2668" s="27"/>
      <c r="O2668" s="27"/>
      <c r="P2668" s="27"/>
      <c r="Q2668" s="27"/>
      <c r="R2668" s="27"/>
      <c r="S2668" s="27"/>
      <c r="T2668" s="27"/>
      <c r="U2668" s="27"/>
      <c r="V2668" s="27"/>
      <c r="W2668" s="27"/>
      <c r="X2668" s="27"/>
      <c r="Y2668" s="27"/>
    </row>
    <row r="2669">
      <c r="A2669" s="32"/>
      <c r="B2669" s="32"/>
      <c r="C2669" s="32"/>
      <c r="D2669" s="32"/>
      <c r="E2669" s="32"/>
      <c r="F2669" s="32"/>
      <c r="G2669" s="32"/>
      <c r="H2669" s="28"/>
      <c r="I2669" s="32"/>
      <c r="J2669" s="33"/>
      <c r="K2669" s="28"/>
      <c r="L2669" s="27"/>
      <c r="M2669" s="27"/>
      <c r="N2669" s="27"/>
      <c r="O2669" s="27"/>
      <c r="P2669" s="27"/>
      <c r="Q2669" s="27"/>
      <c r="R2669" s="27"/>
      <c r="S2669" s="27"/>
      <c r="T2669" s="27"/>
      <c r="U2669" s="27"/>
      <c r="V2669" s="27"/>
      <c r="W2669" s="27"/>
      <c r="X2669" s="27"/>
      <c r="Y2669" s="27"/>
    </row>
    <row r="2670">
      <c r="A2670" s="32"/>
      <c r="B2670" s="32"/>
      <c r="C2670" s="32"/>
      <c r="D2670" s="32"/>
      <c r="E2670" s="32"/>
      <c r="F2670" s="32"/>
      <c r="G2670" s="32"/>
      <c r="H2670" s="28"/>
      <c r="I2670" s="32"/>
      <c r="J2670" s="33"/>
      <c r="K2670" s="28"/>
      <c r="L2670" s="27"/>
      <c r="M2670" s="27"/>
      <c r="N2670" s="27"/>
      <c r="O2670" s="27"/>
      <c r="P2670" s="27"/>
      <c r="Q2670" s="27"/>
      <c r="R2670" s="27"/>
      <c r="S2670" s="27"/>
      <c r="T2670" s="27"/>
      <c r="U2670" s="27"/>
      <c r="V2670" s="27"/>
      <c r="W2670" s="27"/>
      <c r="X2670" s="27"/>
      <c r="Y2670" s="27"/>
    </row>
    <row r="2671">
      <c r="A2671" s="32"/>
      <c r="B2671" s="32"/>
      <c r="C2671" s="32"/>
      <c r="D2671" s="32"/>
      <c r="E2671" s="32"/>
      <c r="F2671" s="32"/>
      <c r="G2671" s="32"/>
      <c r="H2671" s="28"/>
      <c r="I2671" s="32"/>
      <c r="J2671" s="33"/>
      <c r="K2671" s="28"/>
      <c r="L2671" s="27"/>
      <c r="M2671" s="27"/>
      <c r="N2671" s="27"/>
      <c r="O2671" s="27"/>
      <c r="P2671" s="27"/>
      <c r="Q2671" s="27"/>
      <c r="R2671" s="27"/>
      <c r="S2671" s="27"/>
      <c r="T2671" s="27"/>
      <c r="U2671" s="27"/>
      <c r="V2671" s="27"/>
      <c r="W2671" s="27"/>
      <c r="X2671" s="27"/>
      <c r="Y2671" s="27"/>
    </row>
    <row r="2672">
      <c r="A2672" s="32"/>
      <c r="B2672" s="32"/>
      <c r="C2672" s="32"/>
      <c r="D2672" s="32"/>
      <c r="E2672" s="32"/>
      <c r="F2672" s="32"/>
      <c r="G2672" s="32"/>
      <c r="H2672" s="28"/>
      <c r="I2672" s="32"/>
      <c r="J2672" s="33"/>
      <c r="K2672" s="28"/>
      <c r="L2672" s="27"/>
      <c r="M2672" s="27"/>
      <c r="N2672" s="27"/>
      <c r="O2672" s="27"/>
      <c r="P2672" s="27"/>
      <c r="Q2672" s="27"/>
      <c r="R2672" s="27"/>
      <c r="S2672" s="27"/>
      <c r="T2672" s="27"/>
      <c r="U2672" s="27"/>
      <c r="V2672" s="27"/>
      <c r="W2672" s="27"/>
      <c r="X2672" s="27"/>
      <c r="Y2672" s="27"/>
    </row>
    <row r="2673">
      <c r="A2673" s="32"/>
      <c r="B2673" s="32"/>
      <c r="C2673" s="32"/>
      <c r="D2673" s="32"/>
      <c r="E2673" s="32"/>
      <c r="F2673" s="32"/>
      <c r="G2673" s="32"/>
      <c r="H2673" s="28"/>
      <c r="I2673" s="32"/>
      <c r="J2673" s="33"/>
      <c r="K2673" s="28"/>
      <c r="L2673" s="27"/>
      <c r="M2673" s="27"/>
      <c r="N2673" s="27"/>
      <c r="O2673" s="27"/>
      <c r="P2673" s="27"/>
      <c r="Q2673" s="27"/>
      <c r="R2673" s="27"/>
      <c r="S2673" s="27"/>
      <c r="T2673" s="27"/>
      <c r="U2673" s="27"/>
      <c r="V2673" s="27"/>
      <c r="W2673" s="27"/>
      <c r="X2673" s="27"/>
      <c r="Y2673" s="27"/>
    </row>
    <row r="2674">
      <c r="A2674" s="32"/>
      <c r="B2674" s="32"/>
      <c r="C2674" s="32"/>
      <c r="D2674" s="32"/>
      <c r="E2674" s="32"/>
      <c r="F2674" s="32"/>
      <c r="G2674" s="32"/>
      <c r="H2674" s="28"/>
      <c r="I2674" s="32"/>
      <c r="J2674" s="33"/>
      <c r="K2674" s="28"/>
      <c r="L2674" s="27"/>
      <c r="M2674" s="27"/>
      <c r="N2674" s="27"/>
      <c r="O2674" s="27"/>
      <c r="P2674" s="27"/>
      <c r="Q2674" s="27"/>
      <c r="R2674" s="27"/>
      <c r="S2674" s="27"/>
      <c r="T2674" s="27"/>
      <c r="U2674" s="27"/>
      <c r="V2674" s="27"/>
      <c r="W2674" s="27"/>
      <c r="X2674" s="27"/>
      <c r="Y2674" s="27"/>
    </row>
    <row r="2675">
      <c r="A2675" s="32"/>
      <c r="B2675" s="32"/>
      <c r="C2675" s="32"/>
      <c r="D2675" s="32"/>
      <c r="E2675" s="32"/>
      <c r="F2675" s="32"/>
      <c r="G2675" s="32"/>
      <c r="H2675" s="28"/>
      <c r="I2675" s="32"/>
      <c r="J2675" s="33"/>
      <c r="K2675" s="28"/>
      <c r="L2675" s="27"/>
      <c r="M2675" s="27"/>
      <c r="N2675" s="27"/>
      <c r="O2675" s="27"/>
      <c r="P2675" s="27"/>
      <c r="Q2675" s="27"/>
      <c r="R2675" s="27"/>
      <c r="S2675" s="27"/>
      <c r="T2675" s="27"/>
      <c r="U2675" s="27"/>
      <c r="V2675" s="27"/>
      <c r="W2675" s="27"/>
      <c r="X2675" s="27"/>
      <c r="Y2675" s="27"/>
    </row>
    <row r="2676">
      <c r="A2676" s="32"/>
      <c r="B2676" s="32"/>
      <c r="C2676" s="32"/>
      <c r="D2676" s="32"/>
      <c r="E2676" s="32"/>
      <c r="F2676" s="32"/>
      <c r="G2676" s="32"/>
      <c r="H2676" s="28"/>
      <c r="I2676" s="32"/>
      <c r="J2676" s="33"/>
      <c r="K2676" s="28"/>
      <c r="L2676" s="27"/>
      <c r="M2676" s="27"/>
      <c r="N2676" s="27"/>
      <c r="O2676" s="27"/>
      <c r="P2676" s="27"/>
      <c r="Q2676" s="27"/>
      <c r="R2676" s="27"/>
      <c r="S2676" s="27"/>
      <c r="T2676" s="27"/>
      <c r="U2676" s="27"/>
      <c r="V2676" s="27"/>
      <c r="W2676" s="27"/>
      <c r="X2676" s="27"/>
      <c r="Y2676" s="27"/>
    </row>
    <row r="2677">
      <c r="A2677" s="32"/>
      <c r="B2677" s="32"/>
      <c r="C2677" s="32"/>
      <c r="D2677" s="32"/>
      <c r="E2677" s="32"/>
      <c r="F2677" s="32"/>
      <c r="G2677" s="32"/>
      <c r="H2677" s="28"/>
      <c r="I2677" s="32"/>
      <c r="J2677" s="33"/>
      <c r="K2677" s="28"/>
      <c r="L2677" s="27"/>
      <c r="M2677" s="27"/>
      <c r="N2677" s="27"/>
      <c r="O2677" s="27"/>
      <c r="P2677" s="27"/>
      <c r="Q2677" s="27"/>
      <c r="R2677" s="27"/>
      <c r="S2677" s="27"/>
      <c r="T2677" s="27"/>
      <c r="U2677" s="27"/>
      <c r="V2677" s="27"/>
      <c r="W2677" s="27"/>
      <c r="X2677" s="27"/>
      <c r="Y2677" s="27"/>
    </row>
    <row r="2678">
      <c r="A2678" s="32"/>
      <c r="B2678" s="32"/>
      <c r="C2678" s="32"/>
      <c r="D2678" s="32"/>
      <c r="E2678" s="32"/>
      <c r="F2678" s="32"/>
      <c r="G2678" s="32"/>
      <c r="H2678" s="28"/>
      <c r="I2678" s="32"/>
      <c r="J2678" s="33"/>
      <c r="K2678" s="28"/>
      <c r="L2678" s="27"/>
      <c r="M2678" s="27"/>
      <c r="N2678" s="27"/>
      <c r="O2678" s="27"/>
      <c r="P2678" s="27"/>
      <c r="Q2678" s="27"/>
      <c r="R2678" s="27"/>
      <c r="S2678" s="27"/>
      <c r="T2678" s="27"/>
      <c r="U2678" s="27"/>
      <c r="V2678" s="27"/>
      <c r="W2678" s="27"/>
      <c r="X2678" s="27"/>
      <c r="Y2678" s="27"/>
    </row>
    <row r="2679">
      <c r="A2679" s="32"/>
      <c r="B2679" s="32"/>
      <c r="C2679" s="32"/>
      <c r="D2679" s="32"/>
      <c r="E2679" s="32"/>
      <c r="F2679" s="32"/>
      <c r="G2679" s="32"/>
      <c r="H2679" s="28"/>
      <c r="I2679" s="32"/>
      <c r="J2679" s="33"/>
      <c r="K2679" s="28"/>
      <c r="L2679" s="27"/>
      <c r="M2679" s="27"/>
      <c r="N2679" s="27"/>
      <c r="O2679" s="27"/>
      <c r="P2679" s="27"/>
      <c r="Q2679" s="27"/>
      <c r="R2679" s="27"/>
      <c r="S2679" s="27"/>
      <c r="T2679" s="27"/>
      <c r="U2679" s="27"/>
      <c r="V2679" s="27"/>
      <c r="W2679" s="27"/>
      <c r="X2679" s="27"/>
      <c r="Y2679" s="27"/>
    </row>
    <row r="2680">
      <c r="A2680" s="32"/>
      <c r="B2680" s="32"/>
      <c r="C2680" s="32"/>
      <c r="D2680" s="32"/>
      <c r="E2680" s="32"/>
      <c r="F2680" s="32"/>
      <c r="G2680" s="32"/>
      <c r="H2680" s="28"/>
      <c r="I2680" s="32"/>
      <c r="J2680" s="33"/>
      <c r="K2680" s="28"/>
      <c r="L2680" s="27"/>
      <c r="M2680" s="27"/>
      <c r="N2680" s="27"/>
      <c r="O2680" s="27"/>
      <c r="P2680" s="27"/>
      <c r="Q2680" s="27"/>
      <c r="R2680" s="27"/>
      <c r="S2680" s="27"/>
      <c r="T2680" s="27"/>
      <c r="U2680" s="27"/>
      <c r="V2680" s="27"/>
      <c r="W2680" s="27"/>
      <c r="X2680" s="27"/>
      <c r="Y2680" s="27"/>
    </row>
    <row r="2681">
      <c r="A2681" s="32"/>
      <c r="B2681" s="32"/>
      <c r="C2681" s="32"/>
      <c r="D2681" s="32"/>
      <c r="E2681" s="32"/>
      <c r="F2681" s="32"/>
      <c r="G2681" s="32"/>
      <c r="H2681" s="28"/>
      <c r="I2681" s="32"/>
      <c r="J2681" s="33"/>
      <c r="K2681" s="28"/>
      <c r="L2681" s="27"/>
      <c r="M2681" s="27"/>
      <c r="N2681" s="27"/>
      <c r="O2681" s="27"/>
      <c r="P2681" s="27"/>
      <c r="Q2681" s="27"/>
      <c r="R2681" s="27"/>
      <c r="S2681" s="27"/>
      <c r="T2681" s="27"/>
      <c r="U2681" s="27"/>
      <c r="V2681" s="27"/>
      <c r="W2681" s="27"/>
      <c r="X2681" s="27"/>
      <c r="Y2681" s="27"/>
    </row>
    <row r="2682">
      <c r="A2682" s="32"/>
      <c r="B2682" s="32"/>
      <c r="C2682" s="32"/>
      <c r="D2682" s="32"/>
      <c r="E2682" s="32"/>
      <c r="F2682" s="32"/>
      <c r="G2682" s="32"/>
      <c r="H2682" s="28"/>
      <c r="I2682" s="32"/>
      <c r="J2682" s="33"/>
      <c r="K2682" s="28"/>
      <c r="L2682" s="27"/>
      <c r="M2682" s="27"/>
      <c r="N2682" s="27"/>
      <c r="O2682" s="27"/>
      <c r="P2682" s="27"/>
      <c r="Q2682" s="27"/>
      <c r="R2682" s="27"/>
      <c r="S2682" s="27"/>
      <c r="T2682" s="27"/>
      <c r="U2682" s="27"/>
      <c r="V2682" s="27"/>
      <c r="W2682" s="27"/>
      <c r="X2682" s="27"/>
      <c r="Y2682" s="27"/>
    </row>
    <row r="2683">
      <c r="A2683" s="32"/>
      <c r="B2683" s="32"/>
      <c r="C2683" s="32"/>
      <c r="D2683" s="32"/>
      <c r="E2683" s="32"/>
      <c r="F2683" s="32"/>
      <c r="G2683" s="32"/>
      <c r="H2683" s="28"/>
      <c r="I2683" s="32"/>
      <c r="J2683" s="33"/>
      <c r="K2683" s="28"/>
      <c r="L2683" s="27"/>
      <c r="M2683" s="27"/>
      <c r="N2683" s="27"/>
      <c r="O2683" s="27"/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</row>
    <row r="2684">
      <c r="A2684" s="32"/>
      <c r="B2684" s="32"/>
      <c r="C2684" s="32"/>
      <c r="D2684" s="32"/>
      <c r="E2684" s="32"/>
      <c r="F2684" s="32"/>
      <c r="G2684" s="32"/>
      <c r="H2684" s="28"/>
      <c r="I2684" s="32"/>
      <c r="J2684" s="33"/>
      <c r="K2684" s="28"/>
      <c r="L2684" s="27"/>
      <c r="M2684" s="27"/>
      <c r="N2684" s="27"/>
      <c r="O2684" s="27"/>
      <c r="P2684" s="27"/>
      <c r="Q2684" s="27"/>
      <c r="R2684" s="27"/>
      <c r="S2684" s="27"/>
      <c r="T2684" s="27"/>
      <c r="U2684" s="27"/>
      <c r="V2684" s="27"/>
      <c r="W2684" s="27"/>
      <c r="X2684" s="27"/>
      <c r="Y2684" s="27"/>
    </row>
    <row r="2685">
      <c r="A2685" s="32"/>
      <c r="B2685" s="32"/>
      <c r="C2685" s="32"/>
      <c r="D2685" s="32"/>
      <c r="E2685" s="32"/>
      <c r="F2685" s="32"/>
      <c r="G2685" s="32"/>
      <c r="H2685" s="28"/>
      <c r="I2685" s="32"/>
      <c r="J2685" s="33"/>
      <c r="K2685" s="28"/>
      <c r="L2685" s="27"/>
      <c r="M2685" s="27"/>
      <c r="N2685" s="27"/>
      <c r="O2685" s="27"/>
      <c r="P2685" s="27"/>
      <c r="Q2685" s="27"/>
      <c r="R2685" s="27"/>
      <c r="S2685" s="27"/>
      <c r="T2685" s="27"/>
      <c r="U2685" s="27"/>
      <c r="V2685" s="27"/>
      <c r="W2685" s="27"/>
      <c r="X2685" s="27"/>
      <c r="Y2685" s="27"/>
    </row>
    <row r="2686">
      <c r="A2686" s="32"/>
      <c r="B2686" s="32"/>
      <c r="C2686" s="32"/>
      <c r="D2686" s="32"/>
      <c r="E2686" s="32"/>
      <c r="F2686" s="32"/>
      <c r="G2686" s="32"/>
      <c r="H2686" s="28"/>
      <c r="I2686" s="32"/>
      <c r="J2686" s="33"/>
      <c r="K2686" s="28"/>
      <c r="L2686" s="27"/>
      <c r="M2686" s="27"/>
      <c r="N2686" s="27"/>
      <c r="O2686" s="27"/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</row>
    <row r="2687">
      <c r="A2687" s="32"/>
      <c r="B2687" s="32"/>
      <c r="C2687" s="32"/>
      <c r="D2687" s="32"/>
      <c r="E2687" s="32"/>
      <c r="F2687" s="32"/>
      <c r="G2687" s="32"/>
      <c r="H2687" s="28"/>
      <c r="I2687" s="32"/>
      <c r="J2687" s="33"/>
      <c r="K2687" s="28"/>
      <c r="L2687" s="27"/>
      <c r="M2687" s="27"/>
      <c r="N2687" s="27"/>
      <c r="O2687" s="27"/>
      <c r="P2687" s="27"/>
      <c r="Q2687" s="27"/>
      <c r="R2687" s="27"/>
      <c r="S2687" s="27"/>
      <c r="T2687" s="27"/>
      <c r="U2687" s="27"/>
      <c r="V2687" s="27"/>
      <c r="W2687" s="27"/>
      <c r="X2687" s="27"/>
      <c r="Y2687" s="27"/>
    </row>
    <row r="2688">
      <c r="A2688" s="32"/>
      <c r="B2688" s="32"/>
      <c r="C2688" s="32"/>
      <c r="D2688" s="32"/>
      <c r="E2688" s="32"/>
      <c r="F2688" s="32"/>
      <c r="G2688" s="32"/>
      <c r="H2688" s="28"/>
      <c r="I2688" s="32"/>
      <c r="J2688" s="33"/>
      <c r="K2688" s="28"/>
      <c r="L2688" s="27"/>
      <c r="M2688" s="27"/>
      <c r="N2688" s="27"/>
      <c r="O2688" s="27"/>
      <c r="P2688" s="27"/>
      <c r="Q2688" s="27"/>
      <c r="R2688" s="27"/>
      <c r="S2688" s="27"/>
      <c r="T2688" s="27"/>
      <c r="U2688" s="27"/>
      <c r="V2688" s="27"/>
      <c r="W2688" s="27"/>
      <c r="X2688" s="27"/>
      <c r="Y2688" s="27"/>
    </row>
    <row r="2689">
      <c r="A2689" s="32"/>
      <c r="B2689" s="32"/>
      <c r="C2689" s="32"/>
      <c r="D2689" s="32"/>
      <c r="E2689" s="32"/>
      <c r="F2689" s="32"/>
      <c r="G2689" s="32"/>
      <c r="H2689" s="28"/>
      <c r="I2689" s="32"/>
      <c r="J2689" s="33"/>
      <c r="K2689" s="28"/>
      <c r="L2689" s="27"/>
      <c r="M2689" s="27"/>
      <c r="N2689" s="27"/>
      <c r="O2689" s="27"/>
      <c r="P2689" s="27"/>
      <c r="Q2689" s="27"/>
      <c r="R2689" s="27"/>
      <c r="S2689" s="27"/>
      <c r="T2689" s="27"/>
      <c r="U2689" s="27"/>
      <c r="V2689" s="27"/>
      <c r="W2689" s="27"/>
      <c r="X2689" s="27"/>
      <c r="Y2689" s="27"/>
    </row>
    <row r="2690">
      <c r="A2690" s="32"/>
      <c r="B2690" s="32"/>
      <c r="C2690" s="32"/>
      <c r="D2690" s="32"/>
      <c r="E2690" s="32"/>
      <c r="F2690" s="32"/>
      <c r="G2690" s="32"/>
      <c r="H2690" s="28"/>
      <c r="I2690" s="32"/>
      <c r="J2690" s="33"/>
      <c r="K2690" s="28"/>
      <c r="L2690" s="27"/>
      <c r="M2690" s="27"/>
      <c r="N2690" s="27"/>
      <c r="O2690" s="27"/>
      <c r="P2690" s="27"/>
      <c r="Q2690" s="27"/>
      <c r="R2690" s="27"/>
      <c r="S2690" s="27"/>
      <c r="T2690" s="27"/>
      <c r="U2690" s="27"/>
      <c r="V2690" s="27"/>
      <c r="W2690" s="27"/>
      <c r="X2690" s="27"/>
      <c r="Y2690" s="27"/>
    </row>
    <row r="2691">
      <c r="A2691" s="32"/>
      <c r="B2691" s="32"/>
      <c r="C2691" s="32"/>
      <c r="D2691" s="32"/>
      <c r="E2691" s="32"/>
      <c r="F2691" s="32"/>
      <c r="G2691" s="32"/>
      <c r="H2691" s="28"/>
      <c r="I2691" s="32"/>
      <c r="J2691" s="33"/>
      <c r="K2691" s="28"/>
      <c r="L2691" s="27"/>
      <c r="M2691" s="27"/>
      <c r="N2691" s="27"/>
      <c r="O2691" s="27"/>
      <c r="P2691" s="27"/>
      <c r="Q2691" s="27"/>
      <c r="R2691" s="27"/>
      <c r="S2691" s="27"/>
      <c r="T2691" s="27"/>
      <c r="U2691" s="27"/>
      <c r="V2691" s="27"/>
      <c r="W2691" s="27"/>
      <c r="X2691" s="27"/>
      <c r="Y2691" s="2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604</v>
      </c>
      <c r="B1" s="38" t="s">
        <v>605</v>
      </c>
      <c r="C1" s="38" t="s">
        <v>606</v>
      </c>
      <c r="D1" s="38" t="s">
        <v>607</v>
      </c>
      <c r="E1" s="39" t="s">
        <v>15</v>
      </c>
      <c r="F1" s="38" t="s">
        <v>608</v>
      </c>
      <c r="G1" s="38" t="s">
        <v>609</v>
      </c>
      <c r="H1" s="38" t="s">
        <v>610</v>
      </c>
      <c r="I1" s="38" t="s">
        <v>611</v>
      </c>
      <c r="J1" s="38" t="s">
        <v>612</v>
      </c>
      <c r="K1" s="38" t="s">
        <v>613</v>
      </c>
      <c r="L1" s="38" t="s">
        <v>614</v>
      </c>
      <c r="M1" s="38" t="s">
        <v>615</v>
      </c>
      <c r="N1" s="38" t="s">
        <v>616</v>
      </c>
      <c r="O1" s="38" t="s">
        <v>617</v>
      </c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>
      <c r="A2" s="38" t="s">
        <v>620</v>
      </c>
      <c r="B2" s="38" t="s">
        <v>621</v>
      </c>
      <c r="C2" s="40">
        <v>3569.57</v>
      </c>
      <c r="D2" s="38" t="s">
        <v>622</v>
      </c>
      <c r="E2" s="38"/>
      <c r="F2" s="38" t="s">
        <v>623</v>
      </c>
      <c r="G2" s="41">
        <v>46237.40993055556</v>
      </c>
      <c r="H2" s="40">
        <v>3855.14</v>
      </c>
      <c r="I2" s="38" t="s">
        <v>29</v>
      </c>
      <c r="J2" s="40">
        <v>1.0</v>
      </c>
      <c r="K2" s="38" t="s">
        <v>624</v>
      </c>
      <c r="L2" s="40">
        <v>21210.0</v>
      </c>
      <c r="M2" s="40">
        <v>3.0</v>
      </c>
      <c r="N2" s="38" t="s">
        <v>625</v>
      </c>
      <c r="O2" s="38" t="s">
        <v>626</v>
      </c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3">
      <c r="A3" s="38" t="s">
        <v>627</v>
      </c>
      <c r="B3" s="38" t="s">
        <v>621</v>
      </c>
      <c r="C3" s="40">
        <v>1713.95</v>
      </c>
      <c r="D3" s="38" t="s">
        <v>628</v>
      </c>
      <c r="E3" s="38"/>
      <c r="F3" s="38" t="s">
        <v>623</v>
      </c>
      <c r="G3" s="41">
        <v>46235.455358796295</v>
      </c>
      <c r="H3" s="40">
        <v>1851.07</v>
      </c>
      <c r="I3" s="38" t="s">
        <v>29</v>
      </c>
      <c r="J3" s="40">
        <v>1.0</v>
      </c>
      <c r="K3" s="38" t="s">
        <v>624</v>
      </c>
      <c r="L3" s="40">
        <v>21210.0</v>
      </c>
      <c r="M3" s="40">
        <v>3.0</v>
      </c>
      <c r="N3" s="38" t="s">
        <v>629</v>
      </c>
      <c r="O3" s="38" t="s">
        <v>626</v>
      </c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</row>
    <row r="4">
      <c r="A4" s="38" t="s">
        <v>630</v>
      </c>
      <c r="B4" s="38" t="s">
        <v>621</v>
      </c>
      <c r="C4" s="40">
        <v>1686.07</v>
      </c>
      <c r="D4" s="38" t="s">
        <v>631</v>
      </c>
      <c r="E4" s="38"/>
      <c r="F4" s="38" t="s">
        <v>623</v>
      </c>
      <c r="G4" s="41">
        <v>46235.452997685185</v>
      </c>
      <c r="H4" s="40">
        <v>1820.96</v>
      </c>
      <c r="I4" s="38" t="s">
        <v>29</v>
      </c>
      <c r="J4" s="40">
        <v>1.0</v>
      </c>
      <c r="K4" s="38" t="s">
        <v>624</v>
      </c>
      <c r="L4" s="40">
        <v>21210.0</v>
      </c>
      <c r="M4" s="40">
        <v>3.0</v>
      </c>
      <c r="N4" s="38" t="s">
        <v>632</v>
      </c>
      <c r="O4" s="38" t="s">
        <v>626</v>
      </c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</row>
    <row r="5">
      <c r="A5" s="38" t="s">
        <v>633</v>
      </c>
      <c r="B5" s="38" t="s">
        <v>621</v>
      </c>
      <c r="C5" s="40">
        <v>2986.23</v>
      </c>
      <c r="D5" s="38" t="s">
        <v>634</v>
      </c>
      <c r="E5" s="38"/>
      <c r="F5" s="38" t="s">
        <v>623</v>
      </c>
      <c r="G5" s="41">
        <v>46237.723715277774</v>
      </c>
      <c r="H5" s="40">
        <v>3225.13</v>
      </c>
      <c r="I5" s="38" t="s">
        <v>29</v>
      </c>
      <c r="J5" s="40">
        <v>1.0</v>
      </c>
      <c r="K5" s="38" t="s">
        <v>624</v>
      </c>
      <c r="L5" s="40">
        <v>21210.0</v>
      </c>
      <c r="M5" s="40">
        <v>3.0</v>
      </c>
      <c r="N5" s="38" t="s">
        <v>635</v>
      </c>
      <c r="O5" s="38" t="s">
        <v>626</v>
      </c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>
      <c r="A6" s="38" t="s">
        <v>637</v>
      </c>
      <c r="B6" s="38" t="s">
        <v>621</v>
      </c>
      <c r="C6" s="40">
        <v>1365.3</v>
      </c>
      <c r="D6" s="38" t="s">
        <v>638</v>
      </c>
      <c r="E6" s="38"/>
      <c r="F6" s="38" t="s">
        <v>623</v>
      </c>
      <c r="G6" s="41">
        <v>46237.72603009259</v>
      </c>
      <c r="H6" s="40">
        <v>1474.52</v>
      </c>
      <c r="I6" s="38" t="s">
        <v>29</v>
      </c>
      <c r="J6" s="40">
        <v>1.0</v>
      </c>
      <c r="K6" s="38" t="s">
        <v>624</v>
      </c>
      <c r="L6" s="40">
        <v>21210.0</v>
      </c>
      <c r="M6" s="40">
        <v>3.0</v>
      </c>
      <c r="N6" s="38" t="s">
        <v>639</v>
      </c>
      <c r="O6" s="38" t="s">
        <v>626</v>
      </c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>
      <c r="A7" s="38" t="s">
        <v>640</v>
      </c>
      <c r="B7" s="38" t="s">
        <v>641</v>
      </c>
      <c r="C7" s="40">
        <v>2934.44</v>
      </c>
      <c r="D7" s="38" t="s">
        <v>642</v>
      </c>
      <c r="E7" s="38"/>
      <c r="F7" s="38"/>
      <c r="G7" s="41">
        <v>46238.73407407408</v>
      </c>
      <c r="H7" s="40">
        <v>3403.95</v>
      </c>
      <c r="I7" s="38" t="s">
        <v>29</v>
      </c>
      <c r="J7" s="40">
        <v>1.0</v>
      </c>
      <c r="K7" s="38" t="s">
        <v>624</v>
      </c>
      <c r="L7" s="40">
        <v>88786.0</v>
      </c>
      <c r="M7" s="40">
        <v>3.0</v>
      </c>
      <c r="N7" s="38" t="s">
        <v>643</v>
      </c>
      <c r="O7" s="38" t="s">
        <v>644</v>
      </c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>
      <c r="A8" s="38" t="s">
        <v>645</v>
      </c>
      <c r="B8" s="38" t="s">
        <v>641</v>
      </c>
      <c r="C8" s="40">
        <v>2430.52</v>
      </c>
      <c r="D8" s="38" t="s">
        <v>646</v>
      </c>
      <c r="E8" s="38"/>
      <c r="F8" s="38"/>
      <c r="G8" s="41">
        <v>46261.71576388889</v>
      </c>
      <c r="H8" s="40">
        <v>2819.4</v>
      </c>
      <c r="I8" s="38" t="s">
        <v>29</v>
      </c>
      <c r="J8" s="40">
        <v>1.0</v>
      </c>
      <c r="K8" s="38" t="s">
        <v>624</v>
      </c>
      <c r="L8" s="40">
        <v>88786.0</v>
      </c>
      <c r="M8" s="40">
        <v>3.0</v>
      </c>
      <c r="N8" s="38" t="s">
        <v>647</v>
      </c>
      <c r="O8" s="38" t="s">
        <v>644</v>
      </c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>
      <c r="A9" s="38" t="s">
        <v>648</v>
      </c>
      <c r="B9" s="38" t="s">
        <v>649</v>
      </c>
      <c r="C9" s="40">
        <v>5042.0</v>
      </c>
      <c r="D9" s="38" t="s">
        <v>650</v>
      </c>
      <c r="E9" s="39" t="s">
        <v>551</v>
      </c>
      <c r="F9" s="38" t="s">
        <v>651</v>
      </c>
      <c r="G9" s="41">
        <v>46251.43784722222</v>
      </c>
      <c r="H9" s="40">
        <v>5848.72</v>
      </c>
      <c r="I9" s="38" t="s">
        <v>29</v>
      </c>
      <c r="J9" s="40">
        <v>1.0</v>
      </c>
      <c r="K9" s="38" t="s">
        <v>652</v>
      </c>
      <c r="L9" s="40">
        <v>28218.0</v>
      </c>
      <c r="M9" s="40">
        <v>99.0</v>
      </c>
      <c r="N9" s="38" t="s">
        <v>653</v>
      </c>
      <c r="O9" s="38" t="s">
        <v>654</v>
      </c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>
      <c r="A10" s="38" t="s">
        <v>655</v>
      </c>
      <c r="B10" s="38" t="s">
        <v>649</v>
      </c>
      <c r="C10" s="40">
        <v>5579.0</v>
      </c>
      <c r="D10" s="38" t="s">
        <v>656</v>
      </c>
      <c r="E10" s="39" t="s">
        <v>395</v>
      </c>
      <c r="F10" s="38" t="s">
        <v>657</v>
      </c>
      <c r="G10" s="41">
        <v>46246.41261574074</v>
      </c>
      <c r="H10" s="40">
        <v>6471.64</v>
      </c>
      <c r="I10" s="38" t="s">
        <v>29</v>
      </c>
      <c r="J10" s="40">
        <v>1.0</v>
      </c>
      <c r="K10" s="38" t="s">
        <v>652</v>
      </c>
      <c r="L10" s="40">
        <v>60950.0</v>
      </c>
      <c r="M10" s="40">
        <v>99.0</v>
      </c>
      <c r="N10" s="38" t="s">
        <v>658</v>
      </c>
      <c r="O10" s="38" t="s">
        <v>654</v>
      </c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>
      <c r="A11" s="38" t="s">
        <v>659</v>
      </c>
      <c r="B11" s="38" t="s">
        <v>649</v>
      </c>
      <c r="C11" s="40">
        <v>3442.0</v>
      </c>
      <c r="D11" s="38" t="s">
        <v>660</v>
      </c>
      <c r="E11" s="38"/>
      <c r="F11" s="38" t="s">
        <v>651</v>
      </c>
      <c r="G11" s="41">
        <v>46247.758368055554</v>
      </c>
      <c r="H11" s="40">
        <v>3992.72</v>
      </c>
      <c r="I11" s="38" t="s">
        <v>29</v>
      </c>
      <c r="J11" s="40">
        <v>1.0</v>
      </c>
      <c r="K11" s="38" t="s">
        <v>652</v>
      </c>
      <c r="L11" s="40">
        <v>28218.0</v>
      </c>
      <c r="M11" s="40">
        <v>99.0</v>
      </c>
      <c r="N11" s="38" t="s">
        <v>661</v>
      </c>
      <c r="O11" s="38" t="s">
        <v>654</v>
      </c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>
      <c r="A12" s="38" t="s">
        <v>662</v>
      </c>
      <c r="B12" s="38" t="s">
        <v>649</v>
      </c>
      <c r="C12" s="40">
        <v>8129.0</v>
      </c>
      <c r="D12" s="38" t="s">
        <v>663</v>
      </c>
      <c r="E12" s="39" t="s">
        <v>395</v>
      </c>
      <c r="F12" s="38" t="s">
        <v>657</v>
      </c>
      <c r="G12" s="41">
        <v>46248.534791666665</v>
      </c>
      <c r="H12" s="40">
        <v>9429.64</v>
      </c>
      <c r="I12" s="38" t="s">
        <v>29</v>
      </c>
      <c r="J12" s="40">
        <v>1.0</v>
      </c>
      <c r="K12" s="38" t="s">
        <v>652</v>
      </c>
      <c r="L12" s="40">
        <v>60950.0</v>
      </c>
      <c r="M12" s="40">
        <v>99.0</v>
      </c>
      <c r="N12" s="38" t="s">
        <v>664</v>
      </c>
      <c r="O12" s="38" t="s">
        <v>654</v>
      </c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>
      <c r="A13" s="38" t="s">
        <v>665</v>
      </c>
      <c r="B13" s="38" t="s">
        <v>649</v>
      </c>
      <c r="C13" s="40">
        <v>3442.0</v>
      </c>
      <c r="D13" s="38" t="s">
        <v>666</v>
      </c>
      <c r="E13" s="39" t="s">
        <v>551</v>
      </c>
      <c r="F13" s="38" t="s">
        <v>651</v>
      </c>
      <c r="G13" s="41">
        <v>46251.427083333336</v>
      </c>
      <c r="H13" s="40">
        <v>3992.72</v>
      </c>
      <c r="I13" s="38" t="s">
        <v>29</v>
      </c>
      <c r="J13" s="40">
        <v>1.0</v>
      </c>
      <c r="K13" s="38" t="s">
        <v>652</v>
      </c>
      <c r="L13" s="40">
        <v>28218.0</v>
      </c>
      <c r="M13" s="40">
        <v>99.0</v>
      </c>
      <c r="N13" s="38" t="s">
        <v>667</v>
      </c>
      <c r="O13" s="38" t="s">
        <v>654</v>
      </c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>
      <c r="A14" s="38" t="s">
        <v>668</v>
      </c>
      <c r="B14" s="38" t="s">
        <v>649</v>
      </c>
      <c r="C14" s="40">
        <v>5042.0</v>
      </c>
      <c r="D14" s="38" t="s">
        <v>669</v>
      </c>
      <c r="E14" s="39" t="s">
        <v>551</v>
      </c>
      <c r="F14" s="38" t="s">
        <v>651</v>
      </c>
      <c r="G14" s="41">
        <v>46261.467002314814</v>
      </c>
      <c r="H14" s="40">
        <v>5848.72</v>
      </c>
      <c r="I14" s="38" t="s">
        <v>29</v>
      </c>
      <c r="J14" s="40">
        <v>1.0</v>
      </c>
      <c r="K14" s="38" t="s">
        <v>652</v>
      </c>
      <c r="L14" s="40">
        <v>28218.0</v>
      </c>
      <c r="M14" s="40">
        <v>99.0</v>
      </c>
      <c r="N14" s="38" t="s">
        <v>670</v>
      </c>
      <c r="O14" s="38" t="s">
        <v>654</v>
      </c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>
      <c r="A15" s="38" t="s">
        <v>671</v>
      </c>
      <c r="B15" s="38" t="s">
        <v>649</v>
      </c>
      <c r="C15" s="40">
        <v>3542.0</v>
      </c>
      <c r="D15" s="38" t="s">
        <v>673</v>
      </c>
      <c r="E15" s="39" t="s">
        <v>551</v>
      </c>
      <c r="F15" s="38" t="s">
        <v>651</v>
      </c>
      <c r="G15" s="41">
        <v>46260.555289351854</v>
      </c>
      <c r="H15" s="40">
        <v>4108.72</v>
      </c>
      <c r="I15" s="38" t="s">
        <v>29</v>
      </c>
      <c r="J15" s="40">
        <v>1.0</v>
      </c>
      <c r="K15" s="38" t="s">
        <v>652</v>
      </c>
      <c r="L15" s="40">
        <v>28218.0</v>
      </c>
      <c r="M15" s="40">
        <v>99.0</v>
      </c>
      <c r="N15" s="38" t="s">
        <v>675</v>
      </c>
      <c r="O15" s="38" t="s">
        <v>654</v>
      </c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>
      <c r="A16" s="38" t="s">
        <v>676</v>
      </c>
      <c r="B16" s="38" t="s">
        <v>649</v>
      </c>
      <c r="C16" s="40">
        <v>3542.0</v>
      </c>
      <c r="D16" s="38" t="s">
        <v>677</v>
      </c>
      <c r="E16" s="39" t="s">
        <v>551</v>
      </c>
      <c r="F16" s="38" t="s">
        <v>651</v>
      </c>
      <c r="G16" s="41">
        <v>46253.525196759256</v>
      </c>
      <c r="H16" s="40">
        <v>4108.72</v>
      </c>
      <c r="I16" s="38" t="s">
        <v>29</v>
      </c>
      <c r="J16" s="40">
        <v>1.0</v>
      </c>
      <c r="K16" s="38" t="s">
        <v>652</v>
      </c>
      <c r="L16" s="40">
        <v>28218.0</v>
      </c>
      <c r="M16" s="40">
        <v>99.0</v>
      </c>
      <c r="N16" s="38" t="s">
        <v>678</v>
      </c>
      <c r="O16" s="38" t="s">
        <v>654</v>
      </c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</row>
    <row r="17">
      <c r="A17" s="38" t="s">
        <v>680</v>
      </c>
      <c r="B17" s="38" t="s">
        <v>649</v>
      </c>
      <c r="C17" s="40">
        <v>3529.0</v>
      </c>
      <c r="D17" s="38" t="s">
        <v>681</v>
      </c>
      <c r="E17" s="39" t="s">
        <v>395</v>
      </c>
      <c r="F17" s="38" t="s">
        <v>657</v>
      </c>
      <c r="G17" s="41">
        <v>46255.53550925926</v>
      </c>
      <c r="H17" s="40">
        <v>4093.64</v>
      </c>
      <c r="I17" s="38" t="s">
        <v>29</v>
      </c>
      <c r="J17" s="40">
        <v>1.0</v>
      </c>
      <c r="K17" s="38" t="s">
        <v>652</v>
      </c>
      <c r="L17" s="40">
        <v>60950.0</v>
      </c>
      <c r="M17" s="40">
        <v>99.0</v>
      </c>
      <c r="N17" s="38" t="s">
        <v>682</v>
      </c>
      <c r="O17" s="38" t="s">
        <v>654</v>
      </c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</row>
    <row r="18">
      <c r="A18" s="38" t="s">
        <v>683</v>
      </c>
      <c r="B18" s="38" t="s">
        <v>649</v>
      </c>
      <c r="C18" s="40">
        <v>0.0</v>
      </c>
      <c r="D18" s="38" t="s">
        <v>684</v>
      </c>
      <c r="E18" s="38"/>
      <c r="F18" s="38" t="s">
        <v>685</v>
      </c>
      <c r="G18" s="41">
        <v>46252.527037037034</v>
      </c>
      <c r="H18" s="40">
        <v>0.0</v>
      </c>
      <c r="I18" s="38" t="s">
        <v>686</v>
      </c>
      <c r="J18" s="40">
        <v>1.0</v>
      </c>
      <c r="K18" s="38"/>
      <c r="L18" s="40">
        <v>28218.0</v>
      </c>
      <c r="M18" s="38"/>
      <c r="N18" s="38" t="s">
        <v>687</v>
      </c>
      <c r="O18" s="38" t="s">
        <v>654</v>
      </c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</row>
    <row r="19">
      <c r="A19" s="38" t="s">
        <v>688</v>
      </c>
      <c r="B19" s="38" t="s">
        <v>649</v>
      </c>
      <c r="C19" s="40">
        <v>4079.0</v>
      </c>
      <c r="D19" s="38" t="s">
        <v>689</v>
      </c>
      <c r="E19" s="39" t="s">
        <v>395</v>
      </c>
      <c r="F19" s="38" t="s">
        <v>657</v>
      </c>
      <c r="G19" s="41">
        <v>46237.486655092594</v>
      </c>
      <c r="H19" s="40">
        <v>4731.64</v>
      </c>
      <c r="I19" s="38" t="s">
        <v>29</v>
      </c>
      <c r="J19" s="40">
        <v>1.0</v>
      </c>
      <c r="K19" s="38" t="s">
        <v>652</v>
      </c>
      <c r="L19" s="40">
        <v>60950.0</v>
      </c>
      <c r="M19" s="40">
        <v>99.0</v>
      </c>
      <c r="N19" s="38" t="s">
        <v>690</v>
      </c>
      <c r="O19" s="38" t="s">
        <v>654</v>
      </c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</row>
    <row r="20">
      <c r="A20" s="38" t="s">
        <v>691</v>
      </c>
      <c r="B20" s="38" t="s">
        <v>649</v>
      </c>
      <c r="C20" s="40">
        <v>8442.0</v>
      </c>
      <c r="D20" s="38" t="s">
        <v>692</v>
      </c>
      <c r="E20" s="39" t="s">
        <v>551</v>
      </c>
      <c r="F20" s="38" t="s">
        <v>651</v>
      </c>
      <c r="G20" s="41">
        <v>46253.548738425925</v>
      </c>
      <c r="H20" s="40">
        <v>9792.72</v>
      </c>
      <c r="I20" s="38" t="s">
        <v>29</v>
      </c>
      <c r="J20" s="40">
        <v>1.0</v>
      </c>
      <c r="K20" s="38" t="s">
        <v>652</v>
      </c>
      <c r="L20" s="40">
        <v>28218.0</v>
      </c>
      <c r="M20" s="40">
        <v>99.0</v>
      </c>
      <c r="N20" s="38" t="s">
        <v>693</v>
      </c>
      <c r="O20" s="38" t="s">
        <v>654</v>
      </c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</row>
    <row r="21">
      <c r="A21" s="38" t="s">
        <v>694</v>
      </c>
      <c r="B21" s="38" t="s">
        <v>649</v>
      </c>
      <c r="C21" s="40">
        <v>7779.0</v>
      </c>
      <c r="D21" s="38" t="s">
        <v>695</v>
      </c>
      <c r="E21" s="39" t="s">
        <v>395</v>
      </c>
      <c r="F21" s="38" t="s">
        <v>657</v>
      </c>
      <c r="G21" s="41">
        <v>46254.71366898148</v>
      </c>
      <c r="H21" s="40">
        <v>9023.64</v>
      </c>
      <c r="I21" s="38" t="s">
        <v>29</v>
      </c>
      <c r="J21" s="40">
        <v>1.0</v>
      </c>
      <c r="K21" s="38" t="s">
        <v>652</v>
      </c>
      <c r="L21" s="40">
        <v>60950.0</v>
      </c>
      <c r="M21" s="40">
        <v>99.0</v>
      </c>
      <c r="N21" s="38" t="s">
        <v>696</v>
      </c>
      <c r="O21" s="38" t="s">
        <v>654</v>
      </c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</row>
    <row r="22">
      <c r="A22" s="38" t="s">
        <v>698</v>
      </c>
      <c r="B22" s="38" t="s">
        <v>649</v>
      </c>
      <c r="C22" s="40">
        <v>15042.0</v>
      </c>
      <c r="D22" s="38" t="s">
        <v>700</v>
      </c>
      <c r="E22" s="39" t="s">
        <v>551</v>
      </c>
      <c r="F22" s="38" t="s">
        <v>651</v>
      </c>
      <c r="G22" s="41">
        <v>46261.45591435185</v>
      </c>
      <c r="H22" s="40">
        <v>17448.72</v>
      </c>
      <c r="I22" s="38" t="s">
        <v>29</v>
      </c>
      <c r="J22" s="40">
        <v>1.0</v>
      </c>
      <c r="K22" s="38" t="s">
        <v>652</v>
      </c>
      <c r="L22" s="40">
        <v>28218.0</v>
      </c>
      <c r="M22" s="40">
        <v>99.0</v>
      </c>
      <c r="N22" s="38" t="s">
        <v>702</v>
      </c>
      <c r="O22" s="38" t="s">
        <v>654</v>
      </c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</row>
    <row r="23">
      <c r="A23" s="38" t="s">
        <v>703</v>
      </c>
      <c r="B23" s="38" t="s">
        <v>649</v>
      </c>
      <c r="C23" s="40">
        <v>4092.0</v>
      </c>
      <c r="D23" s="38" t="s">
        <v>704</v>
      </c>
      <c r="E23" s="39" t="s">
        <v>551</v>
      </c>
      <c r="F23" s="38" t="s">
        <v>651</v>
      </c>
      <c r="G23" s="41">
        <v>46260.56616898148</v>
      </c>
      <c r="H23" s="40">
        <v>4746.72</v>
      </c>
      <c r="I23" s="38" t="s">
        <v>29</v>
      </c>
      <c r="J23" s="40">
        <v>1.0</v>
      </c>
      <c r="K23" s="38" t="s">
        <v>652</v>
      </c>
      <c r="L23" s="40">
        <v>28218.0</v>
      </c>
      <c r="M23" s="40">
        <v>99.0</v>
      </c>
      <c r="N23" s="38" t="s">
        <v>705</v>
      </c>
      <c r="O23" s="38" t="s">
        <v>654</v>
      </c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>
      <c r="A24" s="38" t="s">
        <v>706</v>
      </c>
      <c r="B24" s="38" t="s">
        <v>649</v>
      </c>
      <c r="C24" s="40">
        <v>5029.0</v>
      </c>
      <c r="D24" s="38" t="s">
        <v>707</v>
      </c>
      <c r="E24" s="39" t="s">
        <v>395</v>
      </c>
      <c r="F24" s="38" t="s">
        <v>657</v>
      </c>
      <c r="G24" s="41">
        <v>46241.47126157407</v>
      </c>
      <c r="H24" s="40">
        <v>5833.64</v>
      </c>
      <c r="I24" s="38" t="s">
        <v>29</v>
      </c>
      <c r="J24" s="40">
        <v>1.0</v>
      </c>
      <c r="K24" s="38" t="s">
        <v>624</v>
      </c>
      <c r="L24" s="40">
        <v>60950.0</v>
      </c>
      <c r="M24" s="40">
        <v>3.0</v>
      </c>
      <c r="N24" s="38" t="s">
        <v>708</v>
      </c>
      <c r="O24" s="38" t="s">
        <v>654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>
      <c r="A25" s="38" t="s">
        <v>709</v>
      </c>
      <c r="B25" s="38" t="s">
        <v>649</v>
      </c>
      <c r="C25" s="40">
        <v>6142.0</v>
      </c>
      <c r="D25" s="38" t="s">
        <v>710</v>
      </c>
      <c r="E25" s="39" t="s">
        <v>551</v>
      </c>
      <c r="F25" s="38" t="s">
        <v>651</v>
      </c>
      <c r="G25" s="41">
        <v>46252.409895833334</v>
      </c>
      <c r="H25" s="40">
        <v>7124.72</v>
      </c>
      <c r="I25" s="38" t="s">
        <v>29</v>
      </c>
      <c r="J25" s="40">
        <v>1.0</v>
      </c>
      <c r="K25" s="38" t="s">
        <v>652</v>
      </c>
      <c r="L25" s="40">
        <v>28218.0</v>
      </c>
      <c r="M25" s="40">
        <v>99.0</v>
      </c>
      <c r="N25" s="38" t="s">
        <v>711</v>
      </c>
      <c r="O25" s="38" t="s">
        <v>654</v>
      </c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>
      <c r="A26" s="38" t="s">
        <v>712</v>
      </c>
      <c r="B26" s="38" t="s">
        <v>649</v>
      </c>
      <c r="C26" s="40">
        <v>3992.0</v>
      </c>
      <c r="D26" s="38" t="s">
        <v>713</v>
      </c>
      <c r="E26" s="39" t="s">
        <v>551</v>
      </c>
      <c r="F26" s="38" t="s">
        <v>651</v>
      </c>
      <c r="G26" s="41">
        <v>46261.52322916667</v>
      </c>
      <c r="H26" s="40">
        <v>4630.72</v>
      </c>
      <c r="I26" s="38" t="s">
        <v>29</v>
      </c>
      <c r="J26" s="40">
        <v>1.0</v>
      </c>
      <c r="K26" s="38" t="s">
        <v>652</v>
      </c>
      <c r="L26" s="40">
        <v>28218.0</v>
      </c>
      <c r="M26" s="40">
        <v>99.0</v>
      </c>
      <c r="N26" s="38" t="s">
        <v>714</v>
      </c>
      <c r="O26" s="38" t="s">
        <v>654</v>
      </c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>
      <c r="A27" s="38" t="s">
        <v>715</v>
      </c>
      <c r="B27" s="38" t="s">
        <v>649</v>
      </c>
      <c r="C27" s="40">
        <v>0.0</v>
      </c>
      <c r="D27" s="38" t="s">
        <v>716</v>
      </c>
      <c r="E27" s="38"/>
      <c r="F27" s="38" t="s">
        <v>685</v>
      </c>
      <c r="G27" s="41">
        <v>46265.51907407407</v>
      </c>
      <c r="H27" s="40">
        <v>0.0</v>
      </c>
      <c r="I27" s="38" t="s">
        <v>686</v>
      </c>
      <c r="J27" s="40">
        <v>1.0</v>
      </c>
      <c r="K27" s="38"/>
      <c r="L27" s="40">
        <v>28218.0</v>
      </c>
      <c r="M27" s="38"/>
      <c r="N27" s="38" t="s">
        <v>718</v>
      </c>
      <c r="O27" s="38" t="s">
        <v>654</v>
      </c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>
      <c r="A28" s="38" t="s">
        <v>719</v>
      </c>
      <c r="B28" s="38" t="s">
        <v>649</v>
      </c>
      <c r="C28" s="40">
        <v>5592.0</v>
      </c>
      <c r="D28" s="38" t="s">
        <v>720</v>
      </c>
      <c r="E28" s="39" t="s">
        <v>551</v>
      </c>
      <c r="F28" s="38" t="s">
        <v>651</v>
      </c>
      <c r="G28" s="41">
        <v>46261.522256944445</v>
      </c>
      <c r="H28" s="40">
        <v>6486.72</v>
      </c>
      <c r="I28" s="38" t="s">
        <v>29</v>
      </c>
      <c r="J28" s="40">
        <v>1.0</v>
      </c>
      <c r="K28" s="38" t="s">
        <v>652</v>
      </c>
      <c r="L28" s="40">
        <v>28218.0</v>
      </c>
      <c r="M28" s="40">
        <v>99.0</v>
      </c>
      <c r="N28" s="38" t="s">
        <v>721</v>
      </c>
      <c r="O28" s="38" t="s">
        <v>654</v>
      </c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>
      <c r="A29" s="38" t="s">
        <v>723</v>
      </c>
      <c r="B29" s="38" t="s">
        <v>649</v>
      </c>
      <c r="C29" s="40">
        <v>3442.0</v>
      </c>
      <c r="D29" s="38" t="s">
        <v>724</v>
      </c>
      <c r="E29" s="39" t="s">
        <v>551</v>
      </c>
      <c r="F29" s="38" t="s">
        <v>651</v>
      </c>
      <c r="G29" s="41">
        <v>46261.51068287037</v>
      </c>
      <c r="H29" s="40">
        <v>3992.72</v>
      </c>
      <c r="I29" s="38" t="s">
        <v>29</v>
      </c>
      <c r="J29" s="40">
        <v>1.0</v>
      </c>
      <c r="K29" s="38" t="s">
        <v>652</v>
      </c>
      <c r="L29" s="40">
        <v>28218.0</v>
      </c>
      <c r="M29" s="40">
        <v>99.0</v>
      </c>
      <c r="N29" s="38" t="s">
        <v>725</v>
      </c>
      <c r="O29" s="38" t="s">
        <v>654</v>
      </c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>
      <c r="A30" s="38" t="s">
        <v>726</v>
      </c>
      <c r="B30" s="38" t="s">
        <v>649</v>
      </c>
      <c r="C30" s="40">
        <v>3542.0</v>
      </c>
      <c r="D30" s="38" t="s">
        <v>727</v>
      </c>
      <c r="E30" s="39" t="s">
        <v>551</v>
      </c>
      <c r="F30" s="38" t="s">
        <v>651</v>
      </c>
      <c r="G30" s="41">
        <v>46261.44699074074</v>
      </c>
      <c r="H30" s="40">
        <v>4108.72</v>
      </c>
      <c r="I30" s="38" t="s">
        <v>29</v>
      </c>
      <c r="J30" s="40">
        <v>1.0</v>
      </c>
      <c r="K30" s="38" t="s">
        <v>652</v>
      </c>
      <c r="L30" s="40">
        <v>28218.0</v>
      </c>
      <c r="M30" s="40">
        <v>99.0</v>
      </c>
      <c r="N30" s="38" t="s">
        <v>729</v>
      </c>
      <c r="O30" s="38" t="s">
        <v>654</v>
      </c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</row>
    <row r="31">
      <c r="A31" s="38" t="s">
        <v>730</v>
      </c>
      <c r="B31" s="38" t="s">
        <v>649</v>
      </c>
      <c r="C31" s="40">
        <v>3442.0</v>
      </c>
      <c r="D31" s="38" t="s">
        <v>731</v>
      </c>
      <c r="E31" s="39" t="s">
        <v>551</v>
      </c>
      <c r="F31" s="38" t="s">
        <v>651</v>
      </c>
      <c r="G31" s="41">
        <v>46247.77327546296</v>
      </c>
      <c r="H31" s="40">
        <v>3992.72</v>
      </c>
      <c r="I31" s="38" t="s">
        <v>29</v>
      </c>
      <c r="J31" s="40">
        <v>1.0</v>
      </c>
      <c r="K31" s="38" t="s">
        <v>652</v>
      </c>
      <c r="L31" s="40">
        <v>28218.0</v>
      </c>
      <c r="M31" s="40">
        <v>99.0</v>
      </c>
      <c r="N31" s="38" t="s">
        <v>732</v>
      </c>
      <c r="O31" s="38" t="s">
        <v>654</v>
      </c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>
      <c r="A32" s="38" t="s">
        <v>734</v>
      </c>
      <c r="B32" s="38" t="s">
        <v>649</v>
      </c>
      <c r="C32" s="40">
        <v>5042.0</v>
      </c>
      <c r="D32" s="38" t="s">
        <v>735</v>
      </c>
      <c r="E32" s="39" t="s">
        <v>551</v>
      </c>
      <c r="F32" s="38" t="s">
        <v>651</v>
      </c>
      <c r="G32" s="41">
        <v>46239.51347222222</v>
      </c>
      <c r="H32" s="40">
        <v>5848.72</v>
      </c>
      <c r="I32" s="38" t="s">
        <v>29</v>
      </c>
      <c r="J32" s="40">
        <v>1.0</v>
      </c>
      <c r="K32" s="38" t="s">
        <v>652</v>
      </c>
      <c r="L32" s="40">
        <v>28218.0</v>
      </c>
      <c r="M32" s="40">
        <v>99.0</v>
      </c>
      <c r="N32" s="38" t="s">
        <v>736</v>
      </c>
      <c r="O32" s="38" t="s">
        <v>654</v>
      </c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>
      <c r="A33" s="38" t="s">
        <v>737</v>
      </c>
      <c r="B33" s="38" t="s">
        <v>649</v>
      </c>
      <c r="C33" s="40">
        <v>13442.0</v>
      </c>
      <c r="D33" s="38" t="s">
        <v>738</v>
      </c>
      <c r="E33" s="39" t="s">
        <v>551</v>
      </c>
      <c r="F33" s="38" t="s">
        <v>651</v>
      </c>
      <c r="G33" s="41">
        <v>46247.76766203704</v>
      </c>
      <c r="H33" s="40">
        <v>15592.72</v>
      </c>
      <c r="I33" s="38" t="s">
        <v>29</v>
      </c>
      <c r="J33" s="40">
        <v>1.0</v>
      </c>
      <c r="K33" s="38" t="s">
        <v>652</v>
      </c>
      <c r="L33" s="40">
        <v>28218.0</v>
      </c>
      <c r="M33" s="40">
        <v>99.0</v>
      </c>
      <c r="N33" s="38" t="s">
        <v>739</v>
      </c>
      <c r="O33" s="38" t="s">
        <v>654</v>
      </c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>
      <c r="A34" s="38" t="s">
        <v>740</v>
      </c>
      <c r="B34" s="38" t="s">
        <v>649</v>
      </c>
      <c r="C34" s="40">
        <v>5634.0</v>
      </c>
      <c r="D34" s="38" t="s">
        <v>741</v>
      </c>
      <c r="E34" s="39" t="s">
        <v>551</v>
      </c>
      <c r="F34" s="38" t="s">
        <v>651</v>
      </c>
      <c r="G34" s="41">
        <v>46261.44158564815</v>
      </c>
      <c r="H34" s="40">
        <v>6535.44</v>
      </c>
      <c r="I34" s="38" t="s">
        <v>29</v>
      </c>
      <c r="J34" s="40">
        <v>1.0</v>
      </c>
      <c r="K34" s="38" t="s">
        <v>652</v>
      </c>
      <c r="L34" s="40">
        <v>28218.0</v>
      </c>
      <c r="M34" s="40">
        <v>99.0</v>
      </c>
      <c r="N34" s="38" t="s">
        <v>742</v>
      </c>
      <c r="O34" s="38" t="s">
        <v>654</v>
      </c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>
      <c r="A35" s="38" t="s">
        <v>743</v>
      </c>
      <c r="B35" s="38" t="s">
        <v>649</v>
      </c>
      <c r="C35" s="40">
        <v>4079.0</v>
      </c>
      <c r="D35" s="38" t="s">
        <v>744</v>
      </c>
      <c r="E35" s="39" t="s">
        <v>395</v>
      </c>
      <c r="F35" s="38" t="s">
        <v>657</v>
      </c>
      <c r="G35" s="41">
        <v>46248.54987268519</v>
      </c>
      <c r="H35" s="40">
        <v>4731.64</v>
      </c>
      <c r="I35" s="38" t="s">
        <v>29</v>
      </c>
      <c r="J35" s="40">
        <v>1.0</v>
      </c>
      <c r="K35" s="38" t="s">
        <v>652</v>
      </c>
      <c r="L35" s="40">
        <v>60950.0</v>
      </c>
      <c r="M35" s="40">
        <v>99.0</v>
      </c>
      <c r="N35" s="38" t="s">
        <v>745</v>
      </c>
      <c r="O35" s="38" t="s">
        <v>654</v>
      </c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>
      <c r="A36" s="38" t="s">
        <v>746</v>
      </c>
      <c r="B36" s="38" t="s">
        <v>649</v>
      </c>
      <c r="C36" s="40">
        <v>3442.0</v>
      </c>
      <c r="D36" s="38" t="s">
        <v>747</v>
      </c>
      <c r="E36" s="39" t="s">
        <v>551</v>
      </c>
      <c r="F36" s="38" t="s">
        <v>651</v>
      </c>
      <c r="G36" s="41">
        <v>46259.74890046296</v>
      </c>
      <c r="H36" s="40">
        <v>3992.72</v>
      </c>
      <c r="I36" s="38" t="s">
        <v>29</v>
      </c>
      <c r="J36" s="40">
        <v>1.0</v>
      </c>
      <c r="K36" s="38" t="s">
        <v>652</v>
      </c>
      <c r="L36" s="40">
        <v>28218.0</v>
      </c>
      <c r="M36" s="40">
        <v>99.0</v>
      </c>
      <c r="N36" s="38" t="s">
        <v>748</v>
      </c>
      <c r="O36" s="38" t="s">
        <v>654</v>
      </c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>
      <c r="A37" s="38" t="s">
        <v>749</v>
      </c>
      <c r="B37" s="38" t="s">
        <v>649</v>
      </c>
      <c r="C37" s="40">
        <v>3529.0</v>
      </c>
      <c r="D37" s="38" t="s">
        <v>750</v>
      </c>
      <c r="E37" s="39" t="s">
        <v>395</v>
      </c>
      <c r="F37" s="38" t="s">
        <v>657</v>
      </c>
      <c r="G37" s="41">
        <v>46241.400243055556</v>
      </c>
      <c r="H37" s="40">
        <v>4093.64</v>
      </c>
      <c r="I37" s="38" t="s">
        <v>29</v>
      </c>
      <c r="J37" s="40">
        <v>1.0</v>
      </c>
      <c r="K37" s="38" t="s">
        <v>652</v>
      </c>
      <c r="L37" s="40">
        <v>60950.0</v>
      </c>
      <c r="M37" s="40">
        <v>99.0</v>
      </c>
      <c r="N37" s="38" t="s">
        <v>751</v>
      </c>
      <c r="O37" s="38" t="s">
        <v>654</v>
      </c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>
      <c r="A38" s="38" t="s">
        <v>752</v>
      </c>
      <c r="B38" s="38" t="s">
        <v>649</v>
      </c>
      <c r="C38" s="40">
        <v>3542.0</v>
      </c>
      <c r="D38" s="38" t="s">
        <v>753</v>
      </c>
      <c r="E38" s="39" t="s">
        <v>551</v>
      </c>
      <c r="F38" s="38" t="s">
        <v>651</v>
      </c>
      <c r="G38" s="41">
        <v>46237.49700231481</v>
      </c>
      <c r="H38" s="40">
        <v>4108.72</v>
      </c>
      <c r="I38" s="38" t="s">
        <v>29</v>
      </c>
      <c r="J38" s="40">
        <v>1.0</v>
      </c>
      <c r="K38" s="38" t="s">
        <v>652</v>
      </c>
      <c r="L38" s="40">
        <v>28218.0</v>
      </c>
      <c r="M38" s="40">
        <v>99.0</v>
      </c>
      <c r="N38" s="38" t="s">
        <v>754</v>
      </c>
      <c r="O38" s="38" t="s">
        <v>654</v>
      </c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>
      <c r="A39" s="38" t="s">
        <v>756</v>
      </c>
      <c r="B39" s="38" t="s">
        <v>649</v>
      </c>
      <c r="C39" s="40">
        <v>3529.0</v>
      </c>
      <c r="D39" s="38" t="s">
        <v>757</v>
      </c>
      <c r="E39" s="39" t="s">
        <v>395</v>
      </c>
      <c r="F39" s="38" t="s">
        <v>657</v>
      </c>
      <c r="G39" s="41">
        <v>46262.42306712963</v>
      </c>
      <c r="H39" s="40">
        <v>4093.64</v>
      </c>
      <c r="I39" s="38" t="s">
        <v>29</v>
      </c>
      <c r="J39" s="40">
        <v>1.0</v>
      </c>
      <c r="K39" s="38" t="s">
        <v>624</v>
      </c>
      <c r="L39" s="40">
        <v>60950.0</v>
      </c>
      <c r="M39" s="40">
        <v>3.0</v>
      </c>
      <c r="N39" s="38" t="s">
        <v>758</v>
      </c>
      <c r="O39" s="38" t="s">
        <v>654</v>
      </c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>
      <c r="A40" s="38" t="s">
        <v>759</v>
      </c>
      <c r="B40" s="38" t="s">
        <v>649</v>
      </c>
      <c r="C40" s="40">
        <v>3442.0</v>
      </c>
      <c r="D40" s="38" t="s">
        <v>760</v>
      </c>
      <c r="E40" s="39" t="s">
        <v>551</v>
      </c>
      <c r="F40" s="38" t="s">
        <v>651</v>
      </c>
      <c r="G40" s="41">
        <v>46261.42324074074</v>
      </c>
      <c r="H40" s="40">
        <v>3992.72</v>
      </c>
      <c r="I40" s="38" t="s">
        <v>29</v>
      </c>
      <c r="J40" s="40">
        <v>1.0</v>
      </c>
      <c r="K40" s="38" t="s">
        <v>652</v>
      </c>
      <c r="L40" s="40">
        <v>28218.0</v>
      </c>
      <c r="M40" s="40">
        <v>99.0</v>
      </c>
      <c r="N40" s="38" t="s">
        <v>761</v>
      </c>
      <c r="O40" s="38" t="s">
        <v>654</v>
      </c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>
      <c r="A41" s="38" t="s">
        <v>762</v>
      </c>
      <c r="B41" s="38" t="s">
        <v>649</v>
      </c>
      <c r="C41" s="40">
        <v>4079.0</v>
      </c>
      <c r="D41" s="38" t="s">
        <v>763</v>
      </c>
      <c r="E41" s="39" t="s">
        <v>395</v>
      </c>
      <c r="F41" s="38" t="s">
        <v>657</v>
      </c>
      <c r="G41" s="41">
        <v>46248.54547453704</v>
      </c>
      <c r="H41" s="40">
        <v>4731.64</v>
      </c>
      <c r="I41" s="38" t="s">
        <v>29</v>
      </c>
      <c r="J41" s="40">
        <v>1.0</v>
      </c>
      <c r="K41" s="38" t="s">
        <v>652</v>
      </c>
      <c r="L41" s="40">
        <v>60950.0</v>
      </c>
      <c r="M41" s="40">
        <v>99.0</v>
      </c>
      <c r="N41" s="38" t="s">
        <v>764</v>
      </c>
      <c r="O41" s="38" t="s">
        <v>654</v>
      </c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>
      <c r="A42" s="38" t="s">
        <v>765</v>
      </c>
      <c r="B42" s="38" t="s">
        <v>649</v>
      </c>
      <c r="C42" s="40">
        <v>3442.0</v>
      </c>
      <c r="D42" s="38" t="s">
        <v>766</v>
      </c>
      <c r="E42" s="39" t="s">
        <v>551</v>
      </c>
      <c r="F42" s="38" t="s">
        <v>651</v>
      </c>
      <c r="G42" s="41">
        <v>46252.411875</v>
      </c>
      <c r="H42" s="40">
        <v>3992.72</v>
      </c>
      <c r="I42" s="38" t="s">
        <v>29</v>
      </c>
      <c r="J42" s="40">
        <v>1.0</v>
      </c>
      <c r="K42" s="38" t="s">
        <v>652</v>
      </c>
      <c r="L42" s="40">
        <v>28218.0</v>
      </c>
      <c r="M42" s="40">
        <v>99.0</v>
      </c>
      <c r="N42" s="38" t="s">
        <v>767</v>
      </c>
      <c r="O42" s="38" t="s">
        <v>654</v>
      </c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>
      <c r="A43" s="38" t="s">
        <v>768</v>
      </c>
      <c r="B43" s="38" t="s">
        <v>649</v>
      </c>
      <c r="C43" s="40">
        <v>3529.0</v>
      </c>
      <c r="D43" s="38" t="s">
        <v>769</v>
      </c>
      <c r="E43" s="39" t="s">
        <v>395</v>
      </c>
      <c r="F43" s="38" t="s">
        <v>657</v>
      </c>
      <c r="G43" s="41">
        <v>46241.58425925926</v>
      </c>
      <c r="H43" s="40">
        <v>4093.64</v>
      </c>
      <c r="I43" s="38" t="s">
        <v>29</v>
      </c>
      <c r="J43" s="40">
        <v>1.0</v>
      </c>
      <c r="K43" s="38" t="s">
        <v>624</v>
      </c>
      <c r="L43" s="40">
        <v>60950.0</v>
      </c>
      <c r="M43" s="40">
        <v>3.0</v>
      </c>
      <c r="N43" s="38" t="s">
        <v>771</v>
      </c>
      <c r="O43" s="38" t="s">
        <v>654</v>
      </c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>
      <c r="A44" s="38" t="s">
        <v>772</v>
      </c>
      <c r="B44" s="38" t="s">
        <v>649</v>
      </c>
      <c r="C44" s="40">
        <v>0.0</v>
      </c>
      <c r="D44" s="38" t="s">
        <v>773</v>
      </c>
      <c r="E44" s="38"/>
      <c r="F44" s="38" t="s">
        <v>685</v>
      </c>
      <c r="G44" s="41">
        <v>46247.39380787037</v>
      </c>
      <c r="H44" s="40">
        <v>0.0</v>
      </c>
      <c r="I44" s="38" t="s">
        <v>686</v>
      </c>
      <c r="J44" s="40">
        <v>1.0</v>
      </c>
      <c r="K44" s="38"/>
      <c r="L44" s="40">
        <v>28218.0</v>
      </c>
      <c r="M44" s="38"/>
      <c r="N44" s="38" t="s">
        <v>774</v>
      </c>
      <c r="O44" s="38" t="s">
        <v>654</v>
      </c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>
      <c r="A45" s="38" t="s">
        <v>775</v>
      </c>
      <c r="B45" s="38" t="s">
        <v>649</v>
      </c>
      <c r="C45" s="40">
        <v>18568.0</v>
      </c>
      <c r="D45" s="38" t="s">
        <v>776</v>
      </c>
      <c r="E45" s="39" t="s">
        <v>551</v>
      </c>
      <c r="F45" s="38" t="s">
        <v>651</v>
      </c>
      <c r="G45" s="41">
        <v>46262.77615740741</v>
      </c>
      <c r="H45" s="40">
        <v>21538.88</v>
      </c>
      <c r="I45" s="38" t="s">
        <v>29</v>
      </c>
      <c r="J45" s="40">
        <v>1.0</v>
      </c>
      <c r="K45" s="38" t="s">
        <v>652</v>
      </c>
      <c r="L45" s="40">
        <v>28218.0</v>
      </c>
      <c r="M45" s="40">
        <v>99.0</v>
      </c>
      <c r="N45" s="38" t="s">
        <v>777</v>
      </c>
      <c r="O45" s="38" t="s">
        <v>654</v>
      </c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>
      <c r="A46" s="38" t="s">
        <v>778</v>
      </c>
      <c r="B46" s="38" t="s">
        <v>649</v>
      </c>
      <c r="C46" s="40">
        <v>4092.0</v>
      </c>
      <c r="D46" s="38" t="s">
        <v>779</v>
      </c>
      <c r="E46" s="39" t="s">
        <v>551</v>
      </c>
      <c r="F46" s="38" t="s">
        <v>651</v>
      </c>
      <c r="G46" s="41">
        <v>46255.52847222222</v>
      </c>
      <c r="H46" s="40">
        <v>4746.72</v>
      </c>
      <c r="I46" s="38" t="s">
        <v>29</v>
      </c>
      <c r="J46" s="40">
        <v>1.0</v>
      </c>
      <c r="K46" s="38" t="s">
        <v>652</v>
      </c>
      <c r="L46" s="40">
        <v>28218.0</v>
      </c>
      <c r="M46" s="40">
        <v>99.0</v>
      </c>
      <c r="N46" s="38" t="s">
        <v>780</v>
      </c>
      <c r="O46" s="38" t="s">
        <v>654</v>
      </c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>
      <c r="A47" s="38" t="s">
        <v>781</v>
      </c>
      <c r="B47" s="38" t="s">
        <v>649</v>
      </c>
      <c r="C47" s="40">
        <v>3442.0</v>
      </c>
      <c r="D47" s="38" t="s">
        <v>782</v>
      </c>
      <c r="E47" s="39" t="s">
        <v>551</v>
      </c>
      <c r="F47" s="38" t="s">
        <v>651</v>
      </c>
      <c r="G47" s="41">
        <v>46253.53815972222</v>
      </c>
      <c r="H47" s="40">
        <v>3992.72</v>
      </c>
      <c r="I47" s="38" t="s">
        <v>29</v>
      </c>
      <c r="J47" s="40">
        <v>1.0</v>
      </c>
      <c r="K47" s="38" t="s">
        <v>652</v>
      </c>
      <c r="L47" s="40">
        <v>28218.0</v>
      </c>
      <c r="M47" s="40">
        <v>99.0</v>
      </c>
      <c r="N47" s="38" t="s">
        <v>783</v>
      </c>
      <c r="O47" s="38" t="s">
        <v>654</v>
      </c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>
      <c r="A48" s="38" t="s">
        <v>784</v>
      </c>
      <c r="B48" s="38" t="s">
        <v>649</v>
      </c>
      <c r="C48" s="40">
        <v>5042.0</v>
      </c>
      <c r="D48" s="38" t="s">
        <v>785</v>
      </c>
      <c r="E48" s="39" t="s">
        <v>551</v>
      </c>
      <c r="F48" s="38" t="s">
        <v>651</v>
      </c>
      <c r="G48" s="41">
        <v>46252.41107638889</v>
      </c>
      <c r="H48" s="40">
        <v>5848.72</v>
      </c>
      <c r="I48" s="38" t="s">
        <v>29</v>
      </c>
      <c r="J48" s="40">
        <v>1.0</v>
      </c>
      <c r="K48" s="38" t="s">
        <v>652</v>
      </c>
      <c r="L48" s="40">
        <v>28218.0</v>
      </c>
      <c r="M48" s="40">
        <v>99.0</v>
      </c>
      <c r="N48" s="38" t="s">
        <v>786</v>
      </c>
      <c r="O48" s="38" t="s">
        <v>654</v>
      </c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>
      <c r="A49" s="38" t="s">
        <v>787</v>
      </c>
      <c r="B49" s="38" t="s">
        <v>649</v>
      </c>
      <c r="C49" s="40">
        <v>6142.0</v>
      </c>
      <c r="D49" s="38" t="s">
        <v>788</v>
      </c>
      <c r="E49" s="39" t="s">
        <v>551</v>
      </c>
      <c r="F49" s="38" t="s">
        <v>651</v>
      </c>
      <c r="G49" s="41">
        <v>46261.509409722225</v>
      </c>
      <c r="H49" s="40">
        <v>7124.72</v>
      </c>
      <c r="I49" s="38" t="s">
        <v>29</v>
      </c>
      <c r="J49" s="40">
        <v>1.0</v>
      </c>
      <c r="K49" s="38" t="s">
        <v>652</v>
      </c>
      <c r="L49" s="40">
        <v>28218.0</v>
      </c>
      <c r="M49" s="40">
        <v>99.0</v>
      </c>
      <c r="N49" s="38" t="s">
        <v>789</v>
      </c>
      <c r="O49" s="38" t="s">
        <v>654</v>
      </c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>
      <c r="A50" s="38" t="s">
        <v>790</v>
      </c>
      <c r="B50" s="38" t="s">
        <v>148</v>
      </c>
      <c r="C50" s="40">
        <v>0.0</v>
      </c>
      <c r="D50" s="38" t="s">
        <v>791</v>
      </c>
      <c r="E50" s="38"/>
      <c r="F50" s="38" t="s">
        <v>685</v>
      </c>
      <c r="G50" s="41">
        <v>46244.537083333336</v>
      </c>
      <c r="H50" s="40">
        <v>0.0</v>
      </c>
      <c r="I50" s="38" t="s">
        <v>686</v>
      </c>
      <c r="J50" s="40">
        <v>1.0</v>
      </c>
      <c r="K50" s="38"/>
      <c r="L50" s="40">
        <v>91700.0</v>
      </c>
      <c r="M50" s="38"/>
      <c r="N50" s="38" t="s">
        <v>792</v>
      </c>
      <c r="O50" s="38" t="s">
        <v>793</v>
      </c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>
      <c r="A51" s="38" t="s">
        <v>794</v>
      </c>
      <c r="B51" s="38" t="s">
        <v>148</v>
      </c>
      <c r="C51" s="40">
        <v>2000.0</v>
      </c>
      <c r="D51" s="38" t="s">
        <v>795</v>
      </c>
      <c r="E51" s="39" t="s">
        <v>554</v>
      </c>
      <c r="F51" s="38"/>
      <c r="G51" s="41">
        <v>46245.7293287037</v>
      </c>
      <c r="H51" s="40">
        <v>2320.0</v>
      </c>
      <c r="I51" s="38" t="s">
        <v>29</v>
      </c>
      <c r="J51" s="40">
        <v>1.0</v>
      </c>
      <c r="K51" s="38" t="s">
        <v>652</v>
      </c>
      <c r="L51" s="40">
        <v>91700.0</v>
      </c>
      <c r="M51" s="40">
        <v>99.0</v>
      </c>
      <c r="N51" s="38" t="s">
        <v>796</v>
      </c>
      <c r="O51" s="38" t="s">
        <v>793</v>
      </c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>
      <c r="A52" s="38" t="s">
        <v>797</v>
      </c>
      <c r="B52" s="38" t="s">
        <v>148</v>
      </c>
      <c r="C52" s="40">
        <v>2900.0</v>
      </c>
      <c r="D52" s="38" t="s">
        <v>798</v>
      </c>
      <c r="E52" s="39" t="s">
        <v>551</v>
      </c>
      <c r="F52" s="38"/>
      <c r="G52" s="41">
        <v>46240.56570601852</v>
      </c>
      <c r="H52" s="40">
        <v>3364.0</v>
      </c>
      <c r="I52" s="38" t="s">
        <v>29</v>
      </c>
      <c r="J52" s="40">
        <v>1.0</v>
      </c>
      <c r="K52" s="38" t="s">
        <v>652</v>
      </c>
      <c r="L52" s="40">
        <v>91700.0</v>
      </c>
      <c r="M52" s="40">
        <v>99.0</v>
      </c>
      <c r="N52" s="38" t="s">
        <v>799</v>
      </c>
      <c r="O52" s="38" t="s">
        <v>793</v>
      </c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>
      <c r="A53" s="38" t="s">
        <v>800</v>
      </c>
      <c r="B53" s="38" t="s">
        <v>148</v>
      </c>
      <c r="C53" s="40">
        <v>2000.0</v>
      </c>
      <c r="D53" s="38" t="s">
        <v>801</v>
      </c>
      <c r="E53" s="39" t="s">
        <v>554</v>
      </c>
      <c r="F53" s="38"/>
      <c r="G53" s="41">
        <v>46244.53703703704</v>
      </c>
      <c r="H53" s="40">
        <v>2320.0</v>
      </c>
      <c r="I53" s="38" t="s">
        <v>29</v>
      </c>
      <c r="J53" s="40">
        <v>1.0</v>
      </c>
      <c r="K53" s="38" t="s">
        <v>652</v>
      </c>
      <c r="L53" s="40">
        <v>91700.0</v>
      </c>
      <c r="M53" s="40">
        <v>99.0</v>
      </c>
      <c r="N53" s="38" t="s">
        <v>802</v>
      </c>
      <c r="O53" s="38" t="s">
        <v>793</v>
      </c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>
      <c r="A54" s="38" t="s">
        <v>803</v>
      </c>
      <c r="B54" s="38" t="s">
        <v>148</v>
      </c>
      <c r="C54" s="40">
        <v>2900.0</v>
      </c>
      <c r="D54" s="38" t="s">
        <v>804</v>
      </c>
      <c r="E54" s="39" t="s">
        <v>551</v>
      </c>
      <c r="F54" s="38"/>
      <c r="G54" s="41">
        <v>46247.50958333333</v>
      </c>
      <c r="H54" s="40">
        <v>3364.0</v>
      </c>
      <c r="I54" s="38" t="s">
        <v>29</v>
      </c>
      <c r="J54" s="40">
        <v>1.0</v>
      </c>
      <c r="K54" s="38" t="s">
        <v>624</v>
      </c>
      <c r="L54" s="40">
        <v>91700.0</v>
      </c>
      <c r="M54" s="40">
        <v>3.0</v>
      </c>
      <c r="N54" s="38" t="s">
        <v>805</v>
      </c>
      <c r="O54" s="38" t="s">
        <v>793</v>
      </c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>
      <c r="A55" s="38" t="s">
        <v>806</v>
      </c>
      <c r="B55" s="38" t="s">
        <v>148</v>
      </c>
      <c r="C55" s="40">
        <v>5800.0</v>
      </c>
      <c r="D55" s="38" t="s">
        <v>808</v>
      </c>
      <c r="E55" s="39" t="s">
        <v>551</v>
      </c>
      <c r="F55" s="38"/>
      <c r="G55" s="41">
        <v>46260.734930555554</v>
      </c>
      <c r="H55" s="40">
        <v>6728.0</v>
      </c>
      <c r="I55" s="38" t="s">
        <v>29</v>
      </c>
      <c r="J55" s="40">
        <v>1.0</v>
      </c>
      <c r="K55" s="38" t="s">
        <v>624</v>
      </c>
      <c r="L55" s="40">
        <v>91700.0</v>
      </c>
      <c r="M55" s="40">
        <v>3.0</v>
      </c>
      <c r="N55" s="38" t="s">
        <v>810</v>
      </c>
      <c r="O55" s="38" t="s">
        <v>793</v>
      </c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>
      <c r="A56" s="38" t="s">
        <v>811</v>
      </c>
      <c r="B56" s="38" t="s">
        <v>148</v>
      </c>
      <c r="C56" s="40">
        <v>2000.0</v>
      </c>
      <c r="D56" s="38" t="s">
        <v>812</v>
      </c>
      <c r="E56" s="39" t="s">
        <v>554</v>
      </c>
      <c r="F56" s="38"/>
      <c r="G56" s="41">
        <v>46261.71954861111</v>
      </c>
      <c r="H56" s="40">
        <v>2320.0</v>
      </c>
      <c r="I56" s="38" t="s">
        <v>29</v>
      </c>
      <c r="J56" s="40">
        <v>1.0</v>
      </c>
      <c r="K56" s="38" t="s">
        <v>624</v>
      </c>
      <c r="L56" s="40">
        <v>91700.0</v>
      </c>
      <c r="M56" s="40">
        <v>3.0</v>
      </c>
      <c r="N56" s="38" t="s">
        <v>813</v>
      </c>
      <c r="O56" s="38" t="s">
        <v>793</v>
      </c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>
      <c r="A57" s="38" t="s">
        <v>814</v>
      </c>
      <c r="B57" s="38" t="s">
        <v>148</v>
      </c>
      <c r="C57" s="40">
        <v>4000.0</v>
      </c>
      <c r="D57" s="38" t="s">
        <v>815</v>
      </c>
      <c r="E57" s="39" t="s">
        <v>554</v>
      </c>
      <c r="F57" s="38"/>
      <c r="G57" s="41">
        <v>46240.588912037034</v>
      </c>
      <c r="H57" s="40">
        <v>4640.0</v>
      </c>
      <c r="I57" s="38" t="s">
        <v>29</v>
      </c>
      <c r="J57" s="40">
        <v>1.0</v>
      </c>
      <c r="K57" s="38" t="s">
        <v>624</v>
      </c>
      <c r="L57" s="40">
        <v>91700.0</v>
      </c>
      <c r="M57" s="40">
        <v>3.0</v>
      </c>
      <c r="N57" s="38" t="s">
        <v>816</v>
      </c>
      <c r="O57" s="38" t="s">
        <v>793</v>
      </c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>
      <c r="A58" s="38" t="s">
        <v>817</v>
      </c>
      <c r="B58" s="38" t="s">
        <v>148</v>
      </c>
      <c r="C58" s="40">
        <v>4000.0</v>
      </c>
      <c r="D58" s="38" t="s">
        <v>818</v>
      </c>
      <c r="E58" s="39" t="s">
        <v>554</v>
      </c>
      <c r="F58" s="38"/>
      <c r="G58" s="41">
        <v>46238.740208333336</v>
      </c>
      <c r="H58" s="40">
        <v>4640.0</v>
      </c>
      <c r="I58" s="38" t="s">
        <v>29</v>
      </c>
      <c r="J58" s="40">
        <v>1.0</v>
      </c>
      <c r="K58" s="38" t="s">
        <v>624</v>
      </c>
      <c r="L58" s="40">
        <v>91700.0</v>
      </c>
      <c r="M58" s="40">
        <v>3.0</v>
      </c>
      <c r="N58" s="38" t="s">
        <v>819</v>
      </c>
      <c r="O58" s="38" t="s">
        <v>793</v>
      </c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>
      <c r="A59" s="38" t="s">
        <v>820</v>
      </c>
      <c r="B59" s="38" t="s">
        <v>148</v>
      </c>
      <c r="C59" s="40">
        <v>2900.0</v>
      </c>
      <c r="D59" s="38" t="s">
        <v>821</v>
      </c>
      <c r="E59" s="39" t="s">
        <v>551</v>
      </c>
      <c r="F59" s="38"/>
      <c r="G59" s="41">
        <v>46241.68675925926</v>
      </c>
      <c r="H59" s="40">
        <v>3364.0</v>
      </c>
      <c r="I59" s="38" t="s">
        <v>29</v>
      </c>
      <c r="J59" s="40">
        <v>1.0</v>
      </c>
      <c r="K59" s="38" t="s">
        <v>624</v>
      </c>
      <c r="L59" s="40">
        <v>91700.0</v>
      </c>
      <c r="M59" s="40">
        <v>3.0</v>
      </c>
      <c r="N59" s="38" t="s">
        <v>822</v>
      </c>
      <c r="O59" s="38" t="s">
        <v>793</v>
      </c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>
      <c r="A60" s="38" t="s">
        <v>823</v>
      </c>
      <c r="B60" s="38" t="s">
        <v>148</v>
      </c>
      <c r="C60" s="40">
        <v>2900.0</v>
      </c>
      <c r="D60" s="38" t="s">
        <v>824</v>
      </c>
      <c r="E60" s="39" t="s">
        <v>551</v>
      </c>
      <c r="F60" s="38"/>
      <c r="G60" s="41">
        <v>46241.51341435185</v>
      </c>
      <c r="H60" s="40">
        <v>3364.0</v>
      </c>
      <c r="I60" s="38" t="s">
        <v>29</v>
      </c>
      <c r="J60" s="40">
        <v>1.0</v>
      </c>
      <c r="K60" s="38" t="s">
        <v>624</v>
      </c>
      <c r="L60" s="40">
        <v>91700.0</v>
      </c>
      <c r="M60" s="40">
        <v>3.0</v>
      </c>
      <c r="N60" s="38" t="s">
        <v>825</v>
      </c>
      <c r="O60" s="38" t="s">
        <v>793</v>
      </c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>
      <c r="A61" s="38" t="s">
        <v>826</v>
      </c>
      <c r="B61" s="38" t="s">
        <v>148</v>
      </c>
      <c r="C61" s="40">
        <v>2000.0</v>
      </c>
      <c r="D61" s="38" t="s">
        <v>827</v>
      </c>
      <c r="E61" s="39" t="s">
        <v>554</v>
      </c>
      <c r="F61" s="38"/>
      <c r="G61" s="41">
        <v>46240.58232638889</v>
      </c>
      <c r="H61" s="40">
        <v>2320.0</v>
      </c>
      <c r="I61" s="38" t="s">
        <v>29</v>
      </c>
      <c r="J61" s="40">
        <v>1.0</v>
      </c>
      <c r="K61" s="38" t="s">
        <v>624</v>
      </c>
      <c r="L61" s="40">
        <v>91700.0</v>
      </c>
      <c r="M61" s="40">
        <v>3.0</v>
      </c>
      <c r="N61" s="38" t="s">
        <v>828</v>
      </c>
      <c r="O61" s="38" t="s">
        <v>793</v>
      </c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>
      <c r="A62" s="38" t="s">
        <v>829</v>
      </c>
      <c r="B62" s="38" t="s">
        <v>148</v>
      </c>
      <c r="C62" s="40">
        <v>4000.0</v>
      </c>
      <c r="D62" s="38" t="s">
        <v>830</v>
      </c>
      <c r="E62" s="39" t="s">
        <v>554</v>
      </c>
      <c r="F62" s="38"/>
      <c r="G62" s="41">
        <v>46261.71606481481</v>
      </c>
      <c r="H62" s="40">
        <v>4640.0</v>
      </c>
      <c r="I62" s="38" t="s">
        <v>29</v>
      </c>
      <c r="J62" s="40">
        <v>1.0</v>
      </c>
      <c r="K62" s="38" t="s">
        <v>624</v>
      </c>
      <c r="L62" s="40">
        <v>91700.0</v>
      </c>
      <c r="M62" s="40">
        <v>3.0</v>
      </c>
      <c r="N62" s="38" t="s">
        <v>831</v>
      </c>
      <c r="O62" s="38" t="s">
        <v>793</v>
      </c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>
      <c r="A63" s="38" t="s">
        <v>832</v>
      </c>
      <c r="B63" s="38" t="s">
        <v>148</v>
      </c>
      <c r="C63" s="40">
        <v>1.0</v>
      </c>
      <c r="D63" s="38" t="s">
        <v>833</v>
      </c>
      <c r="E63" s="39" t="s">
        <v>551</v>
      </c>
      <c r="F63" s="38"/>
      <c r="G63" s="41">
        <v>46246.59302083333</v>
      </c>
      <c r="H63" s="40">
        <v>1.16</v>
      </c>
      <c r="I63" s="38" t="s">
        <v>29</v>
      </c>
      <c r="J63" s="40">
        <v>1.0</v>
      </c>
      <c r="K63" s="38" t="s">
        <v>624</v>
      </c>
      <c r="L63" s="40">
        <v>91700.0</v>
      </c>
      <c r="M63" s="40">
        <v>3.0</v>
      </c>
      <c r="N63" s="38" t="s">
        <v>834</v>
      </c>
      <c r="O63" s="38" t="s">
        <v>793</v>
      </c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>
      <c r="A64" s="38" t="s">
        <v>835</v>
      </c>
      <c r="B64" s="38" t="s">
        <v>148</v>
      </c>
      <c r="C64" s="40">
        <v>2000.0</v>
      </c>
      <c r="D64" s="38" t="s">
        <v>836</v>
      </c>
      <c r="E64" s="39" t="s">
        <v>554</v>
      </c>
      <c r="F64" s="38"/>
      <c r="G64" s="41">
        <v>46240.59460648148</v>
      </c>
      <c r="H64" s="40">
        <v>2320.0</v>
      </c>
      <c r="I64" s="38" t="s">
        <v>29</v>
      </c>
      <c r="J64" s="40">
        <v>1.0</v>
      </c>
      <c r="K64" s="38" t="s">
        <v>624</v>
      </c>
      <c r="L64" s="40">
        <v>91700.0</v>
      </c>
      <c r="M64" s="40">
        <v>3.0</v>
      </c>
      <c r="N64" s="38" t="s">
        <v>837</v>
      </c>
      <c r="O64" s="38" t="s">
        <v>793</v>
      </c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>
      <c r="A65" s="38" t="s">
        <v>839</v>
      </c>
      <c r="B65" s="38" t="s">
        <v>148</v>
      </c>
      <c r="C65" s="40">
        <v>4000.0</v>
      </c>
      <c r="D65" s="38" t="s">
        <v>840</v>
      </c>
      <c r="E65" s="39" t="s">
        <v>554</v>
      </c>
      <c r="F65" s="38"/>
      <c r="G65" s="41">
        <v>46238.58211805556</v>
      </c>
      <c r="H65" s="40">
        <v>4640.0</v>
      </c>
      <c r="I65" s="38" t="s">
        <v>29</v>
      </c>
      <c r="J65" s="40">
        <v>1.0</v>
      </c>
      <c r="K65" s="38" t="s">
        <v>624</v>
      </c>
      <c r="L65" s="40">
        <v>91700.0</v>
      </c>
      <c r="M65" s="40">
        <v>3.0</v>
      </c>
      <c r="N65" s="38" t="s">
        <v>841</v>
      </c>
      <c r="O65" s="38" t="s">
        <v>793</v>
      </c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>
      <c r="A66" s="38" t="s">
        <v>842</v>
      </c>
      <c r="B66" s="38" t="s">
        <v>148</v>
      </c>
      <c r="C66" s="40">
        <v>2000.0</v>
      </c>
      <c r="D66" s="38" t="s">
        <v>843</v>
      </c>
      <c r="E66" s="39" t="s">
        <v>554</v>
      </c>
      <c r="F66" s="38"/>
      <c r="G66" s="41">
        <v>46247.7212037037</v>
      </c>
      <c r="H66" s="40">
        <v>2320.0</v>
      </c>
      <c r="I66" s="38" t="s">
        <v>29</v>
      </c>
      <c r="J66" s="40">
        <v>1.0</v>
      </c>
      <c r="K66" s="38" t="s">
        <v>624</v>
      </c>
      <c r="L66" s="40">
        <v>91700.0</v>
      </c>
      <c r="M66" s="40">
        <v>3.0</v>
      </c>
      <c r="N66" s="38" t="s">
        <v>844</v>
      </c>
      <c r="O66" s="38" t="s">
        <v>793</v>
      </c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>
      <c r="A67" s="38" t="s">
        <v>845</v>
      </c>
      <c r="B67" s="38" t="s">
        <v>148</v>
      </c>
      <c r="C67" s="40">
        <v>5500.0</v>
      </c>
      <c r="D67" s="38" t="s">
        <v>846</v>
      </c>
      <c r="E67" s="39" t="s">
        <v>554</v>
      </c>
      <c r="F67" s="38"/>
      <c r="G67" s="41">
        <v>46261.617951388886</v>
      </c>
      <c r="H67" s="40">
        <v>6380.0</v>
      </c>
      <c r="I67" s="38" t="s">
        <v>29</v>
      </c>
      <c r="J67" s="40">
        <v>1.0</v>
      </c>
      <c r="K67" s="38" t="s">
        <v>624</v>
      </c>
      <c r="L67" s="40">
        <v>91700.0</v>
      </c>
      <c r="M67" s="40">
        <v>3.0</v>
      </c>
      <c r="N67" s="38" t="s">
        <v>847</v>
      </c>
      <c r="O67" s="38" t="s">
        <v>793</v>
      </c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>
      <c r="A68" s="38" t="s">
        <v>848</v>
      </c>
      <c r="B68" s="38" t="s">
        <v>148</v>
      </c>
      <c r="C68" s="40">
        <v>4000.0</v>
      </c>
      <c r="D68" s="38" t="s">
        <v>849</v>
      </c>
      <c r="E68" s="39" t="s">
        <v>554</v>
      </c>
      <c r="F68" s="38"/>
      <c r="G68" s="41">
        <v>46238.59936342593</v>
      </c>
      <c r="H68" s="40">
        <v>4640.0</v>
      </c>
      <c r="I68" s="38" t="s">
        <v>29</v>
      </c>
      <c r="J68" s="40">
        <v>1.0</v>
      </c>
      <c r="K68" s="38" t="s">
        <v>624</v>
      </c>
      <c r="L68" s="40">
        <v>91700.0</v>
      </c>
      <c r="M68" s="40">
        <v>3.0</v>
      </c>
      <c r="N68" s="38" t="s">
        <v>850</v>
      </c>
      <c r="O68" s="38" t="s">
        <v>793</v>
      </c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>
      <c r="A69" s="38" t="s">
        <v>851</v>
      </c>
      <c r="B69" s="38" t="s">
        <v>148</v>
      </c>
      <c r="C69" s="40">
        <v>4000.0</v>
      </c>
      <c r="D69" s="38" t="s">
        <v>852</v>
      </c>
      <c r="E69" s="39" t="s">
        <v>554</v>
      </c>
      <c r="F69" s="38"/>
      <c r="G69" s="41">
        <v>46238.59197916667</v>
      </c>
      <c r="H69" s="40">
        <v>4640.0</v>
      </c>
      <c r="I69" s="38" t="s">
        <v>29</v>
      </c>
      <c r="J69" s="40">
        <v>1.0</v>
      </c>
      <c r="K69" s="38" t="s">
        <v>624</v>
      </c>
      <c r="L69" s="40">
        <v>91700.0</v>
      </c>
      <c r="M69" s="40">
        <v>3.0</v>
      </c>
      <c r="N69" s="38" t="s">
        <v>853</v>
      </c>
      <c r="O69" s="38" t="s">
        <v>793</v>
      </c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>
      <c r="A70" s="38" t="s">
        <v>854</v>
      </c>
      <c r="B70" s="38" t="s">
        <v>148</v>
      </c>
      <c r="C70" s="40">
        <v>0.0</v>
      </c>
      <c r="D70" s="38" t="s">
        <v>856</v>
      </c>
      <c r="E70" s="38"/>
      <c r="F70" s="38" t="s">
        <v>685</v>
      </c>
      <c r="G70" s="41">
        <v>46245.729421296295</v>
      </c>
      <c r="H70" s="40">
        <v>0.0</v>
      </c>
      <c r="I70" s="38" t="s">
        <v>686</v>
      </c>
      <c r="J70" s="40">
        <v>1.0</v>
      </c>
      <c r="K70" s="38"/>
      <c r="L70" s="40">
        <v>91700.0</v>
      </c>
      <c r="M70" s="38"/>
      <c r="N70" s="38" t="s">
        <v>857</v>
      </c>
      <c r="O70" s="38" t="s">
        <v>793</v>
      </c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>
      <c r="A71" s="38" t="s">
        <v>858</v>
      </c>
      <c r="B71" s="38" t="s">
        <v>148</v>
      </c>
      <c r="C71" s="40">
        <v>4000.0</v>
      </c>
      <c r="D71" s="38" t="s">
        <v>859</v>
      </c>
      <c r="E71" s="39" t="s">
        <v>554</v>
      </c>
      <c r="F71" s="38"/>
      <c r="G71" s="41">
        <v>46238.69630787037</v>
      </c>
      <c r="H71" s="40">
        <v>4640.0</v>
      </c>
      <c r="I71" s="38" t="s">
        <v>29</v>
      </c>
      <c r="J71" s="40">
        <v>1.0</v>
      </c>
      <c r="K71" s="38" t="s">
        <v>624</v>
      </c>
      <c r="L71" s="40">
        <v>91700.0</v>
      </c>
      <c r="M71" s="40">
        <v>3.0</v>
      </c>
      <c r="N71" s="38" t="s">
        <v>860</v>
      </c>
      <c r="O71" s="38" t="s">
        <v>793</v>
      </c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>
      <c r="A72" s="38" t="s">
        <v>861</v>
      </c>
      <c r="B72" s="38" t="s">
        <v>148</v>
      </c>
      <c r="C72" s="40">
        <v>20500.0</v>
      </c>
      <c r="D72" s="38" t="s">
        <v>863</v>
      </c>
      <c r="E72" s="39" t="s">
        <v>554</v>
      </c>
      <c r="F72" s="38"/>
      <c r="G72" s="41">
        <v>46241.742268518516</v>
      </c>
      <c r="H72" s="40">
        <v>23780.0</v>
      </c>
      <c r="I72" s="38" t="s">
        <v>29</v>
      </c>
      <c r="J72" s="40">
        <v>1.0</v>
      </c>
      <c r="K72" s="38" t="s">
        <v>624</v>
      </c>
      <c r="L72" s="40">
        <v>91700.0</v>
      </c>
      <c r="M72" s="40">
        <v>3.0</v>
      </c>
      <c r="N72" s="38" t="s">
        <v>864</v>
      </c>
      <c r="O72" s="38" t="s">
        <v>793</v>
      </c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>
      <c r="A73" s="38" t="s">
        <v>865</v>
      </c>
      <c r="B73" s="38" t="s">
        <v>148</v>
      </c>
      <c r="C73" s="40">
        <v>4000.0</v>
      </c>
      <c r="D73" s="38" t="s">
        <v>866</v>
      </c>
      <c r="E73" s="39" t="s">
        <v>554</v>
      </c>
      <c r="F73" s="38"/>
      <c r="G73" s="41">
        <v>46251.750925925924</v>
      </c>
      <c r="H73" s="40">
        <v>4640.0</v>
      </c>
      <c r="I73" s="38" t="s">
        <v>29</v>
      </c>
      <c r="J73" s="40">
        <v>1.0</v>
      </c>
      <c r="K73" s="38" t="s">
        <v>624</v>
      </c>
      <c r="L73" s="40">
        <v>91700.0</v>
      </c>
      <c r="M73" s="40">
        <v>3.0</v>
      </c>
      <c r="N73" s="38" t="s">
        <v>867</v>
      </c>
      <c r="O73" s="38" t="s">
        <v>793</v>
      </c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>
      <c r="A74" s="38" t="s">
        <v>868</v>
      </c>
      <c r="B74" s="38" t="s">
        <v>148</v>
      </c>
      <c r="C74" s="40">
        <v>2000.0</v>
      </c>
      <c r="D74" s="38" t="s">
        <v>869</v>
      </c>
      <c r="E74" s="39" t="s">
        <v>554</v>
      </c>
      <c r="F74" s="38"/>
      <c r="G74" s="41">
        <v>46240.535416666666</v>
      </c>
      <c r="H74" s="40">
        <v>2320.0</v>
      </c>
      <c r="I74" s="38" t="s">
        <v>29</v>
      </c>
      <c r="J74" s="40">
        <v>1.0</v>
      </c>
      <c r="K74" s="38" t="s">
        <v>624</v>
      </c>
      <c r="L74" s="40">
        <v>91700.0</v>
      </c>
      <c r="M74" s="40">
        <v>3.0</v>
      </c>
      <c r="N74" s="38" t="s">
        <v>870</v>
      </c>
      <c r="O74" s="38" t="s">
        <v>793</v>
      </c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>
      <c r="A75" s="38" t="s">
        <v>871</v>
      </c>
      <c r="B75" s="38" t="s">
        <v>148</v>
      </c>
      <c r="C75" s="40">
        <v>3400.0</v>
      </c>
      <c r="D75" s="38" t="s">
        <v>872</v>
      </c>
      <c r="E75" s="39" t="s">
        <v>551</v>
      </c>
      <c r="F75" s="38"/>
      <c r="G75" s="41">
        <v>46241.530023148145</v>
      </c>
      <c r="H75" s="40">
        <v>3944.0</v>
      </c>
      <c r="I75" s="38" t="s">
        <v>29</v>
      </c>
      <c r="J75" s="40">
        <v>1.0</v>
      </c>
      <c r="K75" s="38" t="s">
        <v>624</v>
      </c>
      <c r="L75" s="40">
        <v>91700.0</v>
      </c>
      <c r="M75" s="40">
        <v>3.0</v>
      </c>
      <c r="N75" s="38" t="s">
        <v>873</v>
      </c>
      <c r="O75" s="38" t="s">
        <v>793</v>
      </c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>
      <c r="A76" s="38" t="s">
        <v>874</v>
      </c>
      <c r="B76" s="38" t="s">
        <v>148</v>
      </c>
      <c r="C76" s="40">
        <v>0.0</v>
      </c>
      <c r="D76" s="38" t="s">
        <v>875</v>
      </c>
      <c r="E76" s="38"/>
      <c r="F76" s="38" t="s">
        <v>685</v>
      </c>
      <c r="G76" s="41">
        <v>46259.747824074075</v>
      </c>
      <c r="H76" s="40">
        <v>0.0</v>
      </c>
      <c r="I76" s="38" t="s">
        <v>686</v>
      </c>
      <c r="J76" s="40">
        <v>1.0</v>
      </c>
      <c r="K76" s="38"/>
      <c r="L76" s="40">
        <v>91700.0</v>
      </c>
      <c r="M76" s="38"/>
      <c r="N76" s="38" t="s">
        <v>876</v>
      </c>
      <c r="O76" s="38" t="s">
        <v>793</v>
      </c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>
      <c r="A77" s="38" t="s">
        <v>878</v>
      </c>
      <c r="B77" s="38" t="s">
        <v>148</v>
      </c>
      <c r="C77" s="40">
        <v>11946.38</v>
      </c>
      <c r="D77" s="38" t="s">
        <v>879</v>
      </c>
      <c r="E77" s="39" t="s">
        <v>554</v>
      </c>
      <c r="F77" s="38"/>
      <c r="G77" s="41">
        <v>46259.74778935185</v>
      </c>
      <c r="H77" s="40">
        <v>13857.8</v>
      </c>
      <c r="I77" s="38" t="s">
        <v>29</v>
      </c>
      <c r="J77" s="40">
        <v>1.0</v>
      </c>
      <c r="K77" s="38" t="s">
        <v>652</v>
      </c>
      <c r="L77" s="40">
        <v>91700.0</v>
      </c>
      <c r="M77" s="40">
        <v>99.0</v>
      </c>
      <c r="N77" s="38" t="s">
        <v>880</v>
      </c>
      <c r="O77" s="38" t="s">
        <v>793</v>
      </c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>
      <c r="A78" s="38" t="s">
        <v>881</v>
      </c>
      <c r="B78" s="38" t="s">
        <v>148</v>
      </c>
      <c r="C78" s="40">
        <v>4000.0</v>
      </c>
      <c r="D78" s="38" t="s">
        <v>882</v>
      </c>
      <c r="E78" s="39" t="s">
        <v>554</v>
      </c>
      <c r="F78" s="38"/>
      <c r="G78" s="41">
        <v>46251.74391203704</v>
      </c>
      <c r="H78" s="40">
        <v>4640.0</v>
      </c>
      <c r="I78" s="38" t="s">
        <v>29</v>
      </c>
      <c r="J78" s="40">
        <v>1.0</v>
      </c>
      <c r="K78" s="38" t="s">
        <v>624</v>
      </c>
      <c r="L78" s="40">
        <v>91700.0</v>
      </c>
      <c r="M78" s="40">
        <v>3.0</v>
      </c>
      <c r="N78" s="38" t="s">
        <v>884</v>
      </c>
      <c r="O78" s="38" t="s">
        <v>793</v>
      </c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>
      <c r="A79" s="38" t="s">
        <v>885</v>
      </c>
      <c r="B79" s="38" t="s">
        <v>148</v>
      </c>
      <c r="C79" s="40">
        <v>2900.0</v>
      </c>
      <c r="D79" s="38" t="s">
        <v>886</v>
      </c>
      <c r="E79" s="39" t="s">
        <v>551</v>
      </c>
      <c r="F79" s="38"/>
      <c r="G79" s="41">
        <v>46240.50633101852</v>
      </c>
      <c r="H79" s="40">
        <v>3364.0</v>
      </c>
      <c r="I79" s="38" t="s">
        <v>29</v>
      </c>
      <c r="J79" s="40">
        <v>1.0</v>
      </c>
      <c r="K79" s="38" t="s">
        <v>652</v>
      </c>
      <c r="L79" s="40">
        <v>91700.0</v>
      </c>
      <c r="M79" s="40">
        <v>99.0</v>
      </c>
      <c r="N79" s="38" t="s">
        <v>888</v>
      </c>
      <c r="O79" s="38" t="s">
        <v>793</v>
      </c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</row>
    <row r="999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</row>
    <row r="1000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6.13"/>
  </cols>
  <sheetData>
    <row r="1">
      <c r="A1" s="43" t="s">
        <v>1092</v>
      </c>
      <c r="B1" s="44" t="s">
        <v>1093</v>
      </c>
      <c r="C1" s="44" t="s">
        <v>1094</v>
      </c>
      <c r="D1" s="44" t="s">
        <v>1095</v>
      </c>
      <c r="E1" s="44" t="s">
        <v>1096</v>
      </c>
      <c r="F1" s="44" t="s">
        <v>1097</v>
      </c>
      <c r="G1" s="44" t="s">
        <v>1098</v>
      </c>
      <c r="H1" s="44" t="s">
        <v>1099</v>
      </c>
      <c r="I1" s="45" t="s">
        <v>1100</v>
      </c>
      <c r="K1" s="46" t="s">
        <v>1101</v>
      </c>
    </row>
    <row r="2">
      <c r="A2" s="47">
        <v>10825.0</v>
      </c>
      <c r="B2" s="48">
        <v>46237.43480324074</v>
      </c>
      <c r="C2" s="49">
        <v>8.0</v>
      </c>
      <c r="D2" s="50" t="s">
        <v>1103</v>
      </c>
      <c r="E2" s="50" t="s">
        <v>150</v>
      </c>
      <c r="F2" s="51" t="str">
        <f t="shared" ref="F2:F12" si="1">MID(E2,1,3)</f>
        <v>ARA</v>
      </c>
      <c r="G2" s="49" t="str">
        <f>VLOOKUP(F2,Aduanas!A:B,2,FALSE)</f>
        <v>AIFA</v>
      </c>
      <c r="H2" s="50" t="s">
        <v>148</v>
      </c>
      <c r="I2" s="52">
        <v>2900.0</v>
      </c>
      <c r="K2" s="53" t="s">
        <v>1098</v>
      </c>
      <c r="L2" s="54">
        <v>8.0</v>
      </c>
    </row>
    <row r="3">
      <c r="A3" s="47">
        <v>10830.0</v>
      </c>
      <c r="B3" s="48">
        <v>46239.49402777778</v>
      </c>
      <c r="C3" s="49">
        <v>8.0</v>
      </c>
      <c r="D3" s="50" t="s">
        <v>1103</v>
      </c>
      <c r="E3" s="50" t="s">
        <v>897</v>
      </c>
      <c r="F3" s="51" t="str">
        <f t="shared" si="1"/>
        <v>JMA</v>
      </c>
      <c r="G3" s="49" t="str">
        <f>VLOOKUP(F3,Aduanas!A:B,2,FALSE)</f>
        <v>CDMX</v>
      </c>
      <c r="H3" s="50" t="s">
        <v>148</v>
      </c>
      <c r="I3" s="52">
        <v>2900.0</v>
      </c>
      <c r="K3" s="55" t="s">
        <v>55</v>
      </c>
      <c r="L3" s="56">
        <v>11600.0</v>
      </c>
    </row>
    <row r="4">
      <c r="A4" s="47">
        <v>10831.0</v>
      </c>
      <c r="B4" s="48">
        <v>46239.57979166666</v>
      </c>
      <c r="C4" s="49">
        <v>8.0</v>
      </c>
      <c r="D4" s="50" t="s">
        <v>1103</v>
      </c>
      <c r="E4" s="50" t="s">
        <v>905</v>
      </c>
      <c r="F4" s="51" t="str">
        <f t="shared" si="1"/>
        <v>JMA</v>
      </c>
      <c r="G4" s="49" t="str">
        <f>VLOOKUP(F4,Aduanas!A:B,2,FALSE)</f>
        <v>CDMX</v>
      </c>
      <c r="H4" s="50" t="s">
        <v>148</v>
      </c>
      <c r="I4" s="52">
        <v>2900.0</v>
      </c>
      <c r="K4" s="55" t="s">
        <v>74</v>
      </c>
      <c r="L4" s="56">
        <v>38700.0</v>
      </c>
    </row>
    <row r="5">
      <c r="A5" s="47">
        <v>10833.0</v>
      </c>
      <c r="B5" s="48">
        <v>46241.58824074074</v>
      </c>
      <c r="C5" s="49">
        <v>8.0</v>
      </c>
      <c r="D5" s="50" t="s">
        <v>1103</v>
      </c>
      <c r="E5" s="50" t="s">
        <v>950</v>
      </c>
      <c r="F5" s="51" t="str">
        <f t="shared" si="1"/>
        <v>JMA</v>
      </c>
      <c r="G5" s="49" t="str">
        <f>VLOOKUP(F5,Aduanas!A:B,2,FALSE)</f>
        <v>CDMX</v>
      </c>
      <c r="H5" s="50" t="s">
        <v>148</v>
      </c>
      <c r="I5" s="52">
        <v>2900.0</v>
      </c>
      <c r="K5" s="55" t="s">
        <v>539</v>
      </c>
      <c r="L5" s="56">
        <v>2900.0</v>
      </c>
    </row>
    <row r="6">
      <c r="A6" s="47">
        <v>10837.0</v>
      </c>
      <c r="B6" s="48">
        <v>46245.593993055554</v>
      </c>
      <c r="C6" s="49">
        <v>8.0</v>
      </c>
      <c r="D6" s="50" t="s">
        <v>1103</v>
      </c>
      <c r="E6" s="50" t="s">
        <v>1023</v>
      </c>
      <c r="F6" s="51" t="str">
        <f t="shared" si="1"/>
        <v>ARA</v>
      </c>
      <c r="G6" s="49" t="str">
        <f>VLOOKUP(F6,Aduanas!A:B,2,FALSE)</f>
        <v>AIFA</v>
      </c>
      <c r="H6" s="50" t="s">
        <v>148</v>
      </c>
      <c r="I6" s="52">
        <v>2900.0</v>
      </c>
      <c r="K6" s="57" t="s">
        <v>1110</v>
      </c>
      <c r="L6" s="58"/>
    </row>
    <row r="7">
      <c r="A7" s="47">
        <v>10838.0</v>
      </c>
      <c r="B7" s="48">
        <v>46245.59738425926</v>
      </c>
      <c r="C7" s="49">
        <v>8.0</v>
      </c>
      <c r="D7" s="50" t="s">
        <v>1103</v>
      </c>
      <c r="E7" s="50" t="s">
        <v>966</v>
      </c>
      <c r="F7" s="51" t="str">
        <f t="shared" si="1"/>
        <v>ARA</v>
      </c>
      <c r="G7" s="49" t="str">
        <f>VLOOKUP(F7,Aduanas!A:B,2,FALSE)</f>
        <v>AIFA</v>
      </c>
      <c r="H7" s="50" t="s">
        <v>148</v>
      </c>
      <c r="I7" s="52">
        <v>2900.0</v>
      </c>
      <c r="K7" s="55" t="s">
        <v>551</v>
      </c>
      <c r="L7" s="58"/>
    </row>
    <row r="8">
      <c r="A8" s="47">
        <v>10840.0</v>
      </c>
      <c r="B8" s="48">
        <v>46251.42444444444</v>
      </c>
      <c r="C8" s="49">
        <v>8.0</v>
      </c>
      <c r="D8" s="50" t="s">
        <v>1103</v>
      </c>
      <c r="E8" s="50" t="s">
        <v>1075</v>
      </c>
      <c r="F8" s="51" t="str">
        <f t="shared" si="1"/>
        <v>JMA</v>
      </c>
      <c r="G8" s="49" t="str">
        <f>VLOOKUP(F8,Aduanas!A:B,2,FALSE)</f>
        <v>CDMX</v>
      </c>
      <c r="H8" s="50" t="s">
        <v>148</v>
      </c>
      <c r="I8" s="52">
        <v>10000.0</v>
      </c>
      <c r="K8" s="55" t="s">
        <v>1113</v>
      </c>
      <c r="L8" s="58"/>
    </row>
    <row r="9">
      <c r="A9" s="47">
        <v>10841.0</v>
      </c>
      <c r="B9" s="48">
        <v>46251.430752314816</v>
      </c>
      <c r="C9" s="49">
        <v>8.0</v>
      </c>
      <c r="D9" s="50" t="s">
        <v>1103</v>
      </c>
      <c r="E9" s="50" t="s">
        <v>1073</v>
      </c>
      <c r="F9" s="51" t="str">
        <f t="shared" si="1"/>
        <v>JMA</v>
      </c>
      <c r="G9" s="49" t="str">
        <f>VLOOKUP(F9,Aduanas!A:B,2,FALSE)</f>
        <v>CDMX</v>
      </c>
      <c r="H9" s="50" t="s">
        <v>148</v>
      </c>
      <c r="I9" s="52">
        <v>10000.0</v>
      </c>
      <c r="K9" s="55" t="s">
        <v>1114</v>
      </c>
      <c r="L9" s="58"/>
    </row>
    <row r="10">
      <c r="A10" s="47">
        <v>10845.0</v>
      </c>
      <c r="B10" s="48">
        <v>46254.714421296296</v>
      </c>
      <c r="C10" s="49">
        <v>8.0</v>
      </c>
      <c r="D10" s="50" t="s">
        <v>1103</v>
      </c>
      <c r="E10" s="50" t="s">
        <v>1115</v>
      </c>
      <c r="F10" s="51" t="str">
        <f t="shared" si="1"/>
        <v>JMA</v>
      </c>
      <c r="G10" s="49" t="str">
        <f>VLOOKUP(F10,Aduanas!A:B,2,FALSE)</f>
        <v>CDMX</v>
      </c>
      <c r="H10" s="50" t="s">
        <v>148</v>
      </c>
      <c r="I10" s="52">
        <v>10000.0</v>
      </c>
      <c r="K10" s="55" t="s">
        <v>554</v>
      </c>
      <c r="L10" s="58"/>
    </row>
    <row r="11">
      <c r="A11" s="47">
        <v>10848.0</v>
      </c>
      <c r="B11" s="48">
        <v>46255.60140046296</v>
      </c>
      <c r="C11" s="49">
        <v>8.0</v>
      </c>
      <c r="D11" s="50" t="s">
        <v>1103</v>
      </c>
      <c r="E11" s="50" t="s">
        <v>1117</v>
      </c>
      <c r="F11" s="51" t="str">
        <f t="shared" si="1"/>
        <v>CJM</v>
      </c>
      <c r="G11" s="49" t="str">
        <f>VLOOKUP(F11,Aduanas!A:B,2,FALSE)</f>
        <v>LAREDO</v>
      </c>
      <c r="H11" s="50" t="s">
        <v>148</v>
      </c>
      <c r="I11" s="52">
        <v>2900.0</v>
      </c>
      <c r="K11" s="59" t="s">
        <v>1119</v>
      </c>
      <c r="L11" s="60">
        <v>53200.0</v>
      </c>
    </row>
    <row r="12">
      <c r="A12" s="47">
        <v>10852.0</v>
      </c>
      <c r="B12" s="48">
        <v>46259.710648148146</v>
      </c>
      <c r="C12" s="49">
        <v>8.0</v>
      </c>
      <c r="D12" s="50" t="s">
        <v>1103</v>
      </c>
      <c r="E12" s="50" t="s">
        <v>1120</v>
      </c>
      <c r="F12" s="51" t="str">
        <f t="shared" si="1"/>
        <v>ARA</v>
      </c>
      <c r="G12" s="49" t="str">
        <f>VLOOKUP(F12,Aduanas!A:B,2,FALSE)</f>
        <v>AIFA</v>
      </c>
      <c r="H12" s="50" t="s">
        <v>148</v>
      </c>
      <c r="I12" s="52">
        <v>2900.0</v>
      </c>
    </row>
    <row r="13">
      <c r="C13" s="61" t="s">
        <v>1121</v>
      </c>
    </row>
  </sheetData>
  <mergeCells count="2">
    <mergeCell ref="K1:L1"/>
    <mergeCell ref="C13:F1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2" t="s">
        <v>1140</v>
      </c>
      <c r="B1" s="62" t="s">
        <v>9</v>
      </c>
      <c r="C1" s="62" t="s">
        <v>1141</v>
      </c>
    </row>
    <row r="2">
      <c r="A2" s="63" t="s">
        <v>1142</v>
      </c>
      <c r="B2" s="51" t="s">
        <v>74</v>
      </c>
      <c r="C2" s="51">
        <v>470.0</v>
      </c>
    </row>
    <row r="3">
      <c r="A3" s="63" t="s">
        <v>1144</v>
      </c>
      <c r="B3" s="51" t="s">
        <v>74</v>
      </c>
      <c r="C3" s="51">
        <v>470.0</v>
      </c>
    </row>
    <row r="4">
      <c r="A4" s="63" t="s">
        <v>1145</v>
      </c>
      <c r="B4" s="51" t="s">
        <v>74</v>
      </c>
      <c r="C4" s="51">
        <v>470.0</v>
      </c>
    </row>
    <row r="5">
      <c r="A5" s="63" t="s">
        <v>1146</v>
      </c>
      <c r="B5" s="51" t="s">
        <v>55</v>
      </c>
      <c r="C5" s="51">
        <v>850.0</v>
      </c>
    </row>
    <row r="6">
      <c r="A6" s="63" t="s">
        <v>1147</v>
      </c>
      <c r="B6" s="51" t="s">
        <v>539</v>
      </c>
      <c r="C6" s="51">
        <v>240.0</v>
      </c>
    </row>
    <row r="7">
      <c r="A7" s="63" t="s">
        <v>1148</v>
      </c>
      <c r="B7" s="51" t="s">
        <v>539</v>
      </c>
      <c r="C7" s="51">
        <v>240.0</v>
      </c>
    </row>
    <row r="8">
      <c r="A8" s="63" t="s">
        <v>1149</v>
      </c>
      <c r="B8" s="51" t="s">
        <v>539</v>
      </c>
      <c r="C8" s="51">
        <v>240.0</v>
      </c>
    </row>
    <row r="9">
      <c r="A9" s="63" t="s">
        <v>1150</v>
      </c>
      <c r="B9" s="64" t="s">
        <v>1110</v>
      </c>
      <c r="C9" s="51">
        <v>510.0</v>
      </c>
    </row>
    <row r="10">
      <c r="A10" s="63" t="s">
        <v>1152</v>
      </c>
      <c r="B10" s="64" t="s">
        <v>1110</v>
      </c>
      <c r="C10" s="51">
        <v>510.0</v>
      </c>
    </row>
    <row r="11">
      <c r="A11" s="63" t="s">
        <v>1153</v>
      </c>
      <c r="B11" s="51" t="s">
        <v>551</v>
      </c>
      <c r="C11" s="51">
        <v>160.0</v>
      </c>
    </row>
    <row r="12">
      <c r="A12" s="63" t="s">
        <v>1155</v>
      </c>
      <c r="B12" s="51" t="s">
        <v>551</v>
      </c>
      <c r="C12" s="51">
        <v>160.0</v>
      </c>
    </row>
    <row r="13">
      <c r="A13" s="63" t="s">
        <v>1156</v>
      </c>
      <c r="B13" s="51" t="s">
        <v>551</v>
      </c>
      <c r="C13" s="51">
        <v>160.0</v>
      </c>
    </row>
    <row r="14">
      <c r="A14" s="63" t="s">
        <v>1157</v>
      </c>
      <c r="B14" s="51" t="s">
        <v>551</v>
      </c>
      <c r="C14" s="51">
        <v>160.0</v>
      </c>
    </row>
    <row r="15">
      <c r="A15" s="63" t="s">
        <v>1158</v>
      </c>
      <c r="B15" s="51" t="s">
        <v>1159</v>
      </c>
      <c r="C15" s="51">
        <v>190.0</v>
      </c>
    </row>
    <row r="16">
      <c r="A16" s="63" t="s">
        <v>1160</v>
      </c>
      <c r="B16" s="51" t="s">
        <v>539</v>
      </c>
      <c r="C16" s="51">
        <v>520.0</v>
      </c>
    </row>
    <row r="17">
      <c r="A17" s="63" t="s">
        <v>1161</v>
      </c>
      <c r="B17" s="51" t="s">
        <v>1113</v>
      </c>
      <c r="C17" s="51">
        <v>400.0</v>
      </c>
    </row>
    <row r="18">
      <c r="A18" s="63" t="s">
        <v>1162</v>
      </c>
      <c r="B18" s="51" t="s">
        <v>1114</v>
      </c>
      <c r="C18" s="51">
        <v>650.0</v>
      </c>
    </row>
    <row r="19">
      <c r="A19" s="63" t="s">
        <v>1163</v>
      </c>
      <c r="B19" s="51" t="s">
        <v>1114</v>
      </c>
      <c r="C19" s="51">
        <v>650.0</v>
      </c>
    </row>
    <row r="20">
      <c r="A20" s="63" t="s">
        <v>1164</v>
      </c>
      <c r="B20" s="51" t="s">
        <v>554</v>
      </c>
      <c r="C20" s="51">
        <v>430.0</v>
      </c>
    </row>
    <row r="21">
      <c r="A21" s="63" t="s">
        <v>1165</v>
      </c>
      <c r="B21" s="51" t="s">
        <v>554</v>
      </c>
      <c r="C21" s="51">
        <v>430.0</v>
      </c>
    </row>
    <row r="22">
      <c r="A22" s="63" t="s">
        <v>1166</v>
      </c>
      <c r="B22" s="51" t="s">
        <v>539</v>
      </c>
      <c r="C22" s="51">
        <v>240.0</v>
      </c>
    </row>
    <row r="23">
      <c r="A23" s="63" t="s">
        <v>1167</v>
      </c>
      <c r="B23" s="51" t="s">
        <v>1114</v>
      </c>
      <c r="C23" s="51">
        <v>650.0</v>
      </c>
    </row>
    <row r="24">
      <c r="A24" s="63" t="s">
        <v>1168</v>
      </c>
      <c r="B24" s="51" t="s">
        <v>1114</v>
      </c>
      <c r="C24" s="51">
        <v>650.0</v>
      </c>
    </row>
    <row r="25">
      <c r="A25" s="63" t="s">
        <v>1169</v>
      </c>
      <c r="B25" s="64" t="s">
        <v>1110</v>
      </c>
      <c r="C25" s="51">
        <v>510.0</v>
      </c>
    </row>
    <row r="26">
      <c r="A26" s="63" t="s">
        <v>1170</v>
      </c>
      <c r="B26" s="51" t="s">
        <v>539</v>
      </c>
      <c r="C26" s="51">
        <v>240.0</v>
      </c>
    </row>
    <row r="27">
      <c r="A27" s="63" t="s">
        <v>1171</v>
      </c>
      <c r="B27" s="51" t="s">
        <v>551</v>
      </c>
      <c r="C27" s="51">
        <v>160.0</v>
      </c>
    </row>
    <row r="28">
      <c r="A28" s="63" t="s">
        <v>1172</v>
      </c>
      <c r="B28" s="51" t="s">
        <v>539</v>
      </c>
      <c r="C28" s="51">
        <v>240.0</v>
      </c>
    </row>
    <row r="29">
      <c r="A29" s="63" t="s">
        <v>1173</v>
      </c>
      <c r="B29" s="51" t="s">
        <v>539</v>
      </c>
      <c r="C29" s="51">
        <v>240.0</v>
      </c>
    </row>
    <row r="30">
      <c r="A30" s="63" t="s">
        <v>1174</v>
      </c>
      <c r="B30" s="51" t="s">
        <v>539</v>
      </c>
      <c r="C30" s="51">
        <v>240.0</v>
      </c>
    </row>
    <row r="31">
      <c r="A31" s="63" t="s">
        <v>1175</v>
      </c>
      <c r="B31" s="51" t="s">
        <v>74</v>
      </c>
      <c r="C31" s="51">
        <v>470.0</v>
      </c>
    </row>
    <row r="32">
      <c r="A32" s="63" t="s">
        <v>1176</v>
      </c>
      <c r="B32" s="51" t="s">
        <v>551</v>
      </c>
      <c r="C32" s="51">
        <v>160.0</v>
      </c>
    </row>
    <row r="33">
      <c r="A33" s="63" t="s">
        <v>1177</v>
      </c>
      <c r="B33" s="51" t="s">
        <v>1114</v>
      </c>
      <c r="C33" s="51">
        <v>650.0</v>
      </c>
    </row>
    <row r="34">
      <c r="A34" s="63" t="s">
        <v>1178</v>
      </c>
      <c r="B34" s="51" t="s">
        <v>1114</v>
      </c>
      <c r="C34" s="51">
        <v>650.0</v>
      </c>
    </row>
    <row r="35">
      <c r="A35" s="63" t="s">
        <v>1179</v>
      </c>
      <c r="B35" s="51" t="s">
        <v>554</v>
      </c>
      <c r="C35" s="51">
        <v>430.0</v>
      </c>
    </row>
    <row r="36">
      <c r="A36" s="63" t="s">
        <v>1180</v>
      </c>
      <c r="B36" s="51" t="s">
        <v>551</v>
      </c>
      <c r="C36" s="51">
        <v>160.0</v>
      </c>
    </row>
    <row r="37">
      <c r="A37" s="63" t="s">
        <v>1181</v>
      </c>
      <c r="B37" s="51" t="s">
        <v>539</v>
      </c>
      <c r="C37" s="51">
        <v>240.0</v>
      </c>
    </row>
    <row r="38">
      <c r="A38" s="63" t="s">
        <v>1182</v>
      </c>
      <c r="B38" s="51" t="s">
        <v>539</v>
      </c>
      <c r="C38" s="51">
        <v>240.0</v>
      </c>
    </row>
    <row r="39">
      <c r="A39" s="63" t="s">
        <v>1183</v>
      </c>
      <c r="B39" s="51" t="s">
        <v>1113</v>
      </c>
      <c r="C39" s="51">
        <v>400.0</v>
      </c>
    </row>
    <row r="40">
      <c r="A40" s="63" t="s">
        <v>1184</v>
      </c>
      <c r="B40" s="51" t="s">
        <v>1113</v>
      </c>
      <c r="C40" s="51">
        <v>400.0</v>
      </c>
    </row>
    <row r="41">
      <c r="A41" s="63" t="s">
        <v>1185</v>
      </c>
      <c r="B41" s="51" t="s">
        <v>551</v>
      </c>
      <c r="C41" s="51">
        <v>160.0</v>
      </c>
    </row>
    <row r="42">
      <c r="A42" s="63" t="s">
        <v>1186</v>
      </c>
      <c r="B42" s="51" t="s">
        <v>1114</v>
      </c>
      <c r="C42" s="51">
        <v>650.0</v>
      </c>
    </row>
    <row r="43">
      <c r="A43" s="63" t="s">
        <v>1187</v>
      </c>
      <c r="B43" s="51" t="s">
        <v>1114</v>
      </c>
      <c r="C43" s="51">
        <v>650.0</v>
      </c>
    </row>
    <row r="44">
      <c r="A44" s="63" t="s">
        <v>1188</v>
      </c>
      <c r="B44" s="51" t="s">
        <v>551</v>
      </c>
      <c r="C44" s="51">
        <v>160.0</v>
      </c>
    </row>
    <row r="45">
      <c r="A45" s="63" t="s">
        <v>1189</v>
      </c>
      <c r="B45" s="51" t="s">
        <v>1114</v>
      </c>
      <c r="C45" s="51">
        <v>650.0</v>
      </c>
    </row>
    <row r="46">
      <c r="A46" s="63" t="s">
        <v>1190</v>
      </c>
      <c r="B46" s="51" t="s">
        <v>55</v>
      </c>
      <c r="C46" s="51">
        <v>850.0</v>
      </c>
    </row>
    <row r="47">
      <c r="A47" s="63" t="s">
        <v>1191</v>
      </c>
      <c r="B47" s="51" t="s">
        <v>1114</v>
      </c>
      <c r="C47" s="51">
        <v>650.0</v>
      </c>
    </row>
    <row r="48">
      <c r="A48" s="63" t="s">
        <v>1192</v>
      </c>
      <c r="B48" s="51" t="s">
        <v>1114</v>
      </c>
      <c r="C48" s="51">
        <v>650.0</v>
      </c>
    </row>
    <row r="49">
      <c r="A49" s="63" t="s">
        <v>1194</v>
      </c>
      <c r="B49" s="51" t="s">
        <v>1114</v>
      </c>
      <c r="C49" s="51">
        <v>650.0</v>
      </c>
    </row>
    <row r="50">
      <c r="A50" s="63" t="s">
        <v>1195</v>
      </c>
      <c r="B50" s="51" t="s">
        <v>55</v>
      </c>
      <c r="C50" s="51">
        <v>850.0</v>
      </c>
    </row>
    <row r="51">
      <c r="A51" s="63" t="s">
        <v>1196</v>
      </c>
      <c r="B51" s="51" t="s">
        <v>1114</v>
      </c>
      <c r="C51" s="51">
        <v>650.0</v>
      </c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9" max="55" width="12.63"/>
  </cols>
  <sheetData>
    <row r="1">
      <c r="A1" s="66" t="s">
        <v>1224</v>
      </c>
      <c r="B1" s="66" t="s">
        <v>1225</v>
      </c>
      <c r="C1" s="66" t="s">
        <v>1092</v>
      </c>
      <c r="D1" s="66" t="s">
        <v>1099</v>
      </c>
      <c r="E1" s="66" t="s">
        <v>1097</v>
      </c>
      <c r="F1" s="66" t="s">
        <v>1227</v>
      </c>
      <c r="G1" s="66" t="s">
        <v>1228</v>
      </c>
      <c r="H1" s="66" t="s">
        <v>1097</v>
      </c>
      <c r="I1" s="66" t="s">
        <v>1229</v>
      </c>
      <c r="J1" s="66" t="s">
        <v>1230</v>
      </c>
      <c r="K1" s="66" t="s">
        <v>1231</v>
      </c>
      <c r="L1" s="66" t="s">
        <v>1232</v>
      </c>
      <c r="M1" s="66" t="s">
        <v>1233</v>
      </c>
      <c r="N1" s="66" t="s">
        <v>7</v>
      </c>
      <c r="O1" s="66" t="s">
        <v>1234</v>
      </c>
      <c r="P1" s="66" t="s">
        <v>1235</v>
      </c>
      <c r="Q1" s="66" t="s">
        <v>34</v>
      </c>
      <c r="R1" s="66" t="s">
        <v>1236</v>
      </c>
      <c r="S1" s="66" t="s">
        <v>565</v>
      </c>
      <c r="T1" s="66" t="s">
        <v>855</v>
      </c>
      <c r="U1" s="66" t="s">
        <v>1237</v>
      </c>
      <c r="V1" s="66" t="s">
        <v>137</v>
      </c>
      <c r="W1" s="66" t="s">
        <v>717</v>
      </c>
      <c r="X1" s="66" t="s">
        <v>82</v>
      </c>
      <c r="Y1" s="66" t="s">
        <v>485</v>
      </c>
      <c r="Z1" s="66" t="s">
        <v>1238</v>
      </c>
      <c r="AA1" s="66" t="s">
        <v>1239</v>
      </c>
      <c r="AB1" s="66" t="s">
        <v>1240</v>
      </c>
      <c r="AC1" s="66" t="s">
        <v>307</v>
      </c>
      <c r="AD1" s="66" t="s">
        <v>567</v>
      </c>
      <c r="AE1" s="66" t="s">
        <v>1241</v>
      </c>
      <c r="AF1" s="66" t="s">
        <v>470</v>
      </c>
      <c r="AG1" s="66" t="s">
        <v>1242</v>
      </c>
      <c r="AH1" s="66" t="s">
        <v>1243</v>
      </c>
      <c r="AI1" s="66" t="s">
        <v>522</v>
      </c>
      <c r="AJ1" s="66" t="s">
        <v>1244</v>
      </c>
      <c r="AK1" s="66" t="s">
        <v>1111</v>
      </c>
      <c r="AL1" s="66" t="s">
        <v>1242</v>
      </c>
      <c r="AM1" s="66" t="s">
        <v>679</v>
      </c>
      <c r="AN1" s="66" t="s">
        <v>104</v>
      </c>
      <c r="AO1" s="66" t="s">
        <v>73</v>
      </c>
      <c r="AP1" s="66" t="s">
        <v>112</v>
      </c>
      <c r="AQ1" s="66" t="s">
        <v>1245</v>
      </c>
      <c r="AR1" s="66" t="s">
        <v>558</v>
      </c>
      <c r="AS1" s="66" t="s">
        <v>348</v>
      </c>
      <c r="AT1" s="66" t="s">
        <v>277</v>
      </c>
      <c r="AU1" s="66" t="s">
        <v>1247</v>
      </c>
      <c r="AV1" s="66" t="s">
        <v>360</v>
      </c>
      <c r="AW1" s="66" t="s">
        <v>141</v>
      </c>
      <c r="AX1" s="66" t="s">
        <v>983</v>
      </c>
      <c r="AY1" s="66" t="s">
        <v>901</v>
      </c>
      <c r="AZ1" s="66" t="s">
        <v>449</v>
      </c>
      <c r="BA1" s="66" t="s">
        <v>199</v>
      </c>
      <c r="BB1" s="66" t="s">
        <v>566</v>
      </c>
      <c r="BC1" s="66" t="s">
        <v>124</v>
      </c>
      <c r="BD1" s="66" t="s">
        <v>1248</v>
      </c>
      <c r="BE1" s="67"/>
      <c r="BF1" s="66" t="s">
        <v>1249</v>
      </c>
      <c r="BG1" s="68">
        <v>0.2</v>
      </c>
      <c r="BH1" s="68">
        <v>0.4</v>
      </c>
    </row>
    <row r="2">
      <c r="A2" s="66" t="s">
        <v>1250</v>
      </c>
      <c r="B2" s="66" t="s">
        <v>1251</v>
      </c>
      <c r="C2" s="66">
        <v>45065.0</v>
      </c>
      <c r="D2" s="66" t="s">
        <v>915</v>
      </c>
      <c r="E2" s="66">
        <v>850.0</v>
      </c>
      <c r="F2" s="66">
        <v>1739.0</v>
      </c>
      <c r="G2" s="66" t="s">
        <v>1252</v>
      </c>
      <c r="H2" s="66" t="s">
        <v>1146</v>
      </c>
      <c r="I2" s="66" t="s">
        <v>55</v>
      </c>
      <c r="J2" s="66" t="s">
        <v>1253</v>
      </c>
      <c r="K2" s="66">
        <v>0.0</v>
      </c>
      <c r="L2" s="67"/>
      <c r="M2" s="66" t="s">
        <v>1254</v>
      </c>
      <c r="N2" s="66">
        <v>8.0</v>
      </c>
      <c r="O2" s="66">
        <v>0.0</v>
      </c>
      <c r="P2" s="66">
        <v>0.0</v>
      </c>
      <c r="Q2" s="66">
        <v>0.0</v>
      </c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9">
        <v>11500.0</v>
      </c>
      <c r="BE2" s="67"/>
      <c r="BF2" s="69">
        <v>11500.0</v>
      </c>
      <c r="BG2" s="69">
        <v>4600.0</v>
      </c>
      <c r="BH2" s="67"/>
    </row>
    <row r="3">
      <c r="A3" s="66" t="s">
        <v>1256</v>
      </c>
      <c r="B3" s="66" t="s">
        <v>1257</v>
      </c>
      <c r="C3" s="66">
        <v>44929.0</v>
      </c>
      <c r="D3" s="66" t="s">
        <v>1258</v>
      </c>
      <c r="E3" s="66">
        <v>850.0</v>
      </c>
      <c r="F3" s="66">
        <v>1739.0</v>
      </c>
      <c r="G3" s="66" t="s">
        <v>584</v>
      </c>
      <c r="H3" s="66" t="s">
        <v>1146</v>
      </c>
      <c r="I3" s="66" t="s">
        <v>55</v>
      </c>
      <c r="J3" s="66" t="s">
        <v>1253</v>
      </c>
      <c r="K3" s="66">
        <v>0.0</v>
      </c>
      <c r="L3" s="66" t="s">
        <v>1261</v>
      </c>
      <c r="M3" s="70">
        <v>46150.0</v>
      </c>
      <c r="N3" s="66">
        <v>8.0</v>
      </c>
      <c r="O3" s="66">
        <v>0.0</v>
      </c>
      <c r="P3" s="66">
        <v>0.0</v>
      </c>
      <c r="Q3" s="66">
        <v>0.0</v>
      </c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9">
        <v>7285.0</v>
      </c>
      <c r="BE3" s="67"/>
      <c r="BF3" s="69">
        <v>5100.0</v>
      </c>
      <c r="BG3" s="69">
        <v>1020.0</v>
      </c>
      <c r="BH3" s="67"/>
    </row>
    <row r="4">
      <c r="A4" s="66" t="s">
        <v>1034</v>
      </c>
      <c r="B4" s="66" t="s">
        <v>1262</v>
      </c>
      <c r="C4" s="66">
        <v>10825.0</v>
      </c>
      <c r="D4" s="66" t="s">
        <v>1263</v>
      </c>
      <c r="E4" s="66">
        <v>850.0</v>
      </c>
      <c r="F4" s="66">
        <v>1739.0</v>
      </c>
      <c r="G4" s="66" t="s">
        <v>150</v>
      </c>
      <c r="H4" s="66" t="s">
        <v>1146</v>
      </c>
      <c r="I4" s="66" t="s">
        <v>55</v>
      </c>
      <c r="J4" s="66" t="s">
        <v>1253</v>
      </c>
      <c r="K4" s="66">
        <v>0.0</v>
      </c>
      <c r="L4" s="66" t="s">
        <v>1265</v>
      </c>
      <c r="M4" s="70">
        <v>46089.0</v>
      </c>
      <c r="N4" s="66">
        <v>8.0</v>
      </c>
      <c r="O4" s="69">
        <v>2900.0</v>
      </c>
      <c r="P4" s="66">
        <v>464.0</v>
      </c>
      <c r="Q4" s="69">
        <v>2764.67</v>
      </c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9">
        <v>1030.0</v>
      </c>
      <c r="BE4" s="67"/>
      <c r="BF4" s="69">
        <v>2900.0</v>
      </c>
      <c r="BG4" s="66">
        <v>580.0</v>
      </c>
      <c r="BH4" s="67"/>
    </row>
    <row r="5">
      <c r="A5" s="66" t="s">
        <v>1034</v>
      </c>
      <c r="B5" s="66" t="s">
        <v>1262</v>
      </c>
      <c r="C5" s="66">
        <v>10837.0</v>
      </c>
      <c r="D5" s="66" t="s">
        <v>1263</v>
      </c>
      <c r="E5" s="66">
        <v>850.0</v>
      </c>
      <c r="F5" s="66">
        <v>1739.0</v>
      </c>
      <c r="G5" s="66" t="s">
        <v>1023</v>
      </c>
      <c r="H5" s="66" t="s">
        <v>1146</v>
      </c>
      <c r="I5" s="66" t="s">
        <v>55</v>
      </c>
      <c r="J5" s="66" t="s">
        <v>1253</v>
      </c>
      <c r="K5" s="66">
        <v>0.0</v>
      </c>
      <c r="L5" s="70">
        <v>46181.0</v>
      </c>
      <c r="M5" s="70">
        <v>46334.0</v>
      </c>
      <c r="N5" s="66">
        <v>8.0</v>
      </c>
      <c r="O5" s="69">
        <v>2900.0</v>
      </c>
      <c r="P5" s="66">
        <v>464.0</v>
      </c>
      <c r="Q5" s="69">
        <v>2764.67</v>
      </c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9">
        <v>1030.0</v>
      </c>
      <c r="BE5" s="67"/>
      <c r="BF5" s="69">
        <v>2900.0</v>
      </c>
      <c r="BG5" s="66">
        <v>580.0</v>
      </c>
      <c r="BH5" s="67"/>
    </row>
    <row r="6">
      <c r="A6" s="66" t="s">
        <v>1034</v>
      </c>
      <c r="B6" s="66" t="s">
        <v>1267</v>
      </c>
      <c r="C6" s="66">
        <v>44918.0</v>
      </c>
      <c r="D6" s="66" t="s">
        <v>1268</v>
      </c>
      <c r="E6" s="66">
        <v>850.0</v>
      </c>
      <c r="F6" s="66">
        <v>1739.0</v>
      </c>
      <c r="G6" s="66" t="s">
        <v>900</v>
      </c>
      <c r="H6" s="66" t="s">
        <v>1146</v>
      </c>
      <c r="I6" s="66" t="s">
        <v>55</v>
      </c>
      <c r="J6" s="66" t="s">
        <v>1253</v>
      </c>
      <c r="K6" s="66">
        <v>0.0</v>
      </c>
      <c r="L6" s="66" t="s">
        <v>1269</v>
      </c>
      <c r="M6" s="70">
        <v>46120.0</v>
      </c>
      <c r="N6" s="66">
        <v>8.0</v>
      </c>
      <c r="O6" s="66">
        <v>0.0</v>
      </c>
      <c r="P6" s="66">
        <v>0.0</v>
      </c>
      <c r="Q6" s="66">
        <v>0.0</v>
      </c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9">
        <v>14726.33</v>
      </c>
      <c r="BE6" s="67"/>
      <c r="BF6" s="69">
        <v>7841.33</v>
      </c>
      <c r="BG6" s="69">
        <v>1568.27</v>
      </c>
      <c r="BH6" s="67"/>
    </row>
    <row r="7">
      <c r="A7" s="66" t="s">
        <v>1034</v>
      </c>
      <c r="B7" s="66" t="s">
        <v>1262</v>
      </c>
      <c r="C7" s="66">
        <v>10838.0</v>
      </c>
      <c r="D7" s="66" t="s">
        <v>1263</v>
      </c>
      <c r="E7" s="66">
        <v>850.0</v>
      </c>
      <c r="F7" s="66">
        <v>1739.0</v>
      </c>
      <c r="G7" s="66" t="s">
        <v>966</v>
      </c>
      <c r="H7" s="66" t="s">
        <v>1146</v>
      </c>
      <c r="I7" s="66" t="s">
        <v>55</v>
      </c>
      <c r="J7" s="66" t="s">
        <v>1253</v>
      </c>
      <c r="K7" s="66">
        <v>0.0</v>
      </c>
      <c r="L7" s="70">
        <v>46211.0</v>
      </c>
      <c r="M7" s="70">
        <v>46334.0</v>
      </c>
      <c r="N7" s="66">
        <v>8.0</v>
      </c>
      <c r="O7" s="69">
        <v>2900.0</v>
      </c>
      <c r="P7" s="66">
        <v>464.0</v>
      </c>
      <c r="Q7" s="69">
        <v>2764.67</v>
      </c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9">
        <v>1030.0</v>
      </c>
      <c r="BE7" s="67"/>
      <c r="BF7" s="69">
        <v>2900.0</v>
      </c>
      <c r="BG7" s="66">
        <v>580.0</v>
      </c>
      <c r="BH7" s="67"/>
    </row>
    <row r="8">
      <c r="A8" s="66" t="s">
        <v>1034</v>
      </c>
      <c r="B8" s="66" t="s">
        <v>1267</v>
      </c>
      <c r="C8" s="66">
        <v>44984.0</v>
      </c>
      <c r="D8" s="66" t="s">
        <v>1268</v>
      </c>
      <c r="E8" s="66">
        <v>850.0</v>
      </c>
      <c r="F8" s="66">
        <v>1739.0</v>
      </c>
      <c r="G8" s="66" t="s">
        <v>1042</v>
      </c>
      <c r="H8" s="66" t="s">
        <v>1146</v>
      </c>
      <c r="I8" s="66" t="s">
        <v>55</v>
      </c>
      <c r="J8" s="66" t="s">
        <v>1253</v>
      </c>
      <c r="K8" s="66">
        <v>0.0</v>
      </c>
      <c r="L8" s="70">
        <v>46334.0</v>
      </c>
      <c r="M8" s="70">
        <v>46364.0</v>
      </c>
      <c r="N8" s="66">
        <v>8.0</v>
      </c>
      <c r="O8" s="66">
        <v>0.0</v>
      </c>
      <c r="P8" s="66">
        <v>0.0</v>
      </c>
      <c r="Q8" s="66">
        <v>0.0</v>
      </c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9">
        <v>12950.79</v>
      </c>
      <c r="BE8" s="67"/>
      <c r="BF8" s="69">
        <v>6065.79</v>
      </c>
      <c r="BG8" s="69">
        <v>1213.16</v>
      </c>
      <c r="BH8" s="67"/>
    </row>
    <row r="9">
      <c r="A9" s="66" t="s">
        <v>1034</v>
      </c>
      <c r="B9" s="66" t="s">
        <v>1272</v>
      </c>
      <c r="C9" s="66">
        <v>45066.0</v>
      </c>
      <c r="D9" s="66" t="s">
        <v>1137</v>
      </c>
      <c r="E9" s="66">
        <v>850.0</v>
      </c>
      <c r="F9" s="66">
        <v>1739.0</v>
      </c>
      <c r="G9" s="66" t="s">
        <v>1273</v>
      </c>
      <c r="H9" s="66" t="s">
        <v>1146</v>
      </c>
      <c r="I9" s="66" t="s">
        <v>55</v>
      </c>
      <c r="J9" s="66" t="s">
        <v>1253</v>
      </c>
      <c r="K9" s="66">
        <v>0.0</v>
      </c>
      <c r="L9" s="66" t="s">
        <v>1275</v>
      </c>
      <c r="M9" s="66" t="s">
        <v>1254</v>
      </c>
      <c r="N9" s="66">
        <v>8.0</v>
      </c>
      <c r="O9" s="66">
        <v>0.0</v>
      </c>
      <c r="P9" s="66">
        <v>0.0</v>
      </c>
      <c r="Q9" s="66">
        <v>0.0</v>
      </c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9">
        <v>9485.0</v>
      </c>
      <c r="BE9" s="67"/>
      <c r="BF9" s="69">
        <v>4900.0</v>
      </c>
      <c r="BG9" s="66">
        <v>980.0</v>
      </c>
      <c r="BH9" s="67"/>
    </row>
    <row r="10">
      <c r="A10" s="66" t="s">
        <v>1256</v>
      </c>
      <c r="B10" s="66" t="s">
        <v>1276</v>
      </c>
      <c r="C10" s="66">
        <v>44960.0</v>
      </c>
      <c r="D10" s="66" t="s">
        <v>1277</v>
      </c>
      <c r="E10" s="66">
        <v>850.0</v>
      </c>
      <c r="F10" s="66">
        <v>1739.0</v>
      </c>
      <c r="G10" s="66" t="s">
        <v>953</v>
      </c>
      <c r="H10" s="66" t="s">
        <v>1146</v>
      </c>
      <c r="I10" s="66" t="s">
        <v>55</v>
      </c>
      <c r="J10" s="66" t="s">
        <v>1253</v>
      </c>
      <c r="K10" s="66">
        <v>0.0</v>
      </c>
      <c r="L10" s="70">
        <v>46211.0</v>
      </c>
      <c r="M10" s="70">
        <v>46303.0</v>
      </c>
      <c r="N10" s="66">
        <v>8.0</v>
      </c>
      <c r="O10" s="66">
        <v>0.0</v>
      </c>
      <c r="P10" s="66">
        <v>0.0</v>
      </c>
      <c r="Q10" s="66">
        <v>0.0</v>
      </c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9">
        <v>7285.0</v>
      </c>
      <c r="BE10" s="67"/>
      <c r="BF10" s="69">
        <v>5100.0</v>
      </c>
      <c r="BG10" s="69">
        <v>1020.0</v>
      </c>
      <c r="BH10" s="67"/>
    </row>
    <row r="11">
      <c r="A11" s="66" t="s">
        <v>1034</v>
      </c>
      <c r="B11" s="66" t="s">
        <v>1280</v>
      </c>
      <c r="C11" s="66">
        <v>44978.0</v>
      </c>
      <c r="D11" s="66" t="s">
        <v>1281</v>
      </c>
      <c r="E11" s="66">
        <v>850.0</v>
      </c>
      <c r="F11" s="66">
        <v>1739.0</v>
      </c>
      <c r="G11" s="66" t="s">
        <v>961</v>
      </c>
      <c r="H11" s="66" t="s">
        <v>1146</v>
      </c>
      <c r="I11" s="66" t="s">
        <v>55</v>
      </c>
      <c r="J11" s="66" t="s">
        <v>1282</v>
      </c>
      <c r="K11" s="66">
        <v>0.0</v>
      </c>
      <c r="L11" s="70">
        <v>46303.0</v>
      </c>
      <c r="M11" s="70">
        <v>46334.0</v>
      </c>
      <c r="N11" s="66">
        <v>8.0</v>
      </c>
      <c r="O11" s="66">
        <v>0.0</v>
      </c>
      <c r="P11" s="66">
        <v>0.0</v>
      </c>
      <c r="Q11" s="66">
        <v>0.0</v>
      </c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9">
        <v>11840.7</v>
      </c>
      <c r="BE11" s="67"/>
      <c r="BF11" s="69">
        <v>3537.14</v>
      </c>
      <c r="BG11" s="66">
        <v>707.43</v>
      </c>
      <c r="BH11" s="67"/>
    </row>
    <row r="12">
      <c r="A12" s="66" t="s">
        <v>1256</v>
      </c>
      <c r="B12" s="66" t="s">
        <v>1276</v>
      </c>
      <c r="C12" s="66">
        <v>44979.0</v>
      </c>
      <c r="D12" s="66" t="s">
        <v>1277</v>
      </c>
      <c r="E12" s="66">
        <v>850.0</v>
      </c>
      <c r="F12" s="66">
        <v>1739.0</v>
      </c>
      <c r="G12" s="66" t="s">
        <v>1048</v>
      </c>
      <c r="H12" s="66" t="s">
        <v>1146</v>
      </c>
      <c r="I12" s="66" t="s">
        <v>55</v>
      </c>
      <c r="J12" s="66" t="s">
        <v>1253</v>
      </c>
      <c r="K12" s="69">
        <v>1200.0</v>
      </c>
      <c r="L12" s="70">
        <v>46303.0</v>
      </c>
      <c r="M12" s="70">
        <v>46364.0</v>
      </c>
      <c r="N12" s="66">
        <v>8.0</v>
      </c>
      <c r="O12" s="66">
        <v>0.0</v>
      </c>
      <c r="P12" s="66">
        <v>0.0</v>
      </c>
      <c r="Q12" s="66">
        <v>0.0</v>
      </c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9">
        <v>8485.0</v>
      </c>
      <c r="BE12" s="67"/>
      <c r="BF12" s="69">
        <v>5100.0</v>
      </c>
      <c r="BG12" s="69">
        <v>1020.0</v>
      </c>
      <c r="BH12" s="67"/>
    </row>
    <row r="13">
      <c r="A13" s="66" t="s">
        <v>1034</v>
      </c>
      <c r="B13" s="66" t="s">
        <v>1286</v>
      </c>
      <c r="C13" s="66">
        <v>44981.0</v>
      </c>
      <c r="D13" s="66" t="s">
        <v>1287</v>
      </c>
      <c r="E13" s="66">
        <v>850.0</v>
      </c>
      <c r="F13" s="66">
        <v>1739.0</v>
      </c>
      <c r="G13" s="66" t="s">
        <v>1044</v>
      </c>
      <c r="H13" s="66" t="s">
        <v>1146</v>
      </c>
      <c r="I13" s="66" t="s">
        <v>55</v>
      </c>
      <c r="J13" s="66" t="s">
        <v>1288</v>
      </c>
      <c r="K13" s="69">
        <v>11006.87</v>
      </c>
      <c r="L13" s="70">
        <v>46334.0</v>
      </c>
      <c r="M13" s="70">
        <v>46364.0</v>
      </c>
      <c r="N13" s="66">
        <v>8.0</v>
      </c>
      <c r="O13" s="66">
        <v>0.0</v>
      </c>
      <c r="P13" s="66">
        <v>0.0</v>
      </c>
      <c r="Q13" s="66">
        <v>0.0</v>
      </c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9">
        <v>15699.61</v>
      </c>
      <c r="BE13" s="67"/>
      <c r="BF13" s="69">
        <v>2635.79</v>
      </c>
      <c r="BG13" s="66">
        <v>527.16</v>
      </c>
      <c r="BH13" s="67"/>
    </row>
    <row r="14">
      <c r="A14" s="66" t="s">
        <v>1034</v>
      </c>
      <c r="B14" s="66" t="s">
        <v>1290</v>
      </c>
      <c r="C14" s="66">
        <v>45020.0</v>
      </c>
      <c r="D14" s="66" t="s">
        <v>1291</v>
      </c>
      <c r="E14" s="66">
        <v>850.0</v>
      </c>
      <c r="F14" s="66">
        <v>1739.0</v>
      </c>
      <c r="G14" s="66" t="s">
        <v>1207</v>
      </c>
      <c r="H14" s="66" t="s">
        <v>1146</v>
      </c>
      <c r="I14" s="66" t="s">
        <v>55</v>
      </c>
      <c r="J14" s="66" t="s">
        <v>1282</v>
      </c>
      <c r="K14" s="66">
        <v>0.0</v>
      </c>
      <c r="L14" s="66" t="s">
        <v>1292</v>
      </c>
      <c r="M14" s="66" t="s">
        <v>1293</v>
      </c>
      <c r="N14" s="66">
        <v>8.0</v>
      </c>
      <c r="O14" s="66">
        <v>0.0</v>
      </c>
      <c r="P14" s="66">
        <v>0.0</v>
      </c>
      <c r="Q14" s="66">
        <v>0.0</v>
      </c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9">
        <v>9565.63</v>
      </c>
      <c r="BE14" s="67"/>
      <c r="BF14" s="69">
        <v>4975.79</v>
      </c>
      <c r="BG14" s="66">
        <v>995.16</v>
      </c>
      <c r="BH14" s="67"/>
    </row>
    <row r="15">
      <c r="A15" s="66" t="s">
        <v>1034</v>
      </c>
      <c r="B15" s="66" t="s">
        <v>1262</v>
      </c>
      <c r="C15" s="66">
        <v>10852.0</v>
      </c>
      <c r="D15" s="66" t="s">
        <v>1263</v>
      </c>
      <c r="E15" s="66">
        <v>850.0</v>
      </c>
      <c r="F15" s="66">
        <v>1739.0</v>
      </c>
      <c r="G15" s="66" t="s">
        <v>1120</v>
      </c>
      <c r="H15" s="66" t="s">
        <v>1146</v>
      </c>
      <c r="I15" s="66" t="s">
        <v>55</v>
      </c>
      <c r="J15" s="66" t="s">
        <v>1282</v>
      </c>
      <c r="K15" s="66">
        <v>0.0</v>
      </c>
      <c r="L15" s="66" t="s">
        <v>1292</v>
      </c>
      <c r="M15" s="66" t="s">
        <v>1254</v>
      </c>
      <c r="N15" s="66">
        <v>8.0</v>
      </c>
      <c r="O15" s="69">
        <v>2900.0</v>
      </c>
      <c r="P15" s="66">
        <v>464.0</v>
      </c>
      <c r="Q15" s="69">
        <v>2764.67</v>
      </c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9">
        <v>1030.0</v>
      </c>
      <c r="BE15" s="67"/>
      <c r="BF15" s="69">
        <v>2900.0</v>
      </c>
      <c r="BG15" s="66">
        <v>580.0</v>
      </c>
      <c r="BH15" s="67"/>
    </row>
    <row r="16">
      <c r="A16" s="66" t="s">
        <v>1256</v>
      </c>
      <c r="B16" s="66" t="s">
        <v>1276</v>
      </c>
      <c r="C16" s="66">
        <v>45064.0</v>
      </c>
      <c r="D16" s="66" t="s">
        <v>1277</v>
      </c>
      <c r="E16" s="66">
        <v>850.0</v>
      </c>
      <c r="F16" s="66">
        <v>1739.0</v>
      </c>
      <c r="G16" s="66" t="s">
        <v>1296</v>
      </c>
      <c r="H16" s="66" t="s">
        <v>1146</v>
      </c>
      <c r="I16" s="66" t="s">
        <v>55</v>
      </c>
      <c r="J16" s="66" t="s">
        <v>1253</v>
      </c>
      <c r="K16" s="66">
        <v>0.0</v>
      </c>
      <c r="L16" s="66" t="s">
        <v>1297</v>
      </c>
      <c r="M16" s="66" t="s">
        <v>1254</v>
      </c>
      <c r="N16" s="66">
        <v>8.0</v>
      </c>
      <c r="O16" s="66">
        <v>0.0</v>
      </c>
      <c r="P16" s="66">
        <v>0.0</v>
      </c>
      <c r="Q16" s="66">
        <v>0.0</v>
      </c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9">
        <v>9867.38</v>
      </c>
      <c r="BE16" s="67"/>
      <c r="BF16" s="69">
        <v>5182.38</v>
      </c>
      <c r="BG16" s="69">
        <v>1036.48</v>
      </c>
      <c r="BH16" s="67"/>
    </row>
    <row r="17">
      <c r="A17" s="66" t="s">
        <v>1034</v>
      </c>
      <c r="B17" s="66" t="s">
        <v>1262</v>
      </c>
      <c r="C17" s="66">
        <v>10853.0</v>
      </c>
      <c r="D17" s="66" t="s">
        <v>1263</v>
      </c>
      <c r="E17" s="66">
        <v>850.0</v>
      </c>
      <c r="F17" s="66">
        <v>1739.0</v>
      </c>
      <c r="G17" s="66" t="s">
        <v>1298</v>
      </c>
      <c r="H17" s="66" t="s">
        <v>1146</v>
      </c>
      <c r="I17" s="66" t="s">
        <v>55</v>
      </c>
      <c r="J17" s="66" t="s">
        <v>1299</v>
      </c>
      <c r="K17" s="66">
        <v>0.0</v>
      </c>
      <c r="L17" s="66" t="s">
        <v>1300</v>
      </c>
      <c r="M17" s="66" t="s">
        <v>1301</v>
      </c>
      <c r="N17" s="66">
        <v>8.0</v>
      </c>
      <c r="O17" s="69">
        <v>2900.0</v>
      </c>
      <c r="P17" s="66">
        <v>464.0</v>
      </c>
      <c r="Q17" s="69">
        <v>2764.67</v>
      </c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9">
        <v>1030.0</v>
      </c>
      <c r="BE17" s="67"/>
      <c r="BF17" s="69">
        <v>2900.0</v>
      </c>
      <c r="BG17" s="66">
        <v>580.0</v>
      </c>
      <c r="BH17" s="67"/>
    </row>
    <row r="18">
      <c r="A18" s="66" t="s">
        <v>1034</v>
      </c>
      <c r="B18" s="66" t="s">
        <v>1262</v>
      </c>
      <c r="C18" s="66">
        <v>10848.0</v>
      </c>
      <c r="D18" s="66" t="s">
        <v>1263</v>
      </c>
      <c r="E18" s="66">
        <v>470.0</v>
      </c>
      <c r="F18" s="66">
        <v>1695.0</v>
      </c>
      <c r="G18" s="66" t="s">
        <v>1117</v>
      </c>
      <c r="H18" s="66" t="s">
        <v>1170</v>
      </c>
      <c r="I18" s="66" t="s">
        <v>74</v>
      </c>
      <c r="J18" s="66" t="s">
        <v>1282</v>
      </c>
      <c r="K18" s="66">
        <v>0.0</v>
      </c>
      <c r="L18" s="66" t="s">
        <v>1302</v>
      </c>
      <c r="M18" s="66" t="s">
        <v>1275</v>
      </c>
      <c r="N18" s="66">
        <v>8.0</v>
      </c>
      <c r="O18" s="69">
        <v>2900.0</v>
      </c>
      <c r="P18" s="66">
        <v>464.0</v>
      </c>
      <c r="Q18" s="69">
        <v>2764.67</v>
      </c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6">
        <v>30.0</v>
      </c>
      <c r="BE18" s="67"/>
      <c r="BF18" s="69">
        <v>2900.0</v>
      </c>
      <c r="BG18" s="66">
        <v>580.0</v>
      </c>
      <c r="BH18" s="67"/>
    </row>
    <row r="19">
      <c r="A19" s="66" t="s">
        <v>1034</v>
      </c>
      <c r="B19" s="66" t="s">
        <v>1303</v>
      </c>
      <c r="C19" s="66">
        <v>45069.0</v>
      </c>
      <c r="D19" s="66" t="s">
        <v>1304</v>
      </c>
      <c r="E19" s="66">
        <v>430.0</v>
      </c>
      <c r="F19" s="66">
        <v>1695.0</v>
      </c>
      <c r="G19" s="66" t="s">
        <v>1305</v>
      </c>
      <c r="H19" s="66" t="s">
        <v>1170</v>
      </c>
      <c r="I19" s="66" t="s">
        <v>554</v>
      </c>
      <c r="J19" s="66" t="s">
        <v>1288</v>
      </c>
      <c r="K19" s="66">
        <v>0.0</v>
      </c>
      <c r="L19" s="67"/>
      <c r="M19" s="66" t="s">
        <v>1254</v>
      </c>
      <c r="N19" s="66">
        <v>8.0</v>
      </c>
      <c r="O19" s="66">
        <v>0.0</v>
      </c>
      <c r="P19" s="66">
        <v>0.0</v>
      </c>
      <c r="Q19" s="66">
        <v>0.0</v>
      </c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6">
        <v>0.01</v>
      </c>
      <c r="BE19" s="67"/>
      <c r="BF19" s="66">
        <v>0.01</v>
      </c>
      <c r="BG19" s="66">
        <v>0.0</v>
      </c>
      <c r="BH19" s="67"/>
    </row>
    <row r="20">
      <c r="A20" s="66" t="s">
        <v>1034</v>
      </c>
      <c r="B20" s="66" t="s">
        <v>1308</v>
      </c>
      <c r="C20" s="66">
        <v>44924.0</v>
      </c>
      <c r="D20" s="66" t="s">
        <v>1309</v>
      </c>
      <c r="E20" s="66">
        <v>160.0</v>
      </c>
      <c r="F20" s="66">
        <v>3387.0</v>
      </c>
      <c r="G20" s="66" t="s">
        <v>722</v>
      </c>
      <c r="H20" s="66" t="s">
        <v>1310</v>
      </c>
      <c r="I20" s="66" t="s">
        <v>551</v>
      </c>
      <c r="J20" s="66" t="s">
        <v>1288</v>
      </c>
      <c r="K20" s="66">
        <v>0.0</v>
      </c>
      <c r="L20" s="67"/>
      <c r="M20" s="70">
        <v>46150.0</v>
      </c>
      <c r="N20" s="66">
        <v>8.0</v>
      </c>
      <c r="O20" s="66">
        <v>0.0</v>
      </c>
      <c r="P20" s="66">
        <v>0.0</v>
      </c>
      <c r="Q20" s="66">
        <v>0.0</v>
      </c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6">
        <v>1.0</v>
      </c>
      <c r="BE20" s="67"/>
      <c r="BF20" s="66">
        <v>0.0</v>
      </c>
      <c r="BG20" s="66">
        <v>0.0</v>
      </c>
      <c r="BH20" s="67"/>
    </row>
    <row r="21">
      <c r="A21" s="66" t="s">
        <v>1034</v>
      </c>
      <c r="B21" s="66" t="s">
        <v>1308</v>
      </c>
      <c r="C21" s="66">
        <v>45031.0</v>
      </c>
      <c r="D21" s="66" t="s">
        <v>1309</v>
      </c>
      <c r="E21" s="66">
        <v>160.0</v>
      </c>
      <c r="F21" s="66">
        <v>3387.0</v>
      </c>
      <c r="G21" s="66" t="s">
        <v>1129</v>
      </c>
      <c r="H21" s="66" t="s">
        <v>1310</v>
      </c>
      <c r="I21" s="66" t="s">
        <v>551</v>
      </c>
      <c r="J21" s="66" t="s">
        <v>1288</v>
      </c>
      <c r="K21" s="66">
        <v>0.0</v>
      </c>
      <c r="L21" s="67"/>
      <c r="M21" s="66" t="s">
        <v>1293</v>
      </c>
      <c r="N21" s="66">
        <v>8.0</v>
      </c>
      <c r="O21" s="66">
        <v>0.0</v>
      </c>
      <c r="P21" s="66">
        <v>0.0</v>
      </c>
      <c r="Q21" s="66">
        <v>0.0</v>
      </c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6">
        <v>1.0</v>
      </c>
      <c r="BE21" s="67"/>
      <c r="BF21" s="66">
        <v>0.0</v>
      </c>
      <c r="BG21" s="66">
        <v>0.0</v>
      </c>
      <c r="BH21" s="67"/>
    </row>
    <row r="22">
      <c r="A22" s="66" t="s">
        <v>1034</v>
      </c>
      <c r="B22" s="66" t="s">
        <v>1311</v>
      </c>
      <c r="C22" s="66">
        <v>45059.0</v>
      </c>
      <c r="D22" s="66" t="s">
        <v>599</v>
      </c>
      <c r="E22" s="66">
        <v>650.0</v>
      </c>
      <c r="F22" s="66">
        <v>1695.0</v>
      </c>
      <c r="G22" s="66" t="s">
        <v>1312</v>
      </c>
      <c r="H22" s="66" t="s">
        <v>1313</v>
      </c>
      <c r="I22" s="66" t="e">
        <v>#N/A</v>
      </c>
      <c r="J22" s="66" t="s">
        <v>1288</v>
      </c>
      <c r="K22" s="69">
        <v>2500.0</v>
      </c>
      <c r="L22" s="67"/>
      <c r="M22" s="66" t="s">
        <v>1254</v>
      </c>
      <c r="N22" s="66">
        <v>8.0</v>
      </c>
      <c r="O22" s="66">
        <v>0.0</v>
      </c>
      <c r="P22" s="66">
        <v>0.0</v>
      </c>
      <c r="Q22" s="66">
        <v>0.0</v>
      </c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9">
        <v>82241.52</v>
      </c>
      <c r="BE22" s="67"/>
      <c r="BF22" s="69">
        <v>79741.52</v>
      </c>
      <c r="BG22" s="69">
        <v>15948.3</v>
      </c>
      <c r="BH22" s="67"/>
    </row>
    <row r="23">
      <c r="A23" s="66" t="s">
        <v>1034</v>
      </c>
      <c r="B23" s="66" t="s">
        <v>1311</v>
      </c>
      <c r="C23" s="66">
        <v>45058.0</v>
      </c>
      <c r="D23" s="66" t="s">
        <v>599</v>
      </c>
      <c r="E23" s="66">
        <v>650.0</v>
      </c>
      <c r="F23" s="66">
        <v>1695.0</v>
      </c>
      <c r="G23" s="66" t="s">
        <v>1314</v>
      </c>
      <c r="H23" s="66" t="s">
        <v>1315</v>
      </c>
      <c r="I23" s="66" t="s">
        <v>84</v>
      </c>
      <c r="J23" s="66" t="s">
        <v>1288</v>
      </c>
      <c r="K23" s="69">
        <v>2500.0</v>
      </c>
      <c r="L23" s="67"/>
      <c r="M23" s="66" t="s">
        <v>1254</v>
      </c>
      <c r="N23" s="66">
        <v>8.0</v>
      </c>
      <c r="O23" s="66">
        <v>0.0</v>
      </c>
      <c r="P23" s="66">
        <v>0.0</v>
      </c>
      <c r="Q23" s="66">
        <v>0.0</v>
      </c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9">
        <v>94790.84</v>
      </c>
      <c r="BE23" s="67"/>
      <c r="BF23" s="69">
        <v>92290.84</v>
      </c>
      <c r="BG23" s="69">
        <v>18458.17</v>
      </c>
      <c r="BH23" s="67"/>
    </row>
    <row r="24">
      <c r="A24" s="66" t="s">
        <v>1034</v>
      </c>
      <c r="B24" s="66" t="s">
        <v>1311</v>
      </c>
      <c r="C24" s="66">
        <v>44922.0</v>
      </c>
      <c r="D24" s="66" t="s">
        <v>599</v>
      </c>
      <c r="E24" s="66">
        <v>650.0</v>
      </c>
      <c r="F24" s="66">
        <v>1695.0</v>
      </c>
      <c r="G24" s="66" t="s">
        <v>600</v>
      </c>
      <c r="H24" s="66" t="s">
        <v>1316</v>
      </c>
      <c r="I24" s="66" t="s">
        <v>84</v>
      </c>
      <c r="J24" s="66" t="s">
        <v>1253</v>
      </c>
      <c r="K24" s="69">
        <v>2500.0</v>
      </c>
      <c r="L24" s="67"/>
      <c r="M24" s="70">
        <v>46150.0</v>
      </c>
      <c r="N24" s="66">
        <v>8.0</v>
      </c>
      <c r="O24" s="66">
        <v>0.0</v>
      </c>
      <c r="P24" s="66">
        <v>0.0</v>
      </c>
      <c r="Q24" s="66">
        <v>0.0</v>
      </c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9">
        <v>86448.44</v>
      </c>
      <c r="BE24" s="67"/>
      <c r="BF24" s="69">
        <v>83948.44</v>
      </c>
      <c r="BG24" s="69">
        <v>16789.69</v>
      </c>
      <c r="BH24" s="67"/>
    </row>
    <row r="25">
      <c r="A25" s="66" t="s">
        <v>1034</v>
      </c>
      <c r="B25" s="66" t="s">
        <v>1311</v>
      </c>
      <c r="C25" s="66">
        <v>44964.0</v>
      </c>
      <c r="D25" s="66" t="s">
        <v>599</v>
      </c>
      <c r="E25" s="66">
        <v>650.0</v>
      </c>
      <c r="F25" s="66">
        <v>1695.0</v>
      </c>
      <c r="G25" s="66" t="s">
        <v>979</v>
      </c>
      <c r="H25" s="66" t="s">
        <v>1317</v>
      </c>
      <c r="I25" s="66" t="s">
        <v>84</v>
      </c>
      <c r="J25" s="66" t="s">
        <v>1253</v>
      </c>
      <c r="K25" s="69">
        <v>2500.0</v>
      </c>
      <c r="L25" s="67"/>
      <c r="M25" s="70">
        <v>46303.0</v>
      </c>
      <c r="N25" s="66">
        <v>8.0</v>
      </c>
      <c r="O25" s="66">
        <v>0.0</v>
      </c>
      <c r="P25" s="66">
        <v>0.0</v>
      </c>
      <c r="Q25" s="66">
        <v>0.0</v>
      </c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9">
        <v>42756.72</v>
      </c>
      <c r="BE25" s="67"/>
      <c r="BF25" s="69">
        <v>40256.72</v>
      </c>
      <c r="BG25" s="69">
        <v>8051.34</v>
      </c>
      <c r="BH25" s="67"/>
    </row>
    <row r="26">
      <c r="A26" s="66" t="s">
        <v>1034</v>
      </c>
      <c r="B26" s="66" t="s">
        <v>1318</v>
      </c>
      <c r="C26" s="66">
        <v>44913.0</v>
      </c>
      <c r="D26" s="66" t="s">
        <v>1319</v>
      </c>
      <c r="E26" s="66">
        <v>650.0</v>
      </c>
      <c r="F26" s="66">
        <v>1695.0</v>
      </c>
      <c r="G26" s="66" t="s">
        <v>547</v>
      </c>
      <c r="H26" s="66" t="s">
        <v>1196</v>
      </c>
      <c r="I26" s="66" t="s">
        <v>84</v>
      </c>
      <c r="J26" s="66" t="s">
        <v>1288</v>
      </c>
      <c r="K26" s="66">
        <v>637.64</v>
      </c>
      <c r="L26" s="66" t="s">
        <v>1320</v>
      </c>
      <c r="M26" s="70">
        <v>46089.0</v>
      </c>
      <c r="N26" s="66">
        <v>8.0</v>
      </c>
      <c r="O26" s="66">
        <v>0.0</v>
      </c>
      <c r="P26" s="66">
        <v>0.0</v>
      </c>
      <c r="Q26" s="66">
        <v>0.0</v>
      </c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9">
        <v>1717.43</v>
      </c>
      <c r="BE26" s="67"/>
      <c r="BF26" s="66">
        <v>835.72</v>
      </c>
      <c r="BG26" s="66">
        <v>167.14</v>
      </c>
      <c r="BH26" s="67"/>
    </row>
    <row r="27">
      <c r="A27" s="66" t="s">
        <v>1321</v>
      </c>
      <c r="B27" s="66" t="s">
        <v>1318</v>
      </c>
      <c r="C27" s="66">
        <v>45027.0</v>
      </c>
      <c r="D27" s="66" t="s">
        <v>1319</v>
      </c>
      <c r="E27" s="66">
        <v>650.0</v>
      </c>
      <c r="F27" s="66">
        <v>1695.0</v>
      </c>
      <c r="G27" s="66" t="s">
        <v>1306</v>
      </c>
      <c r="H27" s="66" t="s">
        <v>1196</v>
      </c>
      <c r="I27" s="66" t="s">
        <v>84</v>
      </c>
      <c r="J27" s="66" t="s">
        <v>1288</v>
      </c>
      <c r="K27" s="66">
        <v>623.8</v>
      </c>
      <c r="L27" s="66" t="s">
        <v>1292</v>
      </c>
      <c r="M27" s="66" t="s">
        <v>1293</v>
      </c>
      <c r="N27" s="66">
        <v>8.0</v>
      </c>
      <c r="O27" s="66">
        <v>0.0</v>
      </c>
      <c r="P27" s="66">
        <v>0.0</v>
      </c>
      <c r="Q27" s="66">
        <v>0.0</v>
      </c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9">
        <v>5039.82</v>
      </c>
      <c r="BE27" s="67"/>
      <c r="BF27" s="66">
        <v>813.72</v>
      </c>
      <c r="BG27" s="66">
        <v>162.74</v>
      </c>
      <c r="BH27" s="67"/>
    </row>
    <row r="28">
      <c r="A28" s="66" t="s">
        <v>1321</v>
      </c>
      <c r="B28" s="66" t="s">
        <v>1318</v>
      </c>
      <c r="C28" s="66">
        <v>45092.0</v>
      </c>
      <c r="D28" s="66" t="s">
        <v>1319</v>
      </c>
      <c r="E28" s="66">
        <v>650.0</v>
      </c>
      <c r="F28" s="66">
        <v>1695.0</v>
      </c>
      <c r="G28" s="66" t="s">
        <v>1322</v>
      </c>
      <c r="H28" s="66" t="s">
        <v>1196</v>
      </c>
      <c r="I28" s="66" t="s">
        <v>84</v>
      </c>
      <c r="J28" s="66" t="s">
        <v>1288</v>
      </c>
      <c r="K28" s="66">
        <v>620.62</v>
      </c>
      <c r="L28" s="66" t="s">
        <v>1301</v>
      </c>
      <c r="M28" s="66" t="s">
        <v>1323</v>
      </c>
      <c r="N28" s="66">
        <v>8.0</v>
      </c>
      <c r="O28" s="66">
        <v>0.0</v>
      </c>
      <c r="P28" s="66">
        <v>0.0</v>
      </c>
      <c r="Q28" s="66">
        <v>0.0</v>
      </c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9">
        <v>1672.84</v>
      </c>
      <c r="BE28" s="67"/>
      <c r="BF28" s="66">
        <v>808.15</v>
      </c>
      <c r="BG28" s="66">
        <v>161.63</v>
      </c>
      <c r="BH28" s="67"/>
    </row>
    <row r="29">
      <c r="A29" s="66" t="s">
        <v>1250</v>
      </c>
      <c r="B29" s="66" t="s">
        <v>1324</v>
      </c>
      <c r="C29" s="66">
        <v>44934.0</v>
      </c>
      <c r="D29" s="66" t="s">
        <v>1325</v>
      </c>
      <c r="E29" s="66">
        <v>650.0</v>
      </c>
      <c r="F29" s="66">
        <v>1695.0</v>
      </c>
      <c r="G29" s="66" t="s">
        <v>910</v>
      </c>
      <c r="H29" s="66" t="s">
        <v>1161</v>
      </c>
      <c r="I29" s="66" t="s">
        <v>84</v>
      </c>
      <c r="J29" s="66" t="s">
        <v>1253</v>
      </c>
      <c r="K29" s="66">
        <v>0.0</v>
      </c>
      <c r="L29" s="70">
        <v>46241.0</v>
      </c>
      <c r="M29" s="70">
        <v>46150.0</v>
      </c>
      <c r="N29" s="66">
        <v>8.0</v>
      </c>
      <c r="O29" s="66">
        <v>0.0</v>
      </c>
      <c r="P29" s="66">
        <v>0.0</v>
      </c>
      <c r="Q29" s="66">
        <v>0.0</v>
      </c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6">
        <v>500.0</v>
      </c>
      <c r="BE29" s="67"/>
      <c r="BF29" s="66">
        <v>500.0</v>
      </c>
      <c r="BG29" s="66">
        <v>200.0</v>
      </c>
      <c r="BH29" s="67"/>
    </row>
    <row r="30">
      <c r="A30" s="66" t="s">
        <v>1250</v>
      </c>
      <c r="B30" s="66" t="s">
        <v>1251</v>
      </c>
      <c r="C30" s="66">
        <v>44933.0</v>
      </c>
      <c r="D30" s="66" t="s">
        <v>915</v>
      </c>
      <c r="E30" s="66">
        <v>650.0</v>
      </c>
      <c r="F30" s="66">
        <v>1695.0</v>
      </c>
      <c r="G30" s="66" t="s">
        <v>916</v>
      </c>
      <c r="H30" s="66" t="s">
        <v>1161</v>
      </c>
      <c r="I30" s="66" t="s">
        <v>84</v>
      </c>
      <c r="J30" s="66" t="s">
        <v>1253</v>
      </c>
      <c r="K30" s="69">
        <v>5542.41</v>
      </c>
      <c r="L30" s="67"/>
      <c r="M30" s="70">
        <v>46150.0</v>
      </c>
      <c r="N30" s="66">
        <v>8.0</v>
      </c>
      <c r="O30" s="66">
        <v>0.0</v>
      </c>
      <c r="P30" s="66">
        <v>0.0</v>
      </c>
      <c r="Q30" s="66">
        <v>0.0</v>
      </c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9">
        <v>17042.41</v>
      </c>
      <c r="BE30" s="67"/>
      <c r="BF30" s="69">
        <v>11500.0</v>
      </c>
      <c r="BG30" s="69">
        <v>4600.0</v>
      </c>
      <c r="BH30" s="67"/>
    </row>
    <row r="31">
      <c r="A31" s="66" t="s">
        <v>1321</v>
      </c>
      <c r="B31" s="66" t="s">
        <v>1326</v>
      </c>
      <c r="C31" s="66">
        <v>45010.0</v>
      </c>
      <c r="D31" s="66" t="s">
        <v>956</v>
      </c>
      <c r="E31" s="66">
        <v>650.0</v>
      </c>
      <c r="F31" s="66">
        <v>1695.0</v>
      </c>
      <c r="G31" s="66" t="s">
        <v>1210</v>
      </c>
      <c r="H31" s="66" t="s">
        <v>1161</v>
      </c>
      <c r="I31" s="66" t="s">
        <v>84</v>
      </c>
      <c r="J31" s="66" t="s">
        <v>1253</v>
      </c>
      <c r="K31" s="69">
        <v>3592.51</v>
      </c>
      <c r="L31" s="70">
        <v>46180.0</v>
      </c>
      <c r="M31" s="66" t="s">
        <v>1327</v>
      </c>
      <c r="N31" s="66">
        <v>8.0</v>
      </c>
      <c r="O31" s="66">
        <v>0.0</v>
      </c>
      <c r="P31" s="66">
        <v>0.0</v>
      </c>
      <c r="Q31" s="66">
        <v>0.0</v>
      </c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9">
        <v>6979.61</v>
      </c>
      <c r="BE31" s="67"/>
      <c r="BF31" s="69">
        <v>3387.1</v>
      </c>
      <c r="BG31" s="66">
        <v>677.42</v>
      </c>
      <c r="BH31" s="67"/>
    </row>
    <row r="32">
      <c r="A32" s="66" t="s">
        <v>1034</v>
      </c>
      <c r="B32" s="66" t="s">
        <v>1308</v>
      </c>
      <c r="C32" s="66">
        <v>44904.0</v>
      </c>
      <c r="D32" s="66" t="s">
        <v>1309</v>
      </c>
      <c r="E32" s="66">
        <v>650.0</v>
      </c>
      <c r="F32" s="66">
        <v>1695.0</v>
      </c>
      <c r="G32" s="66" t="s">
        <v>83</v>
      </c>
      <c r="H32" s="66" t="s">
        <v>1161</v>
      </c>
      <c r="I32" s="66" t="s">
        <v>84</v>
      </c>
      <c r="J32" s="66" t="s">
        <v>1288</v>
      </c>
      <c r="K32" s="69">
        <v>4305.53</v>
      </c>
      <c r="L32" s="66" t="s">
        <v>1328</v>
      </c>
      <c r="M32" s="70">
        <v>46089.0</v>
      </c>
      <c r="N32" s="66">
        <v>8.0</v>
      </c>
      <c r="O32" s="66">
        <v>0.0</v>
      </c>
      <c r="P32" s="66">
        <v>0.0</v>
      </c>
      <c r="Q32" s="66">
        <v>0.0</v>
      </c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9">
        <v>10846.93</v>
      </c>
      <c r="BE32" s="67"/>
      <c r="BF32" s="69">
        <v>4666.05</v>
      </c>
      <c r="BG32" s="66">
        <v>933.21</v>
      </c>
      <c r="BH32" s="67"/>
    </row>
    <row r="33">
      <c r="A33" s="66" t="s">
        <v>1034</v>
      </c>
      <c r="B33" s="66" t="s">
        <v>1329</v>
      </c>
      <c r="C33" s="66">
        <v>44927.0</v>
      </c>
      <c r="D33" s="66" t="s">
        <v>1330</v>
      </c>
      <c r="E33" s="66">
        <v>650.0</v>
      </c>
      <c r="F33" s="66">
        <v>1695.0</v>
      </c>
      <c r="G33" s="66" t="s">
        <v>809</v>
      </c>
      <c r="H33" s="66" t="s">
        <v>1161</v>
      </c>
      <c r="I33" s="66" t="s">
        <v>84</v>
      </c>
      <c r="J33" s="66" t="s">
        <v>1253</v>
      </c>
      <c r="K33" s="66">
        <v>0.0</v>
      </c>
      <c r="L33" s="66" t="s">
        <v>1331</v>
      </c>
      <c r="M33" s="70">
        <v>46150.0</v>
      </c>
      <c r="N33" s="66">
        <v>8.0</v>
      </c>
      <c r="O33" s="66">
        <v>0.0</v>
      </c>
      <c r="P33" s="66">
        <v>0.0</v>
      </c>
      <c r="Q33" s="66">
        <v>0.0</v>
      </c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9">
        <v>33284.92</v>
      </c>
      <c r="BE33" s="67"/>
      <c r="BF33" s="69">
        <v>31349.92</v>
      </c>
      <c r="BG33" s="69">
        <v>6269.98</v>
      </c>
      <c r="BH33" s="67"/>
    </row>
    <row r="34">
      <c r="A34" s="66" t="s">
        <v>1250</v>
      </c>
      <c r="B34" s="66" t="s">
        <v>1332</v>
      </c>
      <c r="C34" s="66">
        <v>45015.0</v>
      </c>
      <c r="D34" s="66" t="s">
        <v>1333</v>
      </c>
      <c r="E34" s="66">
        <v>650.0</v>
      </c>
      <c r="F34" s="66">
        <v>1695.0</v>
      </c>
      <c r="G34" s="66" t="s">
        <v>1136</v>
      </c>
      <c r="H34" s="66" t="s">
        <v>1161</v>
      </c>
      <c r="I34" s="66" t="s">
        <v>84</v>
      </c>
      <c r="J34" s="66" t="s">
        <v>1253</v>
      </c>
      <c r="K34" s="69">
        <v>6731.21</v>
      </c>
      <c r="L34" s="70">
        <v>46211.0</v>
      </c>
      <c r="M34" s="66" t="s">
        <v>1293</v>
      </c>
      <c r="N34" s="66">
        <v>8.0</v>
      </c>
      <c r="O34" s="66">
        <v>0.0</v>
      </c>
      <c r="P34" s="66">
        <v>0.0</v>
      </c>
      <c r="Q34" s="66">
        <v>0.0</v>
      </c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9">
        <v>15665.47</v>
      </c>
      <c r="BE34" s="67"/>
      <c r="BF34" s="69">
        <v>8914.26</v>
      </c>
      <c r="BG34" s="69">
        <v>3565.7</v>
      </c>
      <c r="BH34" s="67"/>
    </row>
    <row r="35">
      <c r="A35" s="66" t="s">
        <v>1034</v>
      </c>
      <c r="B35" s="66" t="s">
        <v>1280</v>
      </c>
      <c r="C35" s="66">
        <v>45024.0</v>
      </c>
      <c r="D35" s="66" t="s">
        <v>1281</v>
      </c>
      <c r="E35" s="66">
        <v>650.0</v>
      </c>
      <c r="F35" s="66">
        <v>1695.0</v>
      </c>
      <c r="G35" s="66" t="s">
        <v>1221</v>
      </c>
      <c r="H35" s="66" t="s">
        <v>1161</v>
      </c>
      <c r="I35" s="66" t="s">
        <v>84</v>
      </c>
      <c r="J35" s="66" t="s">
        <v>1282</v>
      </c>
      <c r="K35" s="69">
        <v>6514.48</v>
      </c>
      <c r="L35" s="66" t="s">
        <v>1334</v>
      </c>
      <c r="M35" s="66" t="s">
        <v>1293</v>
      </c>
      <c r="N35" s="66">
        <v>8.0</v>
      </c>
      <c r="O35" s="66">
        <v>0.0</v>
      </c>
      <c r="P35" s="66">
        <v>0.0</v>
      </c>
      <c r="Q35" s="66">
        <v>0.0</v>
      </c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9">
        <v>14684.14</v>
      </c>
      <c r="BE35" s="67"/>
      <c r="BF35" s="69">
        <v>3866.09</v>
      </c>
      <c r="BG35" s="66">
        <v>773.22</v>
      </c>
      <c r="BH35" s="67"/>
    </row>
    <row r="36">
      <c r="A36" s="66" t="s">
        <v>1321</v>
      </c>
      <c r="B36" s="66" t="s">
        <v>1318</v>
      </c>
      <c r="C36" s="66">
        <v>44965.0</v>
      </c>
      <c r="D36" s="66" t="s">
        <v>1319</v>
      </c>
      <c r="E36" s="66">
        <v>650.0</v>
      </c>
      <c r="F36" s="66">
        <v>1695.0</v>
      </c>
      <c r="G36" s="66" t="s">
        <v>1007</v>
      </c>
      <c r="H36" s="66" t="s">
        <v>1161</v>
      </c>
      <c r="I36" s="66" t="s">
        <v>84</v>
      </c>
      <c r="J36" s="66" t="s">
        <v>1282</v>
      </c>
      <c r="K36" s="69">
        <v>3569.39</v>
      </c>
      <c r="L36" s="70">
        <v>46120.0</v>
      </c>
      <c r="M36" s="70">
        <v>46303.0</v>
      </c>
      <c r="N36" s="66">
        <v>8.0</v>
      </c>
      <c r="O36" s="66">
        <v>0.0</v>
      </c>
      <c r="P36" s="66">
        <v>0.0</v>
      </c>
      <c r="Q36" s="66">
        <v>0.0</v>
      </c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9">
        <v>6957.98</v>
      </c>
      <c r="BE36" s="67"/>
      <c r="BF36" s="69">
        <v>3388.59</v>
      </c>
      <c r="BG36" s="66">
        <v>677.72</v>
      </c>
      <c r="BH36" s="67"/>
    </row>
    <row r="37">
      <c r="A37" s="66" t="s">
        <v>1321</v>
      </c>
      <c r="B37" s="66" t="s">
        <v>1336</v>
      </c>
      <c r="C37" s="66">
        <v>44917.0</v>
      </c>
      <c r="D37" s="66" t="s">
        <v>1337</v>
      </c>
      <c r="E37" s="66">
        <v>650.0</v>
      </c>
      <c r="F37" s="66">
        <v>1695.0</v>
      </c>
      <c r="G37" s="66" t="s">
        <v>919</v>
      </c>
      <c r="H37" s="66" t="s">
        <v>1161</v>
      </c>
      <c r="I37" s="66" t="s">
        <v>84</v>
      </c>
      <c r="J37" s="66" t="s">
        <v>1253</v>
      </c>
      <c r="K37" s="69">
        <v>4111.5</v>
      </c>
      <c r="L37" s="66" t="s">
        <v>1269</v>
      </c>
      <c r="M37" s="70">
        <v>46120.0</v>
      </c>
      <c r="N37" s="66">
        <v>8.0</v>
      </c>
      <c r="O37" s="66">
        <v>0.0</v>
      </c>
      <c r="P37" s="66">
        <v>0.0</v>
      </c>
      <c r="Q37" s="66">
        <v>0.0</v>
      </c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9">
        <v>7486.74</v>
      </c>
      <c r="BE37" s="67"/>
      <c r="BF37" s="69">
        <v>3375.24</v>
      </c>
      <c r="BG37" s="66">
        <v>675.05</v>
      </c>
      <c r="BH37" s="67"/>
    </row>
    <row r="38">
      <c r="A38" s="66" t="s">
        <v>1321</v>
      </c>
      <c r="B38" s="66" t="s">
        <v>1338</v>
      </c>
      <c r="C38" s="66">
        <v>44961.0</v>
      </c>
      <c r="D38" s="66" t="s">
        <v>1339</v>
      </c>
      <c r="E38" s="66">
        <v>650.0</v>
      </c>
      <c r="F38" s="66">
        <v>1695.0</v>
      </c>
      <c r="G38" s="66" t="s">
        <v>992</v>
      </c>
      <c r="H38" s="66" t="s">
        <v>1161</v>
      </c>
      <c r="I38" s="66" t="s">
        <v>84</v>
      </c>
      <c r="J38" s="66" t="s">
        <v>1288</v>
      </c>
      <c r="K38" s="69">
        <v>3506.55</v>
      </c>
      <c r="L38" s="70">
        <v>46150.0</v>
      </c>
      <c r="M38" s="70">
        <v>46303.0</v>
      </c>
      <c r="N38" s="66">
        <v>8.0</v>
      </c>
      <c r="O38" s="66">
        <v>0.0</v>
      </c>
      <c r="P38" s="66">
        <v>0.0</v>
      </c>
      <c r="Q38" s="66">
        <v>0.0</v>
      </c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9">
        <v>7054.67</v>
      </c>
      <c r="BE38" s="67"/>
      <c r="BF38" s="69">
        <v>3548.12</v>
      </c>
      <c r="BG38" s="66">
        <v>709.62</v>
      </c>
      <c r="BH38" s="67"/>
    </row>
    <row r="39">
      <c r="A39" s="66" t="s">
        <v>1321</v>
      </c>
      <c r="B39" s="66" t="s">
        <v>1340</v>
      </c>
      <c r="C39" s="66">
        <v>44935.0</v>
      </c>
      <c r="D39" s="66" t="s">
        <v>1341</v>
      </c>
      <c r="E39" s="66">
        <v>650.0</v>
      </c>
      <c r="F39" s="66">
        <v>1695.0</v>
      </c>
      <c r="G39" s="66" t="s">
        <v>603</v>
      </c>
      <c r="H39" s="66" t="s">
        <v>1161</v>
      </c>
      <c r="I39" s="66" t="s">
        <v>84</v>
      </c>
      <c r="J39" s="66" t="s">
        <v>1253</v>
      </c>
      <c r="K39" s="69">
        <v>3175.86</v>
      </c>
      <c r="L39" s="70">
        <v>46120.0</v>
      </c>
      <c r="M39" s="70">
        <v>46150.0</v>
      </c>
      <c r="N39" s="66">
        <v>8.0</v>
      </c>
      <c r="O39" s="66">
        <v>0.0</v>
      </c>
      <c r="P39" s="66">
        <v>0.0</v>
      </c>
      <c r="Q39" s="66">
        <v>0.0</v>
      </c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9">
        <v>6723.98</v>
      </c>
      <c r="BE39" s="67"/>
      <c r="BF39" s="69">
        <v>3548.12</v>
      </c>
      <c r="BG39" s="66">
        <v>709.62</v>
      </c>
      <c r="BH39" s="67"/>
    </row>
    <row r="40">
      <c r="A40" s="66" t="s">
        <v>1321</v>
      </c>
      <c r="B40" s="66" t="s">
        <v>1340</v>
      </c>
      <c r="C40" s="66">
        <v>44974.0</v>
      </c>
      <c r="D40" s="66" t="s">
        <v>1341</v>
      </c>
      <c r="E40" s="66">
        <v>650.0</v>
      </c>
      <c r="F40" s="66">
        <v>1695.0</v>
      </c>
      <c r="G40" s="66" t="s">
        <v>970</v>
      </c>
      <c r="H40" s="66" t="s">
        <v>1161</v>
      </c>
      <c r="I40" s="66" t="s">
        <v>84</v>
      </c>
      <c r="J40" s="66" t="s">
        <v>1253</v>
      </c>
      <c r="K40" s="69">
        <v>4207.05</v>
      </c>
      <c r="L40" s="70">
        <v>46303.0</v>
      </c>
      <c r="M40" s="70">
        <v>46334.0</v>
      </c>
      <c r="N40" s="66">
        <v>8.0</v>
      </c>
      <c r="O40" s="66">
        <v>0.0</v>
      </c>
      <c r="P40" s="66">
        <v>0.0</v>
      </c>
      <c r="Q40" s="66">
        <v>0.0</v>
      </c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9">
        <v>7771.88</v>
      </c>
      <c r="BE40" s="67"/>
      <c r="BF40" s="69">
        <v>3564.83</v>
      </c>
      <c r="BG40" s="66">
        <v>712.97</v>
      </c>
      <c r="BH40" s="67"/>
    </row>
    <row r="41">
      <c r="A41" s="66" t="s">
        <v>1034</v>
      </c>
      <c r="B41" s="66" t="s">
        <v>1326</v>
      </c>
      <c r="C41" s="66">
        <v>44977.0</v>
      </c>
      <c r="D41" s="66" t="s">
        <v>956</v>
      </c>
      <c r="E41" s="66">
        <v>650.0</v>
      </c>
      <c r="F41" s="66">
        <v>1695.0</v>
      </c>
      <c r="G41" s="66" t="s">
        <v>957</v>
      </c>
      <c r="H41" s="66" t="s">
        <v>1161</v>
      </c>
      <c r="I41" s="66" t="s">
        <v>84</v>
      </c>
      <c r="J41" s="66" t="s">
        <v>1253</v>
      </c>
      <c r="K41" s="69">
        <v>3540.49</v>
      </c>
      <c r="L41" s="70">
        <v>46303.0</v>
      </c>
      <c r="M41" s="70">
        <v>46334.0</v>
      </c>
      <c r="N41" s="66">
        <v>8.0</v>
      </c>
      <c r="O41" s="66">
        <v>0.0</v>
      </c>
      <c r="P41" s="66">
        <v>0.0</v>
      </c>
      <c r="Q41" s="66">
        <v>0.0</v>
      </c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9">
        <v>7068.36</v>
      </c>
      <c r="BE41" s="67"/>
      <c r="BF41" s="69">
        <v>3527.87</v>
      </c>
      <c r="BG41" s="66">
        <v>705.57</v>
      </c>
      <c r="BH41" s="67"/>
    </row>
    <row r="42">
      <c r="A42" s="66" t="s">
        <v>1034</v>
      </c>
      <c r="B42" s="66" t="s">
        <v>1343</v>
      </c>
      <c r="C42" s="66">
        <v>45047.0</v>
      </c>
      <c r="D42" s="66" t="s">
        <v>1344</v>
      </c>
      <c r="E42" s="66">
        <v>650.0</v>
      </c>
      <c r="F42" s="66">
        <v>1695.0</v>
      </c>
      <c r="G42" s="66" t="s">
        <v>1345</v>
      </c>
      <c r="H42" s="66" t="s">
        <v>1161</v>
      </c>
      <c r="I42" s="66" t="s">
        <v>84</v>
      </c>
      <c r="J42" s="66" t="s">
        <v>1253</v>
      </c>
      <c r="K42" s="69">
        <v>2854.3</v>
      </c>
      <c r="L42" s="70">
        <v>46303.0</v>
      </c>
      <c r="M42" s="66" t="s">
        <v>1297</v>
      </c>
      <c r="N42" s="66">
        <v>8.0</v>
      </c>
      <c r="O42" s="66">
        <v>0.0</v>
      </c>
      <c r="P42" s="66">
        <v>0.0</v>
      </c>
      <c r="Q42" s="66">
        <v>0.0</v>
      </c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9">
        <v>6196.2</v>
      </c>
      <c r="BE42" s="67"/>
      <c r="BF42" s="69">
        <v>3341.9</v>
      </c>
      <c r="BG42" s="66">
        <v>668.38</v>
      </c>
      <c r="BH42" s="67"/>
    </row>
    <row r="43">
      <c r="A43" s="66" t="s">
        <v>1321</v>
      </c>
      <c r="B43" s="66" t="s">
        <v>1326</v>
      </c>
      <c r="C43" s="66">
        <v>45009.0</v>
      </c>
      <c r="D43" s="66" t="s">
        <v>956</v>
      </c>
      <c r="E43" s="66">
        <v>650.0</v>
      </c>
      <c r="F43" s="66">
        <v>1695.0</v>
      </c>
      <c r="G43" s="66" t="s">
        <v>1200</v>
      </c>
      <c r="H43" s="66" t="s">
        <v>1161</v>
      </c>
      <c r="I43" s="66" t="s">
        <v>84</v>
      </c>
      <c r="J43" s="66" t="s">
        <v>1253</v>
      </c>
      <c r="K43" s="69">
        <v>3524.32</v>
      </c>
      <c r="L43" s="70">
        <v>46364.0</v>
      </c>
      <c r="M43" s="66" t="s">
        <v>1327</v>
      </c>
      <c r="N43" s="66">
        <v>8.0</v>
      </c>
      <c r="O43" s="66">
        <v>0.0</v>
      </c>
      <c r="P43" s="66">
        <v>0.0</v>
      </c>
      <c r="Q43" s="66">
        <v>0.0</v>
      </c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9">
        <v>6858.48</v>
      </c>
      <c r="BE43" s="67"/>
      <c r="BF43" s="69">
        <v>3334.16</v>
      </c>
      <c r="BG43" s="66">
        <v>666.83</v>
      </c>
      <c r="BH43" s="67"/>
    </row>
    <row r="44">
      <c r="A44" s="66" t="s">
        <v>1321</v>
      </c>
      <c r="B44" s="66" t="s">
        <v>1346</v>
      </c>
      <c r="C44" s="66">
        <v>45001.0</v>
      </c>
      <c r="D44" s="66" t="s">
        <v>1347</v>
      </c>
      <c r="E44" s="66">
        <v>650.0</v>
      </c>
      <c r="F44" s="66">
        <v>1695.0</v>
      </c>
      <c r="G44" s="66" t="s">
        <v>1348</v>
      </c>
      <c r="H44" s="66" t="s">
        <v>1161</v>
      </c>
      <c r="I44" s="66" t="s">
        <v>84</v>
      </c>
      <c r="J44" s="66" t="s">
        <v>1288</v>
      </c>
      <c r="K44" s="69">
        <v>4204.41</v>
      </c>
      <c r="L44" s="66" t="s">
        <v>1349</v>
      </c>
      <c r="M44" s="66" t="s">
        <v>1334</v>
      </c>
      <c r="N44" s="66">
        <v>8.0</v>
      </c>
      <c r="O44" s="66">
        <v>0.0</v>
      </c>
      <c r="P44" s="66">
        <v>0.0</v>
      </c>
      <c r="Q44" s="66">
        <v>0.0</v>
      </c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9">
        <v>7755.14</v>
      </c>
      <c r="BE44" s="67"/>
      <c r="BF44" s="69">
        <v>3550.73</v>
      </c>
      <c r="BG44" s="66">
        <v>710.15</v>
      </c>
      <c r="BH44" s="67"/>
    </row>
    <row r="45">
      <c r="A45" s="66" t="s">
        <v>1034</v>
      </c>
      <c r="B45" s="66" t="s">
        <v>1343</v>
      </c>
      <c r="C45" s="66">
        <v>45048.0</v>
      </c>
      <c r="D45" s="66" t="s">
        <v>1344</v>
      </c>
      <c r="E45" s="66">
        <v>650.0</v>
      </c>
      <c r="F45" s="66">
        <v>1695.0</v>
      </c>
      <c r="G45" s="66" t="s">
        <v>1350</v>
      </c>
      <c r="H45" s="66" t="s">
        <v>1161</v>
      </c>
      <c r="I45" s="66" t="s">
        <v>84</v>
      </c>
      <c r="J45" s="66" t="s">
        <v>1253</v>
      </c>
      <c r="K45" s="69">
        <v>3474.84</v>
      </c>
      <c r="L45" s="66" t="s">
        <v>1334</v>
      </c>
      <c r="M45" s="66" t="s">
        <v>1297</v>
      </c>
      <c r="N45" s="66">
        <v>8.0</v>
      </c>
      <c r="O45" s="66">
        <v>0.0</v>
      </c>
      <c r="P45" s="66">
        <v>0.0</v>
      </c>
      <c r="Q45" s="66">
        <v>0.0</v>
      </c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9">
        <v>6791.41</v>
      </c>
      <c r="BE45" s="67"/>
      <c r="BF45" s="69">
        <v>3316.57</v>
      </c>
      <c r="BG45" s="66">
        <v>663.31</v>
      </c>
      <c r="BH45" s="67"/>
    </row>
    <row r="46">
      <c r="A46" s="66" t="s">
        <v>1321</v>
      </c>
      <c r="B46" s="66" t="s">
        <v>1326</v>
      </c>
      <c r="C46" s="66">
        <v>45022.0</v>
      </c>
      <c r="D46" s="66" t="s">
        <v>956</v>
      </c>
      <c r="E46" s="66">
        <v>650.0</v>
      </c>
      <c r="F46" s="66">
        <v>1695.0</v>
      </c>
      <c r="G46" s="66" t="s">
        <v>1193</v>
      </c>
      <c r="H46" s="66" t="s">
        <v>1161</v>
      </c>
      <c r="I46" s="66" t="s">
        <v>84</v>
      </c>
      <c r="J46" s="66" t="s">
        <v>1253</v>
      </c>
      <c r="K46" s="69">
        <v>3537.14</v>
      </c>
      <c r="L46" s="66" t="s">
        <v>1302</v>
      </c>
      <c r="M46" s="66" t="s">
        <v>1293</v>
      </c>
      <c r="N46" s="66">
        <v>8.0</v>
      </c>
      <c r="O46" s="66">
        <v>0.0</v>
      </c>
      <c r="P46" s="66">
        <v>0.0</v>
      </c>
      <c r="Q46" s="66">
        <v>0.0</v>
      </c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9">
        <v>6847.6</v>
      </c>
      <c r="BE46" s="67"/>
      <c r="BF46" s="69">
        <v>3310.46</v>
      </c>
      <c r="BG46" s="66">
        <v>662.09</v>
      </c>
      <c r="BH46" s="67"/>
    </row>
    <row r="47">
      <c r="A47" s="66" t="s">
        <v>1321</v>
      </c>
      <c r="B47" s="66" t="s">
        <v>1351</v>
      </c>
      <c r="C47" s="66">
        <v>45082.0</v>
      </c>
      <c r="D47" s="66" t="s">
        <v>1352</v>
      </c>
      <c r="E47" s="66">
        <v>650.0</v>
      </c>
      <c r="F47" s="66">
        <v>1695.0</v>
      </c>
      <c r="G47" s="66" t="s">
        <v>1353</v>
      </c>
      <c r="H47" s="66" t="s">
        <v>1161</v>
      </c>
      <c r="I47" s="66" t="s">
        <v>84</v>
      </c>
      <c r="J47" s="66" t="s">
        <v>1288</v>
      </c>
      <c r="K47" s="69">
        <v>3662.62</v>
      </c>
      <c r="L47" s="66" t="s">
        <v>1254</v>
      </c>
      <c r="M47" s="66" t="s">
        <v>1301</v>
      </c>
      <c r="N47" s="66">
        <v>8.0</v>
      </c>
      <c r="O47" s="66">
        <v>0.0</v>
      </c>
      <c r="P47" s="66">
        <v>0.0</v>
      </c>
      <c r="Q47" s="66">
        <v>0.0</v>
      </c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9">
        <v>10747.62</v>
      </c>
      <c r="BE47" s="67"/>
      <c r="BF47" s="69">
        <v>5000.0</v>
      </c>
      <c r="BG47" s="69">
        <v>1000.0</v>
      </c>
      <c r="BH47" s="67"/>
    </row>
    <row r="48">
      <c r="A48" s="66" t="s">
        <v>1321</v>
      </c>
      <c r="B48" s="66" t="s">
        <v>1354</v>
      </c>
      <c r="C48" s="66">
        <v>45062.0</v>
      </c>
      <c r="D48" s="66" t="s">
        <v>1355</v>
      </c>
      <c r="E48" s="66">
        <v>650.0</v>
      </c>
      <c r="F48" s="66">
        <v>1695.0</v>
      </c>
      <c r="G48" s="66" t="s">
        <v>1356</v>
      </c>
      <c r="H48" s="66" t="s">
        <v>1161</v>
      </c>
      <c r="I48" s="66" t="s">
        <v>84</v>
      </c>
      <c r="J48" s="66" t="s">
        <v>1253</v>
      </c>
      <c r="K48" s="69">
        <v>2811.17</v>
      </c>
      <c r="L48" s="66" t="s">
        <v>1275</v>
      </c>
      <c r="M48" s="66" t="s">
        <v>1254</v>
      </c>
      <c r="N48" s="66">
        <v>8.0</v>
      </c>
      <c r="O48" s="66">
        <v>0.0</v>
      </c>
      <c r="P48" s="66">
        <v>0.0</v>
      </c>
      <c r="Q48" s="66">
        <v>0.0</v>
      </c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9">
        <v>6276.51</v>
      </c>
      <c r="BE48" s="67"/>
      <c r="BF48" s="69">
        <v>3465.34</v>
      </c>
      <c r="BG48" s="66">
        <v>693.07</v>
      </c>
      <c r="BH48" s="67"/>
    </row>
    <row r="49">
      <c r="A49" s="66" t="s">
        <v>1321</v>
      </c>
      <c r="B49" s="66" t="s">
        <v>1318</v>
      </c>
      <c r="C49" s="66">
        <v>45081.0</v>
      </c>
      <c r="D49" s="66" t="s">
        <v>1319</v>
      </c>
      <c r="E49" s="66">
        <v>650.0</v>
      </c>
      <c r="F49" s="66">
        <v>1695.0</v>
      </c>
      <c r="G49" s="66" t="s">
        <v>1357</v>
      </c>
      <c r="H49" s="66" t="s">
        <v>1161</v>
      </c>
      <c r="I49" s="66" t="s">
        <v>84</v>
      </c>
      <c r="J49" s="66" t="s">
        <v>1288</v>
      </c>
      <c r="K49" s="69">
        <v>3475.19</v>
      </c>
      <c r="L49" s="66" t="s">
        <v>1254</v>
      </c>
      <c r="M49" s="66" t="s">
        <v>1301</v>
      </c>
      <c r="N49" s="66">
        <v>8.0</v>
      </c>
      <c r="O49" s="66">
        <v>0.0</v>
      </c>
      <c r="P49" s="66">
        <v>0.0</v>
      </c>
      <c r="Q49" s="66">
        <v>0.0</v>
      </c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9">
        <v>6769.26</v>
      </c>
      <c r="BE49" s="67"/>
      <c r="BF49" s="69">
        <v>3294.07</v>
      </c>
      <c r="BG49" s="66">
        <v>658.81</v>
      </c>
      <c r="BH49" s="67"/>
    </row>
    <row r="50">
      <c r="A50" s="66" t="s">
        <v>1256</v>
      </c>
      <c r="B50" s="66" t="s">
        <v>1358</v>
      </c>
      <c r="C50" s="66">
        <v>45063.0</v>
      </c>
      <c r="D50" s="66" t="s">
        <v>1359</v>
      </c>
      <c r="E50" s="66">
        <v>470.0</v>
      </c>
      <c r="F50" s="66">
        <v>1695.0</v>
      </c>
      <c r="G50" s="66" t="s">
        <v>1360</v>
      </c>
      <c r="H50" s="66" t="s">
        <v>1142</v>
      </c>
      <c r="I50" s="66" t="s">
        <v>74</v>
      </c>
      <c r="J50" s="66" t="s">
        <v>1253</v>
      </c>
      <c r="K50" s="66">
        <v>0.0</v>
      </c>
      <c r="L50" s="66" t="s">
        <v>1293</v>
      </c>
      <c r="M50" s="66" t="s">
        <v>1254</v>
      </c>
      <c r="N50" s="66">
        <v>8.0</v>
      </c>
      <c r="O50" s="66">
        <v>0.0</v>
      </c>
      <c r="P50" s="66">
        <v>0.0</v>
      </c>
      <c r="Q50" s="66">
        <v>0.0</v>
      </c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7"/>
      <c r="AX50" s="67"/>
      <c r="AY50" s="67"/>
      <c r="AZ50" s="67"/>
      <c r="BA50" s="67"/>
      <c r="BB50" s="67"/>
      <c r="BC50" s="67"/>
      <c r="BD50" s="69">
        <v>9587.33</v>
      </c>
      <c r="BE50" s="67"/>
      <c r="BF50" s="69">
        <v>6752.33</v>
      </c>
      <c r="BG50" s="69">
        <v>1350.47</v>
      </c>
      <c r="BH50" s="67"/>
    </row>
    <row r="51">
      <c r="A51" s="66" t="s">
        <v>1034</v>
      </c>
      <c r="B51" s="66" t="s">
        <v>1361</v>
      </c>
      <c r="C51" s="66">
        <v>44985.0</v>
      </c>
      <c r="D51" s="66" t="s">
        <v>1362</v>
      </c>
      <c r="E51" s="66">
        <v>470.0</v>
      </c>
      <c r="F51" s="66">
        <v>1695.0</v>
      </c>
      <c r="G51" s="66" t="s">
        <v>1059</v>
      </c>
      <c r="H51" s="66" t="s">
        <v>1142</v>
      </c>
      <c r="I51" s="66" t="s">
        <v>74</v>
      </c>
      <c r="J51" s="66" t="s">
        <v>1288</v>
      </c>
      <c r="K51" s="66">
        <v>0.0</v>
      </c>
      <c r="L51" s="70">
        <v>46303.0</v>
      </c>
      <c r="M51" s="70">
        <v>46364.0</v>
      </c>
      <c r="N51" s="66">
        <v>8.0</v>
      </c>
      <c r="O51" s="66">
        <v>0.0</v>
      </c>
      <c r="P51" s="66">
        <v>0.0</v>
      </c>
      <c r="Q51" s="66">
        <v>0.0</v>
      </c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9">
        <v>17374.94</v>
      </c>
      <c r="BE51" s="67"/>
      <c r="BF51" s="69">
        <v>12784.72</v>
      </c>
      <c r="BG51" s="69">
        <v>2556.94</v>
      </c>
      <c r="BH51" s="67"/>
    </row>
    <row r="52">
      <c r="A52" s="66" t="s">
        <v>1256</v>
      </c>
      <c r="B52" s="66" t="s">
        <v>1365</v>
      </c>
      <c r="C52" s="66">
        <v>45043.0</v>
      </c>
      <c r="D52" s="66" t="s">
        <v>1014</v>
      </c>
      <c r="E52" s="66">
        <v>470.0</v>
      </c>
      <c r="F52" s="66">
        <v>1695.0</v>
      </c>
      <c r="G52" s="66" t="s">
        <v>1015</v>
      </c>
      <c r="H52" s="66" t="s">
        <v>1142</v>
      </c>
      <c r="I52" s="66" t="s">
        <v>74</v>
      </c>
      <c r="J52" s="66" t="s">
        <v>1253</v>
      </c>
      <c r="K52" s="69">
        <v>3200.0</v>
      </c>
      <c r="L52" s="66" t="s">
        <v>1328</v>
      </c>
      <c r="M52" s="66" t="s">
        <v>1275</v>
      </c>
      <c r="N52" s="66">
        <v>8.0</v>
      </c>
      <c r="O52" s="66">
        <v>0.0</v>
      </c>
      <c r="P52" s="66">
        <v>0.0</v>
      </c>
      <c r="Q52" s="66">
        <v>0.0</v>
      </c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9">
        <v>14864.0</v>
      </c>
      <c r="BE52" s="67"/>
      <c r="BF52" s="69">
        <v>5100.0</v>
      </c>
      <c r="BG52" s="69">
        <v>1020.0</v>
      </c>
      <c r="BH52" s="67"/>
    </row>
    <row r="53">
      <c r="A53" s="66" t="s">
        <v>1034</v>
      </c>
      <c r="B53" s="66" t="s">
        <v>1262</v>
      </c>
      <c r="C53" s="66">
        <v>10830.0</v>
      </c>
      <c r="D53" s="66" t="s">
        <v>1263</v>
      </c>
      <c r="E53" s="66">
        <v>470.0</v>
      </c>
      <c r="F53" s="66">
        <v>1695.0</v>
      </c>
      <c r="G53" s="66" t="s">
        <v>897</v>
      </c>
      <c r="H53" s="66" t="s">
        <v>1142</v>
      </c>
      <c r="I53" s="66" t="s">
        <v>74</v>
      </c>
      <c r="J53" s="66" t="s">
        <v>1253</v>
      </c>
      <c r="K53" s="66">
        <v>0.0</v>
      </c>
      <c r="L53" s="66" t="s">
        <v>1320</v>
      </c>
      <c r="M53" s="70">
        <v>46150.0</v>
      </c>
      <c r="N53" s="66">
        <v>8.0</v>
      </c>
      <c r="O53" s="69">
        <v>2900.0</v>
      </c>
      <c r="P53" s="66">
        <v>464.0</v>
      </c>
      <c r="Q53" s="69">
        <v>2764.67</v>
      </c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7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9">
        <v>1530.0</v>
      </c>
      <c r="BE53" s="67"/>
      <c r="BF53" s="69">
        <v>2900.0</v>
      </c>
      <c r="BG53" s="66">
        <v>580.0</v>
      </c>
      <c r="BH53" s="67"/>
    </row>
    <row r="54">
      <c r="A54" s="66" t="s">
        <v>1034</v>
      </c>
      <c r="B54" s="66" t="s">
        <v>1286</v>
      </c>
      <c r="C54" s="66">
        <v>44905.0</v>
      </c>
      <c r="D54" s="66" t="s">
        <v>1287</v>
      </c>
      <c r="E54" s="66">
        <v>470.0</v>
      </c>
      <c r="F54" s="66">
        <v>1695.0</v>
      </c>
      <c r="G54" s="66" t="s">
        <v>309</v>
      </c>
      <c r="H54" s="66" t="s">
        <v>1142</v>
      </c>
      <c r="I54" s="66" t="s">
        <v>74</v>
      </c>
      <c r="J54" s="66" t="s">
        <v>1288</v>
      </c>
      <c r="K54" s="69">
        <v>18671.31</v>
      </c>
      <c r="L54" s="66" t="s">
        <v>1328</v>
      </c>
      <c r="M54" s="70">
        <v>46089.0</v>
      </c>
      <c r="N54" s="66">
        <v>8.0</v>
      </c>
      <c r="O54" s="66">
        <v>0.0</v>
      </c>
      <c r="P54" s="66">
        <v>0.0</v>
      </c>
      <c r="Q54" s="66">
        <v>0.0</v>
      </c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9">
        <v>24667.14</v>
      </c>
      <c r="BE54" s="67"/>
      <c r="BF54" s="69">
        <v>4265.5</v>
      </c>
      <c r="BG54" s="66">
        <v>853.1</v>
      </c>
      <c r="BH54" s="67"/>
    </row>
    <row r="55">
      <c r="A55" s="66" t="s">
        <v>1250</v>
      </c>
      <c r="B55" s="66" t="s">
        <v>1368</v>
      </c>
      <c r="C55" s="66">
        <v>44911.0</v>
      </c>
      <c r="D55" s="66" t="s">
        <v>1369</v>
      </c>
      <c r="E55" s="66">
        <v>470.0</v>
      </c>
      <c r="F55" s="66">
        <v>1695.0</v>
      </c>
      <c r="G55" s="66" t="s">
        <v>186</v>
      </c>
      <c r="H55" s="66" t="s">
        <v>1142</v>
      </c>
      <c r="I55" s="66" t="s">
        <v>74</v>
      </c>
      <c r="J55" s="66" t="s">
        <v>1253</v>
      </c>
      <c r="K55" s="66">
        <v>0.0</v>
      </c>
      <c r="L55" s="66" t="s">
        <v>1370</v>
      </c>
      <c r="M55" s="70">
        <v>46089.0</v>
      </c>
      <c r="N55" s="66">
        <v>8.0</v>
      </c>
      <c r="O55" s="66">
        <v>0.0</v>
      </c>
      <c r="P55" s="66">
        <v>0.0</v>
      </c>
      <c r="Q55" s="66">
        <v>0.0</v>
      </c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67"/>
      <c r="AR55" s="67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9">
        <v>8415.56</v>
      </c>
      <c r="BE55" s="67"/>
      <c r="BF55" s="69">
        <v>8058.62</v>
      </c>
      <c r="BG55" s="69">
        <v>3223.45</v>
      </c>
      <c r="BH55" s="67"/>
    </row>
    <row r="56">
      <c r="A56" s="66" t="s">
        <v>1034</v>
      </c>
      <c r="B56" s="66" t="s">
        <v>1262</v>
      </c>
      <c r="C56" s="66">
        <v>10831.0</v>
      </c>
      <c r="D56" s="66" t="s">
        <v>1263</v>
      </c>
      <c r="E56" s="66">
        <v>470.0</v>
      </c>
      <c r="F56" s="66">
        <v>1695.0</v>
      </c>
      <c r="G56" s="66" t="s">
        <v>905</v>
      </c>
      <c r="H56" s="66" t="s">
        <v>1142</v>
      </c>
      <c r="I56" s="66" t="s">
        <v>74</v>
      </c>
      <c r="J56" s="66" t="s">
        <v>1253</v>
      </c>
      <c r="K56" s="66">
        <v>0.0</v>
      </c>
      <c r="L56" s="66" t="s">
        <v>1269</v>
      </c>
      <c r="M56" s="70">
        <v>46150.0</v>
      </c>
      <c r="N56" s="66">
        <v>8.0</v>
      </c>
      <c r="O56" s="69">
        <v>2900.0</v>
      </c>
      <c r="P56" s="66">
        <v>464.0</v>
      </c>
      <c r="Q56" s="69">
        <v>2764.67</v>
      </c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9">
        <v>1030.0</v>
      </c>
      <c r="BE56" s="67"/>
      <c r="BF56" s="69">
        <v>2900.0</v>
      </c>
      <c r="BG56" s="66">
        <v>580.0</v>
      </c>
      <c r="BH56" s="67"/>
    </row>
    <row r="57">
      <c r="A57" s="66" t="s">
        <v>1034</v>
      </c>
      <c r="B57" s="66" t="s">
        <v>1286</v>
      </c>
      <c r="C57" s="66">
        <v>44907.0</v>
      </c>
      <c r="D57" s="66" t="s">
        <v>1287</v>
      </c>
      <c r="E57" s="66">
        <v>470.0</v>
      </c>
      <c r="F57" s="66">
        <v>1695.0</v>
      </c>
      <c r="G57" s="66" t="s">
        <v>556</v>
      </c>
      <c r="H57" s="66" t="s">
        <v>1142</v>
      </c>
      <c r="I57" s="66" t="s">
        <v>74</v>
      </c>
      <c r="J57" s="66" t="s">
        <v>1288</v>
      </c>
      <c r="K57" s="69">
        <v>18079.6</v>
      </c>
      <c r="L57" s="66" t="s">
        <v>1371</v>
      </c>
      <c r="M57" s="70">
        <v>46089.0</v>
      </c>
      <c r="N57" s="66">
        <v>8.0</v>
      </c>
      <c r="O57" s="66">
        <v>0.0</v>
      </c>
      <c r="P57" s="66">
        <v>0.0</v>
      </c>
      <c r="Q57" s="66">
        <v>0.0</v>
      </c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9">
        <v>27660.85</v>
      </c>
      <c r="BE57" s="67"/>
      <c r="BF57" s="69">
        <v>7524.3</v>
      </c>
      <c r="BG57" s="69">
        <v>1504.86</v>
      </c>
      <c r="BH57" s="67"/>
    </row>
    <row r="58">
      <c r="A58" s="66" t="s">
        <v>1034</v>
      </c>
      <c r="B58" s="66" t="s">
        <v>1372</v>
      </c>
      <c r="C58" s="66">
        <v>45085.0</v>
      </c>
      <c r="D58" s="66" t="s">
        <v>1373</v>
      </c>
      <c r="E58" s="66">
        <v>470.0</v>
      </c>
      <c r="F58" s="66">
        <v>1695.0</v>
      </c>
      <c r="G58" s="66" t="s">
        <v>1374</v>
      </c>
      <c r="H58" s="66" t="s">
        <v>1142</v>
      </c>
      <c r="I58" s="66" t="s">
        <v>74</v>
      </c>
      <c r="J58" s="66" t="s">
        <v>1253</v>
      </c>
      <c r="K58" s="69">
        <v>15000.0</v>
      </c>
      <c r="L58" s="66" t="s">
        <v>1293</v>
      </c>
      <c r="M58" s="66" t="s">
        <v>1323</v>
      </c>
      <c r="N58" s="66">
        <v>8.0</v>
      </c>
      <c r="O58" s="66">
        <v>0.0</v>
      </c>
      <c r="P58" s="66">
        <v>0.0</v>
      </c>
      <c r="Q58" s="66">
        <v>0.0</v>
      </c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9">
        <v>25591.03</v>
      </c>
      <c r="BE58" s="67"/>
      <c r="BF58" s="69">
        <v>6988.84</v>
      </c>
      <c r="BG58" s="69">
        <v>1397.77</v>
      </c>
      <c r="BH58" s="67"/>
    </row>
    <row r="59">
      <c r="A59" s="66" t="s">
        <v>1034</v>
      </c>
      <c r="B59" s="66" t="s">
        <v>1375</v>
      </c>
      <c r="C59" s="66">
        <v>44986.0</v>
      </c>
      <c r="D59" s="66" t="s">
        <v>1376</v>
      </c>
      <c r="E59" s="66">
        <v>470.0</v>
      </c>
      <c r="F59" s="66">
        <v>1695.0</v>
      </c>
      <c r="G59" s="66" t="s">
        <v>1031</v>
      </c>
      <c r="H59" s="66" t="s">
        <v>1142</v>
      </c>
      <c r="I59" s="66" t="s">
        <v>74</v>
      </c>
      <c r="J59" s="66" t="s">
        <v>1253</v>
      </c>
      <c r="K59" s="66">
        <v>0.0</v>
      </c>
      <c r="L59" s="70">
        <v>46303.0</v>
      </c>
      <c r="M59" s="70">
        <v>46364.0</v>
      </c>
      <c r="N59" s="66">
        <v>8.0</v>
      </c>
      <c r="O59" s="66">
        <v>0.0</v>
      </c>
      <c r="P59" s="66">
        <v>0.0</v>
      </c>
      <c r="Q59" s="66">
        <v>0.0</v>
      </c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9">
        <v>12596.98</v>
      </c>
      <c r="BE59" s="67"/>
      <c r="BF59" s="69">
        <v>8935.15</v>
      </c>
      <c r="BG59" s="69">
        <v>1787.03</v>
      </c>
      <c r="BH59" s="67"/>
    </row>
    <row r="60">
      <c r="A60" s="66" t="s">
        <v>1250</v>
      </c>
      <c r="B60" s="66" t="s">
        <v>1332</v>
      </c>
      <c r="C60" s="66">
        <v>44932.0</v>
      </c>
      <c r="D60" s="66" t="s">
        <v>1333</v>
      </c>
      <c r="E60" s="66">
        <v>470.0</v>
      </c>
      <c r="F60" s="66">
        <v>1695.0</v>
      </c>
      <c r="G60" s="66" t="s">
        <v>674</v>
      </c>
      <c r="H60" s="66" t="s">
        <v>1142</v>
      </c>
      <c r="I60" s="66" t="s">
        <v>74</v>
      </c>
      <c r="J60" s="66" t="s">
        <v>1253</v>
      </c>
      <c r="K60" s="69">
        <v>1450.0</v>
      </c>
      <c r="L60" s="66" t="s">
        <v>1371</v>
      </c>
      <c r="M60" s="70">
        <v>46150.0</v>
      </c>
      <c r="N60" s="66">
        <v>8.0</v>
      </c>
      <c r="O60" s="66">
        <v>0.0</v>
      </c>
      <c r="P60" s="66">
        <v>0.0</v>
      </c>
      <c r="Q60" s="66">
        <v>0.0</v>
      </c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7"/>
      <c r="AP60" s="67"/>
      <c r="AQ60" s="67"/>
      <c r="AR60" s="67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9">
        <v>8920.0</v>
      </c>
      <c r="BE60" s="67"/>
      <c r="BF60" s="69">
        <v>4500.0</v>
      </c>
      <c r="BG60" s="69">
        <v>1800.0</v>
      </c>
      <c r="BH60" s="67"/>
    </row>
    <row r="61">
      <c r="A61" s="66" t="s">
        <v>1034</v>
      </c>
      <c r="B61" s="66" t="s">
        <v>1286</v>
      </c>
      <c r="C61" s="66">
        <v>44919.0</v>
      </c>
      <c r="D61" s="66" t="s">
        <v>1287</v>
      </c>
      <c r="E61" s="66">
        <v>470.0</v>
      </c>
      <c r="F61" s="66">
        <v>1695.0</v>
      </c>
      <c r="G61" s="66" t="s">
        <v>770</v>
      </c>
      <c r="H61" s="66" t="s">
        <v>1142</v>
      </c>
      <c r="I61" s="66" t="s">
        <v>74</v>
      </c>
      <c r="J61" s="66" t="s">
        <v>1288</v>
      </c>
      <c r="K61" s="69">
        <v>12810.79</v>
      </c>
      <c r="L61" s="66" t="s">
        <v>1377</v>
      </c>
      <c r="M61" s="70">
        <v>46120.0</v>
      </c>
      <c r="N61" s="66">
        <v>8.0</v>
      </c>
      <c r="O61" s="66">
        <v>0.0</v>
      </c>
      <c r="P61" s="66">
        <v>0.0</v>
      </c>
      <c r="Q61" s="66">
        <v>0.0</v>
      </c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9">
        <v>21428.12</v>
      </c>
      <c r="BE61" s="67"/>
      <c r="BF61" s="69">
        <v>6560.38</v>
      </c>
      <c r="BG61" s="69">
        <v>1312.08</v>
      </c>
      <c r="BH61" s="67"/>
    </row>
    <row r="62">
      <c r="A62" s="66" t="s">
        <v>1034</v>
      </c>
      <c r="B62" s="66" t="s">
        <v>1262</v>
      </c>
      <c r="C62" s="66">
        <v>10841.0</v>
      </c>
      <c r="D62" s="66" t="s">
        <v>1263</v>
      </c>
      <c r="E62" s="66">
        <v>470.0</v>
      </c>
      <c r="F62" s="66">
        <v>1695.0</v>
      </c>
      <c r="G62" s="66" t="s">
        <v>1073</v>
      </c>
      <c r="H62" s="66" t="s">
        <v>1142</v>
      </c>
      <c r="I62" s="66" t="s">
        <v>74</v>
      </c>
      <c r="J62" s="66" t="s">
        <v>1253</v>
      </c>
      <c r="K62" s="66">
        <v>0.0</v>
      </c>
      <c r="L62" s="70">
        <v>46303.0</v>
      </c>
      <c r="M62" s="66" t="s">
        <v>1302</v>
      </c>
      <c r="N62" s="66">
        <v>8.0</v>
      </c>
      <c r="O62" s="69">
        <v>10000.0</v>
      </c>
      <c r="P62" s="69">
        <v>1600.0</v>
      </c>
      <c r="Q62" s="69">
        <v>9533.33</v>
      </c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9">
        <v>1030.0</v>
      </c>
      <c r="BE62" s="67"/>
      <c r="BF62" s="69">
        <v>10000.0</v>
      </c>
      <c r="BG62" s="69">
        <v>2000.0</v>
      </c>
      <c r="BH62" s="67"/>
    </row>
    <row r="63">
      <c r="A63" s="66" t="s">
        <v>1321</v>
      </c>
      <c r="B63" s="66" t="s">
        <v>1318</v>
      </c>
      <c r="C63" s="66">
        <v>44912.0</v>
      </c>
      <c r="D63" s="66" t="s">
        <v>1319</v>
      </c>
      <c r="E63" s="66">
        <v>470.0</v>
      </c>
      <c r="F63" s="66">
        <v>1695.0</v>
      </c>
      <c r="G63" s="66" t="s">
        <v>170</v>
      </c>
      <c r="H63" s="66" t="s">
        <v>1142</v>
      </c>
      <c r="I63" s="66" t="s">
        <v>74</v>
      </c>
      <c r="J63" s="66" t="s">
        <v>1282</v>
      </c>
      <c r="K63" s="66">
        <v>0.0</v>
      </c>
      <c r="L63" s="66" t="s">
        <v>1269</v>
      </c>
      <c r="M63" s="70">
        <v>46089.0</v>
      </c>
      <c r="N63" s="66">
        <v>8.0</v>
      </c>
      <c r="O63" s="66">
        <v>0.0</v>
      </c>
      <c r="P63" s="66">
        <v>0.0</v>
      </c>
      <c r="Q63" s="66">
        <v>0.0</v>
      </c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  <c r="AQ63" s="67"/>
      <c r="AR63" s="67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9">
        <v>10584.61</v>
      </c>
      <c r="BE63" s="67"/>
      <c r="BF63" s="69">
        <v>8399.61</v>
      </c>
      <c r="BG63" s="69">
        <v>1679.92</v>
      </c>
      <c r="BH63" s="67"/>
    </row>
    <row r="64">
      <c r="A64" s="66" t="s">
        <v>1034</v>
      </c>
      <c r="B64" s="66" t="s">
        <v>1280</v>
      </c>
      <c r="C64" s="66">
        <v>44921.0</v>
      </c>
      <c r="D64" s="66" t="s">
        <v>1281</v>
      </c>
      <c r="E64" s="66">
        <v>470.0</v>
      </c>
      <c r="F64" s="66">
        <v>1695.0</v>
      </c>
      <c r="G64" s="66" t="s">
        <v>595</v>
      </c>
      <c r="H64" s="66" t="s">
        <v>1142</v>
      </c>
      <c r="I64" s="66" t="s">
        <v>74</v>
      </c>
      <c r="J64" s="66" t="s">
        <v>1282</v>
      </c>
      <c r="K64" s="66">
        <v>0.0</v>
      </c>
      <c r="L64" s="70">
        <v>46120.0</v>
      </c>
      <c r="M64" s="70">
        <v>46120.0</v>
      </c>
      <c r="N64" s="66">
        <v>8.0</v>
      </c>
      <c r="O64" s="66">
        <v>0.0</v>
      </c>
      <c r="P64" s="66">
        <v>0.0</v>
      </c>
      <c r="Q64" s="66">
        <v>0.0</v>
      </c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9">
        <v>13325.04</v>
      </c>
      <c r="BE64" s="67"/>
      <c r="BF64" s="69">
        <v>8768.09</v>
      </c>
      <c r="BG64" s="69">
        <v>1753.62</v>
      </c>
      <c r="BH64" s="67"/>
    </row>
    <row r="65">
      <c r="A65" s="66" t="s">
        <v>1382</v>
      </c>
      <c r="B65" s="66" t="s">
        <v>1383</v>
      </c>
      <c r="C65" s="66">
        <v>44998.0</v>
      </c>
      <c r="D65" s="66" t="s">
        <v>1384</v>
      </c>
      <c r="E65" s="66">
        <v>470.0</v>
      </c>
      <c r="F65" s="66">
        <v>1695.0</v>
      </c>
      <c r="G65" s="66" t="s">
        <v>1080</v>
      </c>
      <c r="H65" s="66" t="s">
        <v>1142</v>
      </c>
      <c r="I65" s="66" t="s">
        <v>74</v>
      </c>
      <c r="J65" s="66" t="s">
        <v>1253</v>
      </c>
      <c r="K65" s="66">
        <v>0.0</v>
      </c>
      <c r="L65" s="70">
        <v>46181.0</v>
      </c>
      <c r="M65" s="66" t="s">
        <v>1302</v>
      </c>
      <c r="N65" s="66">
        <v>8.0</v>
      </c>
      <c r="O65" s="66">
        <v>0.0</v>
      </c>
      <c r="P65" s="66">
        <v>0.0</v>
      </c>
      <c r="Q65" s="66">
        <v>0.0</v>
      </c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  <c r="AQ65" s="67"/>
      <c r="AR65" s="67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9">
        <v>10610.27</v>
      </c>
      <c r="BE65" s="67"/>
      <c r="BF65" s="69">
        <v>5948.34</v>
      </c>
      <c r="BG65" s="69">
        <v>1189.67</v>
      </c>
      <c r="BH65" s="67"/>
    </row>
    <row r="66">
      <c r="A66" s="66" t="s">
        <v>1256</v>
      </c>
      <c r="B66" s="66" t="s">
        <v>1387</v>
      </c>
      <c r="C66" s="66">
        <v>45051.0</v>
      </c>
      <c r="D66" s="66" t="s">
        <v>1388</v>
      </c>
      <c r="E66" s="66">
        <v>470.0</v>
      </c>
      <c r="F66" s="66">
        <v>1695.0</v>
      </c>
      <c r="G66" s="66" t="s">
        <v>941</v>
      </c>
      <c r="H66" s="66" t="s">
        <v>1142</v>
      </c>
      <c r="I66" s="66" t="s">
        <v>74</v>
      </c>
      <c r="J66" s="66" t="s">
        <v>1253</v>
      </c>
      <c r="K66" s="66">
        <v>0.0</v>
      </c>
      <c r="L66" s="70">
        <v>46089.0</v>
      </c>
      <c r="M66" s="66" t="s">
        <v>1297</v>
      </c>
      <c r="N66" s="66">
        <v>8.0</v>
      </c>
      <c r="O66" s="66">
        <v>0.0</v>
      </c>
      <c r="P66" s="66">
        <v>0.0</v>
      </c>
      <c r="Q66" s="66">
        <v>0.0</v>
      </c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67"/>
      <c r="AQ66" s="67"/>
      <c r="AR66" s="67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9">
        <v>18724.2</v>
      </c>
      <c r="BE66" s="67"/>
      <c r="BF66" s="69">
        <v>13389.2</v>
      </c>
      <c r="BG66" s="69">
        <v>2677.84</v>
      </c>
      <c r="BH66" s="67"/>
    </row>
    <row r="67">
      <c r="A67" s="66" t="s">
        <v>1034</v>
      </c>
      <c r="B67" s="66" t="s">
        <v>1391</v>
      </c>
      <c r="C67" s="66">
        <v>44914.0</v>
      </c>
      <c r="D67" s="66" t="s">
        <v>1392</v>
      </c>
      <c r="E67" s="66">
        <v>470.0</v>
      </c>
      <c r="F67" s="66">
        <v>1695.0</v>
      </c>
      <c r="G67" s="66" t="s">
        <v>39</v>
      </c>
      <c r="H67" s="66" t="s">
        <v>1142</v>
      </c>
      <c r="I67" s="66" t="s">
        <v>74</v>
      </c>
      <c r="J67" s="66" t="s">
        <v>1282</v>
      </c>
      <c r="K67" s="69">
        <v>8146.4</v>
      </c>
      <c r="L67" s="66" t="s">
        <v>1269</v>
      </c>
      <c r="M67" s="70">
        <v>46120.0</v>
      </c>
      <c r="N67" s="66">
        <v>8.0</v>
      </c>
      <c r="O67" s="66">
        <v>0.0</v>
      </c>
      <c r="P67" s="66">
        <v>0.0</v>
      </c>
      <c r="Q67" s="66">
        <v>0.0</v>
      </c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67"/>
      <c r="AQ67" s="67"/>
      <c r="AR67" s="67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9">
        <v>13565.43</v>
      </c>
      <c r="BE67" s="67"/>
      <c r="BF67" s="69">
        <v>2574.18</v>
      </c>
      <c r="BG67" s="66">
        <v>514.84</v>
      </c>
      <c r="BH67" s="67"/>
    </row>
    <row r="68">
      <c r="A68" s="66" t="s">
        <v>1034</v>
      </c>
      <c r="B68" s="66" t="s">
        <v>1391</v>
      </c>
      <c r="C68" s="66">
        <v>44915.0</v>
      </c>
      <c r="D68" s="66" t="s">
        <v>1392</v>
      </c>
      <c r="E68" s="66">
        <v>470.0</v>
      </c>
      <c r="F68" s="66">
        <v>1695.0</v>
      </c>
      <c r="G68" s="66" t="s">
        <v>486</v>
      </c>
      <c r="H68" s="66" t="s">
        <v>1142</v>
      </c>
      <c r="I68" s="66" t="s">
        <v>74</v>
      </c>
      <c r="J68" s="66" t="s">
        <v>1282</v>
      </c>
      <c r="K68" s="69">
        <v>5826.96</v>
      </c>
      <c r="L68" s="66" t="s">
        <v>1331</v>
      </c>
      <c r="M68" s="70">
        <v>46120.0</v>
      </c>
      <c r="N68" s="66">
        <v>8.0</v>
      </c>
      <c r="O68" s="66">
        <v>0.0</v>
      </c>
      <c r="P68" s="66">
        <v>0.0</v>
      </c>
      <c r="Q68" s="66">
        <v>0.0</v>
      </c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67"/>
      <c r="AL68" s="67"/>
      <c r="AM68" s="67"/>
      <c r="AN68" s="67"/>
      <c r="AO68" s="67"/>
      <c r="AP68" s="67"/>
      <c r="AQ68" s="67"/>
      <c r="AR68" s="67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9">
        <v>11035.93</v>
      </c>
      <c r="BE68" s="67"/>
      <c r="BF68" s="69">
        <v>2364.12</v>
      </c>
      <c r="BG68" s="66">
        <v>472.82</v>
      </c>
      <c r="BH68" s="67"/>
    </row>
    <row r="69">
      <c r="A69" s="66" t="s">
        <v>1034</v>
      </c>
      <c r="B69" s="66" t="s">
        <v>1286</v>
      </c>
      <c r="C69" s="66">
        <v>44939.0</v>
      </c>
      <c r="D69" s="66" t="s">
        <v>1287</v>
      </c>
      <c r="E69" s="66">
        <v>470.0</v>
      </c>
      <c r="F69" s="66">
        <v>1695.0</v>
      </c>
      <c r="G69" s="66" t="s">
        <v>733</v>
      </c>
      <c r="H69" s="66" t="s">
        <v>1142</v>
      </c>
      <c r="I69" s="66" t="s">
        <v>74</v>
      </c>
      <c r="J69" s="66" t="s">
        <v>1288</v>
      </c>
      <c r="K69" s="69">
        <v>4197.56</v>
      </c>
      <c r="L69" s="70">
        <v>46120.0</v>
      </c>
      <c r="M69" s="70">
        <v>46150.0</v>
      </c>
      <c r="N69" s="66">
        <v>8.0</v>
      </c>
      <c r="O69" s="66">
        <v>0.0</v>
      </c>
      <c r="P69" s="66">
        <v>0.0</v>
      </c>
      <c r="Q69" s="66">
        <v>0.0</v>
      </c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67"/>
      <c r="AQ69" s="67"/>
      <c r="AR69" s="67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9">
        <v>8890.3</v>
      </c>
      <c r="BE69" s="67"/>
      <c r="BF69" s="69">
        <v>2635.79</v>
      </c>
      <c r="BG69" s="66">
        <v>527.16</v>
      </c>
      <c r="BH69" s="67"/>
    </row>
    <row r="70">
      <c r="A70" s="66" t="s">
        <v>1034</v>
      </c>
      <c r="B70" s="66" t="s">
        <v>1394</v>
      </c>
      <c r="C70" s="66">
        <v>44952.0</v>
      </c>
      <c r="D70" s="66" t="s">
        <v>1395</v>
      </c>
      <c r="E70" s="66">
        <v>470.0</v>
      </c>
      <c r="F70" s="66">
        <v>1695.0</v>
      </c>
      <c r="G70" s="66" t="s">
        <v>877</v>
      </c>
      <c r="H70" s="66" t="s">
        <v>1142</v>
      </c>
      <c r="I70" s="66" t="s">
        <v>74</v>
      </c>
      <c r="J70" s="66" t="s">
        <v>1253</v>
      </c>
      <c r="K70" s="66">
        <v>0.0</v>
      </c>
      <c r="L70" s="70">
        <v>46150.0</v>
      </c>
      <c r="M70" s="70">
        <v>46211.0</v>
      </c>
      <c r="N70" s="66">
        <v>8.0</v>
      </c>
      <c r="O70" s="66">
        <v>0.0</v>
      </c>
      <c r="P70" s="66">
        <v>0.0</v>
      </c>
      <c r="Q70" s="66">
        <v>0.0</v>
      </c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9">
        <v>8630.25</v>
      </c>
      <c r="BE70" s="67"/>
      <c r="BF70" s="69">
        <v>5022.04</v>
      </c>
      <c r="BG70" s="69">
        <v>1004.41</v>
      </c>
      <c r="BH70" s="67"/>
    </row>
    <row r="71">
      <c r="A71" s="66" t="s">
        <v>1256</v>
      </c>
      <c r="B71" s="66" t="s">
        <v>1396</v>
      </c>
      <c r="C71" s="67"/>
      <c r="D71" s="66" t="s">
        <v>1397</v>
      </c>
      <c r="E71" s="66">
        <v>470.0</v>
      </c>
      <c r="F71" s="66">
        <v>1695.0</v>
      </c>
      <c r="G71" s="66" t="s">
        <v>1379</v>
      </c>
      <c r="H71" s="66" t="s">
        <v>1142</v>
      </c>
      <c r="I71" s="66" t="s">
        <v>74</v>
      </c>
      <c r="J71" s="66" t="s">
        <v>1398</v>
      </c>
      <c r="K71" s="66">
        <v>0.0</v>
      </c>
      <c r="L71" s="66" t="s">
        <v>1275</v>
      </c>
      <c r="M71" s="66" t="s">
        <v>1254</v>
      </c>
      <c r="N71" s="66">
        <v>8.0</v>
      </c>
      <c r="O71" s="66">
        <v>0.0</v>
      </c>
      <c r="P71" s="66">
        <v>0.0</v>
      </c>
      <c r="Q71" s="66">
        <v>0.0</v>
      </c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  <c r="AQ71" s="67"/>
      <c r="AR71" s="67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9">
        <v>13498.95</v>
      </c>
      <c r="BE71" s="67"/>
      <c r="BF71" s="69">
        <v>5209.95</v>
      </c>
      <c r="BG71" s="69">
        <v>1041.99</v>
      </c>
      <c r="BH71" s="67"/>
    </row>
    <row r="72">
      <c r="A72" s="66" t="s">
        <v>1034</v>
      </c>
      <c r="B72" s="66" t="s">
        <v>1286</v>
      </c>
      <c r="C72" s="66">
        <v>45008.0</v>
      </c>
      <c r="D72" s="66" t="s">
        <v>1287</v>
      </c>
      <c r="E72" s="66">
        <v>470.0</v>
      </c>
      <c r="F72" s="66">
        <v>1695.0</v>
      </c>
      <c r="G72" s="66" t="s">
        <v>1218</v>
      </c>
      <c r="H72" s="66" t="s">
        <v>1142</v>
      </c>
      <c r="I72" s="66" t="s">
        <v>74</v>
      </c>
      <c r="J72" s="66" t="s">
        <v>1288</v>
      </c>
      <c r="K72" s="69">
        <v>18257.33</v>
      </c>
      <c r="L72" s="66" t="s">
        <v>1349</v>
      </c>
      <c r="M72" s="66" t="s">
        <v>1327</v>
      </c>
      <c r="N72" s="66">
        <v>8.0</v>
      </c>
      <c r="O72" s="66">
        <v>0.0</v>
      </c>
      <c r="P72" s="66">
        <v>0.0</v>
      </c>
      <c r="Q72" s="66">
        <v>0.0</v>
      </c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9">
        <v>24336.73</v>
      </c>
      <c r="BE72" s="67"/>
      <c r="BF72" s="69">
        <v>4022.45</v>
      </c>
      <c r="BG72" s="66">
        <v>804.49</v>
      </c>
      <c r="BH72" s="67"/>
    </row>
    <row r="73">
      <c r="A73" s="66" t="s">
        <v>1034</v>
      </c>
      <c r="B73" s="66" t="s">
        <v>1262</v>
      </c>
      <c r="C73" s="66">
        <v>10833.0</v>
      </c>
      <c r="D73" s="66" t="s">
        <v>1263</v>
      </c>
      <c r="E73" s="66">
        <v>470.0</v>
      </c>
      <c r="F73" s="66">
        <v>1695.0</v>
      </c>
      <c r="G73" s="66" t="s">
        <v>950</v>
      </c>
      <c r="H73" s="66" t="s">
        <v>1142</v>
      </c>
      <c r="I73" s="66" t="s">
        <v>74</v>
      </c>
      <c r="J73" s="66" t="s">
        <v>1253</v>
      </c>
      <c r="K73" s="66">
        <v>0.0</v>
      </c>
      <c r="L73" s="70">
        <v>46120.0</v>
      </c>
      <c r="M73" s="70">
        <v>46211.0</v>
      </c>
      <c r="N73" s="66">
        <v>8.0</v>
      </c>
      <c r="O73" s="69">
        <v>2900.0</v>
      </c>
      <c r="P73" s="66">
        <v>464.0</v>
      </c>
      <c r="Q73" s="69">
        <v>2764.67</v>
      </c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67"/>
      <c r="AQ73" s="67"/>
      <c r="AR73" s="67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9">
        <v>1030.0</v>
      </c>
      <c r="BE73" s="67"/>
      <c r="BF73" s="69">
        <v>2900.0</v>
      </c>
      <c r="BG73" s="66">
        <v>580.0</v>
      </c>
      <c r="BH73" s="67"/>
    </row>
    <row r="74">
      <c r="A74" s="66" t="s">
        <v>1034</v>
      </c>
      <c r="B74" s="66" t="s">
        <v>1391</v>
      </c>
      <c r="C74" s="66">
        <v>44955.0</v>
      </c>
      <c r="D74" s="66" t="s">
        <v>1392</v>
      </c>
      <c r="E74" s="66">
        <v>470.0</v>
      </c>
      <c r="F74" s="66">
        <v>1695.0</v>
      </c>
      <c r="G74" s="66" t="s">
        <v>927</v>
      </c>
      <c r="H74" s="66" t="s">
        <v>1142</v>
      </c>
      <c r="I74" s="66" t="s">
        <v>74</v>
      </c>
      <c r="J74" s="66" t="s">
        <v>1282</v>
      </c>
      <c r="K74" s="69">
        <v>5681.16</v>
      </c>
      <c r="L74" s="70">
        <v>46150.0</v>
      </c>
      <c r="M74" s="70">
        <v>46211.0</v>
      </c>
      <c r="N74" s="66">
        <v>8.0</v>
      </c>
      <c r="O74" s="66">
        <v>0.0</v>
      </c>
      <c r="P74" s="66">
        <v>0.0</v>
      </c>
      <c r="Q74" s="66">
        <v>0.0</v>
      </c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67"/>
      <c r="AM74" s="67"/>
      <c r="AN74" s="67"/>
      <c r="AO74" s="67"/>
      <c r="AP74" s="67"/>
      <c r="AQ74" s="67"/>
      <c r="AR74" s="67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9">
        <v>10890.13</v>
      </c>
      <c r="BE74" s="67"/>
      <c r="BF74" s="69">
        <v>2364.12</v>
      </c>
      <c r="BG74" s="66">
        <v>472.82</v>
      </c>
      <c r="BH74" s="67"/>
    </row>
    <row r="75">
      <c r="A75" s="66" t="s">
        <v>1034</v>
      </c>
      <c r="B75" s="66" t="s">
        <v>1391</v>
      </c>
      <c r="C75" s="66">
        <v>44982.0</v>
      </c>
      <c r="D75" s="66" t="s">
        <v>1392</v>
      </c>
      <c r="E75" s="66">
        <v>470.0</v>
      </c>
      <c r="F75" s="66">
        <v>1695.0</v>
      </c>
      <c r="G75" s="66" t="s">
        <v>1037</v>
      </c>
      <c r="H75" s="66" t="s">
        <v>1142</v>
      </c>
      <c r="I75" s="66" t="s">
        <v>74</v>
      </c>
      <c r="J75" s="66" t="s">
        <v>1288</v>
      </c>
      <c r="K75" s="69">
        <v>9634.81</v>
      </c>
      <c r="L75" s="70">
        <v>46181.0</v>
      </c>
      <c r="M75" s="70">
        <v>46364.0</v>
      </c>
      <c r="N75" s="66">
        <v>8.0</v>
      </c>
      <c r="O75" s="66">
        <v>0.0</v>
      </c>
      <c r="P75" s="66">
        <v>0.0</v>
      </c>
      <c r="Q75" s="66">
        <v>0.0</v>
      </c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67"/>
      <c r="AQ75" s="67"/>
      <c r="AR75" s="67"/>
      <c r="AS75" s="67"/>
      <c r="AT75" s="67"/>
      <c r="AU75" s="67"/>
      <c r="AV75" s="67"/>
      <c r="AW75" s="67"/>
      <c r="AX75" s="67"/>
      <c r="AY75" s="67"/>
      <c r="AZ75" s="67"/>
      <c r="BA75" s="67"/>
      <c r="BB75" s="67"/>
      <c r="BC75" s="67"/>
      <c r="BD75" s="69">
        <v>25655.01</v>
      </c>
      <c r="BE75" s="67"/>
      <c r="BF75" s="69">
        <v>13175.35</v>
      </c>
      <c r="BG75" s="69">
        <v>2635.07</v>
      </c>
      <c r="BH75" s="67"/>
    </row>
    <row r="76">
      <c r="A76" s="66" t="s">
        <v>1034</v>
      </c>
      <c r="B76" s="66" t="s">
        <v>1391</v>
      </c>
      <c r="C76" s="66">
        <v>44991.0</v>
      </c>
      <c r="D76" s="66" t="s">
        <v>1392</v>
      </c>
      <c r="E76" s="66">
        <v>470.0</v>
      </c>
      <c r="F76" s="66">
        <v>1695.0</v>
      </c>
      <c r="G76" s="66" t="s">
        <v>968</v>
      </c>
      <c r="H76" s="66" t="s">
        <v>1142</v>
      </c>
      <c r="I76" s="66" t="s">
        <v>74</v>
      </c>
      <c r="J76" s="66" t="s">
        <v>1282</v>
      </c>
      <c r="K76" s="69">
        <v>9085.2</v>
      </c>
      <c r="L76" s="70">
        <v>46211.0</v>
      </c>
      <c r="M76" s="66" t="s">
        <v>1292</v>
      </c>
      <c r="N76" s="66">
        <v>8.0</v>
      </c>
      <c r="O76" s="66">
        <v>0.0</v>
      </c>
      <c r="P76" s="66">
        <v>0.0</v>
      </c>
      <c r="Q76" s="66">
        <v>0.0</v>
      </c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9">
        <v>17751.23</v>
      </c>
      <c r="BE76" s="67"/>
      <c r="BF76" s="69">
        <v>5821.18</v>
      </c>
      <c r="BG76" s="69">
        <v>1164.24</v>
      </c>
      <c r="BH76" s="67"/>
    </row>
    <row r="77">
      <c r="A77" s="66" t="s">
        <v>1034</v>
      </c>
      <c r="B77" s="66" t="s">
        <v>1262</v>
      </c>
      <c r="C77" s="66">
        <v>10840.0</v>
      </c>
      <c r="D77" s="66" t="s">
        <v>1263</v>
      </c>
      <c r="E77" s="66">
        <v>470.0</v>
      </c>
      <c r="F77" s="66">
        <v>1695.0</v>
      </c>
      <c r="G77" s="66" t="s">
        <v>1075</v>
      </c>
      <c r="H77" s="66" t="s">
        <v>1142</v>
      </c>
      <c r="I77" s="66" t="s">
        <v>74</v>
      </c>
      <c r="J77" s="66" t="s">
        <v>1253</v>
      </c>
      <c r="K77" s="66">
        <v>0.0</v>
      </c>
      <c r="L77" s="70">
        <v>46303.0</v>
      </c>
      <c r="M77" s="66" t="s">
        <v>1302</v>
      </c>
      <c r="N77" s="66">
        <v>8.0</v>
      </c>
      <c r="O77" s="69">
        <v>10000.0</v>
      </c>
      <c r="P77" s="69">
        <v>1600.0</v>
      </c>
      <c r="Q77" s="69">
        <v>9533.33</v>
      </c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9">
        <v>1330.0</v>
      </c>
      <c r="BE77" s="67"/>
      <c r="BF77" s="69">
        <v>10000.0</v>
      </c>
      <c r="BG77" s="69">
        <v>2000.0</v>
      </c>
      <c r="BH77" s="67"/>
    </row>
    <row r="78">
      <c r="A78" s="66" t="s">
        <v>1034</v>
      </c>
      <c r="B78" s="66" t="s">
        <v>1272</v>
      </c>
      <c r="C78" s="66">
        <v>45044.0</v>
      </c>
      <c r="D78" s="66" t="s">
        <v>1137</v>
      </c>
      <c r="E78" s="66">
        <v>470.0</v>
      </c>
      <c r="F78" s="66">
        <v>1695.0</v>
      </c>
      <c r="G78" s="66" t="s">
        <v>1138</v>
      </c>
      <c r="H78" s="66" t="s">
        <v>1142</v>
      </c>
      <c r="I78" s="66" t="s">
        <v>74</v>
      </c>
      <c r="J78" s="66" t="s">
        <v>1253</v>
      </c>
      <c r="K78" s="66">
        <v>0.0</v>
      </c>
      <c r="L78" s="66" t="s">
        <v>1292</v>
      </c>
      <c r="M78" s="66" t="s">
        <v>1275</v>
      </c>
      <c r="N78" s="66">
        <v>8.0</v>
      </c>
      <c r="O78" s="66">
        <v>0.0</v>
      </c>
      <c r="P78" s="66">
        <v>0.0</v>
      </c>
      <c r="Q78" s="66">
        <v>0.0</v>
      </c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9">
        <v>9485.0</v>
      </c>
      <c r="BE78" s="67"/>
      <c r="BF78" s="69">
        <v>4900.0</v>
      </c>
      <c r="BG78" s="66">
        <v>980.0</v>
      </c>
      <c r="BH78" s="67"/>
    </row>
    <row r="79">
      <c r="A79" s="66" t="s">
        <v>1321</v>
      </c>
      <c r="B79" s="66" t="s">
        <v>1354</v>
      </c>
      <c r="C79" s="66">
        <v>44983.0</v>
      </c>
      <c r="D79" s="66" t="s">
        <v>1355</v>
      </c>
      <c r="E79" s="66">
        <v>470.0</v>
      </c>
      <c r="F79" s="66">
        <v>1695.0</v>
      </c>
      <c r="G79" s="66" t="s">
        <v>1028</v>
      </c>
      <c r="H79" s="66" t="s">
        <v>1142</v>
      </c>
      <c r="I79" s="66" t="s">
        <v>74</v>
      </c>
      <c r="J79" s="66" t="s">
        <v>1253</v>
      </c>
      <c r="K79" s="66">
        <v>0.0</v>
      </c>
      <c r="L79" s="70">
        <v>46303.0</v>
      </c>
      <c r="M79" s="70">
        <v>46364.0</v>
      </c>
      <c r="N79" s="66">
        <v>8.0</v>
      </c>
      <c r="O79" s="66">
        <v>0.0</v>
      </c>
      <c r="P79" s="66">
        <v>0.0</v>
      </c>
      <c r="Q79" s="66">
        <v>0.0</v>
      </c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9">
        <v>9785.0</v>
      </c>
      <c r="BE79" s="67"/>
      <c r="BF79" s="69">
        <v>5100.0</v>
      </c>
      <c r="BG79" s="69">
        <v>1020.0</v>
      </c>
      <c r="BH79" s="67"/>
    </row>
    <row r="80">
      <c r="A80" s="66" t="s">
        <v>1034</v>
      </c>
      <c r="B80" s="66" t="s">
        <v>1286</v>
      </c>
      <c r="C80" s="66">
        <v>45002.0</v>
      </c>
      <c r="D80" s="66" t="s">
        <v>1287</v>
      </c>
      <c r="E80" s="66">
        <v>470.0</v>
      </c>
      <c r="F80" s="66">
        <v>1695.0</v>
      </c>
      <c r="G80" s="66" t="s">
        <v>1419</v>
      </c>
      <c r="H80" s="66" t="s">
        <v>1142</v>
      </c>
      <c r="I80" s="66" t="s">
        <v>74</v>
      </c>
      <c r="J80" s="66" t="s">
        <v>1288</v>
      </c>
      <c r="K80" s="69">
        <v>12635.61</v>
      </c>
      <c r="L80" s="66" t="s">
        <v>1349</v>
      </c>
      <c r="M80" s="66" t="s">
        <v>1334</v>
      </c>
      <c r="N80" s="66">
        <v>8.0</v>
      </c>
      <c r="O80" s="66">
        <v>0.0</v>
      </c>
      <c r="P80" s="66">
        <v>0.0</v>
      </c>
      <c r="Q80" s="66">
        <v>0.0</v>
      </c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9">
        <v>21211.93</v>
      </c>
      <c r="BE80" s="67"/>
      <c r="BF80" s="69">
        <v>5019.37</v>
      </c>
      <c r="BG80" s="69">
        <v>1003.87</v>
      </c>
      <c r="BH80" s="67"/>
    </row>
    <row r="81">
      <c r="A81" s="66" t="s">
        <v>1034</v>
      </c>
      <c r="B81" s="66" t="s">
        <v>1262</v>
      </c>
      <c r="C81" s="66">
        <v>10845.0</v>
      </c>
      <c r="D81" s="66" t="s">
        <v>1263</v>
      </c>
      <c r="E81" s="66">
        <v>470.0</v>
      </c>
      <c r="F81" s="66">
        <v>1695.0</v>
      </c>
      <c r="G81" s="66" t="s">
        <v>1115</v>
      </c>
      <c r="H81" s="66" t="s">
        <v>1142</v>
      </c>
      <c r="I81" s="66" t="s">
        <v>74</v>
      </c>
      <c r="J81" s="66" t="s">
        <v>1253</v>
      </c>
      <c r="K81" s="66">
        <v>0.0</v>
      </c>
      <c r="L81" s="66" t="s">
        <v>1349</v>
      </c>
      <c r="M81" s="66" t="s">
        <v>1293</v>
      </c>
      <c r="N81" s="66">
        <v>8.0</v>
      </c>
      <c r="O81" s="69">
        <v>10000.0</v>
      </c>
      <c r="P81" s="69">
        <v>1600.0</v>
      </c>
      <c r="Q81" s="69">
        <v>9533.33</v>
      </c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9">
        <v>1330.0</v>
      </c>
      <c r="BE81" s="67"/>
      <c r="BF81" s="69">
        <v>10000.0</v>
      </c>
      <c r="BG81" s="69">
        <v>2000.0</v>
      </c>
      <c r="BH81" s="67"/>
    </row>
    <row r="82">
      <c r="A82" s="66" t="s">
        <v>1034</v>
      </c>
      <c r="B82" s="66" t="s">
        <v>1262</v>
      </c>
      <c r="C82" s="66">
        <v>10851.0</v>
      </c>
      <c r="D82" s="66" t="s">
        <v>1263</v>
      </c>
      <c r="E82" s="66">
        <v>470.0</v>
      </c>
      <c r="F82" s="66">
        <v>1695.0</v>
      </c>
      <c r="G82" s="66" t="s">
        <v>1422</v>
      </c>
      <c r="H82" s="66" t="s">
        <v>1142</v>
      </c>
      <c r="I82" s="66" t="s">
        <v>74</v>
      </c>
      <c r="J82" s="66" t="s">
        <v>1299</v>
      </c>
      <c r="K82" s="66">
        <v>0.0</v>
      </c>
      <c r="L82" s="66" t="s">
        <v>1297</v>
      </c>
      <c r="M82" s="66" t="s">
        <v>1254</v>
      </c>
      <c r="N82" s="66">
        <v>8.0</v>
      </c>
      <c r="O82" s="69">
        <v>2900.0</v>
      </c>
      <c r="P82" s="66">
        <v>464.0</v>
      </c>
      <c r="Q82" s="69">
        <v>2764.67</v>
      </c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67"/>
      <c r="AK82" s="67"/>
      <c r="AL82" s="67"/>
      <c r="AM82" s="67"/>
      <c r="AN82" s="67"/>
      <c r="AO82" s="67"/>
      <c r="AP82" s="67"/>
      <c r="AQ82" s="67"/>
      <c r="AR82" s="67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9">
        <v>5030.0</v>
      </c>
      <c r="BE82" s="67"/>
      <c r="BF82" s="69">
        <v>2900.0</v>
      </c>
      <c r="BG82" s="66">
        <v>580.0</v>
      </c>
      <c r="BH82" s="67"/>
    </row>
    <row r="83">
      <c r="A83" s="66" t="s">
        <v>1034</v>
      </c>
      <c r="B83" s="66" t="s">
        <v>1425</v>
      </c>
      <c r="C83" s="66">
        <v>45033.0</v>
      </c>
      <c r="D83" s="66" t="s">
        <v>1426</v>
      </c>
      <c r="E83" s="66">
        <v>470.0</v>
      </c>
      <c r="F83" s="66">
        <v>1695.0</v>
      </c>
      <c r="G83" s="66" t="s">
        <v>1131</v>
      </c>
      <c r="H83" s="66" t="s">
        <v>1142</v>
      </c>
      <c r="I83" s="66" t="s">
        <v>74</v>
      </c>
      <c r="J83" s="66" t="s">
        <v>1253</v>
      </c>
      <c r="K83" s="66">
        <v>0.0</v>
      </c>
      <c r="L83" s="66" t="s">
        <v>1334</v>
      </c>
      <c r="M83" s="66" t="s">
        <v>1293</v>
      </c>
      <c r="N83" s="66">
        <v>8.0</v>
      </c>
      <c r="O83" s="66">
        <v>0.0</v>
      </c>
      <c r="P83" s="66">
        <v>0.0</v>
      </c>
      <c r="Q83" s="66">
        <v>0.0</v>
      </c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67"/>
      <c r="AQ83" s="67"/>
      <c r="AR83" s="67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9">
        <v>5453.95</v>
      </c>
      <c r="BE83" s="67"/>
      <c r="BF83" s="69">
        <v>4968.95</v>
      </c>
      <c r="BG83" s="66">
        <v>993.79</v>
      </c>
      <c r="BH83" s="67"/>
    </row>
    <row r="84">
      <c r="A84" s="66" t="s">
        <v>1034</v>
      </c>
      <c r="B84" s="66" t="s">
        <v>1391</v>
      </c>
      <c r="C84" s="66">
        <v>45006.0</v>
      </c>
      <c r="D84" s="66" t="s">
        <v>1392</v>
      </c>
      <c r="E84" s="66">
        <v>470.0</v>
      </c>
      <c r="F84" s="66">
        <v>1695.0</v>
      </c>
      <c r="G84" s="66" t="s">
        <v>1087</v>
      </c>
      <c r="H84" s="66" t="s">
        <v>1142</v>
      </c>
      <c r="I84" s="66" t="s">
        <v>74</v>
      </c>
      <c r="J84" s="66" t="s">
        <v>1282</v>
      </c>
      <c r="K84" s="69">
        <v>7263.02</v>
      </c>
      <c r="L84" s="66" t="s">
        <v>1349</v>
      </c>
      <c r="M84" s="66" t="s">
        <v>1327</v>
      </c>
      <c r="N84" s="66">
        <v>8.0</v>
      </c>
      <c r="O84" s="66">
        <v>0.0</v>
      </c>
      <c r="P84" s="66">
        <v>0.0</v>
      </c>
      <c r="Q84" s="66">
        <v>0.0</v>
      </c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7"/>
      <c r="AJ84" s="67"/>
      <c r="AK84" s="67"/>
      <c r="AL84" s="67"/>
      <c r="AM84" s="67"/>
      <c r="AN84" s="67"/>
      <c r="AO84" s="67"/>
      <c r="AP84" s="67"/>
      <c r="AQ84" s="67"/>
      <c r="AR84" s="67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9">
        <v>14340.96</v>
      </c>
      <c r="BE84" s="67"/>
      <c r="BF84" s="69">
        <v>4233.09</v>
      </c>
      <c r="BG84" s="66">
        <v>846.62</v>
      </c>
      <c r="BH84" s="67"/>
    </row>
    <row r="85">
      <c r="A85" s="66" t="s">
        <v>1034</v>
      </c>
      <c r="B85" s="66" t="s">
        <v>1391</v>
      </c>
      <c r="C85" s="66">
        <v>45005.0</v>
      </c>
      <c r="D85" s="66" t="s">
        <v>1392</v>
      </c>
      <c r="E85" s="66">
        <v>470.0</v>
      </c>
      <c r="F85" s="66">
        <v>1695.0</v>
      </c>
      <c r="G85" s="66" t="s">
        <v>1134</v>
      </c>
      <c r="H85" s="66" t="s">
        <v>1142</v>
      </c>
      <c r="I85" s="66" t="s">
        <v>74</v>
      </c>
      <c r="J85" s="66" t="s">
        <v>1282</v>
      </c>
      <c r="K85" s="69">
        <v>4677.4</v>
      </c>
      <c r="L85" s="70">
        <v>46364.0</v>
      </c>
      <c r="M85" s="66" t="s">
        <v>1327</v>
      </c>
      <c r="N85" s="66">
        <v>8.0</v>
      </c>
      <c r="O85" s="66">
        <v>0.0</v>
      </c>
      <c r="P85" s="66">
        <v>0.0</v>
      </c>
      <c r="Q85" s="66">
        <v>0.0</v>
      </c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9">
        <v>9985.98</v>
      </c>
      <c r="BE85" s="67"/>
      <c r="BF85" s="69">
        <v>2463.73</v>
      </c>
      <c r="BG85" s="66">
        <v>492.75</v>
      </c>
      <c r="BH85" s="67"/>
    </row>
    <row r="86">
      <c r="A86" s="66" t="s">
        <v>1034</v>
      </c>
      <c r="B86" s="66" t="s">
        <v>1391</v>
      </c>
      <c r="C86" s="66">
        <v>45007.0</v>
      </c>
      <c r="D86" s="66" t="s">
        <v>1392</v>
      </c>
      <c r="E86" s="66">
        <v>470.0</v>
      </c>
      <c r="F86" s="66">
        <v>1695.0</v>
      </c>
      <c r="G86" s="66" t="s">
        <v>1066</v>
      </c>
      <c r="H86" s="66" t="s">
        <v>1142</v>
      </c>
      <c r="I86" s="66" t="s">
        <v>74</v>
      </c>
      <c r="J86" s="66" t="s">
        <v>1282</v>
      </c>
      <c r="K86" s="69">
        <v>6843.67</v>
      </c>
      <c r="L86" s="66" t="s">
        <v>1292</v>
      </c>
      <c r="M86" s="66" t="s">
        <v>1327</v>
      </c>
      <c r="N86" s="66">
        <v>8.0</v>
      </c>
      <c r="O86" s="66">
        <v>0.0</v>
      </c>
      <c r="P86" s="66">
        <v>0.0</v>
      </c>
      <c r="Q86" s="66">
        <v>0.0</v>
      </c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9">
        <v>12791.48</v>
      </c>
      <c r="BE86" s="67"/>
      <c r="BF86" s="69">
        <v>3102.96</v>
      </c>
      <c r="BG86" s="66">
        <v>620.59</v>
      </c>
      <c r="BH86" s="67"/>
    </row>
    <row r="87">
      <c r="A87" s="66" t="s">
        <v>1034</v>
      </c>
      <c r="B87" s="66" t="s">
        <v>1262</v>
      </c>
      <c r="C87" s="66">
        <v>10855.0</v>
      </c>
      <c r="D87" s="66" t="s">
        <v>1263</v>
      </c>
      <c r="E87" s="66">
        <v>470.0</v>
      </c>
      <c r="F87" s="66">
        <v>1695.0</v>
      </c>
      <c r="G87" s="66" t="s">
        <v>1433</v>
      </c>
      <c r="H87" s="66" t="s">
        <v>1142</v>
      </c>
      <c r="I87" s="66" t="s">
        <v>74</v>
      </c>
      <c r="J87" s="66" t="s">
        <v>1299</v>
      </c>
      <c r="K87" s="66">
        <v>0.0</v>
      </c>
      <c r="L87" s="66" t="s">
        <v>1254</v>
      </c>
      <c r="M87" s="66" t="s">
        <v>1301</v>
      </c>
      <c r="N87" s="66">
        <v>8.0</v>
      </c>
      <c r="O87" s="69">
        <v>10000.0</v>
      </c>
      <c r="P87" s="69">
        <v>1600.0</v>
      </c>
      <c r="Q87" s="69">
        <v>9533.33</v>
      </c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67"/>
      <c r="AQ87" s="67"/>
      <c r="AR87" s="67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9">
        <v>1330.0</v>
      </c>
      <c r="BE87" s="67"/>
      <c r="BF87" s="69">
        <v>10000.0</v>
      </c>
      <c r="BG87" s="69">
        <v>2000.0</v>
      </c>
      <c r="BH87" s="67"/>
    </row>
    <row r="88">
      <c r="A88" s="66" t="s">
        <v>1034</v>
      </c>
      <c r="B88" s="66" t="s">
        <v>1434</v>
      </c>
      <c r="C88" s="66">
        <v>45067.0</v>
      </c>
      <c r="D88" s="66" t="s">
        <v>1435</v>
      </c>
      <c r="E88" s="66">
        <v>470.0</v>
      </c>
      <c r="F88" s="66">
        <v>1695.0</v>
      </c>
      <c r="G88" s="66" t="s">
        <v>1436</v>
      </c>
      <c r="H88" s="66" t="s">
        <v>1142</v>
      </c>
      <c r="I88" s="66" t="s">
        <v>74</v>
      </c>
      <c r="J88" s="66" t="s">
        <v>1253</v>
      </c>
      <c r="K88" s="66">
        <v>0.0</v>
      </c>
      <c r="L88" s="66" t="s">
        <v>1297</v>
      </c>
      <c r="M88" s="66" t="s">
        <v>1254</v>
      </c>
      <c r="N88" s="66">
        <v>8.0</v>
      </c>
      <c r="O88" s="66">
        <v>0.0</v>
      </c>
      <c r="P88" s="66">
        <v>0.0</v>
      </c>
      <c r="Q88" s="66">
        <v>0.0</v>
      </c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/>
      <c r="AO88" s="67"/>
      <c r="AP88" s="67"/>
      <c r="AQ88" s="67"/>
      <c r="AR88" s="67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9">
        <v>7530.0</v>
      </c>
      <c r="BE88" s="67"/>
      <c r="BF88" s="69">
        <v>4200.0</v>
      </c>
      <c r="BG88" s="66">
        <v>840.0</v>
      </c>
      <c r="BH88" s="67"/>
    </row>
    <row r="89">
      <c r="A89" s="66" t="s">
        <v>1034</v>
      </c>
      <c r="B89" s="66" t="s">
        <v>1286</v>
      </c>
      <c r="C89" s="66">
        <v>45038.0</v>
      </c>
      <c r="D89" s="66" t="s">
        <v>1287</v>
      </c>
      <c r="E89" s="66">
        <v>470.0</v>
      </c>
      <c r="F89" s="66">
        <v>1695.0</v>
      </c>
      <c r="G89" s="66" t="s">
        <v>1432</v>
      </c>
      <c r="H89" s="66" t="s">
        <v>1142</v>
      </c>
      <c r="I89" s="66" t="s">
        <v>74</v>
      </c>
      <c r="J89" s="66" t="s">
        <v>1288</v>
      </c>
      <c r="K89" s="69">
        <v>3740.96</v>
      </c>
      <c r="L89" s="66" t="s">
        <v>1327</v>
      </c>
      <c r="M89" s="66" t="s">
        <v>1275</v>
      </c>
      <c r="N89" s="66">
        <v>8.0</v>
      </c>
      <c r="O89" s="66">
        <v>0.0</v>
      </c>
      <c r="P89" s="66">
        <v>0.0</v>
      </c>
      <c r="Q89" s="66">
        <v>0.0</v>
      </c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9">
        <v>8433.7</v>
      </c>
      <c r="BE89" s="67"/>
      <c r="BF89" s="69">
        <v>2635.79</v>
      </c>
      <c r="BG89" s="66">
        <v>527.16</v>
      </c>
      <c r="BH89" s="67"/>
    </row>
    <row r="90">
      <c r="A90" s="66" t="s">
        <v>1034</v>
      </c>
      <c r="B90" s="66" t="s">
        <v>1286</v>
      </c>
      <c r="C90" s="66">
        <v>45036.0</v>
      </c>
      <c r="D90" s="66" t="s">
        <v>1287</v>
      </c>
      <c r="E90" s="66">
        <v>470.0</v>
      </c>
      <c r="F90" s="66">
        <v>1695.0</v>
      </c>
      <c r="G90" s="66" t="s">
        <v>1367</v>
      </c>
      <c r="H90" s="66" t="s">
        <v>1142</v>
      </c>
      <c r="I90" s="66" t="s">
        <v>74</v>
      </c>
      <c r="J90" s="66" t="s">
        <v>1288</v>
      </c>
      <c r="K90" s="69">
        <v>17233.31</v>
      </c>
      <c r="L90" s="66" t="s">
        <v>1327</v>
      </c>
      <c r="M90" s="66" t="s">
        <v>1275</v>
      </c>
      <c r="N90" s="66">
        <v>8.0</v>
      </c>
      <c r="O90" s="66">
        <v>0.0</v>
      </c>
      <c r="P90" s="66">
        <v>0.0</v>
      </c>
      <c r="Q90" s="66">
        <v>0.0</v>
      </c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/>
      <c r="AO90" s="67"/>
      <c r="AP90" s="67"/>
      <c r="AQ90" s="67"/>
      <c r="AR90" s="67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9">
        <v>25812.76</v>
      </c>
      <c r="BE90" s="67"/>
      <c r="BF90" s="69">
        <v>6522.5</v>
      </c>
      <c r="BG90" s="69">
        <v>1304.5</v>
      </c>
      <c r="BH90" s="67"/>
    </row>
    <row r="91">
      <c r="A91" s="66" t="s">
        <v>1034</v>
      </c>
      <c r="B91" s="66" t="s">
        <v>1434</v>
      </c>
      <c r="C91" s="66">
        <v>45060.0</v>
      </c>
      <c r="D91" s="66" t="s">
        <v>1435</v>
      </c>
      <c r="E91" s="66">
        <v>470.0</v>
      </c>
      <c r="F91" s="66">
        <v>1695.0</v>
      </c>
      <c r="G91" s="66" t="s">
        <v>1438</v>
      </c>
      <c r="H91" s="66" t="s">
        <v>1142</v>
      </c>
      <c r="I91" s="66" t="s">
        <v>74</v>
      </c>
      <c r="J91" s="66" t="s">
        <v>1253</v>
      </c>
      <c r="K91" s="66">
        <v>0.0</v>
      </c>
      <c r="L91" s="66" t="s">
        <v>1275</v>
      </c>
      <c r="M91" s="66" t="s">
        <v>1254</v>
      </c>
      <c r="N91" s="66">
        <v>8.0</v>
      </c>
      <c r="O91" s="66">
        <v>0.0</v>
      </c>
      <c r="P91" s="66">
        <v>0.0</v>
      </c>
      <c r="Q91" s="66">
        <v>0.0</v>
      </c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7"/>
      <c r="AQ91" s="67"/>
      <c r="AR91" s="67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9">
        <v>7530.0</v>
      </c>
      <c r="BE91" s="67"/>
      <c r="BF91" s="69">
        <v>4200.0</v>
      </c>
      <c r="BG91" s="66">
        <v>840.0</v>
      </c>
      <c r="BH91" s="67"/>
    </row>
    <row r="92">
      <c r="A92" s="66" t="s">
        <v>1250</v>
      </c>
      <c r="B92" s="66" t="s">
        <v>1440</v>
      </c>
      <c r="C92" s="67"/>
      <c r="D92" s="66" t="s">
        <v>1441</v>
      </c>
      <c r="E92" s="66">
        <v>470.0</v>
      </c>
      <c r="F92" s="66">
        <v>1695.0</v>
      </c>
      <c r="G92" s="66" t="s">
        <v>1442</v>
      </c>
      <c r="H92" s="66" t="s">
        <v>1142</v>
      </c>
      <c r="I92" s="66" t="s">
        <v>74</v>
      </c>
      <c r="J92" s="66" t="s">
        <v>1299</v>
      </c>
      <c r="K92" s="66">
        <v>0.0</v>
      </c>
      <c r="L92" s="66" t="s">
        <v>1327</v>
      </c>
      <c r="M92" s="66" t="s">
        <v>1300</v>
      </c>
      <c r="N92" s="66">
        <v>8.0</v>
      </c>
      <c r="O92" s="66">
        <v>0.0</v>
      </c>
      <c r="P92" s="66">
        <v>0.0</v>
      </c>
      <c r="Q92" s="66">
        <v>0.0</v>
      </c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9">
        <v>10338.11</v>
      </c>
      <c r="BE92" s="67"/>
      <c r="BF92" s="69">
        <v>8538.11</v>
      </c>
      <c r="BG92" s="69">
        <v>3415.24</v>
      </c>
      <c r="BH92" s="67"/>
    </row>
    <row r="93">
      <c r="A93" s="66" t="s">
        <v>1321</v>
      </c>
      <c r="B93" s="66" t="s">
        <v>1354</v>
      </c>
      <c r="C93" s="66">
        <v>45055.0</v>
      </c>
      <c r="D93" s="66" t="s">
        <v>1355</v>
      </c>
      <c r="E93" s="66">
        <v>470.0</v>
      </c>
      <c r="F93" s="66">
        <v>1695.0</v>
      </c>
      <c r="G93" s="66" t="s">
        <v>1444</v>
      </c>
      <c r="H93" s="66" t="s">
        <v>1142</v>
      </c>
      <c r="I93" s="66" t="s">
        <v>74</v>
      </c>
      <c r="J93" s="66" t="s">
        <v>1253</v>
      </c>
      <c r="K93" s="66">
        <v>0.0</v>
      </c>
      <c r="L93" s="66" t="s">
        <v>1293</v>
      </c>
      <c r="M93" s="66" t="s">
        <v>1297</v>
      </c>
      <c r="N93" s="66">
        <v>8.0</v>
      </c>
      <c r="O93" s="66">
        <v>0.0</v>
      </c>
      <c r="P93" s="66">
        <v>0.0</v>
      </c>
      <c r="Q93" s="66">
        <v>0.0</v>
      </c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67"/>
      <c r="AR93" s="67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9">
        <v>9785.0</v>
      </c>
      <c r="BE93" s="67"/>
      <c r="BF93" s="69">
        <v>5100.0</v>
      </c>
      <c r="BG93" s="69">
        <v>1020.0</v>
      </c>
      <c r="BH93" s="67"/>
    </row>
    <row r="94">
      <c r="A94" s="66" t="s">
        <v>1034</v>
      </c>
      <c r="B94" s="66" t="s">
        <v>1391</v>
      </c>
      <c r="C94" s="66">
        <v>45056.0</v>
      </c>
      <c r="D94" s="66" t="s">
        <v>1392</v>
      </c>
      <c r="E94" s="66">
        <v>470.0</v>
      </c>
      <c r="F94" s="66">
        <v>1695.0</v>
      </c>
      <c r="G94" s="66" t="s">
        <v>1446</v>
      </c>
      <c r="H94" s="66" t="s">
        <v>1142</v>
      </c>
      <c r="I94" s="66" t="s">
        <v>74</v>
      </c>
      <c r="J94" s="66" t="s">
        <v>1282</v>
      </c>
      <c r="K94" s="69">
        <v>5331.0</v>
      </c>
      <c r="L94" s="66" t="s">
        <v>1293</v>
      </c>
      <c r="M94" s="66" t="s">
        <v>1254</v>
      </c>
      <c r="N94" s="66">
        <v>8.0</v>
      </c>
      <c r="O94" s="66">
        <v>0.0</v>
      </c>
      <c r="P94" s="66">
        <v>0.0</v>
      </c>
      <c r="Q94" s="66">
        <v>0.0</v>
      </c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9">
        <v>11266.18</v>
      </c>
      <c r="BE94" s="67"/>
      <c r="BF94" s="69">
        <v>3090.33</v>
      </c>
      <c r="BG94" s="66">
        <v>618.07</v>
      </c>
      <c r="BH94" s="67"/>
    </row>
    <row r="95">
      <c r="A95" s="66" t="s">
        <v>1034</v>
      </c>
      <c r="B95" s="66" t="s">
        <v>1391</v>
      </c>
      <c r="C95" s="66">
        <v>45057.0</v>
      </c>
      <c r="D95" s="66" t="s">
        <v>1392</v>
      </c>
      <c r="E95" s="66">
        <v>470.0</v>
      </c>
      <c r="F95" s="66">
        <v>1695.0</v>
      </c>
      <c r="G95" s="66" t="s">
        <v>1447</v>
      </c>
      <c r="H95" s="66" t="s">
        <v>1142</v>
      </c>
      <c r="I95" s="66" t="s">
        <v>74</v>
      </c>
      <c r="J95" s="66" t="s">
        <v>1288</v>
      </c>
      <c r="K95" s="69">
        <v>16017.93</v>
      </c>
      <c r="L95" s="66" t="s">
        <v>1275</v>
      </c>
      <c r="M95" s="66" t="s">
        <v>1254</v>
      </c>
      <c r="N95" s="66">
        <v>8.0</v>
      </c>
      <c r="O95" s="66">
        <v>0.0</v>
      </c>
      <c r="P95" s="66">
        <v>0.0</v>
      </c>
      <c r="Q95" s="66">
        <v>0.0</v>
      </c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9">
        <v>38740.5</v>
      </c>
      <c r="BE95" s="67"/>
      <c r="BF95" s="69">
        <v>19877.72</v>
      </c>
      <c r="BG95" s="69">
        <v>3975.54</v>
      </c>
      <c r="BH95" s="67"/>
    </row>
    <row r="96">
      <c r="A96" s="66" t="s">
        <v>1034</v>
      </c>
      <c r="B96" s="66" t="s">
        <v>1375</v>
      </c>
      <c r="C96" s="66">
        <v>45083.0</v>
      </c>
      <c r="D96" s="66" t="s">
        <v>1376</v>
      </c>
      <c r="E96" s="66">
        <v>470.0</v>
      </c>
      <c r="F96" s="66">
        <v>1695.0</v>
      </c>
      <c r="G96" s="66" t="s">
        <v>1449</v>
      </c>
      <c r="H96" s="66" t="s">
        <v>1142</v>
      </c>
      <c r="I96" s="66" t="s">
        <v>74</v>
      </c>
      <c r="J96" s="66" t="s">
        <v>1253</v>
      </c>
      <c r="K96" s="66">
        <v>0.0</v>
      </c>
      <c r="L96" s="66" t="s">
        <v>1300</v>
      </c>
      <c r="M96" s="66" t="s">
        <v>1301</v>
      </c>
      <c r="N96" s="66">
        <v>8.0</v>
      </c>
      <c r="O96" s="66">
        <v>0.0</v>
      </c>
      <c r="P96" s="66">
        <v>0.0</v>
      </c>
      <c r="Q96" s="66">
        <v>0.0</v>
      </c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9">
        <v>17828.74</v>
      </c>
      <c r="BE96" s="67"/>
      <c r="BF96" s="69">
        <v>14166.91</v>
      </c>
      <c r="BG96" s="69">
        <v>2833.38</v>
      </c>
      <c r="BH96" s="67"/>
    </row>
    <row r="97">
      <c r="A97" s="66" t="s">
        <v>1451</v>
      </c>
      <c r="B97" s="66" t="s">
        <v>1452</v>
      </c>
      <c r="C97" s="66">
        <v>45018.0</v>
      </c>
      <c r="D97" s="66" t="s">
        <v>1453</v>
      </c>
      <c r="E97" s="66">
        <v>240.0</v>
      </c>
      <c r="F97" s="66">
        <v>1695.0</v>
      </c>
      <c r="G97" s="66" t="s">
        <v>1090</v>
      </c>
      <c r="H97" s="66" t="s">
        <v>1147</v>
      </c>
      <c r="I97" s="66" t="s">
        <v>539</v>
      </c>
      <c r="J97" s="66" t="s">
        <v>1288</v>
      </c>
      <c r="K97" s="66">
        <v>0.0</v>
      </c>
      <c r="L97" s="70">
        <v>46332.0</v>
      </c>
      <c r="M97" s="66" t="s">
        <v>1293</v>
      </c>
      <c r="N97" s="66">
        <v>8.0</v>
      </c>
      <c r="O97" s="66">
        <v>0.0</v>
      </c>
      <c r="P97" s="66">
        <v>0.0</v>
      </c>
      <c r="Q97" s="66">
        <v>0.0</v>
      </c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6">
        <v>0.01</v>
      </c>
      <c r="BE97" s="67"/>
      <c r="BF97" s="66">
        <v>0.0</v>
      </c>
      <c r="BG97" s="66">
        <v>0.0</v>
      </c>
      <c r="BH97" s="67"/>
    </row>
    <row r="98">
      <c r="A98" s="66" t="s">
        <v>1034</v>
      </c>
      <c r="B98" s="66" t="s">
        <v>1454</v>
      </c>
      <c r="C98" s="66">
        <v>44993.0</v>
      </c>
      <c r="D98" s="66" t="s">
        <v>1069</v>
      </c>
      <c r="E98" s="66">
        <v>240.0</v>
      </c>
      <c r="F98" s="66">
        <v>1695.0</v>
      </c>
      <c r="G98" s="66" t="s">
        <v>1070</v>
      </c>
      <c r="H98" s="66" t="s">
        <v>1147</v>
      </c>
      <c r="I98" s="66" t="s">
        <v>539</v>
      </c>
      <c r="J98" s="66" t="s">
        <v>1253</v>
      </c>
      <c r="K98" s="66">
        <v>0.0</v>
      </c>
      <c r="L98" s="66" t="s">
        <v>1456</v>
      </c>
      <c r="M98" s="66" t="s">
        <v>1292</v>
      </c>
      <c r="N98" s="66">
        <v>8.0</v>
      </c>
      <c r="O98" s="66">
        <v>0.0</v>
      </c>
      <c r="P98" s="66">
        <v>0.0</v>
      </c>
      <c r="Q98" s="66">
        <v>0.0</v>
      </c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  <c r="AN98" s="67"/>
      <c r="AO98" s="67"/>
      <c r="AP98" s="67"/>
      <c r="AQ98" s="67"/>
      <c r="AR98" s="67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9">
        <v>4590.0</v>
      </c>
      <c r="BE98" s="67"/>
      <c r="BF98" s="69">
        <v>4500.0</v>
      </c>
      <c r="BG98" s="66">
        <v>900.0</v>
      </c>
      <c r="BH98" s="67"/>
    </row>
    <row r="99">
      <c r="A99" s="66" t="s">
        <v>1250</v>
      </c>
      <c r="B99" s="66" t="s">
        <v>1458</v>
      </c>
      <c r="C99" s="66">
        <v>44992.0</v>
      </c>
      <c r="D99" s="66" t="s">
        <v>1459</v>
      </c>
      <c r="E99" s="66">
        <v>240.0</v>
      </c>
      <c r="F99" s="66">
        <v>1695.0</v>
      </c>
      <c r="G99" s="66" t="s">
        <v>1068</v>
      </c>
      <c r="H99" s="66" t="s">
        <v>1147</v>
      </c>
      <c r="I99" s="66" t="s">
        <v>539</v>
      </c>
      <c r="J99" s="66" t="s">
        <v>1288</v>
      </c>
      <c r="K99" s="69">
        <v>6500.0</v>
      </c>
      <c r="L99" s="66" t="s">
        <v>1331</v>
      </c>
      <c r="M99" s="66" t="s">
        <v>1292</v>
      </c>
      <c r="N99" s="66">
        <v>8.0</v>
      </c>
      <c r="O99" s="66">
        <v>0.0</v>
      </c>
      <c r="P99" s="66">
        <v>0.0</v>
      </c>
      <c r="Q99" s="66">
        <v>0.0</v>
      </c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67"/>
      <c r="AQ99" s="67"/>
      <c r="AR99" s="67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9">
        <v>21720.0</v>
      </c>
      <c r="BE99" s="67"/>
      <c r="BF99" s="69">
        <v>15200.0</v>
      </c>
      <c r="BG99" s="69">
        <v>6080.0</v>
      </c>
      <c r="BH99" s="67"/>
    </row>
    <row r="100">
      <c r="A100" s="66" t="s">
        <v>1034</v>
      </c>
      <c r="B100" s="66" t="s">
        <v>1308</v>
      </c>
      <c r="C100" s="66">
        <v>44940.0</v>
      </c>
      <c r="D100" s="66" t="s">
        <v>1309</v>
      </c>
      <c r="E100" s="66">
        <v>240.0</v>
      </c>
      <c r="F100" s="66">
        <v>1695.0</v>
      </c>
      <c r="G100" s="66" t="s">
        <v>1461</v>
      </c>
      <c r="H100" s="66" t="s">
        <v>1147</v>
      </c>
      <c r="I100" s="66" t="s">
        <v>539</v>
      </c>
      <c r="J100" s="66" t="s">
        <v>1288</v>
      </c>
      <c r="K100" s="69">
        <v>5443.37</v>
      </c>
      <c r="L100" s="66" t="s">
        <v>1464</v>
      </c>
      <c r="M100" s="70">
        <v>46181.0</v>
      </c>
      <c r="N100" s="66">
        <v>8.0</v>
      </c>
      <c r="O100" s="66">
        <v>0.0</v>
      </c>
      <c r="P100" s="66">
        <v>0.0</v>
      </c>
      <c r="Q100" s="66">
        <v>0.0</v>
      </c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  <c r="AM100" s="67"/>
      <c r="AN100" s="67"/>
      <c r="AO100" s="67"/>
      <c r="AP100" s="67"/>
      <c r="AQ100" s="67"/>
      <c r="AR100" s="67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9">
        <v>15584.79</v>
      </c>
      <c r="BE100" s="67"/>
      <c r="BF100" s="69">
        <v>5933.14</v>
      </c>
      <c r="BG100" s="69">
        <v>1186.63</v>
      </c>
      <c r="BH100" s="67"/>
    </row>
    <row r="101">
      <c r="A101" s="66" t="s">
        <v>1034</v>
      </c>
      <c r="B101" s="66" t="s">
        <v>1280</v>
      </c>
      <c r="C101" s="66">
        <v>44910.0</v>
      </c>
      <c r="D101" s="66" t="s">
        <v>1281</v>
      </c>
      <c r="E101" s="66">
        <v>240.0</v>
      </c>
      <c r="F101" s="66">
        <v>1695.0</v>
      </c>
      <c r="G101" s="66" t="s">
        <v>538</v>
      </c>
      <c r="H101" s="66" t="s">
        <v>1147</v>
      </c>
      <c r="I101" s="66" t="s">
        <v>539</v>
      </c>
      <c r="J101" s="66" t="s">
        <v>1288</v>
      </c>
      <c r="K101" s="69">
        <v>8558.72</v>
      </c>
      <c r="L101" s="66" t="s">
        <v>1377</v>
      </c>
      <c r="M101" s="70">
        <v>46089.0</v>
      </c>
      <c r="N101" s="66">
        <v>8.0</v>
      </c>
      <c r="O101" s="66">
        <v>0.0</v>
      </c>
      <c r="P101" s="66">
        <v>0.0</v>
      </c>
      <c r="Q101" s="66">
        <v>0.0</v>
      </c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67"/>
      <c r="AQ101" s="67"/>
      <c r="AR101" s="67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9">
        <v>16142.04</v>
      </c>
      <c r="BE101" s="67"/>
      <c r="BF101" s="69">
        <v>4263.34</v>
      </c>
      <c r="BG101" s="66">
        <v>852.67</v>
      </c>
      <c r="BH101" s="67"/>
    </row>
    <row r="102">
      <c r="A102" s="66" t="s">
        <v>1034</v>
      </c>
      <c r="B102" s="66" t="s">
        <v>1303</v>
      </c>
      <c r="C102" s="66">
        <v>44920.0</v>
      </c>
      <c r="D102" s="66" t="s">
        <v>1304</v>
      </c>
      <c r="E102" s="66">
        <v>240.0</v>
      </c>
      <c r="F102" s="66">
        <v>1695.0</v>
      </c>
      <c r="G102" s="66" t="s">
        <v>701</v>
      </c>
      <c r="H102" s="66" t="s">
        <v>1147</v>
      </c>
      <c r="I102" s="66" t="s">
        <v>539</v>
      </c>
      <c r="J102" s="66" t="s">
        <v>1288</v>
      </c>
      <c r="K102" s="69">
        <v>4772.96</v>
      </c>
      <c r="L102" s="70">
        <v>46089.0</v>
      </c>
      <c r="M102" s="70">
        <v>46120.0</v>
      </c>
      <c r="N102" s="66">
        <v>8.0</v>
      </c>
      <c r="O102" s="66">
        <v>0.0</v>
      </c>
      <c r="P102" s="66">
        <v>0.0</v>
      </c>
      <c r="Q102" s="66">
        <v>0.0</v>
      </c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67"/>
      <c r="AQ102" s="67"/>
      <c r="AR102" s="67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9">
        <v>9366.48</v>
      </c>
      <c r="BE102" s="67"/>
      <c r="BF102" s="69">
        <v>3270.0</v>
      </c>
      <c r="BG102" s="66">
        <v>654.0</v>
      </c>
      <c r="BH102" s="67"/>
    </row>
    <row r="103">
      <c r="A103" s="66" t="s">
        <v>1034</v>
      </c>
      <c r="B103" s="66" t="s">
        <v>1303</v>
      </c>
      <c r="C103" s="66">
        <v>44954.0</v>
      </c>
      <c r="D103" s="66" t="s">
        <v>1304</v>
      </c>
      <c r="E103" s="66">
        <v>240.0</v>
      </c>
      <c r="F103" s="66">
        <v>1695.0</v>
      </c>
      <c r="G103" s="66" t="s">
        <v>943</v>
      </c>
      <c r="H103" s="66" t="s">
        <v>1147</v>
      </c>
      <c r="I103" s="66" t="s">
        <v>539</v>
      </c>
      <c r="J103" s="66" t="s">
        <v>1288</v>
      </c>
      <c r="K103" s="69">
        <v>4749.72</v>
      </c>
      <c r="L103" s="70">
        <v>46181.0</v>
      </c>
      <c r="M103" s="70">
        <v>46211.0</v>
      </c>
      <c r="N103" s="66">
        <v>8.0</v>
      </c>
      <c r="O103" s="66">
        <v>0.0</v>
      </c>
      <c r="P103" s="66">
        <v>0.0</v>
      </c>
      <c r="Q103" s="66">
        <v>0.0</v>
      </c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9">
        <v>8559.67</v>
      </c>
      <c r="BE103" s="67"/>
      <c r="BF103" s="69">
        <v>3270.0</v>
      </c>
      <c r="BG103" s="66">
        <v>654.0</v>
      </c>
      <c r="BH103" s="67"/>
    </row>
    <row r="104">
      <c r="A104" s="66" t="s">
        <v>1034</v>
      </c>
      <c r="B104" s="66" t="s">
        <v>1303</v>
      </c>
      <c r="C104" s="66">
        <v>44970.0</v>
      </c>
      <c r="D104" s="66" t="s">
        <v>1304</v>
      </c>
      <c r="E104" s="66">
        <v>240.0</v>
      </c>
      <c r="F104" s="66">
        <v>1695.0</v>
      </c>
      <c r="G104" s="66" t="s">
        <v>988</v>
      </c>
      <c r="H104" s="66" t="s">
        <v>1147</v>
      </c>
      <c r="I104" s="66" t="s">
        <v>539</v>
      </c>
      <c r="J104" s="66" t="s">
        <v>1288</v>
      </c>
      <c r="K104" s="69">
        <v>4738.72</v>
      </c>
      <c r="L104" s="70">
        <v>46211.0</v>
      </c>
      <c r="M104" s="70">
        <v>46334.0</v>
      </c>
      <c r="N104" s="66">
        <v>8.0</v>
      </c>
      <c r="O104" s="66">
        <v>0.0</v>
      </c>
      <c r="P104" s="66">
        <v>0.0</v>
      </c>
      <c r="Q104" s="66">
        <v>0.0</v>
      </c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7"/>
      <c r="AP104" s="67"/>
      <c r="AQ104" s="67"/>
      <c r="AR104" s="67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9">
        <v>8547.47</v>
      </c>
      <c r="BE104" s="67"/>
      <c r="BF104" s="69">
        <v>3270.0</v>
      </c>
      <c r="BG104" s="66">
        <v>654.0</v>
      </c>
      <c r="BH104" s="67"/>
    </row>
    <row r="105">
      <c r="A105" s="66" t="s">
        <v>1034</v>
      </c>
      <c r="B105" s="66" t="s">
        <v>1303</v>
      </c>
      <c r="C105" s="66">
        <v>44971.0</v>
      </c>
      <c r="D105" s="66" t="s">
        <v>1304</v>
      </c>
      <c r="E105" s="66">
        <v>240.0</v>
      </c>
      <c r="F105" s="66">
        <v>1695.0</v>
      </c>
      <c r="G105" s="66" t="s">
        <v>985</v>
      </c>
      <c r="H105" s="66" t="s">
        <v>1147</v>
      </c>
      <c r="I105" s="66" t="s">
        <v>539</v>
      </c>
      <c r="J105" s="66" t="s">
        <v>1288</v>
      </c>
      <c r="K105" s="69">
        <v>4738.72</v>
      </c>
      <c r="L105" s="70">
        <v>46211.0</v>
      </c>
      <c r="M105" s="70">
        <v>46334.0</v>
      </c>
      <c r="N105" s="66">
        <v>8.0</v>
      </c>
      <c r="O105" s="66">
        <v>0.0</v>
      </c>
      <c r="P105" s="66">
        <v>0.0</v>
      </c>
      <c r="Q105" s="66">
        <v>0.0</v>
      </c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  <c r="AR105" s="67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9">
        <v>8547.47</v>
      </c>
      <c r="BE105" s="67"/>
      <c r="BF105" s="69">
        <v>3270.0</v>
      </c>
      <c r="BG105" s="66">
        <v>654.0</v>
      </c>
      <c r="BH105" s="67"/>
    </row>
    <row r="106">
      <c r="A106" s="66" t="s">
        <v>1034</v>
      </c>
      <c r="B106" s="66" t="s">
        <v>1303</v>
      </c>
      <c r="C106" s="66">
        <v>45000.0</v>
      </c>
      <c r="D106" s="66" t="s">
        <v>1304</v>
      </c>
      <c r="E106" s="66">
        <v>240.0</v>
      </c>
      <c r="F106" s="66">
        <v>1695.0</v>
      </c>
      <c r="G106" s="66" t="s">
        <v>1471</v>
      </c>
      <c r="H106" s="66" t="s">
        <v>1147</v>
      </c>
      <c r="I106" s="66" t="s">
        <v>539</v>
      </c>
      <c r="J106" s="66" t="s">
        <v>1288</v>
      </c>
      <c r="K106" s="69">
        <v>4713.72</v>
      </c>
      <c r="L106" s="70">
        <v>46364.0</v>
      </c>
      <c r="M106" s="66" t="s">
        <v>1334</v>
      </c>
      <c r="N106" s="66">
        <v>8.0</v>
      </c>
      <c r="O106" s="66">
        <v>0.0</v>
      </c>
      <c r="P106" s="66">
        <v>0.0</v>
      </c>
      <c r="Q106" s="66">
        <v>0.0</v>
      </c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67"/>
      <c r="AM106" s="67"/>
      <c r="AN106" s="67"/>
      <c r="AO106" s="67"/>
      <c r="AP106" s="67"/>
      <c r="AQ106" s="67"/>
      <c r="AR106" s="67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9">
        <v>8519.74</v>
      </c>
      <c r="BE106" s="67"/>
      <c r="BF106" s="69">
        <v>3270.0</v>
      </c>
      <c r="BG106" s="66">
        <v>654.0</v>
      </c>
      <c r="BH106" s="67"/>
    </row>
    <row r="107">
      <c r="A107" s="66" t="s">
        <v>1034</v>
      </c>
      <c r="B107" s="66" t="s">
        <v>1303</v>
      </c>
      <c r="C107" s="66">
        <v>45019.0</v>
      </c>
      <c r="D107" s="66" t="s">
        <v>1304</v>
      </c>
      <c r="E107" s="66">
        <v>240.0</v>
      </c>
      <c r="F107" s="66">
        <v>1695.0</v>
      </c>
      <c r="G107" s="66" t="s">
        <v>1208</v>
      </c>
      <c r="H107" s="66" t="s">
        <v>1147</v>
      </c>
      <c r="I107" s="66" t="s">
        <v>539</v>
      </c>
      <c r="J107" s="66" t="s">
        <v>1288</v>
      </c>
      <c r="K107" s="69">
        <v>4688.83</v>
      </c>
      <c r="L107" s="66" t="s">
        <v>1302</v>
      </c>
      <c r="M107" s="66" t="s">
        <v>1293</v>
      </c>
      <c r="N107" s="66">
        <v>8.0</v>
      </c>
      <c r="O107" s="66">
        <v>0.0</v>
      </c>
      <c r="P107" s="66">
        <v>0.0</v>
      </c>
      <c r="Q107" s="66">
        <v>0.0</v>
      </c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67"/>
      <c r="AQ107" s="67"/>
      <c r="AR107" s="67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9">
        <v>8492.14</v>
      </c>
      <c r="BE107" s="67"/>
      <c r="BF107" s="69">
        <v>3270.0</v>
      </c>
      <c r="BG107" s="66">
        <v>654.0</v>
      </c>
      <c r="BH107" s="67"/>
    </row>
    <row r="108">
      <c r="A108" s="66" t="s">
        <v>1034</v>
      </c>
      <c r="B108" s="66" t="s">
        <v>1303</v>
      </c>
      <c r="C108" s="66">
        <v>45017.0</v>
      </c>
      <c r="D108" s="66" t="s">
        <v>1304</v>
      </c>
      <c r="E108" s="66">
        <v>240.0</v>
      </c>
      <c r="F108" s="66">
        <v>1695.0</v>
      </c>
      <c r="G108" s="66" t="s">
        <v>1198</v>
      </c>
      <c r="H108" s="66" t="s">
        <v>1147</v>
      </c>
      <c r="I108" s="66" t="s">
        <v>539</v>
      </c>
      <c r="J108" s="66" t="s">
        <v>1288</v>
      </c>
      <c r="K108" s="69">
        <v>4692.24</v>
      </c>
      <c r="L108" s="66" t="s">
        <v>1292</v>
      </c>
      <c r="M108" s="66" t="s">
        <v>1293</v>
      </c>
      <c r="N108" s="66">
        <v>8.0</v>
      </c>
      <c r="O108" s="66">
        <v>0.0</v>
      </c>
      <c r="P108" s="66">
        <v>0.0</v>
      </c>
      <c r="Q108" s="66">
        <v>0.0</v>
      </c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67"/>
      <c r="AJ108" s="67"/>
      <c r="AK108" s="67"/>
      <c r="AL108" s="67"/>
      <c r="AM108" s="67"/>
      <c r="AN108" s="67"/>
      <c r="AO108" s="67"/>
      <c r="AP108" s="67"/>
      <c r="AQ108" s="67"/>
      <c r="AR108" s="67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9">
        <v>9263.74</v>
      </c>
      <c r="BE108" s="67"/>
      <c r="BF108" s="69">
        <v>3270.0</v>
      </c>
      <c r="BG108" s="66">
        <v>654.0</v>
      </c>
      <c r="BH108" s="67"/>
    </row>
    <row r="109">
      <c r="A109" s="66" t="s">
        <v>1034</v>
      </c>
      <c r="B109" s="66" t="s">
        <v>1303</v>
      </c>
      <c r="C109" s="66">
        <v>45089.0</v>
      </c>
      <c r="D109" s="66" t="s">
        <v>1304</v>
      </c>
      <c r="E109" s="66">
        <v>240.0</v>
      </c>
      <c r="F109" s="66">
        <v>1695.0</v>
      </c>
      <c r="G109" s="66" t="s">
        <v>1472</v>
      </c>
      <c r="H109" s="66" t="s">
        <v>1147</v>
      </c>
      <c r="I109" s="66" t="s">
        <v>539</v>
      </c>
      <c r="J109" s="66" t="s">
        <v>1288</v>
      </c>
      <c r="K109" s="69">
        <v>4665.29</v>
      </c>
      <c r="L109" s="66" t="s">
        <v>1300</v>
      </c>
      <c r="M109" s="66" t="s">
        <v>1323</v>
      </c>
      <c r="N109" s="66">
        <v>8.0</v>
      </c>
      <c r="O109" s="66">
        <v>0.0</v>
      </c>
      <c r="P109" s="66">
        <v>0.0</v>
      </c>
      <c r="Q109" s="66">
        <v>0.0</v>
      </c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67"/>
      <c r="AQ109" s="67"/>
      <c r="AR109" s="67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9">
        <v>8466.03</v>
      </c>
      <c r="BE109" s="67"/>
      <c r="BF109" s="69">
        <v>3270.0</v>
      </c>
      <c r="BG109" s="66">
        <v>654.0</v>
      </c>
      <c r="BH109" s="67"/>
    </row>
    <row r="110">
      <c r="A110" s="66" t="s">
        <v>1034</v>
      </c>
      <c r="B110" s="66" t="s">
        <v>1303</v>
      </c>
      <c r="C110" s="66">
        <v>45079.0</v>
      </c>
      <c r="D110" s="66" t="s">
        <v>1304</v>
      </c>
      <c r="E110" s="66">
        <v>240.0</v>
      </c>
      <c r="F110" s="66">
        <v>1695.0</v>
      </c>
      <c r="G110" s="66" t="s">
        <v>1474</v>
      </c>
      <c r="H110" s="66" t="s">
        <v>1147</v>
      </c>
      <c r="I110" s="66" t="s">
        <v>539</v>
      </c>
      <c r="J110" s="66" t="s">
        <v>1288</v>
      </c>
      <c r="K110" s="69">
        <v>4648.0</v>
      </c>
      <c r="L110" s="66" t="s">
        <v>1254</v>
      </c>
      <c r="M110" s="66" t="s">
        <v>1301</v>
      </c>
      <c r="N110" s="66">
        <v>8.0</v>
      </c>
      <c r="O110" s="66">
        <v>0.0</v>
      </c>
      <c r="P110" s="66">
        <v>0.0</v>
      </c>
      <c r="Q110" s="66">
        <v>0.0</v>
      </c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9">
        <v>8446.85</v>
      </c>
      <c r="BE110" s="67"/>
      <c r="BF110" s="69">
        <v>3270.0</v>
      </c>
      <c r="BG110" s="66">
        <v>654.0</v>
      </c>
      <c r="BH110" s="67"/>
    </row>
    <row r="111">
      <c r="A111" s="66" t="s">
        <v>1034</v>
      </c>
      <c r="B111" s="66" t="s">
        <v>1303</v>
      </c>
      <c r="C111" s="66">
        <v>45046.0</v>
      </c>
      <c r="D111" s="66" t="s">
        <v>1304</v>
      </c>
      <c r="E111" s="66">
        <v>240.0</v>
      </c>
      <c r="F111" s="66">
        <v>1695.0</v>
      </c>
      <c r="G111" s="66" t="s">
        <v>1475</v>
      </c>
      <c r="H111" s="66" t="s">
        <v>1147</v>
      </c>
      <c r="I111" s="66" t="s">
        <v>539</v>
      </c>
      <c r="J111" s="66" t="s">
        <v>1288</v>
      </c>
      <c r="K111" s="69">
        <v>4692.55</v>
      </c>
      <c r="L111" s="66" t="s">
        <v>1293</v>
      </c>
      <c r="M111" s="66" t="s">
        <v>1297</v>
      </c>
      <c r="N111" s="66">
        <v>8.0</v>
      </c>
      <c r="O111" s="66">
        <v>0.0</v>
      </c>
      <c r="P111" s="66">
        <v>0.0</v>
      </c>
      <c r="Q111" s="66">
        <v>0.0</v>
      </c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67"/>
      <c r="AQ111" s="67"/>
      <c r="AR111" s="67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9">
        <v>8496.26</v>
      </c>
      <c r="BE111" s="67"/>
      <c r="BF111" s="69">
        <v>3270.0</v>
      </c>
      <c r="BG111" s="66">
        <v>654.0</v>
      </c>
      <c r="BH111" s="67"/>
    </row>
    <row r="112">
      <c r="A112" s="66" t="s">
        <v>1034</v>
      </c>
      <c r="B112" s="66" t="s">
        <v>1303</v>
      </c>
      <c r="C112" s="66">
        <v>45080.0</v>
      </c>
      <c r="D112" s="66" t="s">
        <v>1304</v>
      </c>
      <c r="E112" s="66">
        <v>240.0</v>
      </c>
      <c r="F112" s="66">
        <v>1695.0</v>
      </c>
      <c r="G112" s="66" t="s">
        <v>1479</v>
      </c>
      <c r="H112" s="66" t="s">
        <v>1147</v>
      </c>
      <c r="I112" s="66" t="s">
        <v>539</v>
      </c>
      <c r="J112" s="66" t="s">
        <v>1288</v>
      </c>
      <c r="K112" s="69">
        <v>4648.0</v>
      </c>
      <c r="L112" s="66" t="s">
        <v>1254</v>
      </c>
      <c r="M112" s="66" t="s">
        <v>1301</v>
      </c>
      <c r="N112" s="66">
        <v>8.0</v>
      </c>
      <c r="O112" s="66">
        <v>0.0</v>
      </c>
      <c r="P112" s="66">
        <v>0.0</v>
      </c>
      <c r="Q112" s="66">
        <v>0.0</v>
      </c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/>
      <c r="AO112" s="67"/>
      <c r="AP112" s="67"/>
      <c r="AQ112" s="67"/>
      <c r="AR112" s="67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9">
        <v>9207.44</v>
      </c>
      <c r="BE112" s="67"/>
      <c r="BF112" s="69">
        <v>3270.0</v>
      </c>
      <c r="BG112" s="66">
        <v>654.0</v>
      </c>
      <c r="BH112" s="67"/>
    </row>
    <row r="113">
      <c r="A113" s="66" t="s">
        <v>1034</v>
      </c>
      <c r="B113" s="66" t="s">
        <v>1303</v>
      </c>
      <c r="C113" s="66">
        <v>45040.0</v>
      </c>
      <c r="D113" s="66" t="s">
        <v>1304</v>
      </c>
      <c r="E113" s="66">
        <v>240.0</v>
      </c>
      <c r="F113" s="66">
        <v>1695.0</v>
      </c>
      <c r="G113" s="66" t="s">
        <v>1427</v>
      </c>
      <c r="H113" s="66" t="s">
        <v>1158</v>
      </c>
      <c r="I113" s="66" t="s">
        <v>1159</v>
      </c>
      <c r="J113" s="66" t="s">
        <v>1288</v>
      </c>
      <c r="K113" s="69">
        <v>4681.0</v>
      </c>
      <c r="L113" s="67"/>
      <c r="M113" s="66" t="s">
        <v>1275</v>
      </c>
      <c r="N113" s="66">
        <v>8.0</v>
      </c>
      <c r="O113" s="66">
        <v>0.0</v>
      </c>
      <c r="P113" s="66">
        <v>0.0</v>
      </c>
      <c r="Q113" s="66">
        <v>0.0</v>
      </c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67"/>
      <c r="AQ113" s="67"/>
      <c r="AR113" s="67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9">
        <v>9472.8</v>
      </c>
      <c r="BE113" s="67"/>
      <c r="BF113" s="69">
        <v>3270.0</v>
      </c>
      <c r="BG113" s="66">
        <v>654.0</v>
      </c>
      <c r="BH113" s="67"/>
    </row>
    <row r="114">
      <c r="A114" s="66" t="s">
        <v>1034</v>
      </c>
      <c r="B114" s="66" t="s">
        <v>1303</v>
      </c>
      <c r="C114" s="66">
        <v>45042.0</v>
      </c>
      <c r="D114" s="66" t="s">
        <v>1304</v>
      </c>
      <c r="E114" s="66">
        <v>240.0</v>
      </c>
      <c r="F114" s="66">
        <v>1695.0</v>
      </c>
      <c r="G114" s="66" t="s">
        <v>1402</v>
      </c>
      <c r="H114" s="66" t="s">
        <v>1158</v>
      </c>
      <c r="I114" s="66" t="s">
        <v>1159</v>
      </c>
      <c r="J114" s="66" t="s">
        <v>1288</v>
      </c>
      <c r="K114" s="69">
        <v>4692.24</v>
      </c>
      <c r="L114" s="67"/>
      <c r="M114" s="66" t="s">
        <v>1275</v>
      </c>
      <c r="N114" s="66">
        <v>8.0</v>
      </c>
      <c r="O114" s="66">
        <v>0.0</v>
      </c>
      <c r="P114" s="66">
        <v>0.0</v>
      </c>
      <c r="Q114" s="66">
        <v>0.0</v>
      </c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7"/>
      <c r="AL114" s="67"/>
      <c r="AM114" s="67"/>
      <c r="AN114" s="67"/>
      <c r="AO114" s="67"/>
      <c r="AP114" s="67"/>
      <c r="AQ114" s="67"/>
      <c r="AR114" s="67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9">
        <v>9484.04</v>
      </c>
      <c r="BE114" s="67"/>
      <c r="BF114" s="69">
        <v>3270.0</v>
      </c>
      <c r="BG114" s="66">
        <v>654.0</v>
      </c>
      <c r="BH114" s="67"/>
    </row>
    <row r="115">
      <c r="A115" s="66" t="s">
        <v>1034</v>
      </c>
      <c r="B115" s="66" t="s">
        <v>1303</v>
      </c>
      <c r="C115" s="66">
        <v>45039.0</v>
      </c>
      <c r="D115" s="66" t="s">
        <v>1304</v>
      </c>
      <c r="E115" s="66">
        <v>240.0</v>
      </c>
      <c r="F115" s="66">
        <v>1695.0</v>
      </c>
      <c r="G115" s="66" t="s">
        <v>1393</v>
      </c>
      <c r="H115" s="66" t="s">
        <v>1158</v>
      </c>
      <c r="I115" s="66" t="s">
        <v>1159</v>
      </c>
      <c r="J115" s="66" t="s">
        <v>1288</v>
      </c>
      <c r="K115" s="69">
        <v>4681.0</v>
      </c>
      <c r="L115" s="67"/>
      <c r="M115" s="66" t="s">
        <v>1275</v>
      </c>
      <c r="N115" s="66">
        <v>8.0</v>
      </c>
      <c r="O115" s="66">
        <v>0.0</v>
      </c>
      <c r="P115" s="66">
        <v>0.0</v>
      </c>
      <c r="Q115" s="66">
        <v>0.0</v>
      </c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67"/>
      <c r="AQ115" s="67"/>
      <c r="AR115" s="67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9">
        <v>7972.8</v>
      </c>
      <c r="BE115" s="67"/>
      <c r="BF115" s="69">
        <v>3270.0</v>
      </c>
      <c r="BG115" s="66">
        <v>654.0</v>
      </c>
      <c r="BH115" s="67"/>
    </row>
    <row r="116">
      <c r="A116" s="66" t="s">
        <v>1034</v>
      </c>
      <c r="B116" s="66" t="s">
        <v>1303</v>
      </c>
      <c r="C116" s="66">
        <v>45050.0</v>
      </c>
      <c r="D116" s="66" t="s">
        <v>1304</v>
      </c>
      <c r="E116" s="66">
        <v>240.0</v>
      </c>
      <c r="F116" s="66">
        <v>1695.0</v>
      </c>
      <c r="G116" s="66" t="s">
        <v>1481</v>
      </c>
      <c r="H116" s="66" t="s">
        <v>1158</v>
      </c>
      <c r="I116" s="66" t="s">
        <v>1159</v>
      </c>
      <c r="J116" s="66" t="s">
        <v>1288</v>
      </c>
      <c r="K116" s="69">
        <v>4663.8</v>
      </c>
      <c r="L116" s="67"/>
      <c r="M116" s="66" t="s">
        <v>1297</v>
      </c>
      <c r="N116" s="66">
        <v>8.0</v>
      </c>
      <c r="O116" s="66">
        <v>0.0</v>
      </c>
      <c r="P116" s="66">
        <v>0.0</v>
      </c>
      <c r="Q116" s="66">
        <v>0.0</v>
      </c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7"/>
      <c r="AO116" s="67"/>
      <c r="AP116" s="67"/>
      <c r="AQ116" s="67"/>
      <c r="AR116" s="67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9">
        <v>7955.6</v>
      </c>
      <c r="BE116" s="67"/>
      <c r="BF116" s="69">
        <v>3270.0</v>
      </c>
      <c r="BG116" s="66">
        <v>654.0</v>
      </c>
      <c r="BH116" s="67"/>
    </row>
    <row r="117">
      <c r="A117" s="66" t="s">
        <v>1034</v>
      </c>
      <c r="B117" s="66" t="s">
        <v>1303</v>
      </c>
      <c r="C117" s="66">
        <v>45049.0</v>
      </c>
      <c r="D117" s="66" t="s">
        <v>1304</v>
      </c>
      <c r="E117" s="66">
        <v>240.0</v>
      </c>
      <c r="F117" s="66">
        <v>1695.0</v>
      </c>
      <c r="G117" s="66" t="s">
        <v>1483</v>
      </c>
      <c r="H117" s="66" t="s">
        <v>1158</v>
      </c>
      <c r="I117" s="66" t="s">
        <v>1159</v>
      </c>
      <c r="J117" s="66" t="s">
        <v>1288</v>
      </c>
      <c r="K117" s="69">
        <v>4663.8</v>
      </c>
      <c r="L117" s="67"/>
      <c r="M117" s="66" t="s">
        <v>1297</v>
      </c>
      <c r="N117" s="66">
        <v>8.0</v>
      </c>
      <c r="O117" s="66">
        <v>0.0</v>
      </c>
      <c r="P117" s="66">
        <v>0.0</v>
      </c>
      <c r="Q117" s="66">
        <v>0.0</v>
      </c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67"/>
      <c r="AQ117" s="67"/>
      <c r="AR117" s="67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9">
        <v>7955.6</v>
      </c>
      <c r="BE117" s="67"/>
      <c r="BF117" s="69">
        <v>3270.0</v>
      </c>
      <c r="BG117" s="66">
        <v>654.0</v>
      </c>
      <c r="BH117" s="67"/>
    </row>
    <row r="118">
      <c r="A118" s="66" t="s">
        <v>1034</v>
      </c>
      <c r="B118" s="66" t="s">
        <v>1303</v>
      </c>
      <c r="C118" s="66">
        <v>45090.0</v>
      </c>
      <c r="D118" s="66" t="s">
        <v>1304</v>
      </c>
      <c r="E118" s="66">
        <v>240.0</v>
      </c>
      <c r="F118" s="66">
        <v>1695.0</v>
      </c>
      <c r="G118" s="66" t="s">
        <v>1485</v>
      </c>
      <c r="H118" s="66" t="s">
        <v>1158</v>
      </c>
      <c r="I118" s="66" t="s">
        <v>1159</v>
      </c>
      <c r="J118" s="66" t="s">
        <v>1288</v>
      </c>
      <c r="K118" s="69">
        <v>4663.53</v>
      </c>
      <c r="L118" s="67"/>
      <c r="M118" s="66" t="s">
        <v>1323</v>
      </c>
      <c r="N118" s="66">
        <v>8.0</v>
      </c>
      <c r="O118" s="66">
        <v>0.0</v>
      </c>
      <c r="P118" s="66">
        <v>0.0</v>
      </c>
      <c r="Q118" s="66">
        <v>0.0</v>
      </c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/>
      <c r="AL118" s="67"/>
      <c r="AM118" s="67"/>
      <c r="AN118" s="67"/>
      <c r="AO118" s="67"/>
      <c r="AP118" s="67"/>
      <c r="AQ118" s="67"/>
      <c r="AR118" s="67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9">
        <v>7955.33</v>
      </c>
      <c r="BE118" s="67"/>
      <c r="BF118" s="69">
        <v>3270.0</v>
      </c>
      <c r="BG118" s="66">
        <v>654.0</v>
      </c>
      <c r="BH118" s="67"/>
    </row>
    <row r="119">
      <c r="A119" s="66" t="s">
        <v>1034</v>
      </c>
      <c r="B119" s="66" t="s">
        <v>1394</v>
      </c>
      <c r="C119" s="66">
        <v>45073.0</v>
      </c>
      <c r="D119" s="66" t="s">
        <v>1395</v>
      </c>
      <c r="E119" s="66">
        <v>430.0</v>
      </c>
      <c r="F119" s="66">
        <v>1695.0</v>
      </c>
      <c r="G119" s="66" t="s">
        <v>1486</v>
      </c>
      <c r="H119" s="66" t="s">
        <v>1164</v>
      </c>
      <c r="I119" s="66" t="s">
        <v>554</v>
      </c>
      <c r="J119" s="66" t="s">
        <v>1253</v>
      </c>
      <c r="K119" s="69">
        <v>7396.55</v>
      </c>
      <c r="L119" s="70">
        <v>46029.0</v>
      </c>
      <c r="M119" s="66" t="s">
        <v>1301</v>
      </c>
      <c r="N119" s="66">
        <v>8.0</v>
      </c>
      <c r="O119" s="66">
        <v>0.0</v>
      </c>
      <c r="P119" s="66">
        <v>0.0</v>
      </c>
      <c r="Q119" s="66">
        <v>0.0</v>
      </c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67"/>
      <c r="AQ119" s="67"/>
      <c r="AR119" s="67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9">
        <v>34858.49</v>
      </c>
      <c r="BE119" s="67"/>
      <c r="BF119" s="69">
        <v>23231.6</v>
      </c>
      <c r="BG119" s="69">
        <v>4646.32</v>
      </c>
      <c r="BH119" s="67"/>
    </row>
    <row r="120">
      <c r="A120" s="66" t="s">
        <v>1034</v>
      </c>
      <c r="B120" s="66" t="s">
        <v>1290</v>
      </c>
      <c r="C120" s="66">
        <v>45023.0</v>
      </c>
      <c r="D120" s="66" t="s">
        <v>1291</v>
      </c>
      <c r="E120" s="66">
        <v>430.0</v>
      </c>
      <c r="F120" s="66">
        <v>1695.0</v>
      </c>
      <c r="G120" s="66" t="s">
        <v>1203</v>
      </c>
      <c r="H120" s="66" t="s">
        <v>1164</v>
      </c>
      <c r="I120" s="66" t="s">
        <v>554</v>
      </c>
      <c r="J120" s="66" t="s">
        <v>1282</v>
      </c>
      <c r="K120" s="66">
        <v>683.61</v>
      </c>
      <c r="L120" s="70">
        <v>46088.0</v>
      </c>
      <c r="M120" s="66" t="s">
        <v>1293</v>
      </c>
      <c r="N120" s="66">
        <v>8.0</v>
      </c>
      <c r="O120" s="66">
        <v>0.0</v>
      </c>
      <c r="P120" s="66">
        <v>0.0</v>
      </c>
      <c r="Q120" s="66">
        <v>0.0</v>
      </c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67"/>
      <c r="AM120" s="67"/>
      <c r="AN120" s="67"/>
      <c r="AO120" s="67"/>
      <c r="AP120" s="67"/>
      <c r="AQ120" s="67"/>
      <c r="AR120" s="67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9">
        <v>17764.5</v>
      </c>
      <c r="BE120" s="67"/>
      <c r="BF120" s="69">
        <v>12490.67</v>
      </c>
      <c r="BG120" s="69">
        <v>2498.13</v>
      </c>
      <c r="BH120" s="67"/>
    </row>
    <row r="121">
      <c r="A121" s="66" t="s">
        <v>1250</v>
      </c>
      <c r="B121" s="66" t="s">
        <v>1489</v>
      </c>
      <c r="C121" s="67"/>
      <c r="D121" s="66" t="s">
        <v>1490</v>
      </c>
      <c r="E121" s="66">
        <v>430.0</v>
      </c>
      <c r="F121" s="66">
        <v>1695.0</v>
      </c>
      <c r="G121" s="66" t="s">
        <v>896</v>
      </c>
      <c r="H121" s="66" t="s">
        <v>1164</v>
      </c>
      <c r="I121" s="66" t="s">
        <v>554</v>
      </c>
      <c r="J121" s="66" t="s">
        <v>1299</v>
      </c>
      <c r="K121" s="66">
        <v>0.0</v>
      </c>
      <c r="L121" s="66" t="s">
        <v>1456</v>
      </c>
      <c r="M121" s="70">
        <v>46303.0</v>
      </c>
      <c r="N121" s="66">
        <v>8.0</v>
      </c>
      <c r="O121" s="66">
        <v>0.0</v>
      </c>
      <c r="P121" s="66">
        <v>0.0</v>
      </c>
      <c r="Q121" s="66">
        <v>0.0</v>
      </c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67"/>
      <c r="AQ121" s="67"/>
      <c r="AR121" s="67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9">
        <v>541500.0</v>
      </c>
      <c r="BE121" s="67"/>
      <c r="BF121" s="69">
        <v>531000.0</v>
      </c>
      <c r="BG121" s="69">
        <v>212400.0</v>
      </c>
      <c r="BH121" s="67"/>
    </row>
    <row r="122">
      <c r="A122" s="66" t="s">
        <v>1034</v>
      </c>
      <c r="B122" s="66" t="s">
        <v>1308</v>
      </c>
      <c r="C122" s="66">
        <v>44928.0</v>
      </c>
      <c r="D122" s="66" t="s">
        <v>1309</v>
      </c>
      <c r="E122" s="66">
        <v>430.0</v>
      </c>
      <c r="F122" s="66">
        <v>1695.0</v>
      </c>
      <c r="G122" s="66" t="s">
        <v>838</v>
      </c>
      <c r="H122" s="66" t="s">
        <v>1164</v>
      </c>
      <c r="I122" s="66" t="s">
        <v>554</v>
      </c>
      <c r="J122" s="66" t="s">
        <v>1288</v>
      </c>
      <c r="K122" s="69">
        <v>19577.13</v>
      </c>
      <c r="L122" s="70">
        <v>46241.0</v>
      </c>
      <c r="M122" s="70">
        <v>46150.0</v>
      </c>
      <c r="N122" s="66">
        <v>8.0</v>
      </c>
      <c r="O122" s="66">
        <v>0.0</v>
      </c>
      <c r="P122" s="66">
        <v>0.0</v>
      </c>
      <c r="Q122" s="66">
        <v>0.0</v>
      </c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67"/>
      <c r="AJ122" s="67"/>
      <c r="AK122" s="67"/>
      <c r="AL122" s="67"/>
      <c r="AM122" s="67"/>
      <c r="AN122" s="67"/>
      <c r="AO122" s="67"/>
      <c r="AP122" s="67"/>
      <c r="AQ122" s="67"/>
      <c r="AR122" s="67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9">
        <v>25507.44</v>
      </c>
      <c r="BE122" s="67"/>
      <c r="BF122" s="69">
        <v>3999.61</v>
      </c>
      <c r="BG122" s="66">
        <v>799.92</v>
      </c>
      <c r="BH122" s="67"/>
    </row>
    <row r="123">
      <c r="A123" s="66" t="s">
        <v>1034</v>
      </c>
      <c r="B123" s="66" t="s">
        <v>1425</v>
      </c>
      <c r="C123" s="66">
        <v>44958.0</v>
      </c>
      <c r="D123" s="66" t="s">
        <v>1426</v>
      </c>
      <c r="E123" s="66">
        <v>430.0</v>
      </c>
      <c r="F123" s="66">
        <v>1695.0</v>
      </c>
      <c r="G123" s="66" t="s">
        <v>976</v>
      </c>
      <c r="H123" s="66" t="s">
        <v>1164</v>
      </c>
      <c r="I123" s="66" t="s">
        <v>554</v>
      </c>
      <c r="J123" s="66" t="s">
        <v>1253</v>
      </c>
      <c r="K123" s="66">
        <v>0.0</v>
      </c>
      <c r="L123" s="66" t="s">
        <v>1493</v>
      </c>
      <c r="M123" s="70">
        <v>46303.0</v>
      </c>
      <c r="N123" s="66">
        <v>8.0</v>
      </c>
      <c r="O123" s="66">
        <v>0.0</v>
      </c>
      <c r="P123" s="66">
        <v>0.0</v>
      </c>
      <c r="Q123" s="66">
        <v>0.0</v>
      </c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67"/>
      <c r="AQ123" s="67"/>
      <c r="AR123" s="67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9">
        <v>5785.0</v>
      </c>
      <c r="BE123" s="67"/>
      <c r="BF123" s="69">
        <v>5300.0</v>
      </c>
      <c r="BG123" s="69">
        <v>1060.0</v>
      </c>
      <c r="BH123" s="67"/>
    </row>
    <row r="124">
      <c r="A124" s="66" t="s">
        <v>1034</v>
      </c>
      <c r="B124" s="66" t="s">
        <v>1425</v>
      </c>
      <c r="C124" s="66">
        <v>45052.0</v>
      </c>
      <c r="D124" s="66" t="s">
        <v>1426</v>
      </c>
      <c r="E124" s="66">
        <v>430.0</v>
      </c>
      <c r="F124" s="66">
        <v>1695.0</v>
      </c>
      <c r="G124" s="66" t="s">
        <v>1494</v>
      </c>
      <c r="H124" s="66" t="s">
        <v>1164</v>
      </c>
      <c r="I124" s="66" t="s">
        <v>554</v>
      </c>
      <c r="J124" s="66" t="s">
        <v>1253</v>
      </c>
      <c r="K124" s="66">
        <v>0.0</v>
      </c>
      <c r="L124" s="67"/>
      <c r="M124" s="66" t="s">
        <v>1297</v>
      </c>
      <c r="N124" s="66">
        <v>8.0</v>
      </c>
      <c r="O124" s="66">
        <v>0.0</v>
      </c>
      <c r="P124" s="66">
        <v>0.0</v>
      </c>
      <c r="Q124" s="66">
        <v>0.0</v>
      </c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  <c r="AL124" s="67"/>
      <c r="AM124" s="67"/>
      <c r="AN124" s="67"/>
      <c r="AO124" s="67"/>
      <c r="AP124" s="67"/>
      <c r="AQ124" s="67"/>
      <c r="AR124" s="67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6">
        <v>1.0</v>
      </c>
      <c r="BE124" s="67"/>
      <c r="BF124" s="66">
        <v>1.0</v>
      </c>
      <c r="BG124" s="66">
        <v>0.2</v>
      </c>
      <c r="BH124" s="67"/>
    </row>
    <row r="125">
      <c r="A125" s="66" t="s">
        <v>1034</v>
      </c>
      <c r="B125" s="66" t="s">
        <v>1495</v>
      </c>
      <c r="C125" s="66">
        <v>45045.0</v>
      </c>
      <c r="D125" s="66" t="s">
        <v>1496</v>
      </c>
      <c r="E125" s="66">
        <v>430.0</v>
      </c>
      <c r="F125" s="66">
        <v>1695.0</v>
      </c>
      <c r="G125" s="66" t="s">
        <v>1364</v>
      </c>
      <c r="H125" s="66" t="s">
        <v>1164</v>
      </c>
      <c r="I125" s="66" t="s">
        <v>554</v>
      </c>
      <c r="J125" s="66" t="s">
        <v>1288</v>
      </c>
      <c r="K125" s="66">
        <v>0.0</v>
      </c>
      <c r="L125" s="70">
        <v>46334.0</v>
      </c>
      <c r="M125" s="66" t="s">
        <v>1275</v>
      </c>
      <c r="N125" s="66">
        <v>8.0</v>
      </c>
      <c r="O125" s="66">
        <v>0.0</v>
      </c>
      <c r="P125" s="66">
        <v>0.0</v>
      </c>
      <c r="Q125" s="66">
        <v>0.0</v>
      </c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67"/>
      <c r="AQ125" s="67"/>
      <c r="AR125" s="67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9">
        <v>7186.29</v>
      </c>
      <c r="BE125" s="67"/>
      <c r="BF125" s="69">
        <v>4326.78</v>
      </c>
      <c r="BG125" s="66">
        <v>865.36</v>
      </c>
      <c r="BH125" s="67"/>
    </row>
    <row r="126">
      <c r="A126" s="66" t="s">
        <v>1034</v>
      </c>
      <c r="B126" s="66" t="s">
        <v>1290</v>
      </c>
      <c r="C126" s="66">
        <v>44953.0</v>
      </c>
      <c r="D126" s="66" t="s">
        <v>1291</v>
      </c>
      <c r="E126" s="66">
        <v>430.0</v>
      </c>
      <c r="F126" s="66">
        <v>1695.0</v>
      </c>
      <c r="G126" s="66" t="s">
        <v>931</v>
      </c>
      <c r="H126" s="66" t="s">
        <v>1164</v>
      </c>
      <c r="I126" s="66" t="s">
        <v>554</v>
      </c>
      <c r="J126" s="66" t="s">
        <v>1282</v>
      </c>
      <c r="K126" s="66">
        <v>0.0</v>
      </c>
      <c r="L126" s="66" t="s">
        <v>1328</v>
      </c>
      <c r="M126" s="70">
        <v>46211.0</v>
      </c>
      <c r="N126" s="66">
        <v>8.0</v>
      </c>
      <c r="O126" s="66">
        <v>0.0</v>
      </c>
      <c r="P126" s="66">
        <v>0.0</v>
      </c>
      <c r="Q126" s="66">
        <v>0.0</v>
      </c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/>
      <c r="AL126" s="67"/>
      <c r="AM126" s="67"/>
      <c r="AN126" s="67"/>
      <c r="AO126" s="67"/>
      <c r="AP126" s="67"/>
      <c r="AQ126" s="67"/>
      <c r="AR126" s="67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9">
        <v>11320.35</v>
      </c>
      <c r="BE126" s="67"/>
      <c r="BF126" s="69">
        <v>5735.13</v>
      </c>
      <c r="BG126" s="69">
        <v>1147.03</v>
      </c>
      <c r="BH126" s="67"/>
    </row>
    <row r="127">
      <c r="A127" s="66" t="s">
        <v>1034</v>
      </c>
      <c r="B127" s="66" t="s">
        <v>1308</v>
      </c>
      <c r="C127" s="66">
        <v>44969.0</v>
      </c>
      <c r="D127" s="66" t="s">
        <v>1309</v>
      </c>
      <c r="E127" s="66">
        <v>430.0</v>
      </c>
      <c r="F127" s="66">
        <v>1695.0</v>
      </c>
      <c r="G127" s="66" t="s">
        <v>967</v>
      </c>
      <c r="H127" s="66" t="s">
        <v>1164</v>
      </c>
      <c r="I127" s="66" t="s">
        <v>554</v>
      </c>
      <c r="J127" s="66" t="s">
        <v>1288</v>
      </c>
      <c r="K127" s="69">
        <v>35458.67</v>
      </c>
      <c r="L127" s="66" t="s">
        <v>1377</v>
      </c>
      <c r="M127" s="70">
        <v>46303.0</v>
      </c>
      <c r="N127" s="66">
        <v>8.0</v>
      </c>
      <c r="O127" s="66">
        <v>0.0</v>
      </c>
      <c r="P127" s="66">
        <v>0.0</v>
      </c>
      <c r="Q127" s="66">
        <v>0.0</v>
      </c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67"/>
      <c r="AQ127" s="67"/>
      <c r="AR127" s="67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9">
        <v>49578.66</v>
      </c>
      <c r="BE127" s="67"/>
      <c r="BF127" s="69">
        <v>3629.15</v>
      </c>
      <c r="BG127" s="66">
        <v>725.83</v>
      </c>
      <c r="BH127" s="67"/>
    </row>
    <row r="128">
      <c r="A128" s="66" t="s">
        <v>1034</v>
      </c>
      <c r="B128" s="66" t="s">
        <v>1303</v>
      </c>
      <c r="C128" s="66">
        <v>44948.0</v>
      </c>
      <c r="D128" s="66" t="s">
        <v>1304</v>
      </c>
      <c r="E128" s="66">
        <v>430.0</v>
      </c>
      <c r="F128" s="66">
        <v>1695.0</v>
      </c>
      <c r="G128" s="66" t="s">
        <v>1498</v>
      </c>
      <c r="H128" s="66" t="s">
        <v>1164</v>
      </c>
      <c r="I128" s="66" t="s">
        <v>554</v>
      </c>
      <c r="J128" s="66" t="s">
        <v>1288</v>
      </c>
      <c r="K128" s="66">
        <v>0.0</v>
      </c>
      <c r="L128" s="66" t="s">
        <v>1464</v>
      </c>
      <c r="M128" s="70">
        <v>46181.0</v>
      </c>
      <c r="N128" s="66">
        <v>8.0</v>
      </c>
      <c r="O128" s="66">
        <v>0.0</v>
      </c>
      <c r="P128" s="66">
        <v>0.0</v>
      </c>
      <c r="Q128" s="66">
        <v>0.0</v>
      </c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/>
      <c r="AO128" s="67"/>
      <c r="AP128" s="67"/>
      <c r="AQ128" s="67"/>
      <c r="AR128" s="67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9">
        <v>8215.8</v>
      </c>
      <c r="BE128" s="67"/>
      <c r="BF128" s="69">
        <v>7194.0</v>
      </c>
      <c r="BG128" s="69">
        <v>1438.8</v>
      </c>
      <c r="BH128" s="67"/>
    </row>
    <row r="129">
      <c r="A129" s="66" t="s">
        <v>1034</v>
      </c>
      <c r="B129" s="66" t="s">
        <v>1303</v>
      </c>
      <c r="C129" s="66">
        <v>44947.0</v>
      </c>
      <c r="D129" s="66" t="s">
        <v>1304</v>
      </c>
      <c r="E129" s="66">
        <v>430.0</v>
      </c>
      <c r="F129" s="66">
        <v>1695.0</v>
      </c>
      <c r="G129" s="66" t="s">
        <v>1500</v>
      </c>
      <c r="H129" s="66" t="s">
        <v>1164</v>
      </c>
      <c r="I129" s="66" t="s">
        <v>554</v>
      </c>
      <c r="J129" s="66" t="s">
        <v>1288</v>
      </c>
      <c r="K129" s="66">
        <v>0.0</v>
      </c>
      <c r="L129" s="66" t="s">
        <v>1464</v>
      </c>
      <c r="M129" s="70">
        <v>46181.0</v>
      </c>
      <c r="N129" s="66">
        <v>8.0</v>
      </c>
      <c r="O129" s="66">
        <v>0.0</v>
      </c>
      <c r="P129" s="66">
        <v>0.0</v>
      </c>
      <c r="Q129" s="66">
        <v>0.0</v>
      </c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67"/>
      <c r="AQ129" s="67"/>
      <c r="AR129" s="67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9">
        <v>4618.8</v>
      </c>
      <c r="BE129" s="67"/>
      <c r="BF129" s="69">
        <v>3597.0</v>
      </c>
      <c r="BG129" s="66">
        <v>719.4</v>
      </c>
      <c r="BH129" s="67"/>
    </row>
    <row r="130">
      <c r="A130" s="66" t="s">
        <v>1034</v>
      </c>
      <c r="B130" s="66" t="s">
        <v>1425</v>
      </c>
      <c r="C130" s="66">
        <v>44980.0</v>
      </c>
      <c r="D130" s="66" t="s">
        <v>1426</v>
      </c>
      <c r="E130" s="66">
        <v>430.0</v>
      </c>
      <c r="F130" s="66">
        <v>1695.0</v>
      </c>
      <c r="G130" s="66" t="s">
        <v>1057</v>
      </c>
      <c r="H130" s="66" t="s">
        <v>1164</v>
      </c>
      <c r="I130" s="66" t="s">
        <v>554</v>
      </c>
      <c r="J130" s="66" t="s">
        <v>1253</v>
      </c>
      <c r="K130" s="66">
        <v>0.0</v>
      </c>
      <c r="L130" s="70">
        <v>46120.0</v>
      </c>
      <c r="M130" s="70">
        <v>46364.0</v>
      </c>
      <c r="N130" s="66">
        <v>8.0</v>
      </c>
      <c r="O130" s="66">
        <v>0.0</v>
      </c>
      <c r="P130" s="66">
        <v>0.0</v>
      </c>
      <c r="Q130" s="66">
        <v>0.0</v>
      </c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  <c r="AI130" s="67"/>
      <c r="AJ130" s="67"/>
      <c r="AK130" s="67"/>
      <c r="AL130" s="67"/>
      <c r="AM130" s="67"/>
      <c r="AN130" s="67"/>
      <c r="AO130" s="67"/>
      <c r="AP130" s="67"/>
      <c r="AQ130" s="67"/>
      <c r="AR130" s="67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9">
        <v>8786.45</v>
      </c>
      <c r="BE130" s="67"/>
      <c r="BF130" s="69">
        <v>8301.45</v>
      </c>
      <c r="BG130" s="69">
        <v>1660.29</v>
      </c>
      <c r="BH130" s="67"/>
    </row>
    <row r="131">
      <c r="A131" s="66" t="s">
        <v>1034</v>
      </c>
      <c r="B131" s="66" t="s">
        <v>1303</v>
      </c>
      <c r="C131" s="66">
        <v>44966.0</v>
      </c>
      <c r="D131" s="66" t="s">
        <v>1304</v>
      </c>
      <c r="E131" s="66">
        <v>430.0</v>
      </c>
      <c r="F131" s="66">
        <v>1695.0</v>
      </c>
      <c r="G131" s="66" t="s">
        <v>1001</v>
      </c>
      <c r="H131" s="66" t="s">
        <v>1164</v>
      </c>
      <c r="I131" s="66" t="s">
        <v>554</v>
      </c>
      <c r="J131" s="66" t="s">
        <v>1288</v>
      </c>
      <c r="K131" s="66">
        <v>0.0</v>
      </c>
      <c r="L131" s="70">
        <v>46089.0</v>
      </c>
      <c r="M131" s="70">
        <v>46303.0</v>
      </c>
      <c r="N131" s="66">
        <v>8.0</v>
      </c>
      <c r="O131" s="66">
        <v>0.0</v>
      </c>
      <c r="P131" s="66">
        <v>0.0</v>
      </c>
      <c r="Q131" s="66">
        <v>0.0</v>
      </c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67"/>
      <c r="AQ131" s="67"/>
      <c r="AR131" s="67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9">
        <v>8215.8</v>
      </c>
      <c r="BE131" s="67"/>
      <c r="BF131" s="69">
        <v>7194.0</v>
      </c>
      <c r="BG131" s="69">
        <v>1438.8</v>
      </c>
      <c r="BH131" s="67"/>
    </row>
    <row r="132">
      <c r="A132" s="66" t="s">
        <v>1034</v>
      </c>
      <c r="B132" s="66" t="s">
        <v>1303</v>
      </c>
      <c r="C132" s="66">
        <v>45026.0</v>
      </c>
      <c r="D132" s="66" t="s">
        <v>1304</v>
      </c>
      <c r="E132" s="66">
        <v>430.0</v>
      </c>
      <c r="F132" s="66">
        <v>1695.0</v>
      </c>
      <c r="G132" s="66" t="s">
        <v>1151</v>
      </c>
      <c r="H132" s="66" t="s">
        <v>1164</v>
      </c>
      <c r="I132" s="66" t="s">
        <v>554</v>
      </c>
      <c r="J132" s="66" t="s">
        <v>1288</v>
      </c>
      <c r="K132" s="66">
        <v>0.0</v>
      </c>
      <c r="L132" s="70">
        <v>46089.0</v>
      </c>
      <c r="M132" s="66" t="s">
        <v>1293</v>
      </c>
      <c r="N132" s="66">
        <v>8.0</v>
      </c>
      <c r="O132" s="66">
        <v>0.0</v>
      </c>
      <c r="P132" s="66">
        <v>0.0</v>
      </c>
      <c r="Q132" s="66">
        <v>0.0</v>
      </c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7"/>
      <c r="AM132" s="67"/>
      <c r="AN132" s="67"/>
      <c r="AO132" s="67"/>
      <c r="AP132" s="67"/>
      <c r="AQ132" s="67"/>
      <c r="AR132" s="67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9">
        <v>8215.8</v>
      </c>
      <c r="BE132" s="67"/>
      <c r="BF132" s="69">
        <v>7194.0</v>
      </c>
      <c r="BG132" s="69">
        <v>1438.8</v>
      </c>
      <c r="BH132" s="67"/>
    </row>
    <row r="133">
      <c r="A133" s="66" t="s">
        <v>1034</v>
      </c>
      <c r="B133" s="66" t="s">
        <v>1425</v>
      </c>
      <c r="C133" s="67"/>
      <c r="D133" s="66" t="s">
        <v>1426</v>
      </c>
      <c r="E133" s="66">
        <v>430.0</v>
      </c>
      <c r="F133" s="66">
        <v>1695.0</v>
      </c>
      <c r="G133" s="66" t="s">
        <v>1503</v>
      </c>
      <c r="H133" s="66" t="s">
        <v>1164</v>
      </c>
      <c r="I133" s="66" t="s">
        <v>554</v>
      </c>
      <c r="J133" s="66" t="s">
        <v>1398</v>
      </c>
      <c r="K133" s="66">
        <v>0.0</v>
      </c>
      <c r="L133" s="66" t="s">
        <v>1292</v>
      </c>
      <c r="M133" s="66" t="s">
        <v>1504</v>
      </c>
      <c r="N133" s="66">
        <v>8.0</v>
      </c>
      <c r="O133" s="66">
        <v>0.0</v>
      </c>
      <c r="P133" s="66">
        <v>0.0</v>
      </c>
      <c r="Q133" s="66">
        <v>0.0</v>
      </c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67"/>
      <c r="AQ133" s="67"/>
      <c r="AR133" s="67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9">
        <v>15016.79</v>
      </c>
      <c r="BE133" s="67"/>
      <c r="BF133" s="69">
        <v>14631.79</v>
      </c>
      <c r="BG133" s="69">
        <v>2926.36</v>
      </c>
      <c r="BH133" s="67"/>
    </row>
    <row r="134">
      <c r="A134" s="66" t="s">
        <v>1034</v>
      </c>
      <c r="B134" s="66" t="s">
        <v>1303</v>
      </c>
      <c r="C134" s="66">
        <v>45025.0</v>
      </c>
      <c r="D134" s="66" t="s">
        <v>1304</v>
      </c>
      <c r="E134" s="66">
        <v>430.0</v>
      </c>
      <c r="F134" s="66">
        <v>1695.0</v>
      </c>
      <c r="G134" s="66" t="s">
        <v>1294</v>
      </c>
      <c r="H134" s="66" t="s">
        <v>1164</v>
      </c>
      <c r="I134" s="66" t="s">
        <v>554</v>
      </c>
      <c r="J134" s="66" t="s">
        <v>1288</v>
      </c>
      <c r="K134" s="66">
        <v>0.0</v>
      </c>
      <c r="L134" s="70">
        <v>46334.0</v>
      </c>
      <c r="M134" s="66" t="s">
        <v>1293</v>
      </c>
      <c r="N134" s="66">
        <v>8.0</v>
      </c>
      <c r="O134" s="66">
        <v>0.0</v>
      </c>
      <c r="P134" s="66">
        <v>0.0</v>
      </c>
      <c r="Q134" s="66">
        <v>0.0</v>
      </c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67"/>
      <c r="AJ134" s="67"/>
      <c r="AK134" s="67"/>
      <c r="AL134" s="67"/>
      <c r="AM134" s="67"/>
      <c r="AN134" s="67"/>
      <c r="AO134" s="67"/>
      <c r="AP134" s="67"/>
      <c r="AQ134" s="67"/>
      <c r="AR134" s="67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9">
        <v>8215.8</v>
      </c>
      <c r="BE134" s="67"/>
      <c r="BF134" s="69">
        <v>7194.0</v>
      </c>
      <c r="BG134" s="69">
        <v>1438.8</v>
      </c>
      <c r="BH134" s="67"/>
    </row>
    <row r="135">
      <c r="A135" s="66" t="s">
        <v>1034</v>
      </c>
      <c r="B135" s="66" t="s">
        <v>1303</v>
      </c>
      <c r="C135" s="66">
        <v>45028.0</v>
      </c>
      <c r="D135" s="66" t="s">
        <v>1304</v>
      </c>
      <c r="E135" s="66">
        <v>430.0</v>
      </c>
      <c r="F135" s="66">
        <v>1695.0</v>
      </c>
      <c r="G135" s="66" t="s">
        <v>1105</v>
      </c>
      <c r="H135" s="66" t="s">
        <v>1164</v>
      </c>
      <c r="I135" s="66" t="s">
        <v>554</v>
      </c>
      <c r="J135" s="66" t="s">
        <v>1288</v>
      </c>
      <c r="K135" s="66">
        <v>0.0</v>
      </c>
      <c r="L135" s="70">
        <v>46334.0</v>
      </c>
      <c r="M135" s="66" t="s">
        <v>1293</v>
      </c>
      <c r="N135" s="66">
        <v>8.0</v>
      </c>
      <c r="O135" s="66">
        <v>0.0</v>
      </c>
      <c r="P135" s="66">
        <v>0.0</v>
      </c>
      <c r="Q135" s="66">
        <v>0.0</v>
      </c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67"/>
      <c r="AQ135" s="67"/>
      <c r="AR135" s="67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9">
        <v>8865.8</v>
      </c>
      <c r="BE135" s="67"/>
      <c r="BF135" s="69">
        <v>7194.0</v>
      </c>
      <c r="BG135" s="69">
        <v>1438.8</v>
      </c>
      <c r="BH135" s="67"/>
    </row>
    <row r="136">
      <c r="A136" s="66" t="s">
        <v>1034</v>
      </c>
      <c r="B136" s="66" t="s">
        <v>1303</v>
      </c>
      <c r="C136" s="66">
        <v>45053.0</v>
      </c>
      <c r="D136" s="66" t="s">
        <v>1304</v>
      </c>
      <c r="E136" s="66">
        <v>430.0</v>
      </c>
      <c r="F136" s="66">
        <v>1695.0</v>
      </c>
      <c r="G136" s="66" t="s">
        <v>1478</v>
      </c>
      <c r="H136" s="66" t="s">
        <v>1164</v>
      </c>
      <c r="I136" s="66" t="s">
        <v>554</v>
      </c>
      <c r="J136" s="66" t="s">
        <v>1288</v>
      </c>
      <c r="K136" s="66">
        <v>0.0</v>
      </c>
      <c r="L136" s="70">
        <v>46334.0</v>
      </c>
      <c r="M136" s="66" t="s">
        <v>1297</v>
      </c>
      <c r="N136" s="66">
        <v>8.0</v>
      </c>
      <c r="O136" s="66">
        <v>0.0</v>
      </c>
      <c r="P136" s="66">
        <v>0.0</v>
      </c>
      <c r="Q136" s="66">
        <v>0.0</v>
      </c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67"/>
      <c r="AJ136" s="67"/>
      <c r="AK136" s="67"/>
      <c r="AL136" s="67"/>
      <c r="AM136" s="67"/>
      <c r="AN136" s="67"/>
      <c r="AO136" s="67"/>
      <c r="AP136" s="67"/>
      <c r="AQ136" s="67"/>
      <c r="AR136" s="67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9">
        <v>8215.8</v>
      </c>
      <c r="BE136" s="67"/>
      <c r="BF136" s="69">
        <v>7194.0</v>
      </c>
      <c r="BG136" s="69">
        <v>1438.8</v>
      </c>
      <c r="BH136" s="67"/>
    </row>
    <row r="137">
      <c r="A137" s="66" t="s">
        <v>1034</v>
      </c>
      <c r="B137" s="66" t="s">
        <v>1303</v>
      </c>
      <c r="C137" s="66">
        <v>45054.0</v>
      </c>
      <c r="D137" s="66" t="s">
        <v>1304</v>
      </c>
      <c r="E137" s="66">
        <v>430.0</v>
      </c>
      <c r="F137" s="66">
        <v>1695.0</v>
      </c>
      <c r="G137" s="66" t="s">
        <v>1508</v>
      </c>
      <c r="H137" s="66" t="s">
        <v>1164</v>
      </c>
      <c r="I137" s="66" t="s">
        <v>554</v>
      </c>
      <c r="J137" s="66" t="s">
        <v>1288</v>
      </c>
      <c r="K137" s="66">
        <v>0.0</v>
      </c>
      <c r="L137" s="70">
        <v>46334.0</v>
      </c>
      <c r="M137" s="66" t="s">
        <v>1297</v>
      </c>
      <c r="N137" s="66">
        <v>8.0</v>
      </c>
      <c r="O137" s="66">
        <v>0.0</v>
      </c>
      <c r="P137" s="66">
        <v>0.0</v>
      </c>
      <c r="Q137" s="66">
        <v>0.0</v>
      </c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67"/>
      <c r="AQ137" s="67"/>
      <c r="AR137" s="67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9">
        <v>4618.8</v>
      </c>
      <c r="BE137" s="67"/>
      <c r="BF137" s="69">
        <v>3597.0</v>
      </c>
      <c r="BG137" s="66">
        <v>719.4</v>
      </c>
      <c r="BH137" s="67"/>
    </row>
    <row r="138">
      <c r="A138" s="66" t="s">
        <v>1034</v>
      </c>
      <c r="B138" s="66" t="s">
        <v>1303</v>
      </c>
      <c r="C138" s="66">
        <v>45074.0</v>
      </c>
      <c r="D138" s="66" t="s">
        <v>1304</v>
      </c>
      <c r="E138" s="66">
        <v>430.0</v>
      </c>
      <c r="F138" s="66">
        <v>1695.0</v>
      </c>
      <c r="G138" s="66" t="s">
        <v>1510</v>
      </c>
      <c r="H138" s="66" t="s">
        <v>1164</v>
      </c>
      <c r="I138" s="66" t="s">
        <v>554</v>
      </c>
      <c r="J138" s="66" t="s">
        <v>1288</v>
      </c>
      <c r="K138" s="66">
        <v>0.0</v>
      </c>
      <c r="L138" s="66" t="s">
        <v>1327</v>
      </c>
      <c r="M138" s="66" t="s">
        <v>1301</v>
      </c>
      <c r="N138" s="66">
        <v>8.0</v>
      </c>
      <c r="O138" s="66">
        <v>0.0</v>
      </c>
      <c r="P138" s="66">
        <v>0.0</v>
      </c>
      <c r="Q138" s="66">
        <v>0.0</v>
      </c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  <c r="AK138" s="67"/>
      <c r="AL138" s="67"/>
      <c r="AM138" s="67"/>
      <c r="AN138" s="67"/>
      <c r="AO138" s="67"/>
      <c r="AP138" s="67"/>
      <c r="AQ138" s="67"/>
      <c r="AR138" s="67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9">
        <v>8215.8</v>
      </c>
      <c r="BE138" s="67"/>
      <c r="BF138" s="69">
        <v>7194.0</v>
      </c>
      <c r="BG138" s="69">
        <v>1438.8</v>
      </c>
      <c r="BH138" s="67"/>
    </row>
    <row r="139">
      <c r="A139" s="66" t="s">
        <v>1034</v>
      </c>
      <c r="B139" s="66" t="s">
        <v>1303</v>
      </c>
      <c r="C139" s="66">
        <v>45075.0</v>
      </c>
      <c r="D139" s="66" t="s">
        <v>1304</v>
      </c>
      <c r="E139" s="66">
        <v>430.0</v>
      </c>
      <c r="F139" s="66">
        <v>1695.0</v>
      </c>
      <c r="G139" s="66" t="s">
        <v>1511</v>
      </c>
      <c r="H139" s="66" t="s">
        <v>1164</v>
      </c>
      <c r="I139" s="66" t="s">
        <v>554</v>
      </c>
      <c r="J139" s="66" t="s">
        <v>1288</v>
      </c>
      <c r="K139" s="66">
        <v>0.0</v>
      </c>
      <c r="L139" s="66" t="s">
        <v>1327</v>
      </c>
      <c r="M139" s="66" t="s">
        <v>1301</v>
      </c>
      <c r="N139" s="66">
        <v>8.0</v>
      </c>
      <c r="O139" s="66">
        <v>0.0</v>
      </c>
      <c r="P139" s="66">
        <v>0.0</v>
      </c>
      <c r="Q139" s="66">
        <v>0.0</v>
      </c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67"/>
      <c r="AQ139" s="67"/>
      <c r="AR139" s="67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9">
        <v>8965.8</v>
      </c>
      <c r="BE139" s="67"/>
      <c r="BF139" s="69">
        <v>7194.0</v>
      </c>
      <c r="BG139" s="69">
        <v>1438.8</v>
      </c>
      <c r="BH139" s="67"/>
    </row>
    <row r="140">
      <c r="A140" s="66" t="s">
        <v>1034</v>
      </c>
      <c r="B140" s="66" t="s">
        <v>1303</v>
      </c>
      <c r="C140" s="66">
        <v>45076.0</v>
      </c>
      <c r="D140" s="66" t="s">
        <v>1304</v>
      </c>
      <c r="E140" s="66">
        <v>430.0</v>
      </c>
      <c r="F140" s="66">
        <v>1695.0</v>
      </c>
      <c r="G140" s="66" t="s">
        <v>1512</v>
      </c>
      <c r="H140" s="66" t="s">
        <v>1164</v>
      </c>
      <c r="I140" s="66" t="s">
        <v>554</v>
      </c>
      <c r="J140" s="66" t="s">
        <v>1288</v>
      </c>
      <c r="K140" s="66">
        <v>0.0</v>
      </c>
      <c r="L140" s="66" t="s">
        <v>1327</v>
      </c>
      <c r="M140" s="66" t="s">
        <v>1301</v>
      </c>
      <c r="N140" s="66">
        <v>8.0</v>
      </c>
      <c r="O140" s="66">
        <v>0.0</v>
      </c>
      <c r="P140" s="66">
        <v>0.0</v>
      </c>
      <c r="Q140" s="66">
        <v>0.0</v>
      </c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  <c r="AK140" s="67"/>
      <c r="AL140" s="67"/>
      <c r="AM140" s="67"/>
      <c r="AN140" s="67"/>
      <c r="AO140" s="67"/>
      <c r="AP140" s="67"/>
      <c r="AQ140" s="67"/>
      <c r="AR140" s="67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9">
        <v>4618.8</v>
      </c>
      <c r="BE140" s="67"/>
      <c r="BF140" s="69">
        <v>3597.0</v>
      </c>
      <c r="BG140" s="66">
        <v>719.4</v>
      </c>
      <c r="BH140" s="67"/>
    </row>
    <row r="141">
      <c r="A141" s="66" t="s">
        <v>1034</v>
      </c>
      <c r="B141" s="66" t="s">
        <v>1514</v>
      </c>
      <c r="C141" s="66">
        <v>44908.0</v>
      </c>
      <c r="D141" s="66" t="s">
        <v>1515</v>
      </c>
      <c r="E141" s="66">
        <v>160.0</v>
      </c>
      <c r="F141" s="66">
        <v>3387.0</v>
      </c>
      <c r="G141" s="66" t="s">
        <v>394</v>
      </c>
      <c r="H141" s="66" t="s">
        <v>1152</v>
      </c>
      <c r="I141" s="66" t="s">
        <v>551</v>
      </c>
      <c r="J141" s="66" t="s">
        <v>1288</v>
      </c>
      <c r="K141" s="69">
        <v>9563.79</v>
      </c>
      <c r="L141" s="67"/>
      <c r="M141" s="70">
        <v>46089.0</v>
      </c>
      <c r="N141" s="66">
        <v>8.0</v>
      </c>
      <c r="O141" s="66">
        <v>0.0</v>
      </c>
      <c r="P141" s="66">
        <v>0.0</v>
      </c>
      <c r="Q141" s="66">
        <v>0.0</v>
      </c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9">
        <v>21617.99</v>
      </c>
      <c r="BE141" s="67"/>
      <c r="BF141" s="69">
        <v>7123.5</v>
      </c>
      <c r="BG141" s="69">
        <v>1424.7</v>
      </c>
      <c r="BH141" s="67"/>
    </row>
    <row r="142">
      <c r="A142" s="66" t="s">
        <v>1034</v>
      </c>
      <c r="B142" s="66" t="s">
        <v>1514</v>
      </c>
      <c r="C142" s="66">
        <v>44989.0</v>
      </c>
      <c r="D142" s="66" t="s">
        <v>1515</v>
      </c>
      <c r="E142" s="66">
        <v>160.0</v>
      </c>
      <c r="F142" s="66">
        <v>3387.0</v>
      </c>
      <c r="G142" s="66" t="s">
        <v>1033</v>
      </c>
      <c r="H142" s="66" t="s">
        <v>1152</v>
      </c>
      <c r="I142" s="66" t="s">
        <v>551</v>
      </c>
      <c r="J142" s="66" t="s">
        <v>1288</v>
      </c>
      <c r="K142" s="69">
        <v>10517.79</v>
      </c>
      <c r="L142" s="67"/>
      <c r="M142" s="66" t="s">
        <v>1349</v>
      </c>
      <c r="N142" s="66">
        <v>8.0</v>
      </c>
      <c r="O142" s="66">
        <v>0.0</v>
      </c>
      <c r="P142" s="66">
        <v>0.0</v>
      </c>
      <c r="Q142" s="66">
        <v>0.0</v>
      </c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  <c r="AM142" s="67"/>
      <c r="AN142" s="67"/>
      <c r="AO142" s="67"/>
      <c r="AP142" s="67"/>
      <c r="AQ142" s="67"/>
      <c r="AR142" s="67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9">
        <v>23194.13</v>
      </c>
      <c r="BE142" s="67"/>
      <c r="BF142" s="69">
        <v>7123.5</v>
      </c>
      <c r="BG142" s="69">
        <v>1424.7</v>
      </c>
      <c r="BH142" s="67"/>
    </row>
    <row r="143">
      <c r="A143" s="66" t="s">
        <v>1034</v>
      </c>
      <c r="B143" s="66" t="s">
        <v>1514</v>
      </c>
      <c r="C143" s="66">
        <v>44988.0</v>
      </c>
      <c r="D143" s="66" t="s">
        <v>1515</v>
      </c>
      <c r="E143" s="66">
        <v>160.0</v>
      </c>
      <c r="F143" s="66">
        <v>3387.0</v>
      </c>
      <c r="G143" s="66" t="s">
        <v>1062</v>
      </c>
      <c r="H143" s="66" t="s">
        <v>1152</v>
      </c>
      <c r="I143" s="66" t="s">
        <v>551</v>
      </c>
      <c r="J143" s="66" t="s">
        <v>1288</v>
      </c>
      <c r="K143" s="69">
        <v>7877.79</v>
      </c>
      <c r="L143" s="67"/>
      <c r="M143" s="66" t="s">
        <v>1349</v>
      </c>
      <c r="N143" s="66">
        <v>8.0</v>
      </c>
      <c r="O143" s="66">
        <v>0.0</v>
      </c>
      <c r="P143" s="66">
        <v>0.0</v>
      </c>
      <c r="Q143" s="66">
        <v>0.0</v>
      </c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67"/>
      <c r="AQ143" s="67"/>
      <c r="AR143" s="67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9">
        <v>22343.13</v>
      </c>
      <c r="BE143" s="67"/>
      <c r="BF143" s="69">
        <v>7123.5</v>
      </c>
      <c r="BG143" s="69">
        <v>1424.7</v>
      </c>
      <c r="BH143" s="67"/>
    </row>
    <row r="144">
      <c r="A144" s="66" t="s">
        <v>1034</v>
      </c>
      <c r="B144" s="66" t="s">
        <v>1308</v>
      </c>
      <c r="C144" s="66">
        <v>44945.0</v>
      </c>
      <c r="D144" s="66" t="s">
        <v>1309</v>
      </c>
      <c r="E144" s="66">
        <v>160.0</v>
      </c>
      <c r="F144" s="66">
        <v>3387.0</v>
      </c>
      <c r="G144" s="66" t="s">
        <v>1517</v>
      </c>
      <c r="H144" s="66" t="s">
        <v>1152</v>
      </c>
      <c r="I144" s="66" t="s">
        <v>551</v>
      </c>
      <c r="J144" s="66" t="s">
        <v>1288</v>
      </c>
      <c r="K144" s="69">
        <v>7877.79</v>
      </c>
      <c r="L144" s="67"/>
      <c r="M144" s="70">
        <v>46181.0</v>
      </c>
      <c r="N144" s="66">
        <v>8.0</v>
      </c>
      <c r="O144" s="66">
        <v>0.0</v>
      </c>
      <c r="P144" s="66">
        <v>0.0</v>
      </c>
      <c r="Q144" s="66">
        <v>0.0</v>
      </c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  <c r="AM144" s="67"/>
      <c r="AN144" s="67"/>
      <c r="AO144" s="67"/>
      <c r="AP144" s="67"/>
      <c r="AQ144" s="67"/>
      <c r="AR144" s="67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9">
        <v>19340.96</v>
      </c>
      <c r="BE144" s="67"/>
      <c r="BF144" s="69">
        <v>6532.47</v>
      </c>
      <c r="BG144" s="69">
        <v>1306.49</v>
      </c>
      <c r="BH144" s="67"/>
    </row>
    <row r="145">
      <c r="A145" s="66" t="s">
        <v>1034</v>
      </c>
      <c r="B145" s="66" t="s">
        <v>1308</v>
      </c>
      <c r="C145" s="66">
        <v>45032.0</v>
      </c>
      <c r="D145" s="66" t="s">
        <v>1309</v>
      </c>
      <c r="E145" s="66">
        <v>160.0</v>
      </c>
      <c r="F145" s="66">
        <v>3387.0</v>
      </c>
      <c r="G145" s="66" t="s">
        <v>1085</v>
      </c>
      <c r="H145" s="66" t="s">
        <v>1152</v>
      </c>
      <c r="I145" s="66" t="s">
        <v>551</v>
      </c>
      <c r="J145" s="66" t="s">
        <v>1288</v>
      </c>
      <c r="K145" s="69">
        <v>17780.79</v>
      </c>
      <c r="L145" s="67"/>
      <c r="M145" s="66" t="s">
        <v>1293</v>
      </c>
      <c r="N145" s="66">
        <v>8.0</v>
      </c>
      <c r="O145" s="66">
        <v>0.0</v>
      </c>
      <c r="P145" s="66">
        <v>0.0</v>
      </c>
      <c r="Q145" s="66">
        <v>0.0</v>
      </c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67"/>
      <c r="AQ145" s="67"/>
      <c r="AR145" s="67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9">
        <v>31593.96</v>
      </c>
      <c r="BE145" s="67"/>
      <c r="BF145" s="69">
        <v>6532.47</v>
      </c>
      <c r="BG145" s="69">
        <v>1306.49</v>
      </c>
      <c r="BH145" s="67"/>
    </row>
    <row r="146">
      <c r="A146" s="66" t="s">
        <v>1034</v>
      </c>
      <c r="B146" s="66" t="s">
        <v>1308</v>
      </c>
      <c r="C146" s="66">
        <v>44959.0</v>
      </c>
      <c r="D146" s="66" t="s">
        <v>1309</v>
      </c>
      <c r="E146" s="66">
        <v>160.0</v>
      </c>
      <c r="F146" s="66">
        <v>3387.0</v>
      </c>
      <c r="G146" s="66" t="s">
        <v>996</v>
      </c>
      <c r="H146" s="66" t="s">
        <v>1152</v>
      </c>
      <c r="I146" s="66" t="s">
        <v>551</v>
      </c>
      <c r="J146" s="66" t="s">
        <v>1288</v>
      </c>
      <c r="K146" s="69">
        <v>5617.0</v>
      </c>
      <c r="L146" s="67"/>
      <c r="M146" s="70">
        <v>46303.0</v>
      </c>
      <c r="N146" s="66">
        <v>8.0</v>
      </c>
      <c r="O146" s="66">
        <v>0.0</v>
      </c>
      <c r="P146" s="66">
        <v>0.0</v>
      </c>
      <c r="Q146" s="66">
        <v>0.0</v>
      </c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  <c r="AM146" s="67"/>
      <c r="AN146" s="67"/>
      <c r="AO146" s="67"/>
      <c r="AP146" s="67"/>
      <c r="AQ146" s="67"/>
      <c r="AR146" s="67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9">
        <v>14080.17</v>
      </c>
      <c r="BE146" s="67"/>
      <c r="BF146" s="69">
        <v>6532.47</v>
      </c>
      <c r="BG146" s="69">
        <v>1306.49</v>
      </c>
      <c r="BH146" s="67"/>
    </row>
    <row r="147">
      <c r="A147" s="66" t="s">
        <v>1034</v>
      </c>
      <c r="B147" s="66" t="s">
        <v>1308</v>
      </c>
      <c r="C147" s="66">
        <v>45029.0</v>
      </c>
      <c r="D147" s="66" t="s">
        <v>1309</v>
      </c>
      <c r="E147" s="66">
        <v>160.0</v>
      </c>
      <c r="F147" s="66">
        <v>3387.0</v>
      </c>
      <c r="G147" s="66" t="s">
        <v>1109</v>
      </c>
      <c r="H147" s="66" t="s">
        <v>1152</v>
      </c>
      <c r="I147" s="66" t="s">
        <v>551</v>
      </c>
      <c r="J147" s="66" t="s">
        <v>1288</v>
      </c>
      <c r="K147" s="69">
        <v>15755.58</v>
      </c>
      <c r="L147" s="67"/>
      <c r="M147" s="66" t="s">
        <v>1293</v>
      </c>
      <c r="N147" s="66">
        <v>8.0</v>
      </c>
      <c r="O147" s="66">
        <v>0.0</v>
      </c>
      <c r="P147" s="66">
        <v>0.0</v>
      </c>
      <c r="Q147" s="66">
        <v>0.0</v>
      </c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67"/>
      <c r="AQ147" s="67"/>
      <c r="AR147" s="67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9">
        <v>38149.22</v>
      </c>
      <c r="BE147" s="67"/>
      <c r="BF147" s="69">
        <v>13064.94</v>
      </c>
      <c r="BG147" s="69">
        <v>2612.99</v>
      </c>
      <c r="BH147" s="67"/>
    </row>
    <row r="148">
      <c r="A148" s="66" t="s">
        <v>1034</v>
      </c>
      <c r="B148" s="66" t="s">
        <v>1308</v>
      </c>
      <c r="C148" s="66">
        <v>44990.0</v>
      </c>
      <c r="D148" s="66" t="s">
        <v>1309</v>
      </c>
      <c r="E148" s="66">
        <v>160.0</v>
      </c>
      <c r="F148" s="66">
        <v>3387.0</v>
      </c>
      <c r="G148" s="66" t="s">
        <v>1071</v>
      </c>
      <c r="H148" s="66" t="s">
        <v>1152</v>
      </c>
      <c r="I148" s="66" t="s">
        <v>551</v>
      </c>
      <c r="J148" s="66" t="s">
        <v>1288</v>
      </c>
      <c r="K148" s="69">
        <v>27646.52</v>
      </c>
      <c r="L148" s="67"/>
      <c r="M148" s="66" t="s">
        <v>1292</v>
      </c>
      <c r="N148" s="66">
        <v>8.0</v>
      </c>
      <c r="O148" s="66">
        <v>0.0</v>
      </c>
      <c r="P148" s="66">
        <v>0.0</v>
      </c>
      <c r="Q148" s="66">
        <v>0.0</v>
      </c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  <c r="AM148" s="67"/>
      <c r="AN148" s="67"/>
      <c r="AO148" s="67"/>
      <c r="AP148" s="67"/>
      <c r="AQ148" s="67"/>
      <c r="AR148" s="67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9">
        <v>38258.69</v>
      </c>
      <c r="BE148" s="67"/>
      <c r="BF148" s="69">
        <v>6532.47</v>
      </c>
      <c r="BG148" s="69">
        <v>1306.49</v>
      </c>
      <c r="BH148" s="67"/>
    </row>
    <row r="149">
      <c r="A149" s="66" t="s">
        <v>1034</v>
      </c>
      <c r="B149" s="66" t="s">
        <v>1514</v>
      </c>
      <c r="C149" s="66">
        <v>44972.0</v>
      </c>
      <c r="D149" s="66" t="s">
        <v>1515</v>
      </c>
      <c r="E149" s="66">
        <v>160.0</v>
      </c>
      <c r="F149" s="66">
        <v>3387.0</v>
      </c>
      <c r="G149" s="66" t="s">
        <v>1009</v>
      </c>
      <c r="H149" s="66" t="s">
        <v>1152</v>
      </c>
      <c r="I149" s="66" t="s">
        <v>551</v>
      </c>
      <c r="J149" s="66" t="s">
        <v>1288</v>
      </c>
      <c r="K149" s="69">
        <v>9563.79</v>
      </c>
      <c r="L149" s="67"/>
      <c r="M149" s="70">
        <v>46334.0</v>
      </c>
      <c r="N149" s="66">
        <v>8.0</v>
      </c>
      <c r="O149" s="66">
        <v>0.0</v>
      </c>
      <c r="P149" s="66">
        <v>0.0</v>
      </c>
      <c r="Q149" s="66">
        <v>0.0</v>
      </c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67"/>
      <c r="AQ149" s="67"/>
      <c r="AR149" s="67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9">
        <v>24880.13</v>
      </c>
      <c r="BE149" s="67"/>
      <c r="BF149" s="69">
        <v>7123.5</v>
      </c>
      <c r="BG149" s="69">
        <v>1424.7</v>
      </c>
      <c r="BH149" s="67"/>
    </row>
    <row r="150">
      <c r="A150" s="66" t="s">
        <v>1034</v>
      </c>
      <c r="B150" s="66" t="s">
        <v>1520</v>
      </c>
      <c r="C150" s="66">
        <v>44944.0</v>
      </c>
      <c r="D150" s="66" t="s">
        <v>1521</v>
      </c>
      <c r="E150" s="66">
        <v>160.0</v>
      </c>
      <c r="F150" s="66">
        <v>3387.0</v>
      </c>
      <c r="G150" s="66" t="s">
        <v>1522</v>
      </c>
      <c r="H150" s="66" t="s">
        <v>1152</v>
      </c>
      <c r="I150" s="66" t="s">
        <v>551</v>
      </c>
      <c r="J150" s="66" t="s">
        <v>1253</v>
      </c>
      <c r="K150" s="66">
        <v>0.0</v>
      </c>
      <c r="L150" s="67"/>
      <c r="M150" s="70">
        <v>46181.0</v>
      </c>
      <c r="N150" s="66">
        <v>8.0</v>
      </c>
      <c r="O150" s="66">
        <v>0.0</v>
      </c>
      <c r="P150" s="66">
        <v>0.0</v>
      </c>
      <c r="Q150" s="66">
        <v>0.0</v>
      </c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  <c r="AM150" s="67"/>
      <c r="AN150" s="67"/>
      <c r="AO150" s="67"/>
      <c r="AP150" s="67"/>
      <c r="AQ150" s="67"/>
      <c r="AR150" s="67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9">
        <v>10281.96</v>
      </c>
      <c r="BE150" s="67"/>
      <c r="BF150" s="69">
        <v>6673.25</v>
      </c>
      <c r="BG150" s="69">
        <v>1334.65</v>
      </c>
      <c r="BH150" s="67"/>
    </row>
    <row r="151">
      <c r="A151" s="66" t="s">
        <v>1034</v>
      </c>
      <c r="B151" s="66" t="s">
        <v>1308</v>
      </c>
      <c r="C151" s="66">
        <v>44987.0</v>
      </c>
      <c r="D151" s="66" t="s">
        <v>1309</v>
      </c>
      <c r="E151" s="66">
        <v>160.0</v>
      </c>
      <c r="F151" s="66">
        <v>3387.0</v>
      </c>
      <c r="G151" s="66" t="s">
        <v>1050</v>
      </c>
      <c r="H151" s="66" t="s">
        <v>1152</v>
      </c>
      <c r="I151" s="66" t="s">
        <v>551</v>
      </c>
      <c r="J151" s="66" t="s">
        <v>1288</v>
      </c>
      <c r="K151" s="69">
        <v>19127.58</v>
      </c>
      <c r="L151" s="67"/>
      <c r="M151" s="66" t="s">
        <v>1349</v>
      </c>
      <c r="N151" s="66">
        <v>8.0</v>
      </c>
      <c r="O151" s="66">
        <v>0.0</v>
      </c>
      <c r="P151" s="66">
        <v>0.0</v>
      </c>
      <c r="Q151" s="66">
        <v>0.0</v>
      </c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67"/>
      <c r="AQ151" s="67"/>
      <c r="AR151" s="67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9">
        <v>46194.36</v>
      </c>
      <c r="BE151" s="67"/>
      <c r="BF151" s="69">
        <v>13064.94</v>
      </c>
      <c r="BG151" s="69">
        <v>2612.99</v>
      </c>
      <c r="BH151" s="67"/>
    </row>
    <row r="152">
      <c r="A152" s="66" t="s">
        <v>1034</v>
      </c>
      <c r="B152" s="66" t="s">
        <v>1308</v>
      </c>
      <c r="C152" s="66">
        <v>45061.0</v>
      </c>
      <c r="D152" s="66" t="s">
        <v>1309</v>
      </c>
      <c r="E152" s="66">
        <v>160.0</v>
      </c>
      <c r="F152" s="66">
        <v>3387.0</v>
      </c>
      <c r="G152" s="66" t="s">
        <v>1525</v>
      </c>
      <c r="H152" s="66" t="s">
        <v>1152</v>
      </c>
      <c r="I152" s="66" t="s">
        <v>551</v>
      </c>
      <c r="J152" s="66" t="s">
        <v>1288</v>
      </c>
      <c r="K152" s="69">
        <v>9541.0</v>
      </c>
      <c r="L152" s="67"/>
      <c r="M152" s="66" t="s">
        <v>1254</v>
      </c>
      <c r="N152" s="66">
        <v>8.0</v>
      </c>
      <c r="O152" s="66">
        <v>0.0</v>
      </c>
      <c r="P152" s="66">
        <v>0.0</v>
      </c>
      <c r="Q152" s="66">
        <v>0.0</v>
      </c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/>
      <c r="AL152" s="67"/>
      <c r="AM152" s="67"/>
      <c r="AN152" s="67"/>
      <c r="AO152" s="67"/>
      <c r="AP152" s="67"/>
      <c r="AQ152" s="67"/>
      <c r="AR152" s="67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9">
        <v>19004.17</v>
      </c>
      <c r="BE152" s="67"/>
      <c r="BF152" s="69">
        <v>6532.47</v>
      </c>
      <c r="BG152" s="69">
        <v>1306.49</v>
      </c>
      <c r="BH152" s="67"/>
    </row>
    <row r="153">
      <c r="A153" s="66" t="s">
        <v>1321</v>
      </c>
      <c r="B153" s="66" t="s">
        <v>1343</v>
      </c>
      <c r="C153" s="66">
        <v>44916.0</v>
      </c>
      <c r="D153" s="66" t="s">
        <v>1344</v>
      </c>
      <c r="E153" s="66">
        <v>650.0</v>
      </c>
      <c r="F153" s="66">
        <v>1695.0</v>
      </c>
      <c r="G153" s="66" t="s">
        <v>1526</v>
      </c>
      <c r="H153" s="66" t="s">
        <v>1186</v>
      </c>
      <c r="I153" s="66" t="s">
        <v>84</v>
      </c>
      <c r="J153" s="66" t="s">
        <v>1253</v>
      </c>
      <c r="K153" s="69">
        <v>24781.62</v>
      </c>
      <c r="L153" s="67"/>
      <c r="M153" s="70">
        <v>46120.0</v>
      </c>
      <c r="N153" s="66">
        <v>8.0</v>
      </c>
      <c r="O153" s="66">
        <v>0.0</v>
      </c>
      <c r="P153" s="66">
        <v>0.0</v>
      </c>
      <c r="Q153" s="66">
        <v>0.0</v>
      </c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67"/>
      <c r="AQ153" s="67"/>
      <c r="AR153" s="67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9">
        <v>57758.67</v>
      </c>
      <c r="BE153" s="67"/>
      <c r="BF153" s="69">
        <v>31647.05</v>
      </c>
      <c r="BG153" s="69">
        <v>6329.41</v>
      </c>
      <c r="BH153" s="67"/>
    </row>
    <row r="154">
      <c r="A154" s="66" t="s">
        <v>1034</v>
      </c>
      <c r="B154" s="66" t="s">
        <v>1528</v>
      </c>
      <c r="C154" s="67"/>
      <c r="D154" s="66" t="s">
        <v>1529</v>
      </c>
      <c r="E154" s="66">
        <v>160.0</v>
      </c>
      <c r="F154" s="66">
        <v>3387.0</v>
      </c>
      <c r="G154" s="66" t="s">
        <v>1530</v>
      </c>
      <c r="H154" s="66" t="s">
        <v>1188</v>
      </c>
      <c r="I154" s="66" t="s">
        <v>551</v>
      </c>
      <c r="J154" s="66" t="s">
        <v>1299</v>
      </c>
      <c r="K154" s="69">
        <v>219929.98</v>
      </c>
      <c r="L154" s="67"/>
      <c r="M154" s="66" t="s">
        <v>1293</v>
      </c>
      <c r="N154" s="66">
        <v>8.0</v>
      </c>
      <c r="O154" s="66">
        <v>0.0</v>
      </c>
      <c r="P154" s="66">
        <v>0.0</v>
      </c>
      <c r="Q154" s="66">
        <v>0.0</v>
      </c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  <c r="AO154" s="67"/>
      <c r="AP154" s="67"/>
      <c r="AQ154" s="67"/>
      <c r="AR154" s="67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9">
        <v>287224.78</v>
      </c>
      <c r="BE154" s="67"/>
      <c r="BF154" s="69">
        <v>17859.8</v>
      </c>
      <c r="BG154" s="69">
        <v>3571.96</v>
      </c>
      <c r="BH154" s="67"/>
    </row>
    <row r="155">
      <c r="A155" s="66" t="s">
        <v>1034</v>
      </c>
      <c r="B155" s="66" t="s">
        <v>1308</v>
      </c>
      <c r="C155" s="66">
        <v>44925.0</v>
      </c>
      <c r="D155" s="66" t="s">
        <v>1309</v>
      </c>
      <c r="E155" s="66">
        <v>160.0</v>
      </c>
      <c r="F155" s="66">
        <v>3387.0</v>
      </c>
      <c r="G155" s="66" t="s">
        <v>889</v>
      </c>
      <c r="H155" s="66" t="s">
        <v>1188</v>
      </c>
      <c r="I155" s="66" t="s">
        <v>551</v>
      </c>
      <c r="J155" s="66" t="s">
        <v>1288</v>
      </c>
      <c r="K155" s="69">
        <v>2699.5</v>
      </c>
      <c r="L155" s="67"/>
      <c r="M155" s="70">
        <v>46150.0</v>
      </c>
      <c r="N155" s="66">
        <v>8.0</v>
      </c>
      <c r="O155" s="66">
        <v>0.0</v>
      </c>
      <c r="P155" s="66">
        <v>0.0</v>
      </c>
      <c r="Q155" s="66">
        <v>0.0</v>
      </c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7"/>
      <c r="AQ155" s="67"/>
      <c r="AR155" s="67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9">
        <v>32123.37</v>
      </c>
      <c r="BE155" s="67"/>
      <c r="BF155" s="69">
        <v>6532.47</v>
      </c>
      <c r="BG155" s="69">
        <v>1306.49</v>
      </c>
      <c r="BH155" s="67"/>
    </row>
    <row r="156">
      <c r="A156" s="66" t="s">
        <v>1034</v>
      </c>
      <c r="B156" s="66" t="s">
        <v>1532</v>
      </c>
      <c r="C156" s="66">
        <v>44949.0</v>
      </c>
      <c r="D156" s="66" t="s">
        <v>1533</v>
      </c>
      <c r="E156" s="66">
        <v>160.0</v>
      </c>
      <c r="F156" s="66">
        <v>3387.0</v>
      </c>
      <c r="G156" s="66" t="s">
        <v>1534</v>
      </c>
      <c r="H156" s="66" t="s">
        <v>1188</v>
      </c>
      <c r="I156" s="66" t="s">
        <v>551</v>
      </c>
      <c r="J156" s="66" t="s">
        <v>1288</v>
      </c>
      <c r="K156" s="69">
        <v>38412.47</v>
      </c>
      <c r="L156" s="67"/>
      <c r="M156" s="70">
        <v>46181.0</v>
      </c>
      <c r="N156" s="66">
        <v>8.0</v>
      </c>
      <c r="O156" s="66">
        <v>0.0</v>
      </c>
      <c r="P156" s="66">
        <v>0.0</v>
      </c>
      <c r="Q156" s="66">
        <v>0.0</v>
      </c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  <c r="AL156" s="67"/>
      <c r="AM156" s="67"/>
      <c r="AN156" s="67"/>
      <c r="AO156" s="67"/>
      <c r="AP156" s="67"/>
      <c r="AQ156" s="67"/>
      <c r="AR156" s="67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9">
        <v>49020.02</v>
      </c>
      <c r="BE156" s="67"/>
      <c r="BF156" s="69">
        <v>7076.84</v>
      </c>
      <c r="BG156" s="69">
        <v>1415.37</v>
      </c>
      <c r="BH156" s="67"/>
    </row>
    <row r="157">
      <c r="A157" s="66" t="s">
        <v>1034</v>
      </c>
      <c r="B157" s="66" t="s">
        <v>1495</v>
      </c>
      <c r="C157" s="66">
        <v>44950.0</v>
      </c>
      <c r="D157" s="66" t="s">
        <v>1496</v>
      </c>
      <c r="E157" s="66">
        <v>160.0</v>
      </c>
      <c r="F157" s="66">
        <v>3387.0</v>
      </c>
      <c r="G157" s="66" t="s">
        <v>1536</v>
      </c>
      <c r="H157" s="66" t="s">
        <v>1188</v>
      </c>
      <c r="I157" s="66" t="s">
        <v>551</v>
      </c>
      <c r="J157" s="66" t="s">
        <v>1288</v>
      </c>
      <c r="K157" s="66">
        <v>0.0</v>
      </c>
      <c r="L157" s="67"/>
      <c r="M157" s="70">
        <v>46211.0</v>
      </c>
      <c r="N157" s="66">
        <v>8.0</v>
      </c>
      <c r="O157" s="66">
        <v>0.0</v>
      </c>
      <c r="P157" s="66">
        <v>0.0</v>
      </c>
      <c r="Q157" s="66">
        <v>0.0</v>
      </c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67"/>
      <c r="AQ157" s="67"/>
      <c r="AR157" s="67"/>
      <c r="AS157" s="67"/>
      <c r="AT157" s="67"/>
      <c r="AU157" s="67"/>
      <c r="AV157" s="67"/>
      <c r="AW157" s="67"/>
      <c r="AX157" s="67"/>
      <c r="AY157" s="67"/>
      <c r="AZ157" s="67"/>
      <c r="BA157" s="67"/>
      <c r="BB157" s="67"/>
      <c r="BC157" s="67"/>
      <c r="BD157" s="69">
        <v>7186.29</v>
      </c>
      <c r="BE157" s="67"/>
      <c r="BF157" s="69">
        <v>4326.78</v>
      </c>
      <c r="BG157" s="66">
        <v>865.36</v>
      </c>
      <c r="BH157" s="67"/>
    </row>
    <row r="158">
      <c r="A158" s="66" t="s">
        <v>1250</v>
      </c>
      <c r="B158" s="66" t="s">
        <v>1368</v>
      </c>
      <c r="C158" s="67"/>
      <c r="D158" s="66" t="s">
        <v>1369</v>
      </c>
      <c r="E158" s="66">
        <v>160.0</v>
      </c>
      <c r="F158" s="66">
        <v>3387.0</v>
      </c>
      <c r="G158" s="66" t="s">
        <v>1537</v>
      </c>
      <c r="H158" s="66" t="s">
        <v>1188</v>
      </c>
      <c r="I158" s="66" t="s">
        <v>551</v>
      </c>
      <c r="J158" s="66" t="s">
        <v>1398</v>
      </c>
      <c r="K158" s="66">
        <v>0.0</v>
      </c>
      <c r="L158" s="67"/>
      <c r="M158" s="66" t="s">
        <v>1504</v>
      </c>
      <c r="N158" s="66">
        <v>8.0</v>
      </c>
      <c r="O158" s="66">
        <v>0.0</v>
      </c>
      <c r="P158" s="66">
        <v>0.0</v>
      </c>
      <c r="Q158" s="66">
        <v>0.0</v>
      </c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  <c r="AM158" s="67"/>
      <c r="AN158" s="67"/>
      <c r="AO158" s="67"/>
      <c r="AP158" s="67"/>
      <c r="AQ158" s="67"/>
      <c r="AR158" s="67"/>
      <c r="AS158" s="67"/>
      <c r="AT158" s="67"/>
      <c r="AU158" s="67"/>
      <c r="AV158" s="67"/>
      <c r="AW158" s="67"/>
      <c r="AX158" s="67"/>
      <c r="AY158" s="67"/>
      <c r="AZ158" s="67"/>
      <c r="BA158" s="67"/>
      <c r="BB158" s="67"/>
      <c r="BC158" s="67"/>
      <c r="BD158" s="69">
        <v>9551.33</v>
      </c>
      <c r="BE158" s="67"/>
      <c r="BF158" s="69">
        <v>9194.39</v>
      </c>
      <c r="BG158" s="69">
        <v>3677.76</v>
      </c>
      <c r="BH158" s="67"/>
    </row>
    <row r="159">
      <c r="A159" s="66" t="s">
        <v>1034</v>
      </c>
      <c r="B159" s="66" t="s">
        <v>1532</v>
      </c>
      <c r="C159" s="66">
        <v>44957.0</v>
      </c>
      <c r="D159" s="66" t="s">
        <v>1533</v>
      </c>
      <c r="E159" s="66">
        <v>160.0</v>
      </c>
      <c r="F159" s="66">
        <v>3387.0</v>
      </c>
      <c r="G159" s="66" t="s">
        <v>921</v>
      </c>
      <c r="H159" s="66" t="s">
        <v>1188</v>
      </c>
      <c r="I159" s="66" t="s">
        <v>551</v>
      </c>
      <c r="J159" s="66" t="s">
        <v>1288</v>
      </c>
      <c r="K159" s="69">
        <v>18227.44</v>
      </c>
      <c r="L159" s="67"/>
      <c r="M159" s="70">
        <v>46211.0</v>
      </c>
      <c r="N159" s="66">
        <v>8.0</v>
      </c>
      <c r="O159" s="66">
        <v>0.0</v>
      </c>
      <c r="P159" s="66">
        <v>0.0</v>
      </c>
      <c r="Q159" s="66">
        <v>0.0</v>
      </c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67"/>
      <c r="AQ159" s="67"/>
      <c r="AR159" s="67"/>
      <c r="AS159" s="67"/>
      <c r="AT159" s="67"/>
      <c r="AU159" s="67"/>
      <c r="AV159" s="67"/>
      <c r="AW159" s="67"/>
      <c r="AX159" s="67"/>
      <c r="AY159" s="67"/>
      <c r="AZ159" s="67"/>
      <c r="BA159" s="67"/>
      <c r="BB159" s="67"/>
      <c r="BC159" s="67"/>
      <c r="BD159" s="69">
        <v>28834.99</v>
      </c>
      <c r="BE159" s="67"/>
      <c r="BF159" s="69">
        <v>7076.84</v>
      </c>
      <c r="BG159" s="69">
        <v>1415.37</v>
      </c>
      <c r="BH159" s="67"/>
    </row>
    <row r="160">
      <c r="A160" s="66" t="s">
        <v>1034</v>
      </c>
      <c r="B160" s="66" t="s">
        <v>1391</v>
      </c>
      <c r="C160" s="66">
        <v>45035.0</v>
      </c>
      <c r="D160" s="66" t="s">
        <v>1392</v>
      </c>
      <c r="E160" s="66">
        <v>160.0</v>
      </c>
      <c r="F160" s="66">
        <v>3387.0</v>
      </c>
      <c r="G160" s="66" t="s">
        <v>1211</v>
      </c>
      <c r="H160" s="66" t="s">
        <v>1188</v>
      </c>
      <c r="I160" s="66" t="s">
        <v>551</v>
      </c>
      <c r="J160" s="66" t="s">
        <v>1282</v>
      </c>
      <c r="K160" s="66">
        <v>0.0</v>
      </c>
      <c r="L160" s="67"/>
      <c r="M160" s="66" t="s">
        <v>1293</v>
      </c>
      <c r="N160" s="66">
        <v>8.0</v>
      </c>
      <c r="O160" s="66">
        <v>0.0</v>
      </c>
      <c r="P160" s="66">
        <v>0.0</v>
      </c>
      <c r="Q160" s="66">
        <v>0.0</v>
      </c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  <c r="AM160" s="67"/>
      <c r="AN160" s="67"/>
      <c r="AO160" s="67"/>
      <c r="AP160" s="67"/>
      <c r="AQ160" s="67"/>
      <c r="AR160" s="67"/>
      <c r="AS160" s="67"/>
      <c r="AT160" s="67"/>
      <c r="AU160" s="67"/>
      <c r="AV160" s="67"/>
      <c r="AW160" s="67"/>
      <c r="AX160" s="67"/>
      <c r="AY160" s="67"/>
      <c r="AZ160" s="67"/>
      <c r="BA160" s="67"/>
      <c r="BB160" s="67"/>
      <c r="BC160" s="67"/>
      <c r="BD160" s="69">
        <v>11199.37</v>
      </c>
      <c r="BE160" s="67"/>
      <c r="BF160" s="69">
        <v>8354.51</v>
      </c>
      <c r="BG160" s="69">
        <v>1670.9</v>
      </c>
      <c r="BH160" s="67"/>
    </row>
    <row r="161">
      <c r="A161" s="66" t="s">
        <v>1034</v>
      </c>
      <c r="B161" s="66" t="s">
        <v>1532</v>
      </c>
      <c r="C161" s="66">
        <v>45021.0</v>
      </c>
      <c r="D161" s="66" t="s">
        <v>1533</v>
      </c>
      <c r="E161" s="66">
        <v>160.0</v>
      </c>
      <c r="F161" s="66">
        <v>3387.0</v>
      </c>
      <c r="G161" s="66" t="s">
        <v>1123</v>
      </c>
      <c r="H161" s="66" t="s">
        <v>1188</v>
      </c>
      <c r="I161" s="66" t="s">
        <v>551</v>
      </c>
      <c r="J161" s="66" t="s">
        <v>1288</v>
      </c>
      <c r="K161" s="69">
        <v>19102.98</v>
      </c>
      <c r="L161" s="67"/>
      <c r="M161" s="66" t="s">
        <v>1293</v>
      </c>
      <c r="N161" s="66">
        <v>8.0</v>
      </c>
      <c r="O161" s="66">
        <v>0.0</v>
      </c>
      <c r="P161" s="66">
        <v>0.0</v>
      </c>
      <c r="Q161" s="66">
        <v>0.0</v>
      </c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67"/>
      <c r="AQ161" s="67"/>
      <c r="AR161" s="67"/>
      <c r="AS161" s="67"/>
      <c r="AT161" s="67"/>
      <c r="AU161" s="67"/>
      <c r="AV161" s="67"/>
      <c r="AW161" s="67"/>
      <c r="AX161" s="67"/>
      <c r="AY161" s="67"/>
      <c r="AZ161" s="67"/>
      <c r="BA161" s="67"/>
      <c r="BB161" s="67"/>
      <c r="BC161" s="67"/>
      <c r="BD161" s="69">
        <v>32032.85</v>
      </c>
      <c r="BE161" s="67"/>
      <c r="BF161" s="69">
        <v>7076.84</v>
      </c>
      <c r="BG161" s="69">
        <v>1415.37</v>
      </c>
      <c r="BH161" s="67"/>
    </row>
    <row r="162">
      <c r="A162" s="66" t="s">
        <v>1256</v>
      </c>
      <c r="B162" s="66" t="s">
        <v>1276</v>
      </c>
      <c r="C162" s="66">
        <v>44951.0</v>
      </c>
      <c r="D162" s="66" t="s">
        <v>1277</v>
      </c>
      <c r="E162" s="66">
        <v>240.0</v>
      </c>
      <c r="F162" s="66">
        <v>1695.0</v>
      </c>
      <c r="G162" s="66" t="s">
        <v>937</v>
      </c>
      <c r="H162" s="66" t="s">
        <v>1540</v>
      </c>
      <c r="I162" s="66" t="s">
        <v>539</v>
      </c>
      <c r="J162" s="66" t="s">
        <v>1253</v>
      </c>
      <c r="K162" s="66">
        <v>500.0</v>
      </c>
      <c r="L162" s="67"/>
      <c r="M162" s="70">
        <v>46211.0</v>
      </c>
      <c r="N162" s="66">
        <v>8.0</v>
      </c>
      <c r="O162" s="66">
        <v>0.0</v>
      </c>
      <c r="P162" s="66">
        <v>0.0</v>
      </c>
      <c r="Q162" s="66">
        <v>0.0</v>
      </c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  <c r="AM162" s="67"/>
      <c r="AN162" s="67"/>
      <c r="AO162" s="67"/>
      <c r="AP162" s="67"/>
      <c r="AQ162" s="67"/>
      <c r="AR162" s="67"/>
      <c r="AS162" s="67"/>
      <c r="AT162" s="67"/>
      <c r="AU162" s="67"/>
      <c r="AV162" s="67"/>
      <c r="AW162" s="67"/>
      <c r="AX162" s="67"/>
      <c r="AY162" s="67"/>
      <c r="AZ162" s="67"/>
      <c r="BA162" s="67"/>
      <c r="BB162" s="67"/>
      <c r="BC162" s="67"/>
      <c r="BD162" s="69">
        <v>12835.0</v>
      </c>
      <c r="BE162" s="67"/>
      <c r="BF162" s="69">
        <v>6800.0</v>
      </c>
      <c r="BG162" s="69">
        <v>1360.0</v>
      </c>
      <c r="BH162" s="67"/>
    </row>
    <row r="163">
      <c r="A163" s="66" t="s">
        <v>1034</v>
      </c>
      <c r="B163" s="66" t="s">
        <v>1541</v>
      </c>
      <c r="C163" s="66">
        <v>44930.0</v>
      </c>
      <c r="D163" s="66" t="s">
        <v>1542</v>
      </c>
      <c r="E163" s="66">
        <v>160.0</v>
      </c>
      <c r="F163" s="66">
        <v>3387.0</v>
      </c>
      <c r="G163" s="66" t="s">
        <v>913</v>
      </c>
      <c r="H163" s="66" t="s">
        <v>1155</v>
      </c>
      <c r="I163" s="66" t="s">
        <v>551</v>
      </c>
      <c r="J163" s="66" t="s">
        <v>1288</v>
      </c>
      <c r="K163" s="66">
        <v>0.0</v>
      </c>
      <c r="L163" s="67"/>
      <c r="M163" s="70">
        <v>46150.0</v>
      </c>
      <c r="N163" s="66">
        <v>8.0</v>
      </c>
      <c r="O163" s="66">
        <v>0.0</v>
      </c>
      <c r="P163" s="66">
        <v>0.0</v>
      </c>
      <c r="Q163" s="66">
        <v>0.0</v>
      </c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67"/>
      <c r="AQ163" s="67"/>
      <c r="AR163" s="67"/>
      <c r="AS163" s="67"/>
      <c r="AT163" s="67"/>
      <c r="AU163" s="67"/>
      <c r="AV163" s="67"/>
      <c r="AW163" s="67"/>
      <c r="AX163" s="67"/>
      <c r="AY163" s="67"/>
      <c r="AZ163" s="67"/>
      <c r="BA163" s="67"/>
      <c r="BB163" s="67"/>
      <c r="BC163" s="67"/>
      <c r="BD163" s="69">
        <v>9055.88</v>
      </c>
      <c r="BE163" s="67"/>
      <c r="BF163" s="69">
        <v>4520.88</v>
      </c>
      <c r="BG163" s="66">
        <v>904.18</v>
      </c>
      <c r="BH163" s="67"/>
    </row>
    <row r="164">
      <c r="A164" s="66" t="s">
        <v>1256</v>
      </c>
      <c r="B164" s="66" t="s">
        <v>1544</v>
      </c>
      <c r="C164" s="66">
        <v>44941.0</v>
      </c>
      <c r="D164" s="66" t="s">
        <v>1545</v>
      </c>
      <c r="E164" s="66">
        <v>160.0</v>
      </c>
      <c r="F164" s="66">
        <v>3387.0</v>
      </c>
      <c r="G164" s="66" t="s">
        <v>1546</v>
      </c>
      <c r="H164" s="66" t="s">
        <v>1155</v>
      </c>
      <c r="I164" s="66" t="s">
        <v>551</v>
      </c>
      <c r="J164" s="66" t="s">
        <v>1282</v>
      </c>
      <c r="K164" s="66">
        <v>0.0</v>
      </c>
      <c r="L164" s="67"/>
      <c r="M164" s="70">
        <v>46181.0</v>
      </c>
      <c r="N164" s="66">
        <v>8.0</v>
      </c>
      <c r="O164" s="66">
        <v>0.0</v>
      </c>
      <c r="P164" s="66">
        <v>0.0</v>
      </c>
      <c r="Q164" s="66">
        <v>0.0</v>
      </c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  <c r="AM164" s="67"/>
      <c r="AN164" s="67"/>
      <c r="AO164" s="67"/>
      <c r="AP164" s="67"/>
      <c r="AQ164" s="67"/>
      <c r="AR164" s="67"/>
      <c r="AS164" s="67"/>
      <c r="AT164" s="67"/>
      <c r="AU164" s="67"/>
      <c r="AV164" s="67"/>
      <c r="AW164" s="67"/>
      <c r="AX164" s="67"/>
      <c r="AY164" s="67"/>
      <c r="AZ164" s="67"/>
      <c r="BA164" s="67"/>
      <c r="BB164" s="67"/>
      <c r="BC164" s="67"/>
      <c r="BD164" s="69">
        <v>28964.86</v>
      </c>
      <c r="BE164" s="67"/>
      <c r="BF164" s="69">
        <v>27129.86</v>
      </c>
      <c r="BG164" s="69">
        <v>5425.97</v>
      </c>
      <c r="BH164" s="67"/>
    </row>
    <row r="165">
      <c r="A165" s="66" t="s">
        <v>1034</v>
      </c>
      <c r="B165" s="66" t="s">
        <v>1308</v>
      </c>
      <c r="C165" s="66">
        <v>44923.0</v>
      </c>
      <c r="D165" s="66" t="s">
        <v>1309</v>
      </c>
      <c r="E165" s="66">
        <v>160.0</v>
      </c>
      <c r="F165" s="66">
        <v>3387.0</v>
      </c>
      <c r="G165" s="66" t="s">
        <v>907</v>
      </c>
      <c r="H165" s="66" t="s">
        <v>1155</v>
      </c>
      <c r="I165" s="66" t="s">
        <v>551</v>
      </c>
      <c r="J165" s="66" t="s">
        <v>1288</v>
      </c>
      <c r="K165" s="69">
        <v>25976.57</v>
      </c>
      <c r="L165" s="67"/>
      <c r="M165" s="70">
        <v>46150.0</v>
      </c>
      <c r="N165" s="66">
        <v>8.0</v>
      </c>
      <c r="O165" s="66">
        <v>0.0</v>
      </c>
      <c r="P165" s="66">
        <v>0.0</v>
      </c>
      <c r="Q165" s="66">
        <v>0.0</v>
      </c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7"/>
      <c r="AQ165" s="67"/>
      <c r="AR165" s="67"/>
      <c r="AS165" s="67"/>
      <c r="AT165" s="67"/>
      <c r="AU165" s="67"/>
      <c r="AV165" s="67"/>
      <c r="AW165" s="67"/>
      <c r="AX165" s="67"/>
      <c r="AY165" s="67"/>
      <c r="AZ165" s="67"/>
      <c r="BA165" s="67"/>
      <c r="BB165" s="67"/>
      <c r="BC165" s="67"/>
      <c r="BD165" s="69">
        <v>34439.74</v>
      </c>
      <c r="BE165" s="67"/>
      <c r="BF165" s="69">
        <v>6532.47</v>
      </c>
      <c r="BG165" s="69">
        <v>1306.49</v>
      </c>
      <c r="BH165" s="67"/>
    </row>
    <row r="166">
      <c r="A166" s="66" t="s">
        <v>1256</v>
      </c>
      <c r="B166" s="66" t="s">
        <v>1396</v>
      </c>
      <c r="C166" s="66">
        <v>44968.0</v>
      </c>
      <c r="D166" s="66" t="s">
        <v>1397</v>
      </c>
      <c r="E166" s="66">
        <v>160.0</v>
      </c>
      <c r="F166" s="66">
        <v>3387.0</v>
      </c>
      <c r="G166" s="66" t="s">
        <v>972</v>
      </c>
      <c r="H166" s="66" t="s">
        <v>1155</v>
      </c>
      <c r="I166" s="66" t="s">
        <v>551</v>
      </c>
      <c r="J166" s="66" t="s">
        <v>1253</v>
      </c>
      <c r="K166" s="66">
        <v>0.0</v>
      </c>
      <c r="L166" s="67"/>
      <c r="M166" s="70">
        <v>46303.0</v>
      </c>
      <c r="N166" s="66">
        <v>8.0</v>
      </c>
      <c r="O166" s="66">
        <v>0.0</v>
      </c>
      <c r="P166" s="66">
        <v>0.0</v>
      </c>
      <c r="Q166" s="66">
        <v>0.0</v>
      </c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  <c r="AO166" s="67"/>
      <c r="AP166" s="67"/>
      <c r="AQ166" s="67"/>
      <c r="AR166" s="67"/>
      <c r="AS166" s="67"/>
      <c r="AT166" s="67"/>
      <c r="AU166" s="67"/>
      <c r="AV166" s="67"/>
      <c r="AW166" s="67"/>
      <c r="AX166" s="67"/>
      <c r="AY166" s="67"/>
      <c r="AZ166" s="67"/>
      <c r="BA166" s="67"/>
      <c r="BB166" s="67"/>
      <c r="BC166" s="67"/>
      <c r="BD166" s="69">
        <v>9757.34</v>
      </c>
      <c r="BE166" s="67"/>
      <c r="BF166" s="69">
        <v>6072.34</v>
      </c>
      <c r="BG166" s="69">
        <v>1214.47</v>
      </c>
      <c r="BH166" s="67"/>
    </row>
    <row r="167">
      <c r="A167" s="66" t="s">
        <v>1034</v>
      </c>
      <c r="B167" s="66" t="s">
        <v>1541</v>
      </c>
      <c r="C167" s="66">
        <v>44909.0</v>
      </c>
      <c r="D167" s="66" t="s">
        <v>1542</v>
      </c>
      <c r="E167" s="66">
        <v>160.0</v>
      </c>
      <c r="F167" s="66">
        <v>3387.0</v>
      </c>
      <c r="G167" s="66" t="s">
        <v>550</v>
      </c>
      <c r="H167" s="66" t="s">
        <v>1155</v>
      </c>
      <c r="I167" s="66" t="s">
        <v>551</v>
      </c>
      <c r="J167" s="66" t="s">
        <v>1282</v>
      </c>
      <c r="K167" s="66">
        <v>0.0</v>
      </c>
      <c r="L167" s="67"/>
      <c r="M167" s="70">
        <v>46089.0</v>
      </c>
      <c r="N167" s="66">
        <v>8.0</v>
      </c>
      <c r="O167" s="66">
        <v>0.0</v>
      </c>
      <c r="P167" s="66">
        <v>0.0</v>
      </c>
      <c r="Q167" s="66">
        <v>0.0</v>
      </c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7"/>
      <c r="AQ167" s="67"/>
      <c r="AR167" s="67"/>
      <c r="AS167" s="67"/>
      <c r="AT167" s="67"/>
      <c r="AU167" s="67"/>
      <c r="AV167" s="67"/>
      <c r="AW167" s="67"/>
      <c r="AX167" s="67"/>
      <c r="AY167" s="67"/>
      <c r="AZ167" s="67"/>
      <c r="BA167" s="67"/>
      <c r="BB167" s="67"/>
      <c r="BC167" s="67"/>
      <c r="BD167" s="69">
        <v>4555.88</v>
      </c>
      <c r="BE167" s="67"/>
      <c r="BF167" s="69">
        <v>4520.88</v>
      </c>
      <c r="BG167" s="66">
        <v>904.18</v>
      </c>
      <c r="BH167" s="67"/>
    </row>
    <row r="168">
      <c r="A168" s="66" t="s">
        <v>1034</v>
      </c>
      <c r="B168" s="66" t="s">
        <v>1541</v>
      </c>
      <c r="C168" s="66">
        <v>44996.0</v>
      </c>
      <c r="D168" s="66" t="s">
        <v>1542</v>
      </c>
      <c r="E168" s="66">
        <v>160.0</v>
      </c>
      <c r="F168" s="66">
        <v>3387.0</v>
      </c>
      <c r="G168" s="66" t="s">
        <v>1083</v>
      </c>
      <c r="H168" s="66" t="s">
        <v>1155</v>
      </c>
      <c r="I168" s="66" t="s">
        <v>551</v>
      </c>
      <c r="J168" s="66" t="s">
        <v>1288</v>
      </c>
      <c r="K168" s="66">
        <v>0.0</v>
      </c>
      <c r="L168" s="67"/>
      <c r="M168" s="66" t="s">
        <v>1302</v>
      </c>
      <c r="N168" s="66">
        <v>8.0</v>
      </c>
      <c r="O168" s="66">
        <v>0.0</v>
      </c>
      <c r="P168" s="66">
        <v>0.0</v>
      </c>
      <c r="Q168" s="66">
        <v>0.0</v>
      </c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/>
      <c r="AO168" s="67"/>
      <c r="AP168" s="67"/>
      <c r="AQ168" s="67"/>
      <c r="AR168" s="67"/>
      <c r="AS168" s="67"/>
      <c r="AT168" s="67"/>
      <c r="AU168" s="67"/>
      <c r="AV168" s="67"/>
      <c r="AW168" s="67"/>
      <c r="AX168" s="67"/>
      <c r="AY168" s="67"/>
      <c r="AZ168" s="67"/>
      <c r="BA168" s="67"/>
      <c r="BB168" s="67"/>
      <c r="BC168" s="67"/>
      <c r="BD168" s="69">
        <v>4555.88</v>
      </c>
      <c r="BE168" s="67"/>
      <c r="BF168" s="69">
        <v>4520.88</v>
      </c>
      <c r="BG168" s="66">
        <v>904.18</v>
      </c>
      <c r="BH168" s="67"/>
    </row>
    <row r="169">
      <c r="A169" s="66" t="s">
        <v>1034</v>
      </c>
      <c r="B169" s="66" t="s">
        <v>1541</v>
      </c>
      <c r="C169" s="66">
        <v>44999.0</v>
      </c>
      <c r="D169" s="66" t="s">
        <v>1542</v>
      </c>
      <c r="E169" s="66">
        <v>160.0</v>
      </c>
      <c r="F169" s="66">
        <v>3387.0</v>
      </c>
      <c r="G169" s="66" t="s">
        <v>1082</v>
      </c>
      <c r="H169" s="66" t="s">
        <v>1155</v>
      </c>
      <c r="I169" s="66" t="s">
        <v>551</v>
      </c>
      <c r="J169" s="66" t="s">
        <v>1288</v>
      </c>
      <c r="K169" s="66">
        <v>0.0</v>
      </c>
      <c r="L169" s="67"/>
      <c r="M169" s="66" t="s">
        <v>1302</v>
      </c>
      <c r="N169" s="66">
        <v>8.0</v>
      </c>
      <c r="O169" s="66">
        <v>0.0</v>
      </c>
      <c r="P169" s="66">
        <v>0.0</v>
      </c>
      <c r="Q169" s="66">
        <v>0.0</v>
      </c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  <c r="AR169" s="67"/>
      <c r="AS169" s="67"/>
      <c r="AT169" s="67"/>
      <c r="AU169" s="67"/>
      <c r="AV169" s="67"/>
      <c r="AW169" s="67"/>
      <c r="AX169" s="67"/>
      <c r="AY169" s="67"/>
      <c r="AZ169" s="67"/>
      <c r="BA169" s="67"/>
      <c r="BB169" s="67"/>
      <c r="BC169" s="67"/>
      <c r="BD169" s="69">
        <v>4555.88</v>
      </c>
      <c r="BE169" s="67"/>
      <c r="BF169" s="69">
        <v>4520.88</v>
      </c>
      <c r="BG169" s="66">
        <v>904.18</v>
      </c>
      <c r="BH169" s="67"/>
    </row>
    <row r="170">
      <c r="A170" s="66" t="s">
        <v>1034</v>
      </c>
      <c r="B170" s="66" t="s">
        <v>1541</v>
      </c>
      <c r="C170" s="66">
        <v>44938.0</v>
      </c>
      <c r="D170" s="66" t="s">
        <v>1542</v>
      </c>
      <c r="E170" s="66">
        <v>160.0</v>
      </c>
      <c r="F170" s="66">
        <v>3387.0</v>
      </c>
      <c r="G170" s="66" t="s">
        <v>904</v>
      </c>
      <c r="H170" s="66" t="s">
        <v>1155</v>
      </c>
      <c r="I170" s="66" t="s">
        <v>551</v>
      </c>
      <c r="J170" s="66" t="s">
        <v>1553</v>
      </c>
      <c r="K170" s="66">
        <v>0.0</v>
      </c>
      <c r="L170" s="67"/>
      <c r="M170" s="70">
        <v>46150.0</v>
      </c>
      <c r="N170" s="66">
        <v>8.0</v>
      </c>
      <c r="O170" s="66">
        <v>0.0</v>
      </c>
      <c r="P170" s="66">
        <v>0.0</v>
      </c>
      <c r="Q170" s="66">
        <v>0.0</v>
      </c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  <c r="AM170" s="67"/>
      <c r="AN170" s="67"/>
      <c r="AO170" s="67"/>
      <c r="AP170" s="67"/>
      <c r="AQ170" s="67"/>
      <c r="AR170" s="67"/>
      <c r="AS170" s="67"/>
      <c r="AT170" s="67"/>
      <c r="AU170" s="67"/>
      <c r="AV170" s="67"/>
      <c r="AW170" s="67"/>
      <c r="AX170" s="67"/>
      <c r="AY170" s="67"/>
      <c r="AZ170" s="67"/>
      <c r="BA170" s="67"/>
      <c r="BB170" s="67"/>
      <c r="BC170" s="67"/>
      <c r="BD170" s="69">
        <v>7946.55</v>
      </c>
      <c r="BE170" s="67"/>
      <c r="BF170" s="69">
        <v>7911.55</v>
      </c>
      <c r="BG170" s="69">
        <v>1582.31</v>
      </c>
      <c r="BH170" s="67"/>
    </row>
    <row r="171">
      <c r="A171" s="66" t="s">
        <v>1034</v>
      </c>
      <c r="B171" s="66" t="s">
        <v>1541</v>
      </c>
      <c r="C171" s="66">
        <v>44997.0</v>
      </c>
      <c r="D171" s="66" t="s">
        <v>1542</v>
      </c>
      <c r="E171" s="66">
        <v>160.0</v>
      </c>
      <c r="F171" s="66">
        <v>3387.0</v>
      </c>
      <c r="G171" s="66" t="s">
        <v>1078</v>
      </c>
      <c r="H171" s="66" t="s">
        <v>1155</v>
      </c>
      <c r="I171" s="66" t="s">
        <v>551</v>
      </c>
      <c r="J171" s="66" t="s">
        <v>1288</v>
      </c>
      <c r="K171" s="66">
        <v>0.0</v>
      </c>
      <c r="L171" s="67"/>
      <c r="M171" s="66" t="s">
        <v>1302</v>
      </c>
      <c r="N171" s="66">
        <v>8.0</v>
      </c>
      <c r="O171" s="66">
        <v>0.0</v>
      </c>
      <c r="P171" s="66">
        <v>0.0</v>
      </c>
      <c r="Q171" s="66">
        <v>0.0</v>
      </c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67"/>
      <c r="AQ171" s="67"/>
      <c r="AR171" s="67"/>
      <c r="AS171" s="67"/>
      <c r="AT171" s="67"/>
      <c r="AU171" s="67"/>
      <c r="AV171" s="67"/>
      <c r="AW171" s="67"/>
      <c r="AX171" s="67"/>
      <c r="AY171" s="67"/>
      <c r="AZ171" s="67"/>
      <c r="BA171" s="67"/>
      <c r="BB171" s="67"/>
      <c r="BC171" s="67"/>
      <c r="BD171" s="69">
        <v>18118.54</v>
      </c>
      <c r="BE171" s="67"/>
      <c r="BF171" s="69">
        <v>18083.54</v>
      </c>
      <c r="BG171" s="69">
        <v>3616.71</v>
      </c>
      <c r="BH171" s="67"/>
    </row>
    <row r="172">
      <c r="A172" s="66" t="s">
        <v>1034</v>
      </c>
      <c r="B172" s="66" t="s">
        <v>1541</v>
      </c>
      <c r="C172" s="66">
        <v>45011.0</v>
      </c>
      <c r="D172" s="66" t="s">
        <v>1542</v>
      </c>
      <c r="E172" s="66">
        <v>160.0</v>
      </c>
      <c r="F172" s="66">
        <v>3387.0</v>
      </c>
      <c r="G172" s="66" t="s">
        <v>1271</v>
      </c>
      <c r="H172" s="66" t="s">
        <v>1155</v>
      </c>
      <c r="I172" s="66" t="s">
        <v>551</v>
      </c>
      <c r="J172" s="66" t="s">
        <v>1282</v>
      </c>
      <c r="K172" s="66">
        <v>0.0</v>
      </c>
      <c r="L172" s="67"/>
      <c r="M172" s="66" t="s">
        <v>1327</v>
      </c>
      <c r="N172" s="66">
        <v>8.0</v>
      </c>
      <c r="O172" s="66">
        <v>0.0</v>
      </c>
      <c r="P172" s="66">
        <v>0.0</v>
      </c>
      <c r="Q172" s="66">
        <v>0.0</v>
      </c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  <c r="AM172" s="67"/>
      <c r="AN172" s="67"/>
      <c r="AO172" s="67"/>
      <c r="AP172" s="67"/>
      <c r="AQ172" s="67"/>
      <c r="AR172" s="67"/>
      <c r="AS172" s="67"/>
      <c r="AT172" s="67"/>
      <c r="AU172" s="67"/>
      <c r="AV172" s="67"/>
      <c r="AW172" s="67"/>
      <c r="AX172" s="67"/>
      <c r="AY172" s="67"/>
      <c r="AZ172" s="67"/>
      <c r="BA172" s="67"/>
      <c r="BB172" s="67"/>
      <c r="BC172" s="67"/>
      <c r="BD172" s="69">
        <v>9246.55</v>
      </c>
      <c r="BE172" s="67"/>
      <c r="BF172" s="69">
        <v>7911.55</v>
      </c>
      <c r="BG172" s="69">
        <v>1582.31</v>
      </c>
      <c r="BH172" s="67"/>
    </row>
    <row r="173">
      <c r="A173" s="66" t="s">
        <v>1034</v>
      </c>
      <c r="B173" s="66" t="s">
        <v>1541</v>
      </c>
      <c r="C173" s="66">
        <v>45012.0</v>
      </c>
      <c r="D173" s="66" t="s">
        <v>1542</v>
      </c>
      <c r="E173" s="66">
        <v>160.0</v>
      </c>
      <c r="F173" s="66">
        <v>3387.0</v>
      </c>
      <c r="G173" s="66" t="s">
        <v>1214</v>
      </c>
      <c r="H173" s="66" t="s">
        <v>1155</v>
      </c>
      <c r="I173" s="66" t="s">
        <v>551</v>
      </c>
      <c r="J173" s="66" t="s">
        <v>1288</v>
      </c>
      <c r="K173" s="66">
        <v>0.0</v>
      </c>
      <c r="L173" s="67"/>
      <c r="M173" s="66" t="s">
        <v>1327</v>
      </c>
      <c r="N173" s="66">
        <v>8.0</v>
      </c>
      <c r="O173" s="66">
        <v>0.0</v>
      </c>
      <c r="P173" s="66">
        <v>0.0</v>
      </c>
      <c r="Q173" s="66">
        <v>0.0</v>
      </c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67"/>
      <c r="AQ173" s="67"/>
      <c r="AR173" s="67"/>
      <c r="AS173" s="67"/>
      <c r="AT173" s="67"/>
      <c r="AU173" s="67"/>
      <c r="AV173" s="67"/>
      <c r="AW173" s="67"/>
      <c r="AX173" s="67"/>
      <c r="AY173" s="67"/>
      <c r="AZ173" s="67"/>
      <c r="BA173" s="67"/>
      <c r="BB173" s="67"/>
      <c r="BC173" s="67"/>
      <c r="BD173" s="69">
        <v>7946.55</v>
      </c>
      <c r="BE173" s="67"/>
      <c r="BF173" s="69">
        <v>7911.55</v>
      </c>
      <c r="BG173" s="69">
        <v>1582.31</v>
      </c>
      <c r="BH173" s="67"/>
    </row>
    <row r="174">
      <c r="A174" s="66" t="s">
        <v>1034</v>
      </c>
      <c r="B174" s="66" t="s">
        <v>1541</v>
      </c>
      <c r="C174" s="66">
        <v>45013.0</v>
      </c>
      <c r="D174" s="66" t="s">
        <v>1542</v>
      </c>
      <c r="E174" s="66">
        <v>160.0</v>
      </c>
      <c r="F174" s="66">
        <v>3387.0</v>
      </c>
      <c r="G174" s="66" t="s">
        <v>1086</v>
      </c>
      <c r="H174" s="66" t="s">
        <v>1155</v>
      </c>
      <c r="I174" s="66" t="s">
        <v>551</v>
      </c>
      <c r="J174" s="66" t="s">
        <v>1288</v>
      </c>
      <c r="K174" s="66">
        <v>0.0</v>
      </c>
      <c r="L174" s="67"/>
      <c r="M174" s="66" t="s">
        <v>1327</v>
      </c>
      <c r="N174" s="66">
        <v>8.0</v>
      </c>
      <c r="O174" s="66">
        <v>0.0</v>
      </c>
      <c r="P174" s="66">
        <v>0.0</v>
      </c>
      <c r="Q174" s="66">
        <v>0.0</v>
      </c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67"/>
      <c r="AJ174" s="67"/>
      <c r="AK174" s="67"/>
      <c r="AL174" s="67"/>
      <c r="AM174" s="67"/>
      <c r="AN174" s="67"/>
      <c r="AO174" s="67"/>
      <c r="AP174" s="67"/>
      <c r="AQ174" s="67"/>
      <c r="AR174" s="67"/>
      <c r="AS174" s="67"/>
      <c r="AT174" s="67"/>
      <c r="AU174" s="67"/>
      <c r="AV174" s="67"/>
      <c r="AW174" s="67"/>
      <c r="AX174" s="67"/>
      <c r="AY174" s="67"/>
      <c r="AZ174" s="67"/>
      <c r="BA174" s="67"/>
      <c r="BB174" s="67"/>
      <c r="BC174" s="67"/>
      <c r="BD174" s="69">
        <v>4555.88</v>
      </c>
      <c r="BE174" s="67"/>
      <c r="BF174" s="69">
        <v>4520.88</v>
      </c>
      <c r="BG174" s="66">
        <v>904.18</v>
      </c>
      <c r="BH174" s="67"/>
    </row>
    <row r="175">
      <c r="A175" s="66" t="s">
        <v>1034</v>
      </c>
      <c r="B175" s="66" t="s">
        <v>1541</v>
      </c>
      <c r="C175" s="66">
        <v>45077.0</v>
      </c>
      <c r="D175" s="66" t="s">
        <v>1542</v>
      </c>
      <c r="E175" s="66">
        <v>160.0</v>
      </c>
      <c r="F175" s="66">
        <v>3387.0</v>
      </c>
      <c r="G175" s="66" t="s">
        <v>1558</v>
      </c>
      <c r="H175" s="66" t="s">
        <v>1155</v>
      </c>
      <c r="I175" s="66" t="s">
        <v>551</v>
      </c>
      <c r="J175" s="66" t="s">
        <v>1288</v>
      </c>
      <c r="K175" s="66">
        <v>0.0</v>
      </c>
      <c r="L175" s="67"/>
      <c r="M175" s="66" t="s">
        <v>1301</v>
      </c>
      <c r="N175" s="66">
        <v>8.0</v>
      </c>
      <c r="O175" s="66">
        <v>0.0</v>
      </c>
      <c r="P175" s="66">
        <v>0.0</v>
      </c>
      <c r="Q175" s="66">
        <v>0.0</v>
      </c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67"/>
      <c r="AQ175" s="67"/>
      <c r="AR175" s="67"/>
      <c r="AS175" s="67"/>
      <c r="AT175" s="67"/>
      <c r="AU175" s="67"/>
      <c r="AV175" s="67"/>
      <c r="AW175" s="67"/>
      <c r="AX175" s="67"/>
      <c r="AY175" s="67"/>
      <c r="AZ175" s="67"/>
      <c r="BA175" s="67"/>
      <c r="BB175" s="67"/>
      <c r="BC175" s="67"/>
      <c r="BD175" s="69">
        <v>8547.95</v>
      </c>
      <c r="BE175" s="67"/>
      <c r="BF175" s="69">
        <v>7911.55</v>
      </c>
      <c r="BG175" s="69">
        <v>1582.31</v>
      </c>
      <c r="BH175" s="67"/>
    </row>
    <row r="176">
      <c r="A176" s="66" t="s">
        <v>1034</v>
      </c>
      <c r="B176" s="66" t="s">
        <v>1541</v>
      </c>
      <c r="C176" s="66">
        <v>45004.0</v>
      </c>
      <c r="D176" s="66" t="s">
        <v>1542</v>
      </c>
      <c r="E176" s="66">
        <v>160.0</v>
      </c>
      <c r="F176" s="66">
        <v>3387.0</v>
      </c>
      <c r="G176" s="66" t="s">
        <v>1560</v>
      </c>
      <c r="H176" s="66" t="s">
        <v>1155</v>
      </c>
      <c r="I176" s="66" t="s">
        <v>551</v>
      </c>
      <c r="J176" s="66" t="s">
        <v>1288</v>
      </c>
      <c r="K176" s="66">
        <v>0.0</v>
      </c>
      <c r="L176" s="67"/>
      <c r="M176" s="66" t="s">
        <v>1334</v>
      </c>
      <c r="N176" s="66">
        <v>8.0</v>
      </c>
      <c r="O176" s="66">
        <v>0.0</v>
      </c>
      <c r="P176" s="66">
        <v>0.0</v>
      </c>
      <c r="Q176" s="66">
        <v>0.0</v>
      </c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  <c r="AM176" s="67"/>
      <c r="AN176" s="67"/>
      <c r="AO176" s="67"/>
      <c r="AP176" s="67"/>
      <c r="AQ176" s="67"/>
      <c r="AR176" s="67"/>
      <c r="AS176" s="67"/>
      <c r="AT176" s="67"/>
      <c r="AU176" s="67"/>
      <c r="AV176" s="67"/>
      <c r="AW176" s="67"/>
      <c r="AX176" s="67"/>
      <c r="AY176" s="67"/>
      <c r="AZ176" s="67"/>
      <c r="BA176" s="67"/>
      <c r="BB176" s="67"/>
      <c r="BC176" s="67"/>
      <c r="BD176" s="69">
        <v>4555.88</v>
      </c>
      <c r="BE176" s="67"/>
      <c r="BF176" s="69">
        <v>4520.88</v>
      </c>
      <c r="BG176" s="66">
        <v>904.18</v>
      </c>
      <c r="BH176" s="67"/>
    </row>
    <row r="177">
      <c r="A177" s="66" t="s">
        <v>1034</v>
      </c>
      <c r="B177" s="66" t="s">
        <v>1541</v>
      </c>
      <c r="C177" s="66">
        <v>45003.0</v>
      </c>
      <c r="D177" s="66" t="s">
        <v>1542</v>
      </c>
      <c r="E177" s="66">
        <v>160.0</v>
      </c>
      <c r="F177" s="66">
        <v>3387.0</v>
      </c>
      <c r="G177" s="66" t="s">
        <v>1562</v>
      </c>
      <c r="H177" s="66" t="s">
        <v>1155</v>
      </c>
      <c r="I177" s="66" t="s">
        <v>551</v>
      </c>
      <c r="J177" s="66" t="s">
        <v>1288</v>
      </c>
      <c r="K177" s="66">
        <v>0.0</v>
      </c>
      <c r="L177" s="67"/>
      <c r="M177" s="66" t="s">
        <v>1334</v>
      </c>
      <c r="N177" s="66">
        <v>8.0</v>
      </c>
      <c r="O177" s="66">
        <v>0.0</v>
      </c>
      <c r="P177" s="66">
        <v>0.0</v>
      </c>
      <c r="Q177" s="66">
        <v>0.0</v>
      </c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67"/>
      <c r="AQ177" s="67"/>
      <c r="AR177" s="67"/>
      <c r="AS177" s="67"/>
      <c r="AT177" s="67"/>
      <c r="AU177" s="67"/>
      <c r="AV177" s="67"/>
      <c r="AW177" s="67"/>
      <c r="AX177" s="67"/>
      <c r="AY177" s="67"/>
      <c r="AZ177" s="67"/>
      <c r="BA177" s="67"/>
      <c r="BB177" s="67"/>
      <c r="BC177" s="67"/>
      <c r="BD177" s="69">
        <v>7946.55</v>
      </c>
      <c r="BE177" s="67"/>
      <c r="BF177" s="69">
        <v>7911.55</v>
      </c>
      <c r="BG177" s="69">
        <v>1582.31</v>
      </c>
      <c r="BH177" s="67"/>
    </row>
    <row r="178">
      <c r="A178" s="66" t="s">
        <v>1034</v>
      </c>
      <c r="B178" s="66" t="s">
        <v>1541</v>
      </c>
      <c r="C178" s="66">
        <v>45084.0</v>
      </c>
      <c r="D178" s="66" t="s">
        <v>1542</v>
      </c>
      <c r="E178" s="66">
        <v>160.0</v>
      </c>
      <c r="F178" s="66">
        <v>3387.0</v>
      </c>
      <c r="G178" s="66" t="s">
        <v>1566</v>
      </c>
      <c r="H178" s="66" t="s">
        <v>1155</v>
      </c>
      <c r="I178" s="66" t="s">
        <v>551</v>
      </c>
      <c r="J178" s="66" t="s">
        <v>1288</v>
      </c>
      <c r="K178" s="66">
        <v>0.0</v>
      </c>
      <c r="L178" s="67"/>
      <c r="M178" s="66" t="s">
        <v>1323</v>
      </c>
      <c r="N178" s="66">
        <v>8.0</v>
      </c>
      <c r="O178" s="66">
        <v>0.0</v>
      </c>
      <c r="P178" s="66">
        <v>0.0</v>
      </c>
      <c r="Q178" s="66">
        <v>0.0</v>
      </c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67"/>
      <c r="AJ178" s="67"/>
      <c r="AK178" s="67"/>
      <c r="AL178" s="67"/>
      <c r="AM178" s="67"/>
      <c r="AN178" s="67"/>
      <c r="AO178" s="67"/>
      <c r="AP178" s="67"/>
      <c r="AQ178" s="67"/>
      <c r="AR178" s="67"/>
      <c r="AS178" s="67"/>
      <c r="AT178" s="67"/>
      <c r="AU178" s="67"/>
      <c r="AV178" s="67"/>
      <c r="AW178" s="67"/>
      <c r="AX178" s="67"/>
      <c r="AY178" s="67"/>
      <c r="AZ178" s="67"/>
      <c r="BA178" s="67"/>
      <c r="BB178" s="67"/>
      <c r="BC178" s="67"/>
      <c r="BD178" s="69">
        <v>7946.55</v>
      </c>
      <c r="BE178" s="67"/>
      <c r="BF178" s="69">
        <v>7911.55</v>
      </c>
      <c r="BG178" s="69">
        <v>1582.31</v>
      </c>
      <c r="BH178" s="67"/>
    </row>
    <row r="179">
      <c r="A179" s="66" t="s">
        <v>1034</v>
      </c>
      <c r="B179" s="66" t="s">
        <v>1541</v>
      </c>
      <c r="C179" s="66">
        <v>45016.0</v>
      </c>
      <c r="D179" s="66" t="s">
        <v>1542</v>
      </c>
      <c r="E179" s="66">
        <v>160.0</v>
      </c>
      <c r="F179" s="66">
        <v>3387.0</v>
      </c>
      <c r="G179" s="66" t="s">
        <v>1091</v>
      </c>
      <c r="H179" s="66" t="s">
        <v>1155</v>
      </c>
      <c r="I179" s="66" t="s">
        <v>551</v>
      </c>
      <c r="J179" s="66" t="s">
        <v>1288</v>
      </c>
      <c r="K179" s="66">
        <v>0.0</v>
      </c>
      <c r="L179" s="67"/>
      <c r="M179" s="66" t="s">
        <v>1293</v>
      </c>
      <c r="N179" s="66">
        <v>8.0</v>
      </c>
      <c r="O179" s="66">
        <v>0.0</v>
      </c>
      <c r="P179" s="66">
        <v>0.0</v>
      </c>
      <c r="Q179" s="66">
        <v>0.0</v>
      </c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67"/>
      <c r="AQ179" s="67"/>
      <c r="AR179" s="67"/>
      <c r="AS179" s="67"/>
      <c r="AT179" s="67"/>
      <c r="AU179" s="67"/>
      <c r="AV179" s="67"/>
      <c r="AW179" s="67"/>
      <c r="AX179" s="67"/>
      <c r="AY179" s="67"/>
      <c r="AZ179" s="67"/>
      <c r="BA179" s="67"/>
      <c r="BB179" s="67"/>
      <c r="BC179" s="67"/>
      <c r="BD179" s="69">
        <v>11337.21</v>
      </c>
      <c r="BE179" s="67"/>
      <c r="BF179" s="69">
        <v>11302.21</v>
      </c>
      <c r="BG179" s="69">
        <v>2260.44</v>
      </c>
      <c r="BH179" s="67"/>
    </row>
    <row r="180">
      <c r="A180" s="66" t="s">
        <v>1034</v>
      </c>
      <c r="B180" s="66" t="s">
        <v>1541</v>
      </c>
      <c r="C180" s="66">
        <v>45086.0</v>
      </c>
      <c r="D180" s="66" t="s">
        <v>1542</v>
      </c>
      <c r="E180" s="66">
        <v>160.0</v>
      </c>
      <c r="F180" s="66">
        <v>3387.0</v>
      </c>
      <c r="G180" s="66" t="s">
        <v>1569</v>
      </c>
      <c r="H180" s="66" t="s">
        <v>1155</v>
      </c>
      <c r="I180" s="66" t="s">
        <v>551</v>
      </c>
      <c r="J180" s="66" t="s">
        <v>1288</v>
      </c>
      <c r="K180" s="66">
        <v>0.0</v>
      </c>
      <c r="L180" s="67"/>
      <c r="M180" s="66" t="s">
        <v>1323</v>
      </c>
      <c r="N180" s="66">
        <v>8.0</v>
      </c>
      <c r="O180" s="66">
        <v>0.0</v>
      </c>
      <c r="P180" s="66">
        <v>0.0</v>
      </c>
      <c r="Q180" s="66">
        <v>0.0</v>
      </c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67"/>
      <c r="AO180" s="67"/>
      <c r="AP180" s="67"/>
      <c r="AQ180" s="67"/>
      <c r="AR180" s="67"/>
      <c r="AS180" s="67"/>
      <c r="AT180" s="67"/>
      <c r="AU180" s="67"/>
      <c r="AV180" s="67"/>
      <c r="AW180" s="67"/>
      <c r="AX180" s="67"/>
      <c r="AY180" s="67"/>
      <c r="AZ180" s="67"/>
      <c r="BA180" s="67"/>
      <c r="BB180" s="67"/>
      <c r="BC180" s="67"/>
      <c r="BD180" s="69">
        <v>9246.55</v>
      </c>
      <c r="BE180" s="67"/>
      <c r="BF180" s="69">
        <v>7911.55</v>
      </c>
      <c r="BG180" s="69">
        <v>1582.31</v>
      </c>
      <c r="BH180" s="67"/>
    </row>
    <row r="181">
      <c r="A181" s="66" t="s">
        <v>1034</v>
      </c>
      <c r="B181" s="66" t="s">
        <v>1541</v>
      </c>
      <c r="C181" s="66">
        <v>45087.0</v>
      </c>
      <c r="D181" s="66" t="s">
        <v>1542</v>
      </c>
      <c r="E181" s="66">
        <v>160.0</v>
      </c>
      <c r="F181" s="66">
        <v>3387.0</v>
      </c>
      <c r="G181" s="66" t="s">
        <v>1571</v>
      </c>
      <c r="H181" s="66" t="s">
        <v>1155</v>
      </c>
      <c r="I181" s="66" t="s">
        <v>551</v>
      </c>
      <c r="J181" s="66" t="s">
        <v>1288</v>
      </c>
      <c r="K181" s="66">
        <v>0.0</v>
      </c>
      <c r="L181" s="67"/>
      <c r="M181" s="66" t="s">
        <v>1323</v>
      </c>
      <c r="N181" s="66">
        <v>8.0</v>
      </c>
      <c r="O181" s="66">
        <v>0.0</v>
      </c>
      <c r="P181" s="66">
        <v>0.0</v>
      </c>
      <c r="Q181" s="66">
        <v>0.0</v>
      </c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67"/>
      <c r="AQ181" s="67"/>
      <c r="AR181" s="67"/>
      <c r="AS181" s="67"/>
      <c r="AT181" s="67"/>
      <c r="AU181" s="67"/>
      <c r="AV181" s="67"/>
      <c r="AW181" s="67"/>
      <c r="AX181" s="67"/>
      <c r="AY181" s="67"/>
      <c r="AZ181" s="67"/>
      <c r="BA181" s="67"/>
      <c r="BB181" s="67"/>
      <c r="BC181" s="67"/>
      <c r="BD181" s="69">
        <v>4555.88</v>
      </c>
      <c r="BE181" s="67"/>
      <c r="BF181" s="69">
        <v>4520.88</v>
      </c>
      <c r="BG181" s="66">
        <v>904.18</v>
      </c>
      <c r="BH181" s="67"/>
    </row>
    <row r="182">
      <c r="A182" s="66" t="s">
        <v>1034</v>
      </c>
      <c r="B182" s="66" t="s">
        <v>1541</v>
      </c>
      <c r="C182" s="66">
        <v>45088.0</v>
      </c>
      <c r="D182" s="66" t="s">
        <v>1542</v>
      </c>
      <c r="E182" s="66">
        <v>160.0</v>
      </c>
      <c r="F182" s="66">
        <v>3387.0</v>
      </c>
      <c r="G182" s="66" t="s">
        <v>1572</v>
      </c>
      <c r="H182" s="66" t="s">
        <v>1155</v>
      </c>
      <c r="I182" s="66" t="s">
        <v>551</v>
      </c>
      <c r="J182" s="66" t="s">
        <v>1288</v>
      </c>
      <c r="K182" s="66">
        <v>0.0</v>
      </c>
      <c r="L182" s="67"/>
      <c r="M182" s="66" t="s">
        <v>1323</v>
      </c>
      <c r="N182" s="66">
        <v>8.0</v>
      </c>
      <c r="O182" s="66">
        <v>0.0</v>
      </c>
      <c r="P182" s="66">
        <v>0.0</v>
      </c>
      <c r="Q182" s="66">
        <v>0.0</v>
      </c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  <c r="AI182" s="67"/>
      <c r="AJ182" s="67"/>
      <c r="AK182" s="67"/>
      <c r="AL182" s="67"/>
      <c r="AM182" s="67"/>
      <c r="AN182" s="67"/>
      <c r="AO182" s="67"/>
      <c r="AP182" s="67"/>
      <c r="AQ182" s="67"/>
      <c r="AR182" s="67"/>
      <c r="AS182" s="67"/>
      <c r="AT182" s="67"/>
      <c r="AU182" s="67"/>
      <c r="AV182" s="67"/>
      <c r="AW182" s="67"/>
      <c r="AX182" s="67"/>
      <c r="AY182" s="67"/>
      <c r="AZ182" s="67"/>
      <c r="BA182" s="67"/>
      <c r="BB182" s="67"/>
      <c r="BC182" s="67"/>
      <c r="BD182" s="69">
        <v>8547.95</v>
      </c>
      <c r="BE182" s="67"/>
      <c r="BF182" s="69">
        <v>7911.55</v>
      </c>
      <c r="BG182" s="69">
        <v>1582.31</v>
      </c>
      <c r="BH182" s="67"/>
    </row>
    <row r="183">
      <c r="A183" s="66" t="s">
        <v>1034</v>
      </c>
      <c r="B183" s="66" t="s">
        <v>1541</v>
      </c>
      <c r="C183" s="66">
        <v>45091.0</v>
      </c>
      <c r="D183" s="66" t="s">
        <v>1542</v>
      </c>
      <c r="E183" s="66">
        <v>160.0</v>
      </c>
      <c r="F183" s="66">
        <v>3387.0</v>
      </c>
      <c r="G183" s="66" t="s">
        <v>1573</v>
      </c>
      <c r="H183" s="66" t="s">
        <v>1155</v>
      </c>
      <c r="I183" s="66" t="s">
        <v>551</v>
      </c>
      <c r="J183" s="66" t="s">
        <v>1288</v>
      </c>
      <c r="K183" s="66">
        <v>0.0</v>
      </c>
      <c r="L183" s="67"/>
      <c r="M183" s="66" t="s">
        <v>1323</v>
      </c>
      <c r="N183" s="66">
        <v>8.0</v>
      </c>
      <c r="O183" s="66">
        <v>0.0</v>
      </c>
      <c r="P183" s="66">
        <v>0.0</v>
      </c>
      <c r="Q183" s="66">
        <v>0.0</v>
      </c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67"/>
      <c r="AQ183" s="67"/>
      <c r="AR183" s="67"/>
      <c r="AS183" s="67"/>
      <c r="AT183" s="67"/>
      <c r="AU183" s="67"/>
      <c r="AV183" s="67"/>
      <c r="AW183" s="67"/>
      <c r="AX183" s="67"/>
      <c r="AY183" s="67"/>
      <c r="AZ183" s="67"/>
      <c r="BA183" s="67"/>
      <c r="BB183" s="67"/>
      <c r="BC183" s="67"/>
      <c r="BD183" s="69">
        <v>5157.28</v>
      </c>
      <c r="BE183" s="67"/>
      <c r="BF183" s="69">
        <v>4520.88</v>
      </c>
      <c r="BG183" s="66">
        <v>904.18</v>
      </c>
      <c r="BH183" s="67"/>
    </row>
    <row r="184">
      <c r="A184" s="66" t="s">
        <v>1034</v>
      </c>
      <c r="B184" s="66" t="s">
        <v>1541</v>
      </c>
      <c r="C184" s="66">
        <v>45078.0</v>
      </c>
      <c r="D184" s="66" t="s">
        <v>1542</v>
      </c>
      <c r="E184" s="66">
        <v>160.0</v>
      </c>
      <c r="F184" s="66">
        <v>3387.0</v>
      </c>
      <c r="G184" s="66" t="s">
        <v>1575</v>
      </c>
      <c r="H184" s="66" t="s">
        <v>1155</v>
      </c>
      <c r="I184" s="66" t="s">
        <v>551</v>
      </c>
      <c r="J184" s="66" t="s">
        <v>1288</v>
      </c>
      <c r="K184" s="66">
        <v>0.0</v>
      </c>
      <c r="L184" s="67"/>
      <c r="M184" s="66" t="s">
        <v>1301</v>
      </c>
      <c r="N184" s="66">
        <v>8.0</v>
      </c>
      <c r="O184" s="66">
        <v>0.0</v>
      </c>
      <c r="P184" s="66">
        <v>0.0</v>
      </c>
      <c r="Q184" s="66">
        <v>0.0</v>
      </c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  <c r="AM184" s="67"/>
      <c r="AN184" s="67"/>
      <c r="AO184" s="67"/>
      <c r="AP184" s="67"/>
      <c r="AQ184" s="67"/>
      <c r="AR184" s="67"/>
      <c r="AS184" s="67"/>
      <c r="AT184" s="67"/>
      <c r="AU184" s="67"/>
      <c r="AV184" s="67"/>
      <c r="AW184" s="67"/>
      <c r="AX184" s="67"/>
      <c r="AY184" s="67"/>
      <c r="AZ184" s="67"/>
      <c r="BA184" s="67"/>
      <c r="BB184" s="67"/>
      <c r="BC184" s="67"/>
      <c r="BD184" s="69">
        <v>20745.0</v>
      </c>
      <c r="BE184" s="67"/>
      <c r="BF184" s="69">
        <v>20710.0</v>
      </c>
      <c r="BG184" s="69">
        <v>4142.0</v>
      </c>
      <c r="BH184" s="67"/>
    </row>
    <row r="185">
      <c r="A185" s="66" t="s">
        <v>1034</v>
      </c>
      <c r="B185" s="66" t="s">
        <v>1308</v>
      </c>
      <c r="C185" s="66">
        <v>45030.0</v>
      </c>
      <c r="D185" s="66" t="s">
        <v>1309</v>
      </c>
      <c r="E185" s="66">
        <v>160.0</v>
      </c>
      <c r="F185" s="66">
        <v>3387.0</v>
      </c>
      <c r="G185" s="66" t="s">
        <v>1215</v>
      </c>
      <c r="H185" s="66" t="s">
        <v>1155</v>
      </c>
      <c r="I185" s="66" t="s">
        <v>551</v>
      </c>
      <c r="J185" s="66" t="s">
        <v>1288</v>
      </c>
      <c r="K185" s="66">
        <v>0.0</v>
      </c>
      <c r="L185" s="67"/>
      <c r="M185" s="66" t="s">
        <v>1293</v>
      </c>
      <c r="N185" s="66">
        <v>8.0</v>
      </c>
      <c r="O185" s="66">
        <v>0.0</v>
      </c>
      <c r="P185" s="66">
        <v>0.0</v>
      </c>
      <c r="Q185" s="66">
        <v>0.0</v>
      </c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67"/>
      <c r="AQ185" s="67"/>
      <c r="AR185" s="67"/>
      <c r="AS185" s="67"/>
      <c r="AT185" s="67"/>
      <c r="AU185" s="67"/>
      <c r="AV185" s="67"/>
      <c r="AW185" s="67"/>
      <c r="AX185" s="67"/>
      <c r="AY185" s="67"/>
      <c r="AZ185" s="67"/>
      <c r="BA185" s="67"/>
      <c r="BB185" s="67"/>
      <c r="BC185" s="67"/>
      <c r="BD185" s="69">
        <v>8463.17</v>
      </c>
      <c r="BE185" s="67"/>
      <c r="BF185" s="69">
        <v>6532.47</v>
      </c>
      <c r="BG185" s="69">
        <v>1306.49</v>
      </c>
      <c r="BH185" s="67"/>
    </row>
    <row r="186">
      <c r="A186" s="66" t="s">
        <v>1034</v>
      </c>
      <c r="B186" s="66" t="s">
        <v>1541</v>
      </c>
      <c r="C186" s="66">
        <v>45014.0</v>
      </c>
      <c r="D186" s="66" t="s">
        <v>1542</v>
      </c>
      <c r="E186" s="66">
        <v>160.0</v>
      </c>
      <c r="F186" s="66">
        <v>3387.0</v>
      </c>
      <c r="G186" s="66" t="s">
        <v>1213</v>
      </c>
      <c r="H186" s="66" t="s">
        <v>1155</v>
      </c>
      <c r="I186" s="66" t="s">
        <v>551</v>
      </c>
      <c r="J186" s="66" t="s">
        <v>1288</v>
      </c>
      <c r="K186" s="66">
        <v>0.0</v>
      </c>
      <c r="L186" s="67"/>
      <c r="M186" s="66" t="s">
        <v>1293</v>
      </c>
      <c r="N186" s="66">
        <v>8.0</v>
      </c>
      <c r="O186" s="66">
        <v>0.0</v>
      </c>
      <c r="P186" s="66">
        <v>0.0</v>
      </c>
      <c r="Q186" s="66">
        <v>0.0</v>
      </c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/>
      <c r="AK186" s="67"/>
      <c r="AL186" s="67"/>
      <c r="AM186" s="67"/>
      <c r="AN186" s="67"/>
      <c r="AO186" s="67"/>
      <c r="AP186" s="67"/>
      <c r="AQ186" s="67"/>
      <c r="AR186" s="67"/>
      <c r="AS186" s="67"/>
      <c r="AT186" s="67"/>
      <c r="AU186" s="67"/>
      <c r="AV186" s="67"/>
      <c r="AW186" s="67"/>
      <c r="AX186" s="67"/>
      <c r="AY186" s="67"/>
      <c r="AZ186" s="67"/>
      <c r="BA186" s="67"/>
      <c r="BB186" s="67"/>
      <c r="BC186" s="67"/>
      <c r="BD186" s="69">
        <v>4555.88</v>
      </c>
      <c r="BE186" s="67"/>
      <c r="BF186" s="69">
        <v>4520.88</v>
      </c>
      <c r="BG186" s="66">
        <v>904.18</v>
      </c>
      <c r="BH186" s="67"/>
    </row>
    <row r="187">
      <c r="A187" s="66" t="s">
        <v>1034</v>
      </c>
      <c r="B187" s="66" t="s">
        <v>1541</v>
      </c>
      <c r="C187" s="66">
        <v>45070.0</v>
      </c>
      <c r="D187" s="66" t="s">
        <v>1542</v>
      </c>
      <c r="E187" s="66">
        <v>160.0</v>
      </c>
      <c r="F187" s="66">
        <v>3387.0</v>
      </c>
      <c r="G187" s="66" t="s">
        <v>1577</v>
      </c>
      <c r="H187" s="66" t="s">
        <v>1155</v>
      </c>
      <c r="I187" s="66" t="s">
        <v>551</v>
      </c>
      <c r="J187" s="66" t="s">
        <v>1288</v>
      </c>
      <c r="K187" s="66">
        <v>0.0</v>
      </c>
      <c r="L187" s="67"/>
      <c r="M187" s="66" t="s">
        <v>1300</v>
      </c>
      <c r="N187" s="66">
        <v>8.0</v>
      </c>
      <c r="O187" s="66">
        <v>0.0</v>
      </c>
      <c r="P187" s="66">
        <v>0.0</v>
      </c>
      <c r="Q187" s="66">
        <v>0.0</v>
      </c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67"/>
      <c r="AQ187" s="67"/>
      <c r="AR187" s="67"/>
      <c r="AS187" s="67"/>
      <c r="AT187" s="67"/>
      <c r="AU187" s="67"/>
      <c r="AV187" s="67"/>
      <c r="AW187" s="67"/>
      <c r="AX187" s="67"/>
      <c r="AY187" s="67"/>
      <c r="AZ187" s="67"/>
      <c r="BA187" s="67"/>
      <c r="BB187" s="67"/>
      <c r="BC187" s="67"/>
      <c r="BD187" s="69">
        <v>4555.88</v>
      </c>
      <c r="BE187" s="67"/>
      <c r="BF187" s="69">
        <v>4520.88</v>
      </c>
      <c r="BG187" s="66">
        <v>904.18</v>
      </c>
      <c r="BH187" s="67"/>
    </row>
    <row r="188">
      <c r="A188" s="66" t="s">
        <v>1256</v>
      </c>
      <c r="B188" s="66" t="s">
        <v>1396</v>
      </c>
      <c r="C188" s="67"/>
      <c r="D188" s="66" t="s">
        <v>1397</v>
      </c>
      <c r="E188" s="66">
        <v>160.0</v>
      </c>
      <c r="F188" s="66">
        <v>3387.0</v>
      </c>
      <c r="G188" s="66" t="s">
        <v>1579</v>
      </c>
      <c r="H188" s="66" t="s">
        <v>1155</v>
      </c>
      <c r="I188" s="66" t="s">
        <v>551</v>
      </c>
      <c r="J188" s="66" t="s">
        <v>1299</v>
      </c>
      <c r="K188" s="66">
        <v>0.0</v>
      </c>
      <c r="L188" s="67"/>
      <c r="M188" s="66" t="s">
        <v>1301</v>
      </c>
      <c r="N188" s="66">
        <v>8.0</v>
      </c>
      <c r="O188" s="66">
        <v>0.0</v>
      </c>
      <c r="P188" s="66">
        <v>0.0</v>
      </c>
      <c r="Q188" s="66">
        <v>0.0</v>
      </c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  <c r="AM188" s="67"/>
      <c r="AN188" s="67"/>
      <c r="AO188" s="67"/>
      <c r="AP188" s="67"/>
      <c r="AQ188" s="67"/>
      <c r="AR188" s="67"/>
      <c r="AS188" s="67"/>
      <c r="AT188" s="67"/>
      <c r="AU188" s="67"/>
      <c r="AV188" s="67"/>
      <c r="AW188" s="67"/>
      <c r="AX188" s="67"/>
      <c r="AY188" s="67"/>
      <c r="AZ188" s="67"/>
      <c r="BA188" s="67"/>
      <c r="BB188" s="67"/>
      <c r="BC188" s="67"/>
      <c r="BD188" s="69">
        <v>9185.0</v>
      </c>
      <c r="BE188" s="67"/>
      <c r="BF188" s="69">
        <v>5500.0</v>
      </c>
      <c r="BG188" s="69">
        <v>1100.0</v>
      </c>
      <c r="BH188" s="67"/>
    </row>
    <row r="189">
      <c r="A189" s="66" t="s">
        <v>1034</v>
      </c>
      <c r="B189" s="66" t="s">
        <v>1580</v>
      </c>
      <c r="C189" s="66">
        <v>45071.0</v>
      </c>
      <c r="D189" s="66" t="s">
        <v>1581</v>
      </c>
      <c r="E189" s="66">
        <v>160.0</v>
      </c>
      <c r="F189" s="66">
        <v>3387.0</v>
      </c>
      <c r="G189" s="66" t="s">
        <v>1582</v>
      </c>
      <c r="H189" s="66" t="s">
        <v>1155</v>
      </c>
      <c r="I189" s="66" t="s">
        <v>551</v>
      </c>
      <c r="J189" s="66" t="s">
        <v>1288</v>
      </c>
      <c r="K189" s="66">
        <v>0.0</v>
      </c>
      <c r="L189" s="67"/>
      <c r="M189" s="66" t="s">
        <v>1301</v>
      </c>
      <c r="N189" s="66">
        <v>8.0</v>
      </c>
      <c r="O189" s="66">
        <v>0.0</v>
      </c>
      <c r="P189" s="66">
        <v>0.0</v>
      </c>
      <c r="Q189" s="66">
        <v>0.0</v>
      </c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67"/>
      <c r="AQ189" s="67"/>
      <c r="AR189" s="67"/>
      <c r="AS189" s="67"/>
      <c r="AT189" s="67"/>
      <c r="AU189" s="67"/>
      <c r="AV189" s="67"/>
      <c r="AW189" s="67"/>
      <c r="AX189" s="67"/>
      <c r="AY189" s="67"/>
      <c r="AZ189" s="67"/>
      <c r="BA189" s="67"/>
      <c r="BB189" s="67"/>
      <c r="BC189" s="67"/>
      <c r="BD189" s="69">
        <v>5153.24</v>
      </c>
      <c r="BE189" s="67"/>
      <c r="BF189" s="69">
        <v>4173.24</v>
      </c>
      <c r="BG189" s="66">
        <v>834.65</v>
      </c>
      <c r="BH189" s="67"/>
    </row>
    <row r="190">
      <c r="A190" s="66" t="s">
        <v>1034</v>
      </c>
      <c r="B190" s="66" t="s">
        <v>1580</v>
      </c>
      <c r="C190" s="66">
        <v>45072.0</v>
      </c>
      <c r="D190" s="66" t="s">
        <v>1581</v>
      </c>
      <c r="E190" s="66">
        <v>160.0</v>
      </c>
      <c r="F190" s="66">
        <v>3387.0</v>
      </c>
      <c r="G190" s="66" t="s">
        <v>1583</v>
      </c>
      <c r="H190" s="66" t="s">
        <v>1155</v>
      </c>
      <c r="I190" s="66" t="s">
        <v>551</v>
      </c>
      <c r="J190" s="66" t="s">
        <v>1288</v>
      </c>
      <c r="K190" s="66">
        <v>550.0</v>
      </c>
      <c r="L190" s="67"/>
      <c r="M190" s="66" t="s">
        <v>1301</v>
      </c>
      <c r="N190" s="66">
        <v>8.0</v>
      </c>
      <c r="O190" s="66">
        <v>0.0</v>
      </c>
      <c r="P190" s="66">
        <v>0.0</v>
      </c>
      <c r="Q190" s="66">
        <v>0.0</v>
      </c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67"/>
      <c r="AN190" s="67"/>
      <c r="AO190" s="67"/>
      <c r="AP190" s="67"/>
      <c r="AQ190" s="67"/>
      <c r="AR190" s="67"/>
      <c r="AS190" s="67"/>
      <c r="AT190" s="67"/>
      <c r="AU190" s="67"/>
      <c r="AV190" s="67"/>
      <c r="AW190" s="67"/>
      <c r="AX190" s="67"/>
      <c r="AY190" s="67"/>
      <c r="AZ190" s="67"/>
      <c r="BA190" s="67"/>
      <c r="BB190" s="67"/>
      <c r="BC190" s="67"/>
      <c r="BD190" s="69">
        <v>4480.0</v>
      </c>
      <c r="BE190" s="67"/>
      <c r="BF190" s="69">
        <v>2950.0</v>
      </c>
      <c r="BG190" s="66">
        <v>590.0</v>
      </c>
      <c r="BH190" s="67"/>
    </row>
    <row r="191">
      <c r="A191" s="66" t="s">
        <v>1256</v>
      </c>
      <c r="B191" s="66" t="s">
        <v>1585</v>
      </c>
      <c r="C191" s="66">
        <v>44942.0</v>
      </c>
      <c r="D191" s="66" t="s">
        <v>1586</v>
      </c>
      <c r="E191" s="66">
        <v>430.0</v>
      </c>
      <c r="F191" s="66">
        <v>1695.0</v>
      </c>
      <c r="G191" s="66" t="s">
        <v>1587</v>
      </c>
      <c r="H191" s="66" t="s">
        <v>1166</v>
      </c>
      <c r="I191" s="66" t="s">
        <v>554</v>
      </c>
      <c r="J191" s="66" t="s">
        <v>1253</v>
      </c>
      <c r="K191" s="66">
        <v>0.0</v>
      </c>
      <c r="L191" s="70">
        <v>46120.0</v>
      </c>
      <c r="M191" s="70">
        <v>46181.0</v>
      </c>
      <c r="N191" s="66">
        <v>8.0</v>
      </c>
      <c r="O191" s="66">
        <v>0.0</v>
      </c>
      <c r="P191" s="66">
        <v>0.0</v>
      </c>
      <c r="Q191" s="66">
        <v>0.0</v>
      </c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  <c r="AR191" s="67"/>
      <c r="AS191" s="67"/>
      <c r="AT191" s="67"/>
      <c r="AU191" s="67"/>
      <c r="AV191" s="67"/>
      <c r="AW191" s="67"/>
      <c r="AX191" s="67"/>
      <c r="AY191" s="67"/>
      <c r="AZ191" s="67"/>
      <c r="BA191" s="67"/>
      <c r="BB191" s="67"/>
      <c r="BC191" s="67"/>
      <c r="BD191" s="69">
        <v>1036.29</v>
      </c>
      <c r="BE191" s="67"/>
      <c r="BF191" s="66">
        <v>0.0</v>
      </c>
      <c r="BG191" s="66">
        <v>0.0</v>
      </c>
      <c r="BH191" s="67"/>
    </row>
  </sheetData>
  <autoFilter ref="$A$1:$BH$19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13"/>
  </cols>
  <sheetData>
    <row r="1">
      <c r="A1" s="5"/>
      <c r="B1" s="5"/>
      <c r="C1" s="71" t="s">
        <v>1404</v>
      </c>
      <c r="D1" s="72" t="s">
        <v>1405</v>
      </c>
      <c r="E1" s="72" t="s">
        <v>1406</v>
      </c>
      <c r="F1" s="72" t="s">
        <v>1407</v>
      </c>
      <c r="G1" s="72" t="s">
        <v>1408</v>
      </c>
      <c r="H1" s="72" t="s">
        <v>1409</v>
      </c>
      <c r="I1" s="72" t="s">
        <v>1410</v>
      </c>
      <c r="J1" s="72" t="s">
        <v>1411</v>
      </c>
      <c r="K1" s="72" t="s">
        <v>1412</v>
      </c>
      <c r="L1" s="72" t="s">
        <v>1413</v>
      </c>
      <c r="M1" s="72" t="s">
        <v>1414</v>
      </c>
      <c r="N1" s="72" t="s">
        <v>1415</v>
      </c>
      <c r="O1" s="72" t="s">
        <v>1416</v>
      </c>
      <c r="P1" s="72" t="s">
        <v>1417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5"/>
      <c r="B2" s="73"/>
      <c r="C2" s="74" t="s">
        <v>292</v>
      </c>
      <c r="D2" s="72">
        <v>0.0</v>
      </c>
      <c r="E2" s="72">
        <v>0.0</v>
      </c>
      <c r="F2" s="72">
        <v>0.0</v>
      </c>
      <c r="G2" s="72">
        <v>0.0</v>
      </c>
      <c r="H2" s="72">
        <v>0.0</v>
      </c>
      <c r="I2" s="72">
        <v>0.0</v>
      </c>
      <c r="J2" s="72">
        <v>0.0</v>
      </c>
      <c r="K2" s="75"/>
      <c r="L2" s="75"/>
      <c r="M2" s="75"/>
      <c r="N2" s="75"/>
      <c r="O2" s="75"/>
      <c r="P2" s="72">
        <f t="shared" ref="P2:P7" si="1">SUM(D2:O2)</f>
        <v>0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5"/>
      <c r="B3" s="73"/>
      <c r="C3" s="74" t="s">
        <v>543</v>
      </c>
      <c r="D3" s="72">
        <v>0.0</v>
      </c>
      <c r="E3" s="72">
        <v>0.0</v>
      </c>
      <c r="F3" s="72">
        <v>0.0</v>
      </c>
      <c r="G3" s="72">
        <v>0.0</v>
      </c>
      <c r="H3" s="76">
        <f>128689.8*17.5</f>
        <v>2252071.5</v>
      </c>
      <c r="I3" s="76">
        <f>129978.8*17.5</f>
        <v>2274629</v>
      </c>
      <c r="J3" s="72">
        <f>143376.4*17.5</f>
        <v>2509087</v>
      </c>
      <c r="K3" s="72">
        <f>(130233.6+6147)*17.5</f>
        <v>2386660.5</v>
      </c>
      <c r="L3" s="75"/>
      <c r="M3" s="75"/>
      <c r="N3" s="75"/>
      <c r="O3" s="75"/>
      <c r="P3" s="72">
        <f t="shared" si="1"/>
        <v>9422448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5"/>
      <c r="B4" s="73"/>
      <c r="C4" s="74" t="s">
        <v>277</v>
      </c>
      <c r="D4" s="72">
        <v>0.0</v>
      </c>
      <c r="E4" s="72">
        <v>0.0</v>
      </c>
      <c r="F4" s="72">
        <v>0.0</v>
      </c>
      <c r="G4" s="72">
        <v>0.0</v>
      </c>
      <c r="H4" s="72">
        <v>0.0</v>
      </c>
      <c r="I4" s="72">
        <v>0.0</v>
      </c>
      <c r="J4" s="72">
        <v>0.0</v>
      </c>
      <c r="K4" s="75"/>
      <c r="L4" s="75"/>
      <c r="M4" s="75"/>
      <c r="N4" s="75"/>
      <c r="O4" s="75"/>
      <c r="P4" s="72">
        <f t="shared" si="1"/>
        <v>0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5"/>
      <c r="B5" s="73"/>
      <c r="C5" s="74" t="s">
        <v>247</v>
      </c>
      <c r="D5" s="72">
        <v>0.0</v>
      </c>
      <c r="E5" s="72">
        <v>0.0</v>
      </c>
      <c r="F5" s="72">
        <v>0.0</v>
      </c>
      <c r="G5" s="72">
        <v>0.0</v>
      </c>
      <c r="H5" s="72">
        <v>0.0</v>
      </c>
      <c r="I5" s="72">
        <v>0.0</v>
      </c>
      <c r="J5" s="72">
        <v>0.0</v>
      </c>
      <c r="K5" s="75"/>
      <c r="L5" s="75"/>
      <c r="M5" s="75"/>
      <c r="N5" s="75"/>
      <c r="O5" s="75"/>
      <c r="P5" s="72">
        <f t="shared" si="1"/>
        <v>0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5"/>
      <c r="B6" s="73"/>
      <c r="C6" s="74" t="s">
        <v>449</v>
      </c>
      <c r="D6" s="72">
        <v>0.0</v>
      </c>
      <c r="E6" s="72">
        <v>0.0</v>
      </c>
      <c r="F6" s="72">
        <v>0.0</v>
      </c>
      <c r="G6" s="72">
        <v>0.0</v>
      </c>
      <c r="H6" s="72">
        <v>0.0</v>
      </c>
      <c r="I6" s="72">
        <v>0.0</v>
      </c>
      <c r="J6" s="72">
        <v>0.0</v>
      </c>
      <c r="K6" s="75"/>
      <c r="L6" s="75"/>
      <c r="M6" s="75"/>
      <c r="N6" s="75"/>
      <c r="O6" s="75"/>
      <c r="P6" s="72">
        <f t="shared" si="1"/>
        <v>0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5"/>
      <c r="B7" s="73"/>
      <c r="C7" s="77"/>
      <c r="D7" s="75"/>
      <c r="E7" s="78"/>
      <c r="F7" s="75"/>
      <c r="G7" s="75"/>
      <c r="H7" s="75"/>
      <c r="I7" s="75"/>
      <c r="J7" s="75"/>
      <c r="K7" s="75"/>
      <c r="L7" s="75"/>
      <c r="M7" s="75"/>
      <c r="N7" s="75"/>
      <c r="O7" s="75"/>
      <c r="P7" s="72">
        <f t="shared" si="1"/>
        <v>0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5"/>
      <c r="B8" s="73"/>
      <c r="C8" s="74" t="s">
        <v>1429</v>
      </c>
      <c r="D8" s="72">
        <f t="shared" ref="D8:P8" si="2">SUM(D2:D7)</f>
        <v>0</v>
      </c>
      <c r="E8" s="72">
        <f t="shared" si="2"/>
        <v>0</v>
      </c>
      <c r="F8" s="72">
        <f t="shared" si="2"/>
        <v>0</v>
      </c>
      <c r="G8" s="72">
        <f t="shared" si="2"/>
        <v>0</v>
      </c>
      <c r="H8" s="72">
        <f t="shared" si="2"/>
        <v>2252071.5</v>
      </c>
      <c r="I8" s="72">
        <f t="shared" si="2"/>
        <v>2274629</v>
      </c>
      <c r="J8" s="72">
        <f t="shared" si="2"/>
        <v>2509087</v>
      </c>
      <c r="K8" s="72">
        <f t="shared" si="2"/>
        <v>2386660.5</v>
      </c>
      <c r="L8" s="72">
        <f t="shared" si="2"/>
        <v>0</v>
      </c>
      <c r="M8" s="72">
        <f t="shared" si="2"/>
        <v>0</v>
      </c>
      <c r="N8" s="72">
        <f t="shared" si="2"/>
        <v>0</v>
      </c>
      <c r="O8" s="72">
        <f t="shared" si="2"/>
        <v>0</v>
      </c>
      <c r="P8" s="72">
        <f t="shared" si="2"/>
        <v>9422448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5"/>
      <c r="B9" s="5"/>
      <c r="C9" s="71" t="s">
        <v>1431</v>
      </c>
      <c r="D9" s="72">
        <f t="shared" ref="D9:P9" si="3">SUMIF($B:$B, "*Ni*", D:D)
</f>
        <v>0</v>
      </c>
      <c r="E9" s="72">
        <f t="shared" si="3"/>
        <v>0</v>
      </c>
      <c r="F9" s="72">
        <f t="shared" si="3"/>
        <v>0</v>
      </c>
      <c r="G9" s="72">
        <f t="shared" si="3"/>
        <v>0</v>
      </c>
      <c r="H9" s="72">
        <f t="shared" si="3"/>
        <v>0</v>
      </c>
      <c r="I9" s="72">
        <f t="shared" si="3"/>
        <v>0</v>
      </c>
      <c r="J9" s="72">
        <f t="shared" si="3"/>
        <v>0</v>
      </c>
      <c r="K9" s="72">
        <f t="shared" si="3"/>
        <v>0</v>
      </c>
      <c r="L9" s="72">
        <f t="shared" si="3"/>
        <v>0</v>
      </c>
      <c r="M9" s="72">
        <f t="shared" si="3"/>
        <v>0</v>
      </c>
      <c r="N9" s="72">
        <f t="shared" si="3"/>
        <v>0</v>
      </c>
      <c r="O9" s="72">
        <f t="shared" si="3"/>
        <v>0</v>
      </c>
      <c r="P9" s="72">
        <f t="shared" si="3"/>
        <v>0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5"/>
      <c r="B10" s="5"/>
      <c r="C10" s="79" t="s">
        <v>1437</v>
      </c>
      <c r="D10" s="80">
        <f t="shared" ref="D10:P10" si="4">D8-D9</f>
        <v>0</v>
      </c>
      <c r="E10" s="80">
        <f t="shared" si="4"/>
        <v>0</v>
      </c>
      <c r="F10" s="80">
        <f t="shared" si="4"/>
        <v>0</v>
      </c>
      <c r="G10" s="80">
        <f t="shared" si="4"/>
        <v>0</v>
      </c>
      <c r="H10" s="80">
        <f t="shared" si="4"/>
        <v>2252071.5</v>
      </c>
      <c r="I10" s="80">
        <f t="shared" si="4"/>
        <v>2274629</v>
      </c>
      <c r="J10" s="80">
        <f t="shared" si="4"/>
        <v>2509087</v>
      </c>
      <c r="K10" s="80">
        <f t="shared" si="4"/>
        <v>2386660.5</v>
      </c>
      <c r="L10" s="80">
        <f t="shared" si="4"/>
        <v>0</v>
      </c>
      <c r="M10" s="80">
        <f t="shared" si="4"/>
        <v>0</v>
      </c>
      <c r="N10" s="80">
        <f t="shared" si="4"/>
        <v>0</v>
      </c>
      <c r="O10" s="80">
        <f t="shared" si="4"/>
        <v>0</v>
      </c>
      <c r="P10" s="80">
        <f t="shared" si="4"/>
        <v>9422448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5"/>
      <c r="B12" s="5"/>
      <c r="C12" s="71" t="s">
        <v>1439</v>
      </c>
      <c r="D12" s="72" t="s">
        <v>1405</v>
      </c>
      <c r="E12" s="72" t="s">
        <v>1406</v>
      </c>
      <c r="F12" s="72" t="s">
        <v>1407</v>
      </c>
      <c r="G12" s="72" t="s">
        <v>1408</v>
      </c>
      <c r="H12" s="72" t="s">
        <v>1409</v>
      </c>
      <c r="I12" s="72" t="s">
        <v>1410</v>
      </c>
      <c r="J12" s="72" t="s">
        <v>1411</v>
      </c>
      <c r="K12" s="72" t="s">
        <v>1412</v>
      </c>
      <c r="L12" s="72" t="s">
        <v>1413</v>
      </c>
      <c r="M12" s="72" t="s">
        <v>1414</v>
      </c>
      <c r="N12" s="72" t="s">
        <v>1415</v>
      </c>
      <c r="O12" s="72" t="s">
        <v>1416</v>
      </c>
      <c r="P12" s="72" t="s">
        <v>1417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5"/>
      <c r="B13" s="5"/>
      <c r="C13" s="81" t="s">
        <v>1443</v>
      </c>
      <c r="D13" s="82">
        <f>IFERROR(__xludf.DUMMYFUNCTION("LET(
data,IMPORTRANGE(""https://docs.google.com/spreadsheets/d/1lz93J8ApZu2fkxkTVa3QbJxlEfjvZ2i-hl6DO2WSoV4/edit?gid=394426082#gid=394426082"",""'Tabla dinámica 3'!A22:C164""),
aduanaRaw,INDEX(data,,1),
aduanaFill,SCAN("""",aduanaRaw,LAMBDA(prev,current,I"&amp;"F(current&lt;&gt;"""",current,prev))),
concepto,INDEX(data,,2),
monto,INDEX(data,,3),
IFERROR(INDEX(FILTER(monto,aduanaFill=""IMILE LAREDO"",concepto=C13),1),0)
)"),0.0)</f>
        <v>0</v>
      </c>
      <c r="E13" s="82">
        <f>IFERROR(__xludf.DUMMYFUNCTION("LET(
data,IMPORTRANGE(""https://docs.google.com/spreadsheets/d/1qwZBMIHX908ShtRp7qKg-RQtPJUUTMWsnALy7zDsihY/edit?gid=1946253741#gid=1946253741"",""'Tabla dinámica 2'!A22:C183""),
aduanaRaw,INDEX(data,,1),
aduanaFill,SCAN("""",aduanaRaw,LAMBDA(prev,current"&amp;",IF(current&lt;&gt;"""",current,prev))),
concepto,INDEX(data,,2),
monto,INDEX(data,,3),
IFERROR(INDEX(FILTER(monto,aduanaFill=""IMILE LAREDO"",concepto=C13),1),0)
)"),0.0)</f>
        <v>0</v>
      </c>
      <c r="F13" s="82">
        <f>IFERROR(__xludf.DUMMYFUNCTION("LET(
data,IMPORTRANGE(""https://docs.google.com/spreadsheets/d/1R3diXUYNwx8M1fOT5VH5jynTUzkgQW2aolRVKyL3104/edit?gid=1862464062#gid=1862464062"",""'Tabla dinámica 3'!A22:C195""),
aduanaRaw,INDEX(data,,1),
aduanaFill,SCAN("""",aduanaRaw,LAMBDA(prev,current"&amp;",IF(current&lt;&gt;"""",current,prev))),
concepto,INDEX(data,,2),
monto,INDEX(data,,3),
IFERROR(INDEX(FILTER(monto,aduanaFill=""IMILE LAREDO"",concepto=C13),1),0)
)"),0.0)</f>
        <v>0</v>
      </c>
      <c r="G13" s="82">
        <f>IFERROR(__xludf.DUMMYFUNCTION("LET(
data,IMPORTRANGE(""https://docs.google.com/spreadsheets/d/1SZ9Cymny-V5AQSbk26xeGT299kcBmQ1TChS6s3CnfH4/edit?gid=1245872511#gid=1245872511"",""'Tabla dinámica 4'!A22:C195""),
aduanaRaw,INDEX(data,,1),
aduanaFill,SCAN("""",aduanaRaw,LAMBDA(prev,current"&amp;",IF(current&lt;&gt;"""",current,prev))),
concepto,INDEX(data,,2),
monto,INDEX(data,,3),
IFERROR(INDEX(FILTER(monto,aduanaFill=""IMILE LAREDO"",concepto=C13),1),0)
)"),0.0)</f>
        <v>0</v>
      </c>
      <c r="H13" s="83">
        <v>328306.0</v>
      </c>
      <c r="I13" s="83">
        <v>338231.0</v>
      </c>
      <c r="J13" s="84">
        <v>365560.0</v>
      </c>
      <c r="K13" s="85">
        <v>357999.0</v>
      </c>
      <c r="L13" s="5"/>
      <c r="M13" s="75"/>
      <c r="N13" s="75"/>
      <c r="O13" s="75"/>
      <c r="P13" s="72">
        <f t="shared" ref="P13:P16" si="5">SUM(D13:O13)</f>
        <v>1390096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5"/>
      <c r="B14" s="5"/>
      <c r="C14" s="81" t="s">
        <v>1450</v>
      </c>
      <c r="D14" s="82">
        <f>IFERROR(__xludf.DUMMYFUNCTION("LET(
data,IMPORTRANGE(""https://docs.google.com/spreadsheets/d/1lz93J8ApZu2fkxkTVa3QbJxlEfjvZ2i-hl6DO2WSoV4/edit?gid=394426082#gid=394426082"",""'Tabla dinámica 3'!A22:C164""),
aduanaRaw,INDEX(data,,1),
aduanaFill,SCAN("""",aduanaRaw,LAMBDA(prev,current,I"&amp;"F(current&lt;&gt;"""",current,prev))),
concepto,INDEX(data,,2),
monto,INDEX(data,,3),
IFERROR(INDEX(FILTER(monto,aduanaFill=""IMILE LAREDO"",concepto=C14),1),0)
)"),0.0)</f>
        <v>0</v>
      </c>
      <c r="E14" s="82">
        <f>IFERROR(__xludf.DUMMYFUNCTION("LET(
data,IMPORTRANGE(""https://docs.google.com/spreadsheets/d/1qwZBMIHX908ShtRp7qKg-RQtPJUUTMWsnALy7zDsihY/edit?gid=1946253741#gid=1946253741"",""'Tabla dinámica 2'!A22:C183""),
aduanaRaw,INDEX(data,,1),
aduanaFill,SCAN("""",aduanaRaw,LAMBDA(prev,current"&amp;",IF(current&lt;&gt;"""",current,prev))),
concepto,INDEX(data,,2),
monto,INDEX(data,,3),
IFERROR(INDEX(FILTER(monto,aduanaFill=""IMILE LAREDO"",concepto=C14),1),0)
)"),0.0)</f>
        <v>0</v>
      </c>
      <c r="F14" s="82">
        <f>IFERROR(__xludf.DUMMYFUNCTION("LET(
data,IMPORTRANGE(""https://docs.google.com/spreadsheets/d/1R3diXUYNwx8M1fOT5VH5jynTUzkgQW2aolRVKyL3104/edit?gid=1862464062#gid=1862464062"",""'Tabla dinámica 3'!A22:C195""),
aduanaRaw,INDEX(data,,1),
aduanaFill,SCAN("""",aduanaRaw,LAMBDA(prev,current"&amp;",IF(current&lt;&gt;"""",current,prev))),
concepto,INDEX(data,,2),
monto,INDEX(data,,3),
IFERROR(INDEX(FILTER(monto,aduanaFill=""IMILE LAREDO"",concepto=C14),1),0)
)"),0.0)</f>
        <v>0</v>
      </c>
      <c r="G14" s="82">
        <f>IFERROR(__xludf.DUMMYFUNCTION("LET(
data,IMPORTRANGE(""https://docs.google.com/spreadsheets/d/1SZ9Cymny-V5AQSbk26xeGT299kcBmQ1TChS6s3CnfH4/edit?gid=1245872511#gid=1245872511"",""'Tabla dinámica 4'!A22:C195""),
aduanaRaw,INDEX(data,,1),
aduanaFill,SCAN("""",aduanaRaw,LAMBDA(prev,current"&amp;",IF(current&lt;&gt;"""",current,prev))),
concepto,INDEX(data,,2),
monto,INDEX(data,,3),
IFERROR(INDEX(FILTER(monto,aduanaFill=""IMILE LAREDO"",concepto=C14),1),0)
)"),0.0)</f>
        <v>0</v>
      </c>
      <c r="H14" s="83">
        <v>83500.0</v>
      </c>
      <c r="I14" s="83">
        <v>84200.0</v>
      </c>
      <c r="J14" s="84">
        <v>94200.0</v>
      </c>
      <c r="K14" s="85">
        <v>102800.0</v>
      </c>
      <c r="L14" s="5"/>
      <c r="M14" s="75"/>
      <c r="N14" s="75"/>
      <c r="O14" s="75"/>
      <c r="P14" s="72">
        <f t="shared" si="5"/>
        <v>364700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75"/>
      <c r="B15" s="75"/>
      <c r="C15" s="86" t="s">
        <v>1455</v>
      </c>
      <c r="D15" s="82">
        <f>IFERROR(__xludf.DUMMYFUNCTION("LET(
data,IMPORTRANGE(""https://docs.google.com/spreadsheets/d/1lz93J8ApZu2fkxkTVa3QbJxlEfjvZ2i-hl6DO2WSoV4/edit?gid=394426082#gid=394426082"",""'Tabla dinámica 3'!A22:C164""),
aduanaRaw,INDEX(data,,1),
aduanaFill,SCAN("""",aduanaRaw,LAMBDA(prev,current,I"&amp;"F(current&lt;&gt;"""",current,prev))),
concepto,INDEX(data,,2),
monto,INDEX(data,,3),
IFERROR(INDEX(FILTER(monto,aduanaFill=""IMILE LAREDO"",concepto=C15),1),0)
)"),0.0)</f>
        <v>0</v>
      </c>
      <c r="E15" s="82">
        <f>IFERROR(__xludf.DUMMYFUNCTION("LET(
data,IMPORTRANGE(""https://docs.google.com/spreadsheets/d/1qwZBMIHX908ShtRp7qKg-RQtPJUUTMWsnALy7zDsihY/edit?gid=1946253741#gid=1946253741"",""'Tabla dinámica 2'!A22:C183""),
aduanaRaw,INDEX(data,,1),
aduanaFill,SCAN("""",aduanaRaw,LAMBDA(prev,current"&amp;",IF(current&lt;&gt;"""",current,prev))),
concepto,INDEX(data,,2),
monto,INDEX(data,,3),
IFERROR(INDEX(FILTER(monto,aduanaFill=""IMILE LAREDO"",concepto=C15),1),0)
)"),0.0)</f>
        <v>0</v>
      </c>
      <c r="F15" s="82">
        <f>IFERROR(__xludf.DUMMYFUNCTION("LET(
data,IMPORTRANGE(""https://docs.google.com/spreadsheets/d/1R3diXUYNwx8M1fOT5VH5jynTUzkgQW2aolRVKyL3104/edit?gid=1862464062#gid=1862464062"",""'Tabla dinámica 3'!A22:C195""),
aduanaRaw,INDEX(data,,1),
aduanaFill,SCAN("""",aduanaRaw,LAMBDA(prev,current"&amp;",IF(current&lt;&gt;"""",current,prev))),
concepto,INDEX(data,,2),
monto,INDEX(data,,3),
IFERROR(INDEX(FILTER(monto,aduanaFill=""IMILE LAREDO"",concepto=C15),1),0)
)"),0.0)</f>
        <v>0</v>
      </c>
      <c r="G15" s="82">
        <f>IFERROR(__xludf.DUMMYFUNCTION("LET(
data,IMPORTRANGE(""https://docs.google.com/spreadsheets/d/1SZ9Cymny-V5AQSbk26xeGT299kcBmQ1TChS6s3CnfH4/edit?gid=1245872511#gid=1245872511"",""'Tabla dinámica 4'!A22:C195""),
aduanaRaw,INDEX(data,,1),
aduanaFill,SCAN("""",aduanaRaw,LAMBDA(prev,current"&amp;",IF(current&lt;&gt;"""",current,prev))),
concepto,INDEX(data,,2),
monto,INDEX(data,,3),
IFERROR(INDEX(FILTER(monto,aduanaFill=""IMILE LAREDO"",concepto=C15),1),0)
)"),0.0)</f>
        <v>0</v>
      </c>
      <c r="H15" s="84">
        <v>2000.0</v>
      </c>
      <c r="I15" s="84">
        <v>2000.0</v>
      </c>
      <c r="J15" s="84">
        <v>2000.0</v>
      </c>
      <c r="K15" s="84">
        <v>2000.0</v>
      </c>
      <c r="L15" s="5"/>
      <c r="M15" s="75"/>
      <c r="N15" s="75"/>
      <c r="O15" s="75"/>
      <c r="P15" s="72">
        <f t="shared" si="5"/>
        <v>8000</v>
      </c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</row>
    <row r="16">
      <c r="A16" s="75"/>
      <c r="B16" s="75"/>
      <c r="C16" s="86" t="s">
        <v>1462</v>
      </c>
      <c r="D16" s="82">
        <f>IFERROR(__xludf.DUMMYFUNCTION("LET(
data,IMPORTRANGE(""https://docs.google.com/spreadsheets/d/1lz93J8ApZu2fkxkTVa3QbJxlEfjvZ2i-hl6DO2WSoV4/edit?gid=394426082#gid=394426082"",""'Tabla dinámica 3'!A22:C164""),
aduanaRaw,INDEX(data,,1),
aduanaFill,SCAN("""",aduanaRaw,LAMBDA(prev,current,I"&amp;"F(current&lt;&gt;"""",current,prev))),
concepto,INDEX(data,,2),
monto,INDEX(data,,3),
IFERROR(INDEX(FILTER(monto,aduanaFill=""IMILE LAREDO"",concepto=C16),1),0)
)"),0.0)</f>
        <v>0</v>
      </c>
      <c r="E16" s="82">
        <f>IFERROR(__xludf.DUMMYFUNCTION("LET(
data,IMPORTRANGE(""https://docs.google.com/spreadsheets/d/1qwZBMIHX908ShtRp7qKg-RQtPJUUTMWsnALy7zDsihY/edit?gid=1946253741#gid=1946253741"",""'Tabla dinámica 2'!A22:C183""),
aduanaRaw,INDEX(data,,1),
aduanaFill,SCAN("""",aduanaRaw,LAMBDA(prev,current"&amp;",IF(current&lt;&gt;"""",current,prev))),
concepto,INDEX(data,,2),
monto,INDEX(data,,3),
IFERROR(INDEX(FILTER(monto,aduanaFill=""IMILE LAREDO"",concepto=C16),1),0)
)"),0.0)</f>
        <v>0</v>
      </c>
      <c r="F16" s="82">
        <f>IFERROR(__xludf.DUMMYFUNCTION("LET(
data,IMPORTRANGE(""https://docs.google.com/spreadsheets/d/1R3diXUYNwx8M1fOT5VH5jynTUzkgQW2aolRVKyL3104/edit?gid=1862464062#gid=1862464062"",""'Tabla dinámica 3'!A22:C195""),
aduanaRaw,INDEX(data,,1),
aduanaFill,SCAN("""",aduanaRaw,LAMBDA(prev,current"&amp;",IF(current&lt;&gt;"""",current,prev))),
concepto,INDEX(data,,2),
monto,INDEX(data,,3),
IFERROR(INDEX(FILTER(monto,aduanaFill=""IMILE LAREDO"",concepto=C16),1),0)
)"),0.0)</f>
        <v>0</v>
      </c>
      <c r="G16" s="82">
        <f>IFERROR(__xludf.DUMMYFUNCTION("LET(
data,IMPORTRANGE(""https://docs.google.com/spreadsheets/d/1SZ9Cymny-V5AQSbk26xeGT299kcBmQ1TChS6s3CnfH4/edit?gid=1245872511#gid=1245872511"",""'Tabla dinámica 4'!A22:C195""),
aduanaRaw,INDEX(data,,1),
aduanaFill,SCAN("""",aduanaRaw,LAMBDA(prev,current"&amp;",IF(current&lt;&gt;"""",current,prev))),
concepto,INDEX(data,,2),
monto,INDEX(data,,3),
IFERROR(INDEX(FILTER(monto,aduanaFill=""IMILE LAREDO"",concepto=C16),1),0)
)"),0.0)</f>
        <v>0</v>
      </c>
      <c r="H16" s="84">
        <v>21000.0</v>
      </c>
      <c r="I16" s="84">
        <v>21000.0</v>
      </c>
      <c r="J16" s="84">
        <v>24000.0</v>
      </c>
      <c r="K16" s="85">
        <v>54000.0</v>
      </c>
      <c r="L16" s="5"/>
      <c r="M16" s="75"/>
      <c r="N16" s="75"/>
      <c r="O16" s="75"/>
      <c r="P16" s="72">
        <f t="shared" si="5"/>
        <v>120000</v>
      </c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</row>
    <row r="17">
      <c r="A17" s="75"/>
      <c r="B17" s="75"/>
      <c r="C17" s="86" t="s">
        <v>198</v>
      </c>
      <c r="D17" s="82">
        <f>IFERROR(__xludf.DUMMYFUNCTION("LET(
data,IMPORTRANGE(""https://docs.google.com/spreadsheets/d/1lz93J8ApZu2fkxkTVa3QbJxlEfjvZ2i-hl6DO2WSoV4/edit?gid=394426082#gid=394426082"",""'Tabla dinámica 3'!A22:C164""),
aduanaRaw,INDEX(data,,1),
aduanaFill,SCAN("""",aduanaRaw,LAMBDA(prev,current,I"&amp;"F(current&lt;&gt;"""",current,prev))),
concepto,INDEX(data,,2),
monto,INDEX(data,,3),
IFERROR(INDEX(FILTER(monto,aduanaFill=""IMILE LAREDO"",concepto=C17),1),0)
)"),0.0)</f>
        <v>0</v>
      </c>
      <c r="E17" s="82">
        <f>IFERROR(__xludf.DUMMYFUNCTION("LET(
data,IMPORTRANGE(""https://docs.google.com/spreadsheets/d/1qwZBMIHX908ShtRp7qKg-RQtPJUUTMWsnALy7zDsihY/edit?gid=1946253741#gid=1946253741"",""'Tabla dinámica 2'!A22:C183""),
aduanaRaw,INDEX(data,,1),
aduanaFill,SCAN("""",aduanaRaw,LAMBDA(prev,current"&amp;",IF(current&lt;&gt;"""",current,prev))),
concepto,INDEX(data,,2),
monto,INDEX(data,,3),
IFERROR(INDEX(FILTER(monto,aduanaFill=""IMILE LAREDO"",concepto=C17),1),0)
)"),0.0)</f>
        <v>0</v>
      </c>
      <c r="F17" s="82">
        <f>IFERROR(__xludf.DUMMYFUNCTION("LET(
data,IMPORTRANGE(""https://docs.google.com/spreadsheets/d/1R3diXUYNwx8M1fOT5VH5jynTUzkgQW2aolRVKyL3104/edit?gid=1862464062#gid=1862464062"",""'Tabla dinámica 3'!A22:C195""),
aduanaRaw,INDEX(data,,1),
aduanaFill,SCAN("""",aduanaRaw,LAMBDA(prev,current"&amp;",IF(current&lt;&gt;"""",current,prev))),
concepto,INDEX(data,,2),
monto,INDEX(data,,3),
IFERROR(INDEX(FILTER(monto,aduanaFill=""IMILE LAREDO"",concepto=C17),1),0)
)"),0.0)</f>
        <v>0</v>
      </c>
      <c r="G17" s="82">
        <f>IFERROR(__xludf.DUMMYFUNCTION("LET(
data,IMPORTRANGE(""https://docs.google.com/spreadsheets/d/1SZ9Cymny-V5AQSbk26xeGT299kcBmQ1TChS6s3CnfH4/edit?gid=1245872511#gid=1245872511"",""'Tabla dinámica 4'!A22:C195""),
aduanaRaw,INDEX(data,,1),
aduanaFill,SCAN("""",aduanaRaw,LAMBDA(prev,current"&amp;",IF(current&lt;&gt;"""",current,prev))),
concepto,INDEX(data,,2),
monto,INDEX(data,,3),
IFERROR(INDEX(FILTER(monto,aduanaFill=""IMILE LAREDO"",concepto=C17),1),0)
)"),0.0)</f>
        <v>0</v>
      </c>
      <c r="H17" s="89" t="s">
        <v>1466</v>
      </c>
      <c r="L17" s="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</row>
    <row r="18">
      <c r="A18" s="75"/>
      <c r="B18" s="75"/>
      <c r="C18" s="90" t="s">
        <v>103</v>
      </c>
      <c r="D18" s="82">
        <f>IFERROR(__xludf.DUMMYFUNCTION("LET(
data,IMPORTRANGE(""https://docs.google.com/spreadsheets/d/1lz93J8ApZu2fkxkTVa3QbJxlEfjvZ2i-hl6DO2WSoV4/edit?gid=394426082#gid=394426082"",""'Tabla dinámica 3'!A22:C164""),
aduanaRaw,INDEX(data,,1),
aduanaFill,SCAN("""",aduanaRaw,LAMBDA(prev,current,I"&amp;"F(current&lt;&gt;"""",current,prev))),
concepto,INDEX(data,,2),
monto,INDEX(data,,3),
IFERROR(INDEX(FILTER(monto,aduanaFill=""IMILE LAREDO"",concepto=C18),1),0)
)"),0.0)</f>
        <v>0</v>
      </c>
      <c r="E18" s="82">
        <f>IFERROR(__xludf.DUMMYFUNCTION("LET(
data,IMPORTRANGE(""https://docs.google.com/spreadsheets/d/1qwZBMIHX908ShtRp7qKg-RQtPJUUTMWsnALy7zDsihY/edit?gid=1946253741#gid=1946253741"",""'Tabla dinámica 2'!A22:C183""),
aduanaRaw,INDEX(data,,1),
aduanaFill,SCAN("""",aduanaRaw,LAMBDA(prev,current"&amp;",IF(current&lt;&gt;"""",current,prev))),
concepto,INDEX(data,,2),
monto,INDEX(data,,3),
IFERROR(INDEX(FILTER(monto,aduanaFill=""IMILE LAREDO"",concepto=C18),1),0)
)"),0.0)</f>
        <v>0</v>
      </c>
      <c r="F18" s="82">
        <f>IFERROR(__xludf.DUMMYFUNCTION("LET(
data,IMPORTRANGE(""https://docs.google.com/spreadsheets/d/1R3diXUYNwx8M1fOT5VH5jynTUzkgQW2aolRVKyL3104/edit?gid=1862464062#gid=1862464062"",""'Tabla dinámica 3'!A22:C195""),
aduanaRaw,INDEX(data,,1),
aduanaFill,SCAN("""",aduanaRaw,LAMBDA(prev,current"&amp;",IF(current&lt;&gt;"""",current,prev))),
concepto,INDEX(data,,2),
monto,INDEX(data,,3),
IFERROR(INDEX(FILTER(monto,aduanaFill=""IMILE LAREDO"",concepto=C18),1),0)
)"),0.0)</f>
        <v>0</v>
      </c>
      <c r="G18" s="82">
        <f>IFERROR(__xludf.DUMMYFUNCTION("LET(
data,IMPORTRANGE(""https://docs.google.com/spreadsheets/d/1SZ9Cymny-V5AQSbk26xeGT299kcBmQ1TChS6s3CnfH4/edit?gid=1245872511#gid=1245872511"",""'Tabla dinámica 4'!A22:C195""),
aduanaRaw,INDEX(data,,1),
aduanaFill,SCAN("""",aduanaRaw,LAMBDA(prev,current"&amp;",IF(current&lt;&gt;"""",current,prev))),
concepto,INDEX(data,,2),
monto,INDEX(data,,3),
IFERROR(INDEX(FILTER(monto,aduanaFill=""IMILE LAREDO"",concepto=C18),1),0)
)"),0.0)</f>
        <v>0</v>
      </c>
      <c r="L18" s="5"/>
      <c r="M18" s="75"/>
      <c r="N18" s="75"/>
      <c r="O18" s="75"/>
      <c r="P18" s="72">
        <f>SUM(D18:O18)</f>
        <v>0</v>
      </c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</row>
    <row r="19">
      <c r="A19" s="75"/>
      <c r="B19" s="75"/>
      <c r="C19" s="90" t="s">
        <v>142</v>
      </c>
      <c r="D19" s="82">
        <f>IFERROR(__xludf.DUMMYFUNCTION("LET(
data,IMPORTRANGE(""https://docs.google.com/spreadsheets/d/1lz93J8ApZu2fkxkTVa3QbJxlEfjvZ2i-hl6DO2WSoV4/edit?gid=394426082#gid=394426082"",""'Tabla dinámica 3'!A22:C164""),
aduanaRaw,INDEX(data,,1),
aduanaFill,SCAN("""",aduanaRaw,LAMBDA(prev,current,I"&amp;"F(current&lt;&gt;"""",current,prev))),
concepto,INDEX(data,,2),
monto,INDEX(data,,3),
IFERROR(INDEX(FILTER(monto,aduanaFill=""IMILE LAREDO"",concepto=C19),1),0)
)"),0.0)</f>
        <v>0</v>
      </c>
      <c r="E19" s="82">
        <f>IFERROR(__xludf.DUMMYFUNCTION("LET(
data,IMPORTRANGE(""https://docs.google.com/spreadsheets/d/1qwZBMIHX908ShtRp7qKg-RQtPJUUTMWsnALy7zDsihY/edit?gid=1946253741#gid=1946253741"",""'Tabla dinámica 2'!A22:C183""),
aduanaRaw,INDEX(data,,1),
aduanaFill,SCAN("""",aduanaRaw,LAMBDA(prev,current"&amp;",IF(current&lt;&gt;"""",current,prev))),
concepto,INDEX(data,,2),
monto,INDEX(data,,3),
IFERROR(INDEX(FILTER(monto,aduanaFill=""IMILE LAREDO"",concepto=C19),1),0)
)"),0.0)</f>
        <v>0</v>
      </c>
      <c r="F19" s="82">
        <f>IFERROR(__xludf.DUMMYFUNCTION("LET(
data,IMPORTRANGE(""https://docs.google.com/spreadsheets/d/1R3diXUYNwx8M1fOT5VH5jynTUzkgQW2aolRVKyL3104/edit?gid=1862464062#gid=1862464062"",""'Tabla dinámica 3'!A22:C195""),
aduanaRaw,INDEX(data,,1),
aduanaFill,SCAN("""",aduanaRaw,LAMBDA(prev,current"&amp;",IF(current&lt;&gt;"""",current,prev))),
concepto,INDEX(data,,2),
monto,INDEX(data,,3),
IFERROR(INDEX(FILTER(monto,aduanaFill=""IMILE LAREDO"",concepto=C19),1),0)
)"),0.0)</f>
        <v>0</v>
      </c>
      <c r="G19" s="82">
        <f>IFERROR(__xludf.DUMMYFUNCTION("LET(
data,IMPORTRANGE(""https://docs.google.com/spreadsheets/d/1SZ9Cymny-V5AQSbk26xeGT299kcBmQ1TChS6s3CnfH4/edit?gid=1245872511#gid=1245872511"",""'Tabla dinámica 4'!A22:C195""),
aduanaRaw,INDEX(data,,1),
aduanaFill,SCAN("""",aduanaRaw,LAMBDA(prev,current"&amp;",IF(current&lt;&gt;"""",current,prev))),
concepto,INDEX(data,,2),
monto,INDEX(data,,3),
IFERROR(INDEX(FILTER(monto,aduanaFill=""IMILE LAREDO"",concepto=C19),1),0)
)"),0.0)</f>
        <v>0</v>
      </c>
      <c r="L19" s="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</row>
    <row r="20">
      <c r="A20" s="75"/>
      <c r="B20" s="75"/>
      <c r="C20" s="90" t="s">
        <v>117</v>
      </c>
      <c r="D20" s="82">
        <f>IFERROR(__xludf.DUMMYFUNCTION("LET(
data,IMPORTRANGE(""https://docs.google.com/spreadsheets/d/1lz93J8ApZu2fkxkTVa3QbJxlEfjvZ2i-hl6DO2WSoV4/edit?gid=394426082#gid=394426082"",""'Tabla dinámica 3'!A22:C164""),
aduanaRaw,INDEX(data,,1),
aduanaFill,SCAN("""",aduanaRaw,LAMBDA(prev,current,I"&amp;"F(current&lt;&gt;"""",current,prev))),
concepto,INDEX(data,,2),
monto,INDEX(data,,3),
IFERROR(INDEX(FILTER(monto,aduanaFill=""IMILE LAREDO"",concepto=C20),1),0)
)"),0.0)</f>
        <v>0</v>
      </c>
      <c r="E20" s="82">
        <f>IFERROR(__xludf.DUMMYFUNCTION("LET(
data,IMPORTRANGE(""https://docs.google.com/spreadsheets/d/1qwZBMIHX908ShtRp7qKg-RQtPJUUTMWsnALy7zDsihY/edit?gid=1946253741#gid=1946253741"",""'Tabla dinámica 2'!A22:C183""),
aduanaRaw,INDEX(data,,1),
aduanaFill,SCAN("""",aduanaRaw,LAMBDA(prev,current"&amp;",IF(current&lt;&gt;"""",current,prev))),
concepto,INDEX(data,,2),
monto,INDEX(data,,3),
IFERROR(INDEX(FILTER(monto,aduanaFill=""IMILE LAREDO"",concepto=C20),1),0)
)"),0.0)</f>
        <v>0</v>
      </c>
      <c r="F20" s="82">
        <f>IFERROR(__xludf.DUMMYFUNCTION("LET(
data,IMPORTRANGE(""https://docs.google.com/spreadsheets/d/1R3diXUYNwx8M1fOT5VH5jynTUzkgQW2aolRVKyL3104/edit?gid=1862464062#gid=1862464062"",""'Tabla dinámica 3'!A22:C195""),
aduanaRaw,INDEX(data,,1),
aduanaFill,SCAN("""",aduanaRaw,LAMBDA(prev,current"&amp;",IF(current&lt;&gt;"""",current,prev))),
concepto,INDEX(data,,2),
monto,INDEX(data,,3),
IFERROR(INDEX(FILTER(monto,aduanaFill=""IMILE LAREDO"",concepto=C20),1),0)
)"),0.0)</f>
        <v>0</v>
      </c>
      <c r="G20" s="82">
        <f>IFERROR(__xludf.DUMMYFUNCTION("LET(
data,IMPORTRANGE(""https://docs.google.com/spreadsheets/d/1SZ9Cymny-V5AQSbk26xeGT299kcBmQ1TChS6s3CnfH4/edit?gid=1245872511#gid=1245872511"",""'Tabla dinámica 4'!A22:C195""),
aduanaRaw,INDEX(data,,1),
aduanaFill,SCAN("""",aduanaRaw,LAMBDA(prev,current"&amp;",IF(current&lt;&gt;"""",current,prev))),
concepto,INDEX(data,,2),
monto,INDEX(data,,3),
IFERROR(INDEX(FILTER(monto,aduanaFill=""IMILE LAREDO"",concepto=C20),1),0)
)"),0.0)</f>
        <v>0</v>
      </c>
      <c r="L20" s="5"/>
      <c r="M20" s="75"/>
      <c r="N20" s="75"/>
      <c r="O20" s="75"/>
      <c r="P20" s="72">
        <f>SUM(D20:O20)</f>
        <v>0</v>
      </c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</row>
    <row r="21">
      <c r="A21" s="75"/>
      <c r="B21" s="75"/>
      <c r="C21" s="90" t="s">
        <v>145</v>
      </c>
      <c r="D21" s="82">
        <f>IFERROR(__xludf.DUMMYFUNCTION("LET(
data,IMPORTRANGE(""https://docs.google.com/spreadsheets/d/1lz93J8ApZu2fkxkTVa3QbJxlEfjvZ2i-hl6DO2WSoV4/edit?gid=394426082#gid=394426082"",""'Tabla dinámica 3'!A22:C164""),
aduanaRaw,INDEX(data,,1),
aduanaFill,SCAN("""",aduanaRaw,LAMBDA(prev,current,I"&amp;"F(current&lt;&gt;"""",current,prev))),
concepto,INDEX(data,,2),
monto,INDEX(data,,3),
IFERROR(INDEX(FILTER(monto,aduanaFill=""IMILE LAREDO"",concepto=C21),1),0)
)"),0.0)</f>
        <v>0</v>
      </c>
      <c r="E21" s="82">
        <f>IFERROR(__xludf.DUMMYFUNCTION("LET(
data,IMPORTRANGE(""https://docs.google.com/spreadsheets/d/1qwZBMIHX908ShtRp7qKg-RQtPJUUTMWsnALy7zDsihY/edit?gid=1946253741#gid=1946253741"",""'Tabla dinámica 2'!A22:C183""),
aduanaRaw,INDEX(data,,1),
aduanaFill,SCAN("""",aduanaRaw,LAMBDA(prev,current"&amp;",IF(current&lt;&gt;"""",current,prev))),
concepto,INDEX(data,,2),
monto,INDEX(data,,3),
IFERROR(INDEX(FILTER(monto,aduanaFill=""IMILE LAREDO"",concepto=C21),1),0)
)"),0.0)</f>
        <v>0</v>
      </c>
      <c r="F21" s="82">
        <f>IFERROR(__xludf.DUMMYFUNCTION("LET(
data,IMPORTRANGE(""https://docs.google.com/spreadsheets/d/1R3diXUYNwx8M1fOT5VH5jynTUzkgQW2aolRVKyL3104/edit?gid=1862464062#gid=1862464062"",""'Tabla dinámica 3'!A22:C195""),
aduanaRaw,INDEX(data,,1),
aduanaFill,SCAN("""",aduanaRaw,LAMBDA(prev,current"&amp;",IF(current&lt;&gt;"""",current,prev))),
concepto,INDEX(data,,2),
monto,INDEX(data,,3),
IFERROR(INDEX(FILTER(monto,aduanaFill=""IMILE LAREDO"",concepto=C21),1),0)
)"),0.0)</f>
        <v>0</v>
      </c>
      <c r="G21" s="82">
        <f>IFERROR(__xludf.DUMMYFUNCTION("LET(
data,IMPORTRANGE(""https://docs.google.com/spreadsheets/d/1SZ9Cymny-V5AQSbk26xeGT299kcBmQ1TChS6s3CnfH4/edit?gid=1245872511#gid=1245872511"",""'Tabla dinámica 4'!A22:C195""),
aduanaRaw,INDEX(data,,1),
aduanaFill,SCAN("""",aduanaRaw,LAMBDA(prev,current"&amp;",IF(current&lt;&gt;"""",current,prev))),
concepto,INDEX(data,,2),
monto,INDEX(data,,3),
IFERROR(INDEX(FILTER(monto,aduanaFill=""IMILE LAREDO"",concepto=C21),1),0)
)"),0.0)</f>
        <v>0</v>
      </c>
      <c r="L21" s="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</row>
    <row r="22">
      <c r="A22" s="5"/>
      <c r="B22" s="5"/>
      <c r="C22" s="79" t="s">
        <v>1477</v>
      </c>
      <c r="D22" s="80">
        <f t="shared" ref="D22:O22" si="6">SUM(D13:D21)</f>
        <v>0</v>
      </c>
      <c r="E22" s="80">
        <f t="shared" si="6"/>
        <v>0</v>
      </c>
      <c r="F22" s="80">
        <f t="shared" si="6"/>
        <v>0</v>
      </c>
      <c r="G22" s="80">
        <f t="shared" si="6"/>
        <v>0</v>
      </c>
      <c r="H22" s="80">
        <f t="shared" si="6"/>
        <v>434806</v>
      </c>
      <c r="I22" s="80">
        <f t="shared" si="6"/>
        <v>445431</v>
      </c>
      <c r="J22" s="80">
        <f t="shared" si="6"/>
        <v>485760</v>
      </c>
      <c r="K22" s="80">
        <f t="shared" si="6"/>
        <v>516799</v>
      </c>
      <c r="L22" s="80">
        <f t="shared" si="6"/>
        <v>0</v>
      </c>
      <c r="M22" s="80">
        <f t="shared" si="6"/>
        <v>0</v>
      </c>
      <c r="N22" s="80">
        <f t="shared" si="6"/>
        <v>0</v>
      </c>
      <c r="O22" s="80">
        <f t="shared" si="6"/>
        <v>0</v>
      </c>
      <c r="P22" s="80">
        <f>SUM(P13:P20)</f>
        <v>1882796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5"/>
      <c r="B23" s="5"/>
      <c r="C23" s="71" t="s">
        <v>1480</v>
      </c>
      <c r="D23" s="5"/>
      <c r="E23" s="5"/>
      <c r="F23" s="5"/>
      <c r="G23" s="5"/>
      <c r="H23" s="91">
        <v>437644.13</v>
      </c>
      <c r="I23" s="91">
        <v>448337.25</v>
      </c>
      <c r="J23" s="91">
        <v>475032.13</v>
      </c>
      <c r="K23" s="91">
        <v>7433.5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5"/>
      <c r="B26" s="5"/>
      <c r="C26" s="71" t="s">
        <v>1482</v>
      </c>
      <c r="D26" s="72" t="s">
        <v>1405</v>
      </c>
      <c r="E26" s="72" t="s">
        <v>1406</v>
      </c>
      <c r="F26" s="72" t="s">
        <v>1407</v>
      </c>
      <c r="G26" s="72" t="s">
        <v>1408</v>
      </c>
      <c r="H26" s="72" t="s">
        <v>1409</v>
      </c>
      <c r="I26" s="72" t="s">
        <v>1410</v>
      </c>
      <c r="J26" s="72" t="s">
        <v>1411</v>
      </c>
      <c r="K26" s="72" t="s">
        <v>1412</v>
      </c>
      <c r="L26" s="72" t="s">
        <v>1413</v>
      </c>
      <c r="M26" s="72" t="s">
        <v>1414</v>
      </c>
      <c r="N26" s="72" t="s">
        <v>1415</v>
      </c>
      <c r="O26" s="72" t="s">
        <v>1416</v>
      </c>
      <c r="P26" s="72" t="s">
        <v>1417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5"/>
      <c r="B27" s="5"/>
      <c r="C27" s="86" t="s">
        <v>1484</v>
      </c>
      <c r="D27" s="92">
        <v>0.0</v>
      </c>
      <c r="E27" s="92">
        <v>0.0</v>
      </c>
      <c r="F27" s="92">
        <v>0.0</v>
      </c>
      <c r="G27" s="92">
        <v>0.0</v>
      </c>
      <c r="H27" s="92">
        <f>(1000+159.38+1804.75+1263.63+1525)*18</f>
        <v>103549.68</v>
      </c>
      <c r="I27" s="92">
        <f>(1804.75+1640.5+1308.63+1487.5+1090)*18</f>
        <v>131964.84</v>
      </c>
      <c r="J27" s="92">
        <f>(1000+231.75+1053.63+1000+601.13+1000+53.63)*18</f>
        <v>88922.52</v>
      </c>
      <c r="K27" s="92">
        <f>(1000+129+1000+79.88+1000+114.38+1000+612+1204.38)*18</f>
        <v>110513.52</v>
      </c>
      <c r="L27" s="78"/>
      <c r="M27" s="78"/>
      <c r="N27" s="78"/>
      <c r="O27" s="78"/>
      <c r="P27" s="72">
        <f t="shared" ref="P27:P29" si="7">SUM(D27:O27)</f>
        <v>434950.56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5"/>
      <c r="B28" s="5"/>
      <c r="C28" s="86" t="s">
        <v>1492</v>
      </c>
      <c r="D28" s="92">
        <v>0.0</v>
      </c>
      <c r="E28" s="92">
        <v>0.0</v>
      </c>
      <c r="F28" s="92">
        <v>0.0</v>
      </c>
      <c r="G28" s="92">
        <v>0.0</v>
      </c>
      <c r="H28" s="92">
        <f>(850+226.28+850+745.76+850+133.85)*18</f>
        <v>65806.02</v>
      </c>
      <c r="I28" s="92">
        <f>(740.14+1232.56+1107.59+1372.83+1595.76)*18</f>
        <v>108879.84</v>
      </c>
      <c r="J28" s="92">
        <f>(850+69.18+850+98.19+850+294.25+850+98.19)*18</f>
        <v>71276.58</v>
      </c>
      <c r="K28" s="92">
        <f>(850+259.82+861.69+850+79.06+850+134.21+850+313.06)*18</f>
        <v>90861.12</v>
      </c>
      <c r="L28" s="78"/>
      <c r="M28" s="78"/>
      <c r="N28" s="78"/>
      <c r="O28" s="78"/>
      <c r="P28" s="72">
        <f t="shared" si="7"/>
        <v>336823.56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5"/>
      <c r="B29" s="5"/>
      <c r="C29" s="93" t="s">
        <v>1497</v>
      </c>
      <c r="D29" s="80">
        <f t="shared" ref="D29:O29" si="8">SUM(D27:D28)</f>
        <v>0</v>
      </c>
      <c r="E29" s="80">
        <f t="shared" si="8"/>
        <v>0</v>
      </c>
      <c r="F29" s="80">
        <f t="shared" si="8"/>
        <v>0</v>
      </c>
      <c r="G29" s="80">
        <f t="shared" si="8"/>
        <v>0</v>
      </c>
      <c r="H29" s="80">
        <f t="shared" si="8"/>
        <v>169355.7</v>
      </c>
      <c r="I29" s="80">
        <f t="shared" si="8"/>
        <v>240844.68</v>
      </c>
      <c r="J29" s="80">
        <f t="shared" si="8"/>
        <v>160199.1</v>
      </c>
      <c r="K29" s="80">
        <f t="shared" si="8"/>
        <v>201374.64</v>
      </c>
      <c r="L29" s="80">
        <f t="shared" si="8"/>
        <v>0</v>
      </c>
      <c r="M29" s="80">
        <f t="shared" si="8"/>
        <v>0</v>
      </c>
      <c r="N29" s="80">
        <f t="shared" si="8"/>
        <v>0</v>
      </c>
      <c r="O29" s="80">
        <f t="shared" si="8"/>
        <v>0</v>
      </c>
      <c r="P29" s="80">
        <f t="shared" si="7"/>
        <v>771774.12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5"/>
      <c r="B30" s="5"/>
      <c r="C30" s="5"/>
      <c r="D30" s="51">
        <f t="shared" ref="D30:O30" si="9">COUNTIF(D27:D28, "&lt;&gt;0")</f>
        <v>0</v>
      </c>
      <c r="E30" s="51">
        <f t="shared" si="9"/>
        <v>0</v>
      </c>
      <c r="F30" s="51">
        <f t="shared" si="9"/>
        <v>0</v>
      </c>
      <c r="G30" s="51">
        <f t="shared" si="9"/>
        <v>0</v>
      </c>
      <c r="H30" s="51">
        <f t="shared" si="9"/>
        <v>2</v>
      </c>
      <c r="I30" s="51">
        <f t="shared" si="9"/>
        <v>2</v>
      </c>
      <c r="J30" s="51">
        <f t="shared" si="9"/>
        <v>2</v>
      </c>
      <c r="K30" s="51">
        <f t="shared" si="9"/>
        <v>2</v>
      </c>
      <c r="L30" s="51">
        <f t="shared" si="9"/>
        <v>0</v>
      </c>
      <c r="M30" s="51">
        <f t="shared" si="9"/>
        <v>0</v>
      </c>
      <c r="N30" s="51">
        <f t="shared" si="9"/>
        <v>0</v>
      </c>
      <c r="O30" s="51">
        <f t="shared" si="9"/>
        <v>0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5"/>
      <c r="B32" s="5"/>
      <c r="C32" s="71" t="s">
        <v>1501</v>
      </c>
      <c r="D32" s="72" t="s">
        <v>1405</v>
      </c>
      <c r="E32" s="72" t="s">
        <v>1406</v>
      </c>
      <c r="F32" s="72" t="s">
        <v>1407</v>
      </c>
      <c r="G32" s="72" t="s">
        <v>1408</v>
      </c>
      <c r="H32" s="72" t="s">
        <v>1409</v>
      </c>
      <c r="I32" s="72" t="s">
        <v>1410</v>
      </c>
      <c r="J32" s="72" t="s">
        <v>1411</v>
      </c>
      <c r="K32" s="72" t="s">
        <v>1412</v>
      </c>
      <c r="L32" s="72" t="s">
        <v>1413</v>
      </c>
      <c r="M32" s="72" t="s">
        <v>1414</v>
      </c>
      <c r="N32" s="72" t="s">
        <v>1415</v>
      </c>
      <c r="O32" s="72" t="s">
        <v>1416</v>
      </c>
      <c r="P32" s="72" t="s">
        <v>1417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5"/>
      <c r="B33" s="5"/>
      <c r="C33" s="71" t="s">
        <v>1502</v>
      </c>
      <c r="D33" s="76">
        <v>0.0</v>
      </c>
      <c r="E33" s="76">
        <v>0.0</v>
      </c>
      <c r="F33" s="76">
        <v>0.0</v>
      </c>
      <c r="G33" s="76">
        <v>0.0</v>
      </c>
      <c r="H33" s="76">
        <v>154514.37</v>
      </c>
      <c r="I33" s="76">
        <v>152919.61</v>
      </c>
      <c r="J33" s="76">
        <v>196015.64</v>
      </c>
      <c r="K33" s="94">
        <v>165333.0</v>
      </c>
      <c r="L33" s="5"/>
      <c r="M33" s="5"/>
      <c r="N33" s="5"/>
      <c r="O33" s="5"/>
      <c r="P33" s="72">
        <f t="shared" ref="P33:P35" si="12">SUM(D33:O33)</f>
        <v>668782.62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5"/>
      <c r="B34" s="5"/>
      <c r="C34" s="71" t="s">
        <v>1505</v>
      </c>
      <c r="D34" s="76">
        <v>0.0</v>
      </c>
      <c r="E34" s="76">
        <v>0.0</v>
      </c>
      <c r="F34" s="76">
        <v>0.0</v>
      </c>
      <c r="G34" s="76">
        <v>0.0</v>
      </c>
      <c r="H34" s="76">
        <f t="shared" ref="H34:J34" si="10">(H10-H22-H29-H33)*0.2</f>
        <v>298679.086</v>
      </c>
      <c r="I34" s="76">
        <f t="shared" si="10"/>
        <v>287086.742</v>
      </c>
      <c r="J34" s="76">
        <f t="shared" si="10"/>
        <v>333422.452</v>
      </c>
      <c r="K34" s="76">
        <f t="shared" ref="K34:O34" si="11">(K10-K22-K29-K33)*0.3</f>
        <v>450946.158</v>
      </c>
      <c r="L34" s="76">
        <f t="shared" si="11"/>
        <v>0</v>
      </c>
      <c r="M34" s="76">
        <f t="shared" si="11"/>
        <v>0</v>
      </c>
      <c r="N34" s="76">
        <f t="shared" si="11"/>
        <v>0</v>
      </c>
      <c r="O34" s="76">
        <f t="shared" si="11"/>
        <v>0</v>
      </c>
      <c r="P34" s="72">
        <f t="shared" si="12"/>
        <v>1370134.438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5"/>
      <c r="B35" s="5"/>
      <c r="C35" s="93" t="s">
        <v>1507</v>
      </c>
      <c r="D35" s="80">
        <f t="shared" ref="D35:O35" si="13">SUM(D33:D34)</f>
        <v>0</v>
      </c>
      <c r="E35" s="80">
        <f t="shared" si="13"/>
        <v>0</v>
      </c>
      <c r="F35" s="80">
        <f t="shared" si="13"/>
        <v>0</v>
      </c>
      <c r="G35" s="80">
        <f t="shared" si="13"/>
        <v>0</v>
      </c>
      <c r="H35" s="80">
        <f t="shared" si="13"/>
        <v>453193.456</v>
      </c>
      <c r="I35" s="80">
        <f t="shared" si="13"/>
        <v>440006.352</v>
      </c>
      <c r="J35" s="80">
        <f t="shared" si="13"/>
        <v>529438.092</v>
      </c>
      <c r="K35" s="80">
        <f t="shared" si="13"/>
        <v>616279.158</v>
      </c>
      <c r="L35" s="80">
        <f t="shared" si="13"/>
        <v>0</v>
      </c>
      <c r="M35" s="80">
        <f t="shared" si="13"/>
        <v>0</v>
      </c>
      <c r="N35" s="80">
        <f t="shared" si="13"/>
        <v>0</v>
      </c>
      <c r="O35" s="80">
        <f t="shared" si="13"/>
        <v>0</v>
      </c>
      <c r="P35" s="80">
        <f t="shared" si="12"/>
        <v>2038917.058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5"/>
      <c r="B39" s="5"/>
      <c r="C39" s="93" t="s">
        <v>1513</v>
      </c>
      <c r="D39" s="80">
        <f t="shared" ref="D39:G39" si="14">D10-D22-D29</f>
        <v>0</v>
      </c>
      <c r="E39" s="80">
        <f t="shared" si="14"/>
        <v>0</v>
      </c>
      <c r="F39" s="80">
        <f t="shared" si="14"/>
        <v>0</v>
      </c>
      <c r="G39" s="80">
        <f t="shared" si="14"/>
        <v>0</v>
      </c>
      <c r="H39" s="80">
        <f t="shared" ref="H39:O39" si="15">H10-H22-H29-H35</f>
        <v>1194716.344</v>
      </c>
      <c r="I39" s="80">
        <f t="shared" si="15"/>
        <v>1148346.968</v>
      </c>
      <c r="J39" s="80">
        <f t="shared" si="15"/>
        <v>1333689.808</v>
      </c>
      <c r="K39" s="80">
        <f t="shared" si="15"/>
        <v>1052207.702</v>
      </c>
      <c r="L39" s="80">
        <f t="shared" si="15"/>
        <v>0</v>
      </c>
      <c r="M39" s="80">
        <f t="shared" si="15"/>
        <v>0</v>
      </c>
      <c r="N39" s="80">
        <f t="shared" si="15"/>
        <v>0</v>
      </c>
      <c r="O39" s="80">
        <f t="shared" si="15"/>
        <v>0</v>
      </c>
      <c r="P39" s="80">
        <f>SUM(D39:O39)</f>
        <v>4728960.822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5"/>
      <c r="B41" s="5"/>
      <c r="C41" s="5"/>
      <c r="D41" s="5"/>
      <c r="E41" s="5"/>
      <c r="F41" s="5"/>
      <c r="G41" s="5"/>
      <c r="H41" s="5"/>
      <c r="I41" s="78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</sheetData>
  <mergeCells count="1">
    <mergeCell ref="H17:K21"/>
  </mergeCells>
  <drawing r:id="rId2"/>
  <legacyDrawing r:id="rId3"/>
</worksheet>
</file>